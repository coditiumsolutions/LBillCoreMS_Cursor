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Usman" sheetId="1" r:id="rId1"/>
  </sheets>
  <definedNames>
    <definedName name="_xlnm.Print_Area" localSheetId="0">Usman!$A$1:$T$291</definedName>
    <definedName name="_xlnm.Print_Titles" localSheetId="0">Usman!$4:$5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7" i="1"/>
  <c r="R291" i="1" l="1"/>
  <c r="P291" i="1"/>
  <c r="N291" i="1"/>
  <c r="B291" i="1"/>
  <c r="L291" i="1" s="1"/>
  <c r="F291" i="1" s="1"/>
  <c r="R290" i="1"/>
  <c r="P290" i="1"/>
  <c r="N290" i="1"/>
  <c r="L290" i="1"/>
  <c r="F290" i="1" s="1"/>
  <c r="B290" i="1"/>
  <c r="R289" i="1"/>
  <c r="P289" i="1"/>
  <c r="N289" i="1"/>
  <c r="B289" i="1"/>
  <c r="L289" i="1" s="1"/>
  <c r="F289" i="1" s="1"/>
  <c r="R288" i="1"/>
  <c r="P288" i="1"/>
  <c r="N288" i="1"/>
  <c r="B288" i="1"/>
  <c r="L288" i="1" s="1"/>
  <c r="F288" i="1" s="1"/>
  <c r="R287" i="1"/>
  <c r="P287" i="1"/>
  <c r="N287" i="1"/>
  <c r="B287" i="1"/>
  <c r="L287" i="1" s="1"/>
  <c r="F287" i="1" s="1"/>
  <c r="R286" i="1"/>
  <c r="P286" i="1"/>
  <c r="N286" i="1"/>
  <c r="B286" i="1"/>
  <c r="L286" i="1" s="1"/>
  <c r="F286" i="1" s="1"/>
  <c r="R285" i="1"/>
  <c r="P285" i="1"/>
  <c r="N285" i="1"/>
  <c r="B285" i="1"/>
  <c r="L285" i="1" s="1"/>
  <c r="F285" i="1" s="1"/>
  <c r="R284" i="1"/>
  <c r="P284" i="1"/>
  <c r="N284" i="1"/>
  <c r="B284" i="1"/>
  <c r="L284" i="1" s="1"/>
  <c r="F284" i="1" s="1"/>
  <c r="R283" i="1"/>
  <c r="P283" i="1"/>
  <c r="N283" i="1"/>
  <c r="B283" i="1"/>
  <c r="L283" i="1" s="1"/>
  <c r="F283" i="1" s="1"/>
  <c r="R282" i="1"/>
  <c r="P282" i="1"/>
  <c r="N282" i="1"/>
  <c r="B282" i="1"/>
  <c r="L282" i="1" s="1"/>
  <c r="F282" i="1" s="1"/>
  <c r="R281" i="1"/>
  <c r="P281" i="1"/>
  <c r="N281" i="1"/>
  <c r="B281" i="1"/>
  <c r="L281" i="1" s="1"/>
  <c r="F281" i="1" s="1"/>
  <c r="R280" i="1"/>
  <c r="P280" i="1"/>
  <c r="N280" i="1"/>
  <c r="B280" i="1"/>
  <c r="L280" i="1" s="1"/>
  <c r="F280" i="1" s="1"/>
  <c r="R279" i="1"/>
  <c r="P279" i="1"/>
  <c r="N279" i="1"/>
  <c r="L279" i="1"/>
  <c r="F279" i="1" s="1"/>
  <c r="B279" i="1"/>
  <c r="R278" i="1"/>
  <c r="P278" i="1"/>
  <c r="N278" i="1"/>
  <c r="B278" i="1"/>
  <c r="L278" i="1" s="1"/>
  <c r="F278" i="1" s="1"/>
  <c r="R277" i="1"/>
  <c r="P277" i="1"/>
  <c r="N277" i="1"/>
  <c r="B277" i="1"/>
  <c r="L277" i="1" s="1"/>
  <c r="F277" i="1" s="1"/>
  <c r="R276" i="1"/>
  <c r="P276" i="1"/>
  <c r="N276" i="1"/>
  <c r="B276" i="1"/>
  <c r="L276" i="1" s="1"/>
  <c r="F276" i="1" s="1"/>
  <c r="R275" i="1"/>
  <c r="P275" i="1"/>
  <c r="N275" i="1"/>
  <c r="B275" i="1"/>
  <c r="L275" i="1" s="1"/>
  <c r="F275" i="1" s="1"/>
  <c r="R274" i="1"/>
  <c r="P274" i="1"/>
  <c r="N274" i="1"/>
  <c r="K274" i="1"/>
  <c r="B274" i="1"/>
  <c r="L274" i="1" s="1"/>
  <c r="F274" i="1" s="1"/>
  <c r="R273" i="1"/>
  <c r="P273" i="1"/>
  <c r="N273" i="1"/>
  <c r="K273" i="1"/>
  <c r="B273" i="1"/>
  <c r="R272" i="1"/>
  <c r="P272" i="1"/>
  <c r="N272" i="1"/>
  <c r="K272" i="1"/>
  <c r="B272" i="1"/>
  <c r="R271" i="1"/>
  <c r="P271" i="1"/>
  <c r="N271" i="1"/>
  <c r="B271" i="1"/>
  <c r="L271" i="1" s="1"/>
  <c r="F271" i="1" s="1"/>
  <c r="R270" i="1"/>
  <c r="P270" i="1"/>
  <c r="N270" i="1"/>
  <c r="K270" i="1"/>
  <c r="B270" i="1"/>
  <c r="L270" i="1" s="1"/>
  <c r="F270" i="1" s="1"/>
  <c r="R269" i="1"/>
  <c r="P269" i="1"/>
  <c r="N269" i="1"/>
  <c r="B269" i="1"/>
  <c r="L269" i="1" s="1"/>
  <c r="F269" i="1" s="1"/>
  <c r="R268" i="1"/>
  <c r="P268" i="1"/>
  <c r="N268" i="1"/>
  <c r="K268" i="1"/>
  <c r="B268" i="1"/>
  <c r="L268" i="1" s="1"/>
  <c r="F268" i="1" s="1"/>
  <c r="R267" i="1"/>
  <c r="P267" i="1"/>
  <c r="N267" i="1"/>
  <c r="B267" i="1"/>
  <c r="L267" i="1" s="1"/>
  <c r="F267" i="1" s="1"/>
  <c r="R266" i="1"/>
  <c r="P266" i="1"/>
  <c r="N266" i="1"/>
  <c r="B266" i="1"/>
  <c r="L266" i="1" s="1"/>
  <c r="F266" i="1" s="1"/>
  <c r="R265" i="1"/>
  <c r="P265" i="1"/>
  <c r="N265" i="1"/>
  <c r="B265" i="1"/>
  <c r="L265" i="1" s="1"/>
  <c r="F265" i="1" s="1"/>
  <c r="R264" i="1"/>
  <c r="P264" i="1"/>
  <c r="N264" i="1"/>
  <c r="F264" i="1"/>
  <c r="B264" i="1"/>
  <c r="L264" i="1" s="1"/>
  <c r="R263" i="1"/>
  <c r="P263" i="1"/>
  <c r="N263" i="1"/>
  <c r="B263" i="1"/>
  <c r="L263" i="1" s="1"/>
  <c r="F263" i="1" s="1"/>
  <c r="R262" i="1"/>
  <c r="P262" i="1"/>
  <c r="N262" i="1"/>
  <c r="B262" i="1"/>
  <c r="L262" i="1" s="1"/>
  <c r="F262" i="1" s="1"/>
  <c r="R261" i="1"/>
  <c r="P261" i="1"/>
  <c r="N261" i="1"/>
  <c r="B261" i="1"/>
  <c r="L261" i="1" s="1"/>
  <c r="F261" i="1" s="1"/>
  <c r="R260" i="1"/>
  <c r="P260" i="1"/>
  <c r="N260" i="1"/>
  <c r="F260" i="1"/>
  <c r="B260" i="1"/>
  <c r="L260" i="1" s="1"/>
  <c r="R259" i="1"/>
  <c r="P259" i="1"/>
  <c r="N259" i="1"/>
  <c r="B259" i="1"/>
  <c r="L259" i="1" s="1"/>
  <c r="F259" i="1" s="1"/>
  <c r="R258" i="1"/>
  <c r="P258" i="1"/>
  <c r="N258" i="1"/>
  <c r="K258" i="1"/>
  <c r="B258" i="1"/>
  <c r="L258" i="1" s="1"/>
  <c r="F258" i="1" s="1"/>
  <c r="R257" i="1"/>
  <c r="P257" i="1"/>
  <c r="N257" i="1"/>
  <c r="K257" i="1"/>
  <c r="B257" i="1"/>
  <c r="L257" i="1" s="1"/>
  <c r="F257" i="1" s="1"/>
  <c r="R256" i="1"/>
  <c r="P256" i="1"/>
  <c r="N256" i="1"/>
  <c r="L256" i="1"/>
  <c r="F256" i="1" s="1"/>
  <c r="B256" i="1"/>
  <c r="R255" i="1"/>
  <c r="P255" i="1"/>
  <c r="N255" i="1"/>
  <c r="B255" i="1"/>
  <c r="L255" i="1" s="1"/>
  <c r="F255" i="1" s="1"/>
  <c r="R254" i="1"/>
  <c r="P254" i="1"/>
  <c r="N254" i="1"/>
  <c r="K254" i="1"/>
  <c r="B254" i="1"/>
  <c r="R253" i="1"/>
  <c r="P253" i="1"/>
  <c r="N253" i="1"/>
  <c r="B253" i="1"/>
  <c r="L253" i="1" s="1"/>
  <c r="F253" i="1" s="1"/>
  <c r="R252" i="1"/>
  <c r="P252" i="1"/>
  <c r="N252" i="1"/>
  <c r="B252" i="1"/>
  <c r="L252" i="1" s="1"/>
  <c r="F252" i="1" s="1"/>
  <c r="R251" i="1"/>
  <c r="P251" i="1"/>
  <c r="N251" i="1"/>
  <c r="B251" i="1"/>
  <c r="L251" i="1" s="1"/>
  <c r="F251" i="1" s="1"/>
  <c r="R250" i="1"/>
  <c r="P250" i="1"/>
  <c r="N250" i="1"/>
  <c r="B250" i="1"/>
  <c r="L250" i="1" s="1"/>
  <c r="F250" i="1" s="1"/>
  <c r="R249" i="1"/>
  <c r="P249" i="1"/>
  <c r="N249" i="1"/>
  <c r="B249" i="1"/>
  <c r="L249" i="1" s="1"/>
  <c r="F249" i="1" s="1"/>
  <c r="R248" i="1"/>
  <c r="P248" i="1"/>
  <c r="N248" i="1"/>
  <c r="B248" i="1"/>
  <c r="L248" i="1" s="1"/>
  <c r="F248" i="1" s="1"/>
  <c r="R247" i="1"/>
  <c r="P247" i="1"/>
  <c r="N247" i="1"/>
  <c r="B247" i="1"/>
  <c r="L247" i="1" s="1"/>
  <c r="F247" i="1" s="1"/>
  <c r="R246" i="1"/>
  <c r="P246" i="1"/>
  <c r="N246" i="1"/>
  <c r="K246" i="1"/>
  <c r="B246" i="1"/>
  <c r="R245" i="1"/>
  <c r="P245" i="1"/>
  <c r="N245" i="1"/>
  <c r="B245" i="1"/>
  <c r="L245" i="1" s="1"/>
  <c r="F245" i="1" s="1"/>
  <c r="R244" i="1"/>
  <c r="P244" i="1"/>
  <c r="N244" i="1"/>
  <c r="B244" i="1"/>
  <c r="L244" i="1" s="1"/>
  <c r="F244" i="1" s="1"/>
  <c r="R243" i="1"/>
  <c r="P243" i="1"/>
  <c r="N243" i="1"/>
  <c r="B243" i="1"/>
  <c r="L243" i="1" s="1"/>
  <c r="F243" i="1" s="1"/>
  <c r="R242" i="1"/>
  <c r="P242" i="1"/>
  <c r="N242" i="1"/>
  <c r="L242" i="1"/>
  <c r="F242" i="1" s="1"/>
  <c r="B242" i="1"/>
  <c r="R241" i="1"/>
  <c r="P241" i="1"/>
  <c r="N241" i="1"/>
  <c r="K241" i="1"/>
  <c r="B241" i="1"/>
  <c r="L241" i="1" s="1"/>
  <c r="F241" i="1" s="1"/>
  <c r="R240" i="1"/>
  <c r="P240" i="1"/>
  <c r="N240" i="1"/>
  <c r="K240" i="1"/>
  <c r="B240" i="1"/>
  <c r="L240" i="1" s="1"/>
  <c r="F240" i="1" s="1"/>
  <c r="R239" i="1"/>
  <c r="P239" i="1"/>
  <c r="N239" i="1"/>
  <c r="K239" i="1"/>
  <c r="B239" i="1"/>
  <c r="R238" i="1"/>
  <c r="P238" i="1"/>
  <c r="N238" i="1"/>
  <c r="B238" i="1"/>
  <c r="L238" i="1" s="1"/>
  <c r="F238" i="1" s="1"/>
  <c r="R237" i="1"/>
  <c r="P237" i="1"/>
  <c r="N237" i="1"/>
  <c r="B237" i="1"/>
  <c r="L237" i="1" s="1"/>
  <c r="F237" i="1" s="1"/>
  <c r="R236" i="1"/>
  <c r="P236" i="1"/>
  <c r="N236" i="1"/>
  <c r="K236" i="1"/>
  <c r="B236" i="1"/>
  <c r="R235" i="1"/>
  <c r="P235" i="1"/>
  <c r="N235" i="1"/>
  <c r="K235" i="1"/>
  <c r="B235" i="1"/>
  <c r="L235" i="1" s="1"/>
  <c r="F235" i="1" s="1"/>
  <c r="R234" i="1"/>
  <c r="P234" i="1"/>
  <c r="N234" i="1"/>
  <c r="K234" i="1"/>
  <c r="B234" i="1"/>
  <c r="R233" i="1"/>
  <c r="P233" i="1"/>
  <c r="N233" i="1"/>
  <c r="B233" i="1"/>
  <c r="L233" i="1" s="1"/>
  <c r="F233" i="1" s="1"/>
  <c r="R232" i="1"/>
  <c r="P232" i="1"/>
  <c r="N232" i="1"/>
  <c r="B232" i="1"/>
  <c r="L232" i="1" s="1"/>
  <c r="F232" i="1" s="1"/>
  <c r="R231" i="1"/>
  <c r="P231" i="1"/>
  <c r="N231" i="1"/>
  <c r="B231" i="1"/>
  <c r="L231" i="1" s="1"/>
  <c r="F231" i="1" s="1"/>
  <c r="R230" i="1"/>
  <c r="P230" i="1"/>
  <c r="N230" i="1"/>
  <c r="B230" i="1"/>
  <c r="L230" i="1" s="1"/>
  <c r="F230" i="1" s="1"/>
  <c r="R229" i="1"/>
  <c r="P229" i="1"/>
  <c r="N229" i="1"/>
  <c r="B229" i="1"/>
  <c r="L229" i="1" s="1"/>
  <c r="F229" i="1" s="1"/>
  <c r="R228" i="1"/>
  <c r="P228" i="1"/>
  <c r="N228" i="1"/>
  <c r="B228" i="1"/>
  <c r="L228" i="1" s="1"/>
  <c r="F228" i="1" s="1"/>
  <c r="R227" i="1"/>
  <c r="P227" i="1"/>
  <c r="N227" i="1"/>
  <c r="B227" i="1"/>
  <c r="L227" i="1" s="1"/>
  <c r="F227" i="1" s="1"/>
  <c r="R226" i="1"/>
  <c r="P226" i="1"/>
  <c r="N226" i="1"/>
  <c r="B226" i="1"/>
  <c r="L226" i="1" s="1"/>
  <c r="F226" i="1" s="1"/>
  <c r="R225" i="1"/>
  <c r="P225" i="1"/>
  <c r="N225" i="1"/>
  <c r="K225" i="1"/>
  <c r="B225" i="1"/>
  <c r="L225" i="1" s="1"/>
  <c r="F225" i="1" s="1"/>
  <c r="R224" i="1"/>
  <c r="P224" i="1"/>
  <c r="N224" i="1"/>
  <c r="K224" i="1"/>
  <c r="B224" i="1"/>
  <c r="L224" i="1" s="1"/>
  <c r="F224" i="1" s="1"/>
  <c r="R223" i="1"/>
  <c r="P223" i="1"/>
  <c r="N223" i="1"/>
  <c r="B223" i="1"/>
  <c r="L223" i="1" s="1"/>
  <c r="F223" i="1" s="1"/>
  <c r="R222" i="1"/>
  <c r="P222" i="1"/>
  <c r="N222" i="1"/>
  <c r="L222" i="1"/>
  <c r="F222" i="1" s="1"/>
  <c r="B222" i="1"/>
  <c r="R221" i="1"/>
  <c r="P221" i="1"/>
  <c r="N221" i="1"/>
  <c r="B221" i="1"/>
  <c r="L221" i="1" s="1"/>
  <c r="F221" i="1" s="1"/>
  <c r="R220" i="1"/>
  <c r="P220" i="1"/>
  <c r="N220" i="1"/>
  <c r="B220" i="1"/>
  <c r="L220" i="1" s="1"/>
  <c r="F220" i="1" s="1"/>
  <c r="R219" i="1"/>
  <c r="P219" i="1"/>
  <c r="N219" i="1"/>
  <c r="B219" i="1"/>
  <c r="L219" i="1" s="1"/>
  <c r="F219" i="1" s="1"/>
  <c r="R218" i="1"/>
  <c r="P218" i="1"/>
  <c r="N218" i="1"/>
  <c r="L218" i="1"/>
  <c r="F218" i="1" s="1"/>
  <c r="B218" i="1"/>
  <c r="R217" i="1"/>
  <c r="P217" i="1"/>
  <c r="N217" i="1"/>
  <c r="B217" i="1"/>
  <c r="L217" i="1" s="1"/>
  <c r="F217" i="1" s="1"/>
  <c r="R216" i="1"/>
  <c r="P216" i="1"/>
  <c r="N216" i="1"/>
  <c r="B216" i="1"/>
  <c r="L216" i="1" s="1"/>
  <c r="F216" i="1" s="1"/>
  <c r="R215" i="1"/>
  <c r="P215" i="1"/>
  <c r="N215" i="1"/>
  <c r="K215" i="1"/>
  <c r="B215" i="1"/>
  <c r="L215" i="1" s="1"/>
  <c r="F215" i="1" s="1"/>
  <c r="R214" i="1"/>
  <c r="P214" i="1"/>
  <c r="N214" i="1"/>
  <c r="B214" i="1"/>
  <c r="L214" i="1" s="1"/>
  <c r="F214" i="1" s="1"/>
  <c r="R213" i="1"/>
  <c r="P213" i="1"/>
  <c r="N213" i="1"/>
  <c r="K213" i="1"/>
  <c r="B213" i="1"/>
  <c r="L213" i="1" s="1"/>
  <c r="F213" i="1" s="1"/>
  <c r="R212" i="1"/>
  <c r="P212" i="1"/>
  <c r="N212" i="1"/>
  <c r="L212" i="1"/>
  <c r="F212" i="1" s="1"/>
  <c r="B212" i="1"/>
  <c r="R211" i="1"/>
  <c r="P211" i="1"/>
  <c r="N211" i="1"/>
  <c r="B211" i="1"/>
  <c r="L211" i="1" s="1"/>
  <c r="F211" i="1" s="1"/>
  <c r="R210" i="1"/>
  <c r="P210" i="1"/>
  <c r="N210" i="1"/>
  <c r="B210" i="1"/>
  <c r="L210" i="1" s="1"/>
  <c r="F210" i="1" s="1"/>
  <c r="R209" i="1"/>
  <c r="P209" i="1"/>
  <c r="N209" i="1"/>
  <c r="K209" i="1"/>
  <c r="B209" i="1"/>
  <c r="L209" i="1" s="1"/>
  <c r="F209" i="1" s="1"/>
  <c r="R208" i="1"/>
  <c r="P208" i="1"/>
  <c r="N208" i="1"/>
  <c r="B208" i="1"/>
  <c r="L208" i="1" s="1"/>
  <c r="F208" i="1" s="1"/>
  <c r="R207" i="1"/>
  <c r="P207" i="1"/>
  <c r="N207" i="1"/>
  <c r="B207" i="1"/>
  <c r="L207" i="1" s="1"/>
  <c r="F207" i="1" s="1"/>
  <c r="R206" i="1"/>
  <c r="P206" i="1"/>
  <c r="N206" i="1"/>
  <c r="B206" i="1"/>
  <c r="L206" i="1" s="1"/>
  <c r="F206" i="1" s="1"/>
  <c r="R205" i="1"/>
  <c r="P205" i="1"/>
  <c r="N205" i="1"/>
  <c r="K205" i="1"/>
  <c r="B205" i="1"/>
  <c r="L205" i="1" s="1"/>
  <c r="F205" i="1" s="1"/>
  <c r="R204" i="1"/>
  <c r="P204" i="1"/>
  <c r="N204" i="1"/>
  <c r="B204" i="1"/>
  <c r="L204" i="1" s="1"/>
  <c r="F204" i="1" s="1"/>
  <c r="R203" i="1"/>
  <c r="P203" i="1"/>
  <c r="N203" i="1"/>
  <c r="K203" i="1"/>
  <c r="B203" i="1"/>
  <c r="R202" i="1"/>
  <c r="P202" i="1"/>
  <c r="N202" i="1"/>
  <c r="L202" i="1"/>
  <c r="F202" i="1" s="1"/>
  <c r="R201" i="1"/>
  <c r="P201" i="1"/>
  <c r="N201" i="1"/>
  <c r="B201" i="1"/>
  <c r="L201" i="1" s="1"/>
  <c r="F201" i="1" s="1"/>
  <c r="R200" i="1"/>
  <c r="P200" i="1"/>
  <c r="N200" i="1"/>
  <c r="K200" i="1"/>
  <c r="B200" i="1"/>
  <c r="R199" i="1"/>
  <c r="P199" i="1"/>
  <c r="N199" i="1"/>
  <c r="B199" i="1"/>
  <c r="L199" i="1" s="1"/>
  <c r="F199" i="1" s="1"/>
  <c r="R198" i="1"/>
  <c r="P198" i="1"/>
  <c r="N198" i="1"/>
  <c r="B198" i="1"/>
  <c r="L198" i="1" s="1"/>
  <c r="F198" i="1" s="1"/>
  <c r="R197" i="1"/>
  <c r="P197" i="1"/>
  <c r="N197" i="1"/>
  <c r="L197" i="1"/>
  <c r="F197" i="1" s="1"/>
  <c r="R196" i="1"/>
  <c r="P196" i="1"/>
  <c r="N196" i="1"/>
  <c r="B196" i="1"/>
  <c r="L196" i="1" s="1"/>
  <c r="F196" i="1" s="1"/>
  <c r="R195" i="1"/>
  <c r="P195" i="1"/>
  <c r="N195" i="1"/>
  <c r="B195" i="1"/>
  <c r="L195" i="1" s="1"/>
  <c r="F195" i="1" s="1"/>
  <c r="R194" i="1"/>
  <c r="P194" i="1"/>
  <c r="N194" i="1"/>
  <c r="B194" i="1"/>
  <c r="L194" i="1" s="1"/>
  <c r="F194" i="1" s="1"/>
  <c r="R193" i="1"/>
  <c r="P193" i="1"/>
  <c r="N193" i="1"/>
  <c r="B193" i="1"/>
  <c r="L193" i="1" s="1"/>
  <c r="F193" i="1" s="1"/>
  <c r="R192" i="1"/>
  <c r="P192" i="1"/>
  <c r="N192" i="1"/>
  <c r="B192" i="1"/>
  <c r="L192" i="1" s="1"/>
  <c r="F192" i="1" s="1"/>
  <c r="R191" i="1"/>
  <c r="P191" i="1"/>
  <c r="N191" i="1"/>
  <c r="B191" i="1"/>
  <c r="L191" i="1" s="1"/>
  <c r="F191" i="1" s="1"/>
  <c r="R190" i="1"/>
  <c r="P190" i="1"/>
  <c r="N190" i="1"/>
  <c r="B190" i="1"/>
  <c r="L190" i="1" s="1"/>
  <c r="F190" i="1" s="1"/>
  <c r="R189" i="1"/>
  <c r="P189" i="1"/>
  <c r="N189" i="1"/>
  <c r="K189" i="1"/>
  <c r="B189" i="1"/>
  <c r="R188" i="1"/>
  <c r="P188" i="1"/>
  <c r="N188" i="1"/>
  <c r="B188" i="1"/>
  <c r="R187" i="1"/>
  <c r="P187" i="1"/>
  <c r="N187" i="1"/>
  <c r="B187" i="1"/>
  <c r="L187" i="1" s="1"/>
  <c r="F187" i="1" s="1"/>
  <c r="R186" i="1"/>
  <c r="P186" i="1"/>
  <c r="N186" i="1"/>
  <c r="B186" i="1"/>
  <c r="L186" i="1" s="1"/>
  <c r="F186" i="1" s="1"/>
  <c r="R185" i="1"/>
  <c r="P185" i="1"/>
  <c r="N185" i="1"/>
  <c r="B185" i="1"/>
  <c r="L185" i="1" s="1"/>
  <c r="F185" i="1" s="1"/>
  <c r="R184" i="1"/>
  <c r="P184" i="1"/>
  <c r="N184" i="1"/>
  <c r="B184" i="1"/>
  <c r="L184" i="1" s="1"/>
  <c r="F184" i="1" s="1"/>
  <c r="R183" i="1"/>
  <c r="P183" i="1"/>
  <c r="N183" i="1"/>
  <c r="K183" i="1"/>
  <c r="B183" i="1"/>
  <c r="R182" i="1"/>
  <c r="P182" i="1"/>
  <c r="N182" i="1"/>
  <c r="B182" i="1"/>
  <c r="L182" i="1" s="1"/>
  <c r="F182" i="1" s="1"/>
  <c r="R181" i="1"/>
  <c r="P181" i="1"/>
  <c r="N181" i="1"/>
  <c r="B181" i="1"/>
  <c r="L181" i="1" s="1"/>
  <c r="F181" i="1" s="1"/>
  <c r="R180" i="1"/>
  <c r="P180" i="1"/>
  <c r="N180" i="1"/>
  <c r="B180" i="1"/>
  <c r="L180" i="1" s="1"/>
  <c r="F180" i="1" s="1"/>
  <c r="R179" i="1"/>
  <c r="P179" i="1"/>
  <c r="N179" i="1"/>
  <c r="B179" i="1"/>
  <c r="L179" i="1" s="1"/>
  <c r="F179" i="1" s="1"/>
  <c r="R178" i="1"/>
  <c r="P178" i="1"/>
  <c r="N178" i="1"/>
  <c r="B178" i="1"/>
  <c r="L178" i="1" s="1"/>
  <c r="F178" i="1" s="1"/>
  <c r="R177" i="1"/>
  <c r="P177" i="1"/>
  <c r="N177" i="1"/>
  <c r="B177" i="1"/>
  <c r="L177" i="1" s="1"/>
  <c r="F177" i="1" s="1"/>
  <c r="R176" i="1"/>
  <c r="P176" i="1"/>
  <c r="N176" i="1"/>
  <c r="B176" i="1"/>
  <c r="L176" i="1" s="1"/>
  <c r="F176" i="1" s="1"/>
  <c r="R175" i="1"/>
  <c r="P175" i="1"/>
  <c r="N175" i="1"/>
  <c r="B175" i="1"/>
  <c r="L175" i="1" s="1"/>
  <c r="F175" i="1" s="1"/>
  <c r="R174" i="1"/>
  <c r="P174" i="1"/>
  <c r="N174" i="1"/>
  <c r="B174" i="1"/>
  <c r="L174" i="1" s="1"/>
  <c r="F174" i="1" s="1"/>
  <c r="R173" i="1"/>
  <c r="P173" i="1"/>
  <c r="N173" i="1"/>
  <c r="K173" i="1"/>
  <c r="B173" i="1"/>
  <c r="L173" i="1" s="1"/>
  <c r="F173" i="1" s="1"/>
  <c r="R172" i="1"/>
  <c r="P172" i="1"/>
  <c r="N172" i="1"/>
  <c r="B172" i="1"/>
  <c r="L172" i="1" s="1"/>
  <c r="F172" i="1" s="1"/>
  <c r="R171" i="1"/>
  <c r="P171" i="1"/>
  <c r="N171" i="1"/>
  <c r="K171" i="1"/>
  <c r="B171" i="1"/>
  <c r="R170" i="1"/>
  <c r="P170" i="1"/>
  <c r="N170" i="1"/>
  <c r="B170" i="1"/>
  <c r="L170" i="1" s="1"/>
  <c r="F170" i="1" s="1"/>
  <c r="R169" i="1"/>
  <c r="P169" i="1"/>
  <c r="N169" i="1"/>
  <c r="K169" i="1"/>
  <c r="B169" i="1"/>
  <c r="R168" i="1"/>
  <c r="P168" i="1"/>
  <c r="N168" i="1"/>
  <c r="K168" i="1"/>
  <c r="B168" i="1"/>
  <c r="L168" i="1" s="1"/>
  <c r="F168" i="1" s="1"/>
  <c r="R167" i="1"/>
  <c r="P167" i="1"/>
  <c r="N167" i="1"/>
  <c r="B167" i="1"/>
  <c r="L167" i="1" s="1"/>
  <c r="F167" i="1" s="1"/>
  <c r="R166" i="1"/>
  <c r="P166" i="1"/>
  <c r="N166" i="1"/>
  <c r="K166" i="1"/>
  <c r="B166" i="1"/>
  <c r="L166" i="1" s="1"/>
  <c r="F166" i="1" s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B162" i="1"/>
  <c r="L162" i="1" s="1"/>
  <c r="F162" i="1" s="1"/>
  <c r="R161" i="1"/>
  <c r="P161" i="1"/>
  <c r="N161" i="1"/>
  <c r="F161" i="1"/>
  <c r="B161" i="1"/>
  <c r="L161" i="1" s="1"/>
  <c r="R160" i="1"/>
  <c r="P160" i="1"/>
  <c r="N160" i="1"/>
  <c r="B160" i="1"/>
  <c r="L160" i="1" s="1"/>
  <c r="F160" i="1" s="1"/>
  <c r="R159" i="1"/>
  <c r="P159" i="1"/>
  <c r="N159" i="1"/>
  <c r="K159" i="1"/>
  <c r="B159" i="1"/>
  <c r="L159" i="1" s="1"/>
  <c r="F159" i="1" s="1"/>
  <c r="R158" i="1"/>
  <c r="P158" i="1"/>
  <c r="N158" i="1"/>
  <c r="K158" i="1"/>
  <c r="B158" i="1"/>
  <c r="L158" i="1" s="1"/>
  <c r="F158" i="1" s="1"/>
  <c r="R157" i="1"/>
  <c r="P157" i="1"/>
  <c r="N157" i="1"/>
  <c r="L157" i="1"/>
  <c r="F157" i="1" s="1"/>
  <c r="B157" i="1"/>
  <c r="R156" i="1"/>
  <c r="P156" i="1"/>
  <c r="N156" i="1"/>
  <c r="K156" i="1"/>
  <c r="B156" i="1"/>
  <c r="L156" i="1" s="1"/>
  <c r="F156" i="1" s="1"/>
  <c r="R155" i="1"/>
  <c r="P155" i="1"/>
  <c r="N155" i="1"/>
  <c r="B155" i="1"/>
  <c r="L155" i="1" s="1"/>
  <c r="F155" i="1" s="1"/>
  <c r="R154" i="1"/>
  <c r="P154" i="1"/>
  <c r="N154" i="1"/>
  <c r="K154" i="1"/>
  <c r="B154" i="1"/>
  <c r="R153" i="1"/>
  <c r="P153" i="1"/>
  <c r="N153" i="1"/>
  <c r="K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B151" i="1"/>
  <c r="L151" i="1" s="1"/>
  <c r="F151" i="1" s="1"/>
  <c r="R150" i="1"/>
  <c r="P150" i="1"/>
  <c r="N150" i="1"/>
  <c r="B150" i="1"/>
  <c r="L150" i="1" s="1"/>
  <c r="F150" i="1" s="1"/>
  <c r="R149" i="1"/>
  <c r="P149" i="1"/>
  <c r="N149" i="1"/>
  <c r="L149" i="1"/>
  <c r="F149" i="1" s="1"/>
  <c r="B149" i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K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B143" i="1"/>
  <c r="L143" i="1" s="1"/>
  <c r="F143" i="1" s="1"/>
  <c r="R142" i="1"/>
  <c r="P142" i="1"/>
  <c r="N142" i="1"/>
  <c r="B142" i="1"/>
  <c r="L142" i="1" s="1"/>
  <c r="F142" i="1" s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F138" i="1"/>
  <c r="B138" i="1"/>
  <c r="L138" i="1" s="1"/>
  <c r="R137" i="1"/>
  <c r="P137" i="1"/>
  <c r="N137" i="1"/>
  <c r="B137" i="1"/>
  <c r="L137" i="1" s="1"/>
  <c r="F137" i="1" s="1"/>
  <c r="R136" i="1"/>
  <c r="P136" i="1"/>
  <c r="N136" i="1"/>
  <c r="K136" i="1"/>
  <c r="B136" i="1"/>
  <c r="R135" i="1"/>
  <c r="P135" i="1"/>
  <c r="N135" i="1"/>
  <c r="K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F128" i="1"/>
  <c r="B128" i="1"/>
  <c r="L128" i="1" s="1"/>
  <c r="R127" i="1"/>
  <c r="P127" i="1"/>
  <c r="N127" i="1"/>
  <c r="K127" i="1"/>
  <c r="B127" i="1"/>
  <c r="L127" i="1" s="1"/>
  <c r="F127" i="1" s="1"/>
  <c r="R126" i="1"/>
  <c r="P126" i="1"/>
  <c r="N126" i="1"/>
  <c r="B126" i="1"/>
  <c r="L126" i="1" s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B123" i="1"/>
  <c r="L123" i="1" s="1"/>
  <c r="F123" i="1" s="1"/>
  <c r="R122" i="1"/>
  <c r="P122" i="1"/>
  <c r="N122" i="1"/>
  <c r="B122" i="1"/>
  <c r="L122" i="1" s="1"/>
  <c r="F122" i="1" s="1"/>
  <c r="R121" i="1"/>
  <c r="P121" i="1"/>
  <c r="N121" i="1"/>
  <c r="K121" i="1"/>
  <c r="B121" i="1"/>
  <c r="L121" i="1" s="1"/>
  <c r="F121" i="1" s="1"/>
  <c r="R120" i="1"/>
  <c r="P120" i="1"/>
  <c r="N120" i="1"/>
  <c r="L120" i="1"/>
  <c r="F120" i="1" s="1"/>
  <c r="K120" i="1"/>
  <c r="B120" i="1"/>
  <c r="R119" i="1"/>
  <c r="P119" i="1"/>
  <c r="N119" i="1"/>
  <c r="K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L117" i="1"/>
  <c r="F117" i="1" s="1"/>
  <c r="B117" i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B114" i="1"/>
  <c r="L114" i="1" s="1"/>
  <c r="F114" i="1" s="1"/>
  <c r="R113" i="1"/>
  <c r="P113" i="1"/>
  <c r="N113" i="1"/>
  <c r="L113" i="1"/>
  <c r="F113" i="1" s="1"/>
  <c r="B113" i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B102" i="1"/>
  <c r="L102" i="1" s="1"/>
  <c r="F102" i="1" s="1"/>
  <c r="R101" i="1"/>
  <c r="P101" i="1"/>
  <c r="N101" i="1"/>
  <c r="K101" i="1"/>
  <c r="B101" i="1"/>
  <c r="L101" i="1" s="1"/>
  <c r="F101" i="1" s="1"/>
  <c r="R100" i="1"/>
  <c r="P100" i="1"/>
  <c r="N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F98" i="1"/>
  <c r="B98" i="1"/>
  <c r="L98" i="1" s="1"/>
  <c r="R97" i="1"/>
  <c r="P97" i="1"/>
  <c r="N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F94" i="1"/>
  <c r="B94" i="1"/>
  <c r="L94" i="1" s="1"/>
  <c r="R93" i="1"/>
  <c r="P93" i="1"/>
  <c r="N93" i="1"/>
  <c r="K93" i="1"/>
  <c r="B93" i="1"/>
  <c r="L93" i="1" s="1"/>
  <c r="F93" i="1" s="1"/>
  <c r="R92" i="1"/>
  <c r="P92" i="1"/>
  <c r="N92" i="1"/>
  <c r="B92" i="1"/>
  <c r="L92" i="1" s="1"/>
  <c r="F92" i="1" s="1"/>
  <c r="R91" i="1"/>
  <c r="P91" i="1"/>
  <c r="N91" i="1"/>
  <c r="B91" i="1"/>
  <c r="L91" i="1" s="1"/>
  <c r="F91" i="1" s="1"/>
  <c r="R90" i="1"/>
  <c r="P90" i="1"/>
  <c r="N90" i="1"/>
  <c r="B90" i="1"/>
  <c r="L90" i="1" s="1"/>
  <c r="F90" i="1" s="1"/>
  <c r="R89" i="1"/>
  <c r="P89" i="1"/>
  <c r="N89" i="1"/>
  <c r="B89" i="1"/>
  <c r="L89" i="1" s="1"/>
  <c r="F89" i="1" s="1"/>
  <c r="R88" i="1"/>
  <c r="P88" i="1"/>
  <c r="N88" i="1"/>
  <c r="B88" i="1"/>
  <c r="L88" i="1" s="1"/>
  <c r="F88" i="1" s="1"/>
  <c r="R87" i="1"/>
  <c r="P87" i="1"/>
  <c r="N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L85" i="1"/>
  <c r="F85" i="1" s="1"/>
  <c r="B85" i="1"/>
  <c r="R84" i="1"/>
  <c r="P84" i="1"/>
  <c r="N84" i="1"/>
  <c r="B84" i="1"/>
  <c r="L84" i="1" s="1"/>
  <c r="F84" i="1" s="1"/>
  <c r="R83" i="1"/>
  <c r="P83" i="1"/>
  <c r="N83" i="1"/>
  <c r="L83" i="1"/>
  <c r="F83" i="1" s="1"/>
  <c r="B83" i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L75" i="1"/>
  <c r="F75" i="1" s="1"/>
  <c r="B75" i="1"/>
  <c r="R74" i="1"/>
  <c r="P74" i="1"/>
  <c r="N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L69" i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L65" i="1"/>
  <c r="F65" i="1"/>
  <c r="B65" i="1"/>
  <c r="R64" i="1"/>
  <c r="P64" i="1"/>
  <c r="N64" i="1"/>
  <c r="B64" i="1"/>
  <c r="L64" i="1" s="1"/>
  <c r="F64" i="1" s="1"/>
  <c r="R63" i="1"/>
  <c r="P63" i="1"/>
  <c r="N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K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L54" i="1"/>
  <c r="F54" i="1" s="1"/>
  <c r="B54" i="1"/>
  <c r="R53" i="1"/>
  <c r="P53" i="1"/>
  <c r="N53" i="1"/>
  <c r="B53" i="1"/>
  <c r="L53" i="1" s="1"/>
  <c r="F53" i="1" s="1"/>
  <c r="R52" i="1"/>
  <c r="P52" i="1"/>
  <c r="N52" i="1"/>
  <c r="B52" i="1"/>
  <c r="L52" i="1" s="1"/>
  <c r="F52" i="1" s="1"/>
  <c r="R51" i="1"/>
  <c r="P51" i="1"/>
  <c r="N51" i="1"/>
  <c r="B51" i="1"/>
  <c r="L51" i="1" s="1"/>
  <c r="F51" i="1" s="1"/>
  <c r="R50" i="1"/>
  <c r="P50" i="1"/>
  <c r="N50" i="1"/>
  <c r="K50" i="1"/>
  <c r="B50" i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B45" i="1"/>
  <c r="L45" i="1" s="1"/>
  <c r="F45" i="1" s="1"/>
  <c r="R44" i="1"/>
  <c r="P44" i="1"/>
  <c r="N44" i="1"/>
  <c r="B44" i="1"/>
  <c r="L44" i="1" s="1"/>
  <c r="F44" i="1" s="1"/>
  <c r="R43" i="1"/>
  <c r="P43" i="1"/>
  <c r="N43" i="1"/>
  <c r="B43" i="1"/>
  <c r="L43" i="1" s="1"/>
  <c r="F43" i="1" s="1"/>
  <c r="R42" i="1"/>
  <c r="P42" i="1"/>
  <c r="N42" i="1"/>
  <c r="B42" i="1"/>
  <c r="L42" i="1" s="1"/>
  <c r="F42" i="1" s="1"/>
  <c r="R41" i="1"/>
  <c r="P41" i="1"/>
  <c r="N41" i="1"/>
  <c r="L41" i="1"/>
  <c r="F41" i="1" s="1"/>
  <c r="B41" i="1"/>
  <c r="R40" i="1"/>
  <c r="P40" i="1"/>
  <c r="N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L37" i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L34" i="1"/>
  <c r="F34" i="1" s="1"/>
  <c r="B34" i="1"/>
  <c r="R33" i="1"/>
  <c r="P33" i="1"/>
  <c r="N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L22" i="1" s="1"/>
  <c r="F22" i="1" s="1"/>
  <c r="R21" i="1"/>
  <c r="P21" i="1"/>
  <c r="N21" i="1"/>
  <c r="B21" i="1"/>
  <c r="L21" i="1" s="1"/>
  <c r="F21" i="1" s="1"/>
  <c r="R20" i="1"/>
  <c r="P20" i="1"/>
  <c r="N20" i="1"/>
  <c r="B20" i="1"/>
  <c r="L20" i="1" s="1"/>
  <c r="F20" i="1" s="1"/>
  <c r="R19" i="1"/>
  <c r="P19" i="1"/>
  <c r="N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L17" i="1"/>
  <c r="F17" i="1" s="1"/>
  <c r="B17" i="1"/>
  <c r="R16" i="1"/>
  <c r="P16" i="1"/>
  <c r="N16" i="1"/>
  <c r="K16" i="1"/>
  <c r="B16" i="1"/>
  <c r="L16" i="1" s="1"/>
  <c r="F16" i="1" s="1"/>
  <c r="R15" i="1"/>
  <c r="P15" i="1"/>
  <c r="N15" i="1"/>
  <c r="B15" i="1"/>
  <c r="L15" i="1" s="1"/>
  <c r="F15" i="1" s="1"/>
  <c r="R14" i="1"/>
  <c r="P14" i="1"/>
  <c r="N14" i="1"/>
  <c r="K14" i="1"/>
  <c r="B14" i="1"/>
  <c r="L14" i="1" s="1"/>
  <c r="F14" i="1" s="1"/>
  <c r="R13" i="1"/>
  <c r="P13" i="1"/>
  <c r="N13" i="1"/>
  <c r="L13" i="1"/>
  <c r="F13" i="1" s="1"/>
  <c r="R12" i="1"/>
  <c r="P12" i="1"/>
  <c r="N12" i="1"/>
  <c r="K12" i="1"/>
  <c r="B12" i="1"/>
  <c r="R11" i="1"/>
  <c r="P11" i="1"/>
  <c r="N11" i="1"/>
  <c r="B11" i="1"/>
  <c r="L11" i="1" s="1"/>
  <c r="F11" i="1" s="1"/>
  <c r="R10" i="1"/>
  <c r="P10" i="1"/>
  <c r="N10" i="1"/>
  <c r="K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K8" i="1"/>
  <c r="B8" i="1"/>
  <c r="R7" i="1"/>
  <c r="P7" i="1"/>
  <c r="N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L7" i="1"/>
  <c r="F7" i="1" s="1"/>
  <c r="R6" i="1"/>
  <c r="P6" i="1"/>
  <c r="N6" i="1"/>
  <c r="K6" i="1"/>
  <c r="B6" i="1"/>
  <c r="L6" i="1" s="1"/>
  <c r="F6" i="1" s="1"/>
  <c r="L50" i="1" l="1"/>
  <c r="F50" i="1" s="1"/>
  <c r="L136" i="1"/>
  <c r="F136" i="1" s="1"/>
  <c r="L188" i="1"/>
  <c r="F188" i="1" s="1"/>
  <c r="L200" i="1"/>
  <c r="F200" i="1" s="1"/>
  <c r="L236" i="1"/>
  <c r="F236" i="1" s="1"/>
  <c r="L254" i="1"/>
  <c r="F254" i="1" s="1"/>
  <c r="L8" i="1"/>
  <c r="F8" i="1" s="1"/>
  <c r="L12" i="1"/>
  <c r="F12" i="1" s="1"/>
  <c r="L171" i="1"/>
  <c r="F171" i="1" s="1"/>
  <c r="L183" i="1"/>
  <c r="F183" i="1" s="1"/>
  <c r="L189" i="1"/>
  <c r="F189" i="1" s="1"/>
  <c r="L203" i="1"/>
  <c r="F203" i="1" s="1"/>
  <c r="L234" i="1"/>
  <c r="F234" i="1" s="1"/>
  <c r="L246" i="1"/>
  <c r="F246" i="1" s="1"/>
  <c r="L273" i="1"/>
  <c r="F273" i="1" s="1"/>
  <c r="L169" i="1"/>
  <c r="F169" i="1" s="1"/>
  <c r="L154" i="1"/>
  <c r="F154" i="1" s="1"/>
  <c r="L239" i="1"/>
  <c r="F239" i="1" s="1"/>
  <c r="L272" i="1"/>
  <c r="F272" i="1" s="1"/>
</calcChain>
</file>

<file path=xl/sharedStrings.xml><?xml version="1.0" encoding="utf-8"?>
<sst xmlns="http://schemas.openxmlformats.org/spreadsheetml/2006/main" count="902" uniqueCount="323">
  <si>
    <t>Bahria Town (Pvt) Ltd. Lahore</t>
  </si>
  <si>
    <t>Electricity Meter Reading Sheet April-2025</t>
  </si>
  <si>
    <t>Usman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</si>
  <si>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</si>
  <si>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</si>
  <si>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</si>
  <si>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</si>
  <si>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</si>
  <si>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</si>
  <si>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</si>
  <si>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</si>
  <si>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</si>
  <si>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</si>
  <si>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</si>
  <si>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</si>
  <si>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</si>
  <si>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</si>
  <si>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BTL-17141</t>
  </si>
  <si>
    <t>Residential</t>
  </si>
  <si>
    <t>BTL-19191</t>
  </si>
  <si>
    <t>BTL-11035</t>
  </si>
  <si>
    <t>BTL-11036</t>
  </si>
  <si>
    <t>BTL-11054</t>
  </si>
  <si>
    <t>BTL-29370</t>
  </si>
  <si>
    <t>6 (2nd Meter)</t>
  </si>
  <si>
    <t>BTL-14264</t>
  </si>
  <si>
    <t>BTL-18184</t>
  </si>
  <si>
    <t>BTL-11262</t>
  </si>
  <si>
    <t>BTL-22121</t>
  </si>
  <si>
    <t>BTL-11226</t>
  </si>
  <si>
    <t>BTL-16085</t>
  </si>
  <si>
    <t>BTL-15842</t>
  </si>
  <si>
    <t>BTL-15682</t>
  </si>
  <si>
    <t>BTL-16503</t>
  </si>
  <si>
    <t>BTL-16004</t>
  </si>
  <si>
    <t>BTL-15894</t>
  </si>
  <si>
    <t>BTL-19532</t>
  </si>
  <si>
    <t>BTL-11037</t>
  </si>
  <si>
    <t>BTL-12087</t>
  </si>
  <si>
    <t>BTL-11055</t>
  </si>
  <si>
    <t>BTL-13440</t>
  </si>
  <si>
    <t>BTL-18185</t>
  </si>
  <si>
    <t>BTL-18097</t>
  </si>
  <si>
    <t>BTL-20623</t>
  </si>
  <si>
    <t>BTL-12613</t>
  </si>
  <si>
    <t>BTL-11865</t>
  </si>
  <si>
    <t>BTL-13896</t>
  </si>
  <si>
    <t>BTL-11477</t>
  </si>
  <si>
    <t>BTL-12409</t>
  </si>
  <si>
    <t>BTL-19827</t>
  </si>
  <si>
    <t>BTL-11186</t>
  </si>
  <si>
    <t>BTL-11056</t>
  </si>
  <si>
    <t>BTL-24338</t>
  </si>
  <si>
    <t>BTL-15893</t>
  </si>
  <si>
    <t>BTL-11866</t>
  </si>
  <si>
    <t>BTL-13046</t>
  </si>
  <si>
    <t>BTL-15343</t>
  </si>
  <si>
    <t>BTL-18105</t>
  </si>
  <si>
    <t>BTL-28969</t>
  </si>
  <si>
    <t>BTL-23892</t>
  </si>
  <si>
    <t>BTL-25739</t>
  </si>
  <si>
    <t>BTL-28691</t>
  </si>
  <si>
    <t>BTL-17047</t>
  </si>
  <si>
    <t>BTL-25697</t>
  </si>
  <si>
    <t>BTL-21509</t>
  </si>
  <si>
    <t>BTL-14427</t>
  </si>
  <si>
    <t>BTL-11389</t>
  </si>
  <si>
    <t>BTL-11254</t>
  </si>
  <si>
    <t>BTL-13517</t>
  </si>
  <si>
    <t>BTL-14141</t>
  </si>
  <si>
    <t>BTL-11591</t>
  </si>
  <si>
    <t>BTL-11390</t>
  </si>
  <si>
    <t>BTL-11057</t>
  </si>
  <si>
    <t>BTL-12410</t>
  </si>
  <si>
    <t>BTL-14079</t>
  </si>
  <si>
    <t>BTL-15021</t>
  </si>
  <si>
    <t>BTL-14417</t>
  </si>
  <si>
    <t>BTL-18408</t>
  </si>
  <si>
    <t>BTL-12123</t>
  </si>
  <si>
    <t>BTL-11058</t>
  </si>
  <si>
    <t>BTL-16396</t>
  </si>
  <si>
    <t>BTL-19294</t>
  </si>
  <si>
    <t>BTL-20750</t>
  </si>
  <si>
    <t>BTL-13642</t>
  </si>
  <si>
    <t>BTL-14018</t>
  </si>
  <si>
    <t>BTL-17254</t>
  </si>
  <si>
    <t>BTL-13715</t>
  </si>
  <si>
    <t>BTL-13986</t>
  </si>
  <si>
    <t>BTL-11038</t>
  </si>
  <si>
    <t>BTL-13989</t>
  </si>
  <si>
    <t>BTL-14238</t>
  </si>
  <si>
    <t>BTL-13352</t>
  </si>
  <si>
    <t>BTL-13353</t>
  </si>
  <si>
    <t>BTL-12773</t>
  </si>
  <si>
    <t>BTL-13521</t>
  </si>
  <si>
    <t>BTL-13601</t>
  </si>
  <si>
    <t>BTL-17255</t>
  </si>
  <si>
    <t>BTL-17256</t>
  </si>
  <si>
    <t>BTL-22835</t>
  </si>
  <si>
    <t>BTL-12236</t>
  </si>
  <si>
    <t>BTL-14153</t>
  </si>
  <si>
    <t>BTL-12703</t>
  </si>
  <si>
    <t>BTL-12489</t>
  </si>
  <si>
    <t>BTL-13583</t>
  </si>
  <si>
    <t>BTL-12181</t>
  </si>
  <si>
    <t>BTL-12282</t>
  </si>
  <si>
    <t>BTL-13603</t>
  </si>
  <si>
    <t>BTL-14330</t>
  </si>
  <si>
    <t>BTL-21930</t>
  </si>
  <si>
    <t>BTL-21836</t>
  </si>
  <si>
    <t>BTL-15293</t>
  </si>
  <si>
    <t>BTL-20136</t>
  </si>
  <si>
    <t>BTL-12788</t>
  </si>
  <si>
    <t>BTL-14350</t>
  </si>
  <si>
    <t>BTL-12789</t>
  </si>
  <si>
    <t>BTL-11039</t>
  </si>
  <si>
    <t>BTL-33244</t>
  </si>
  <si>
    <t>BTL-11691</t>
  </si>
  <si>
    <t>BTL-18481</t>
  </si>
  <si>
    <t>BTL-12790</t>
  </si>
  <si>
    <t>BTL-13126</t>
  </si>
  <si>
    <t>114-A</t>
  </si>
  <si>
    <t>BTL-11059</t>
  </si>
  <si>
    <t>114-B</t>
  </si>
  <si>
    <t>BTL-11060</t>
  </si>
  <si>
    <t>114-D</t>
  </si>
  <si>
    <t>BTL-11061</t>
  </si>
  <si>
    <t>114-E</t>
  </si>
  <si>
    <t>BTL-11062</t>
  </si>
  <si>
    <t>114-F</t>
  </si>
  <si>
    <t>BTL-11435</t>
  </si>
  <si>
    <t>114-H</t>
  </si>
  <si>
    <t>BTL-15214</t>
  </si>
  <si>
    <t>114-I</t>
  </si>
  <si>
    <t>BTL-11063</t>
  </si>
  <si>
    <t>114-J</t>
  </si>
  <si>
    <t>BTL-14555</t>
  </si>
  <si>
    <t>114-L</t>
  </si>
  <si>
    <t>BTL-14082</t>
  </si>
  <si>
    <t>114-M</t>
  </si>
  <si>
    <t>BTL-11661</t>
  </si>
  <si>
    <t>114-N</t>
  </si>
  <si>
    <t>BTL-12237</t>
  </si>
  <si>
    <t>BTL-17056</t>
  </si>
  <si>
    <t>114-C</t>
  </si>
  <si>
    <t>BTL-20053</t>
  </si>
  <si>
    <t>114-G</t>
  </si>
  <si>
    <t>BTL-15635</t>
  </si>
  <si>
    <t>114-K</t>
  </si>
  <si>
    <t>BTL-18181</t>
  </si>
  <si>
    <t>BTL-19476</t>
  </si>
  <si>
    <t>BTL-13863</t>
  </si>
  <si>
    <t>BTL-12490</t>
  </si>
  <si>
    <t>BTL-17481</t>
  </si>
  <si>
    <t>BTL-12283</t>
  </si>
  <si>
    <t>BTL-17102</t>
  </si>
  <si>
    <t>BTL-11558</t>
  </si>
  <si>
    <t>BTL-13939</t>
  </si>
  <si>
    <t>BTL-14711</t>
  </si>
  <si>
    <t>BTL-22881</t>
  </si>
  <si>
    <t>BTL-11692</t>
  </si>
  <si>
    <t>BTL-15067</t>
  </si>
  <si>
    <t>BTL-14081</t>
  </si>
  <si>
    <t>BTL-11040</t>
  </si>
  <si>
    <t>BTL-11064</t>
  </si>
  <si>
    <t>BTL-21472</t>
  </si>
  <si>
    <t>BTL-11041</t>
  </si>
  <si>
    <t>BTL-11255</t>
  </si>
  <si>
    <t>BTL-13196</t>
  </si>
  <si>
    <t>BTL-18098</t>
  </si>
  <si>
    <t>BTL-12965</t>
  </si>
  <si>
    <t>BTL-14099</t>
  </si>
  <si>
    <t>BTL-29160</t>
  </si>
  <si>
    <t>BTL-14455</t>
  </si>
  <si>
    <t>BTL-14146</t>
  </si>
  <si>
    <t>BTL-12910</t>
  </si>
  <si>
    <t>BTL-12791</t>
  </si>
  <si>
    <t>BTL-11065</t>
  </si>
  <si>
    <t>BTL-20622</t>
  </si>
  <si>
    <t>BTL-18593</t>
  </si>
  <si>
    <t>BTL-29704</t>
  </si>
  <si>
    <t>BTL-11066</t>
  </si>
  <si>
    <t>BTL-19625</t>
  </si>
  <si>
    <t>BTL-14390</t>
  </si>
  <si>
    <t>BTL-13127</t>
  </si>
  <si>
    <t>BTL-20193</t>
  </si>
  <si>
    <t>BTL-14452</t>
  </si>
  <si>
    <t>BTL-19936</t>
  </si>
  <si>
    <t>BTL-11662</t>
  </si>
  <si>
    <t>BTL-11620</t>
  </si>
  <si>
    <t>BTL-17677</t>
  </si>
  <si>
    <t>BTL-13885</t>
  </si>
  <si>
    <t>BTL-13798</t>
  </si>
  <si>
    <t>BTL-11645</t>
  </si>
  <si>
    <t>BTL-14833</t>
  </si>
  <si>
    <t>BTL-17834</t>
  </si>
  <si>
    <t>BTL-28418</t>
  </si>
  <si>
    <t>BTL-11660</t>
  </si>
  <si>
    <t>BTL-11067</t>
  </si>
  <si>
    <t>BTL-11789</t>
  </si>
  <si>
    <t>BTL-16492</t>
  </si>
  <si>
    <t>BTL-12966</t>
  </si>
  <si>
    <t>BTL-11068</t>
  </si>
  <si>
    <t>BTL-11042</t>
  </si>
  <si>
    <t>BTL-18182</t>
  </si>
  <si>
    <t>BTL-23657</t>
  </si>
  <si>
    <t>BTL-21796</t>
  </si>
  <si>
    <t>BTL-16371</t>
  </si>
  <si>
    <t>BTL-11043</t>
  </si>
  <si>
    <t>BTL-20443</t>
  </si>
  <si>
    <t>BTL-11044</t>
  </si>
  <si>
    <t>BTL-15362</t>
  </si>
  <si>
    <t>BTL-28886</t>
  </si>
  <si>
    <t>BTL-11045</t>
  </si>
  <si>
    <t>BTL-12549</t>
  </si>
  <si>
    <t>BTL-22412</t>
  </si>
  <si>
    <t>BTL-26197</t>
  </si>
  <si>
    <t>BTL-31965</t>
  </si>
  <si>
    <t>BTL-27856</t>
  </si>
  <si>
    <t>BTL-11046</t>
  </si>
  <si>
    <t>BTL-14465</t>
  </si>
  <si>
    <t>BTL-11047</t>
  </si>
  <si>
    <t>BTL-16805</t>
  </si>
  <si>
    <t>BTL-11048</t>
  </si>
  <si>
    <t>BTL-27640</t>
  </si>
  <si>
    <t>BTL-11069</t>
  </si>
  <si>
    <t>BTL-11049</t>
  </si>
  <si>
    <t>BTL-11790</t>
  </si>
  <si>
    <t>BTL-14019</t>
  </si>
  <si>
    <t>BTL-21310</t>
  </si>
  <si>
    <t>BTL-11070</t>
  </si>
  <si>
    <t>BTL-29176</t>
  </si>
  <si>
    <t>BTL-11867</t>
  </si>
  <si>
    <t>BTL-11791</t>
  </si>
  <si>
    <t>BTL-20500</t>
  </si>
  <si>
    <t>BTL-16814</t>
  </si>
  <si>
    <t>BTL-11181</t>
  </si>
  <si>
    <t>BTL-11792</t>
  </si>
  <si>
    <t>BTL-11663</t>
  </si>
  <si>
    <t>BTL-27642</t>
  </si>
  <si>
    <t>BTL-11071</t>
  </si>
  <si>
    <t>BTL-11072</t>
  </si>
  <si>
    <t>BTL-11073</t>
  </si>
  <si>
    <t>BTL-24270</t>
  </si>
  <si>
    <t>BTL-11074</t>
  </si>
  <si>
    <t>BTL-20186</t>
  </si>
  <si>
    <t>BTL-14922</t>
  </si>
  <si>
    <t>BTL-12614</t>
  </si>
  <si>
    <t>BTL-11075</t>
  </si>
  <si>
    <t>BTL-33689</t>
  </si>
  <si>
    <t>BTL-14678</t>
  </si>
  <si>
    <t>BTL-19673</t>
  </si>
  <si>
    <t>BTL-21130</t>
  </si>
  <si>
    <t>BTL-27855</t>
  </si>
  <si>
    <t>BTL-11076</t>
  </si>
  <si>
    <t>BTL-13047</t>
  </si>
  <si>
    <t>BTL-11077</t>
  </si>
  <si>
    <t>BTL-11050</t>
  </si>
  <si>
    <t>BTL-14425</t>
  </si>
  <si>
    <t>BTL-11621</t>
  </si>
  <si>
    <t>BTL-30098</t>
  </si>
  <si>
    <t>BTL-17187</t>
  </si>
  <si>
    <t>BTL-21118</t>
  </si>
  <si>
    <t>BTL-27643</t>
  </si>
  <si>
    <t>BTL-11759</t>
  </si>
  <si>
    <t>BTL-14265</t>
  </si>
  <si>
    <t>BTL-13128</t>
  </si>
  <si>
    <t>BTL-13516</t>
  </si>
  <si>
    <t>BTL-16820</t>
  </si>
  <si>
    <t>BTL-19405</t>
  </si>
  <si>
    <t>BTL-11391</t>
  </si>
  <si>
    <t>BTL-13873</t>
  </si>
  <si>
    <t>BTL-15569</t>
  </si>
  <si>
    <t>BTL-11078</t>
  </si>
  <si>
    <t>BTL-20751</t>
  </si>
  <si>
    <t>BTL-20429</t>
  </si>
  <si>
    <t>BTL-12911</t>
  </si>
  <si>
    <t>BTL-26252</t>
  </si>
  <si>
    <t>BTL-19470</t>
  </si>
  <si>
    <t>BTL-11079</t>
  </si>
  <si>
    <t>BTL-11051</t>
  </si>
  <si>
    <t>BTL-13793</t>
  </si>
  <si>
    <t>BTL-18183</t>
  </si>
  <si>
    <t>BTL-19846</t>
  </si>
  <si>
    <t>BTL-25003</t>
  </si>
  <si>
    <t>BTL-16583</t>
  </si>
  <si>
    <t>BTL-16582</t>
  </si>
  <si>
    <t>BTL-11080</t>
  </si>
  <si>
    <t>BTL-18822</t>
  </si>
  <si>
    <t>BTL-26992</t>
  </si>
  <si>
    <t>BTL-13903</t>
  </si>
  <si>
    <t>BTL-11052</t>
  </si>
  <si>
    <t>BTL-26212</t>
  </si>
  <si>
    <t>BTL-23974</t>
  </si>
  <si>
    <t>BTL-18452</t>
  </si>
  <si>
    <t>BTL-21197</t>
  </si>
  <si>
    <t>BTL-25227</t>
  </si>
  <si>
    <t>BTL-12182</t>
  </si>
  <si>
    <t>BTL-12912</t>
  </si>
  <si>
    <t>BTL-11053</t>
  </si>
  <si>
    <t>BTL-13693</t>
  </si>
  <si>
    <t>BTL-21209</t>
  </si>
  <si>
    <t>BTL-11760</t>
  </si>
  <si>
    <t>BTL-29161</t>
  </si>
  <si>
    <t>BTL-15892</t>
  </si>
  <si>
    <t>BTL-27641</t>
  </si>
  <si>
    <t>BTL-13980</t>
  </si>
  <si>
    <t>BTL-12967</t>
  </si>
  <si>
    <t>BTL-15359</t>
  </si>
  <si>
    <t>BTL-21051</t>
  </si>
  <si>
    <t>BTL-13758</t>
  </si>
  <si>
    <t>BTL-11081</t>
  </si>
  <si>
    <t>BTL-14308</t>
  </si>
  <si>
    <t>BTL-13907</t>
  </si>
  <si>
    <t>BTL-29371</t>
  </si>
  <si>
    <t>BTL-11082</t>
  </si>
  <si>
    <t>BTL-13332</t>
  </si>
  <si>
    <t>PARK NR 181</t>
  </si>
  <si>
    <t>Bahria Self Consumption</t>
  </si>
  <si>
    <t>BTL-13256</t>
  </si>
  <si>
    <t>SLP NR (H-134)</t>
  </si>
  <si>
    <t>BTL-13255</t>
  </si>
  <si>
    <t>SLP NR (H-305)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</si>
</sst>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0" fillId="8" borderId="0" xfId="0" applyFill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35"/>
  <sheetViews>
    <sheetView tabSelected="1" view="pageBreakPreview" topLeftCell="A286" zoomScaleSheetLayoutView="100" workbookViewId="0">
      <selection activeCell="I295" sqref="I295"/>
    </sheetView>
  </sheetViews>
  <sheetFormatPr defaultRowHeight="15.75" x14ac:dyDescent="0.25"/>
  <cols>
    <col min="1" max="1" width="11.28515625" style="28" customWidth="1"/>
    <col min="7" max="7" width="4.28515625" style="29" customWidth="1"/>
    <col min="8" max="8" width="13.5703125" style="30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4" customWidth="1"/>
    <col min="14" max="14" width="13" customWidth="1"/>
    <col min="15" max="15" width="7.7109375" style="34" customWidth="1"/>
    <col min="16" max="16" width="13" customWidth="1"/>
    <col min="17" max="17" width="7.7109375" style="35" customWidth="1"/>
    <col min="18" max="18" width="13" customWidth="1"/>
    <col min="19" max="19" width="14.140625" style="36" customWidth="1"/>
    <col min="20" max="20" width="11.28515625" style="28" customWidth="1"/>
  </cols>
  <sheetData>
    <row r="1" spans="1:20" ht="31.5" customHeight="1" x14ac:dyDescent="0.25">
      <c r="A1"/>
      <c r="G1" s="40" t="s">
        <v>0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ht="29.25" customHeight="1" thickBot="1" x14ac:dyDescent="0.3">
      <c r="A2"/>
      <c r="G2" s="41" t="s">
        <v>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2" t="s">
        <v>4</v>
      </c>
      <c r="H4" s="44" t="s">
        <v>5</v>
      </c>
      <c r="I4" s="46" t="s">
        <v>6</v>
      </c>
      <c r="J4" s="48" t="s">
        <v>7</v>
      </c>
      <c r="K4" s="50" t="s">
        <v>8</v>
      </c>
      <c r="L4" s="51"/>
      <c r="M4" s="52" t="s">
        <v>9</v>
      </c>
      <c r="N4" s="50"/>
      <c r="O4" s="53" t="s">
        <v>10</v>
      </c>
      <c r="P4" s="54"/>
      <c r="Q4" s="53" t="s">
        <v>11</v>
      </c>
      <c r="R4" s="55"/>
      <c r="S4" s="38" t="s">
        <v>12</v>
      </c>
      <c r="T4" s="39"/>
    </row>
    <row r="5" spans="1:20" ht="31.5" customHeight="1" thickBot="1" x14ac:dyDescent="0.3">
      <c r="A5" s="13" t="s">
        <v>13</v>
      </c>
      <c r="G5" s="43"/>
      <c r="H5" s="45" t="s">
        <v>5</v>
      </c>
      <c r="I5" s="47" t="s">
        <v>6</v>
      </c>
      <c r="J5" s="49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17023</v>
      </c>
      <c r="C6">
        <v>3838</v>
      </c>
      <c r="D6">
        <v>13185</v>
      </c>
      <c r="E6">
        <v>5178</v>
      </c>
      <c r="F6">
        <f t="shared" ref="F6:F69" si="0">L6</f>
        <v>809</v>
      </c>
      <c r="G6" s="20">
        <v>1</v>
      </c>
      <c r="H6" s="21">
        <v>99624020249</v>
      </c>
      <c r="I6" s="22">
        <v>1</v>
      </c>
      <c r="J6" s="23"/>
      <c r="K6" s="24">
        <f>M6+O6</f>
        <v>16214</v>
      </c>
      <c r="L6" s="23">
        <f t="shared" ref="L6:L69" si="1">B6-K6</f>
        <v>809</v>
      </c>
      <c r="M6" s="24">
        <v>3614</v>
      </c>
      <c r="N6" s="25">
        <f t="shared" ref="N6:N69" si="2">C6-M6</f>
        <v>224</v>
      </c>
      <c r="O6" s="24">
        <v>12600</v>
      </c>
      <c r="P6" s="23">
        <f t="shared" ref="P6:P69" si="3">D6-O6</f>
        <v>585</v>
      </c>
      <c r="Q6" s="26">
        <v>4027</v>
      </c>
      <c r="R6" s="23">
        <f t="shared" ref="R6:R69" si="4">E6-Q6</f>
        <v>1151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>839+K7</f>
        <v>61736</v>
      </c>
      <c r="F7">
        <f t="shared" si="0"/>
        <v>839</v>
      </c>
      <c r="G7" s="20">
        <f>G6+1</f>
        <v>2</v>
      </c>
      <c r="H7" s="21">
        <v>23015010935</v>
      </c>
      <c r="I7" s="22">
        <v>2</v>
      </c>
      <c r="J7" s="23"/>
      <c r="K7" s="24">
        <v>60897</v>
      </c>
      <c r="L7" s="23">
        <f t="shared" si="1"/>
        <v>839</v>
      </c>
      <c r="M7" s="24">
        <v>11310</v>
      </c>
      <c r="N7" s="25">
        <f t="shared" si="2"/>
        <v>-11310</v>
      </c>
      <c r="O7" s="24">
        <v>49587</v>
      </c>
      <c r="P7" s="23">
        <f t="shared" si="3"/>
        <v>-49587</v>
      </c>
      <c r="Q7" s="26"/>
      <c r="R7" s="23">
        <f t="shared" si="4"/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ref="B7:B70" si="5">C8+D8</f>
        <v>7685</v>
      </c>
      <c r="C8">
        <v>1576</v>
      </c>
      <c r="D8">
        <v>6109</v>
      </c>
      <c r="E8">
        <v>9304</v>
      </c>
      <c r="F8">
        <f t="shared" si="0"/>
        <v>505</v>
      </c>
      <c r="G8" s="20">
        <f t="shared" ref="G8:G71" si="6">G7+1</f>
        <v>3</v>
      </c>
      <c r="H8" s="21">
        <v>99624010283</v>
      </c>
      <c r="I8" s="22">
        <v>3</v>
      </c>
      <c r="J8" s="23"/>
      <c r="K8" s="24">
        <f>M8+O8</f>
        <v>7180</v>
      </c>
      <c r="L8" s="23">
        <f t="shared" si="1"/>
        <v>505</v>
      </c>
      <c r="M8" s="24">
        <v>1431</v>
      </c>
      <c r="N8" s="25">
        <f t="shared" si="2"/>
        <v>145</v>
      </c>
      <c r="O8" s="24">
        <v>5749</v>
      </c>
      <c r="P8" s="23">
        <f t="shared" si="3"/>
        <v>360</v>
      </c>
      <c r="Q8" s="26">
        <v>8080</v>
      </c>
      <c r="R8" s="23">
        <f t="shared" si="4"/>
        <v>1224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5"/>
        <v>67630</v>
      </c>
      <c r="C9">
        <v>9977</v>
      </c>
      <c r="D9">
        <v>57653</v>
      </c>
      <c r="F9">
        <f t="shared" si="0"/>
        <v>442</v>
      </c>
      <c r="G9" s="20">
        <f t="shared" si="6"/>
        <v>4</v>
      </c>
      <c r="H9" s="21">
        <v>23014010089</v>
      </c>
      <c r="I9" s="22">
        <v>4</v>
      </c>
      <c r="J9" s="23"/>
      <c r="K9" s="24">
        <v>67188</v>
      </c>
      <c r="L9" s="23">
        <f t="shared" si="1"/>
        <v>442</v>
      </c>
      <c r="M9" s="24">
        <v>9923</v>
      </c>
      <c r="N9" s="25">
        <f t="shared" si="2"/>
        <v>54</v>
      </c>
      <c r="O9" s="24">
        <v>57265</v>
      </c>
      <c r="P9" s="23">
        <f t="shared" si="3"/>
        <v>388</v>
      </c>
      <c r="Q9" s="26"/>
      <c r="R9" s="23">
        <f t="shared" si="4"/>
        <v>0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f t="shared" si="5"/>
        <v>9638</v>
      </c>
      <c r="C10">
        <v>1849</v>
      </c>
      <c r="D10">
        <v>7789</v>
      </c>
      <c r="E10">
        <v>7295</v>
      </c>
      <c r="F10">
        <f t="shared" si="0"/>
        <v>610</v>
      </c>
      <c r="G10" s="20">
        <f t="shared" si="6"/>
        <v>5</v>
      </c>
      <c r="H10" s="21">
        <v>99624020161</v>
      </c>
      <c r="I10" s="22">
        <v>5</v>
      </c>
      <c r="J10" s="23"/>
      <c r="K10" s="24">
        <f>M10+O10</f>
        <v>9028</v>
      </c>
      <c r="L10" s="23">
        <f t="shared" si="1"/>
        <v>610</v>
      </c>
      <c r="M10" s="24">
        <v>1713</v>
      </c>
      <c r="N10" s="25">
        <f t="shared" si="2"/>
        <v>136</v>
      </c>
      <c r="O10" s="24">
        <v>7315</v>
      </c>
      <c r="P10" s="23">
        <f t="shared" si="3"/>
        <v>474</v>
      </c>
      <c r="Q10" s="26">
        <v>6334</v>
      </c>
      <c r="R10" s="23">
        <f t="shared" si="4"/>
        <v>961</v>
      </c>
      <c r="S10" s="27" t="s">
        <v>18</v>
      </c>
      <c r="T10" s="19" t="s">
        <v>22</v>
      </c>
    </row>
    <row r="11" spans="1:20" ht="37.5" customHeight="1" x14ac:dyDescent="0.25">
      <c r="A11" s="19" t="s">
        <v>23</v>
      </c>
      <c r="B11">
        <f t="shared" si="5"/>
        <v>14597</v>
      </c>
      <c r="C11">
        <v>2446</v>
      </c>
      <c r="D11">
        <v>12151</v>
      </c>
      <c r="F11">
        <f t="shared" si="0"/>
        <v>458</v>
      </c>
      <c r="G11" s="20">
        <f t="shared" si="6"/>
        <v>6</v>
      </c>
      <c r="H11" s="21">
        <v>66622050281</v>
      </c>
      <c r="I11" s="22" t="s">
        <v>24</v>
      </c>
      <c r="J11" s="23"/>
      <c r="K11" s="24">
        <v>14139</v>
      </c>
      <c r="L11" s="23">
        <f t="shared" si="1"/>
        <v>458</v>
      </c>
      <c r="M11" s="24">
        <v>2374</v>
      </c>
      <c r="N11" s="25">
        <f t="shared" si="2"/>
        <v>72</v>
      </c>
      <c r="O11" s="24">
        <v>11765</v>
      </c>
      <c r="P11" s="23">
        <f t="shared" si="3"/>
        <v>386</v>
      </c>
      <c r="Q11" s="26"/>
      <c r="R11" s="23">
        <f t="shared" si="4"/>
        <v>0</v>
      </c>
      <c r="S11" s="27" t="s">
        <v>18</v>
      </c>
      <c r="T11" s="19" t="s">
        <v>23</v>
      </c>
    </row>
    <row r="12" spans="1:20" ht="37.5" customHeight="1" x14ac:dyDescent="0.25">
      <c r="A12" s="19" t="s">
        <v>25</v>
      </c>
      <c r="B12">
        <f t="shared" si="5"/>
        <v>6588</v>
      </c>
      <c r="C12">
        <v>1893</v>
      </c>
      <c r="D12">
        <v>4695</v>
      </c>
      <c r="E12">
        <v>10830</v>
      </c>
      <c r="F12">
        <f t="shared" si="0"/>
        <v>279</v>
      </c>
      <c r="G12" s="20">
        <f t="shared" si="6"/>
        <v>7</v>
      </c>
      <c r="H12" s="21">
        <v>99623080546</v>
      </c>
      <c r="I12" s="22">
        <v>6</v>
      </c>
      <c r="J12" s="23"/>
      <c r="K12" s="24">
        <f>M12+O12</f>
        <v>6309</v>
      </c>
      <c r="L12" s="23">
        <f t="shared" si="1"/>
        <v>279</v>
      </c>
      <c r="M12" s="24">
        <v>1799</v>
      </c>
      <c r="N12" s="25">
        <f t="shared" si="2"/>
        <v>94</v>
      </c>
      <c r="O12" s="24">
        <v>4510</v>
      </c>
      <c r="P12" s="23">
        <f t="shared" si="3"/>
        <v>185</v>
      </c>
      <c r="Q12" s="26">
        <v>9693</v>
      </c>
      <c r="R12" s="23">
        <f t="shared" si="4"/>
        <v>1137</v>
      </c>
      <c r="S12" s="27" t="s">
        <v>18</v>
      </c>
      <c r="T12" s="19" t="s">
        <v>25</v>
      </c>
    </row>
    <row r="13" spans="1:20" ht="37.5" customHeight="1" x14ac:dyDescent="0.25">
      <c r="A13" s="19" t="s">
        <v>26</v>
      </c>
      <c r="B13">
        <f>24+K13</f>
        <v>12292</v>
      </c>
      <c r="F13">
        <f t="shared" si="0"/>
        <v>24</v>
      </c>
      <c r="G13" s="20">
        <f t="shared" si="6"/>
        <v>8</v>
      </c>
      <c r="H13" s="21">
        <v>23015010043</v>
      </c>
      <c r="I13" s="22">
        <v>7</v>
      </c>
      <c r="J13" s="23"/>
      <c r="K13" s="24">
        <v>12268</v>
      </c>
      <c r="L13" s="23">
        <f t="shared" si="1"/>
        <v>24</v>
      </c>
      <c r="M13" s="24">
        <v>2758</v>
      </c>
      <c r="N13" s="25">
        <f t="shared" si="2"/>
        <v>-2758</v>
      </c>
      <c r="O13" s="24">
        <v>9510</v>
      </c>
      <c r="P13" s="23">
        <f t="shared" si="3"/>
        <v>-9510</v>
      </c>
      <c r="Q13" s="26"/>
      <c r="R13" s="23">
        <f t="shared" si="4"/>
        <v>0</v>
      </c>
      <c r="S13" s="27" t="s">
        <v>18</v>
      </c>
      <c r="T13" s="19" t="s">
        <v>26</v>
      </c>
    </row>
    <row r="14" spans="1:20" ht="37.5" customHeight="1" x14ac:dyDescent="0.25">
      <c r="A14" s="19" t="s">
        <v>27</v>
      </c>
      <c r="B14">
        <f t="shared" si="5"/>
        <v>19071</v>
      </c>
      <c r="C14">
        <v>5585</v>
      </c>
      <c r="D14">
        <v>13486</v>
      </c>
      <c r="E14">
        <v>26286</v>
      </c>
      <c r="F14">
        <f t="shared" si="0"/>
        <v>317</v>
      </c>
      <c r="G14" s="20">
        <f t="shared" si="6"/>
        <v>9</v>
      </c>
      <c r="H14" s="21">
        <v>99722008228</v>
      </c>
      <c r="I14" s="22">
        <v>8</v>
      </c>
      <c r="J14" s="23"/>
      <c r="K14" s="24">
        <f>M14+O14</f>
        <v>18754</v>
      </c>
      <c r="L14" s="23">
        <f t="shared" si="1"/>
        <v>317</v>
      </c>
      <c r="M14" s="24">
        <v>5476</v>
      </c>
      <c r="N14" s="25">
        <f t="shared" si="2"/>
        <v>109</v>
      </c>
      <c r="O14" s="24">
        <v>13278</v>
      </c>
      <c r="P14" s="23">
        <f t="shared" si="3"/>
        <v>208</v>
      </c>
      <c r="Q14" s="26">
        <v>25100</v>
      </c>
      <c r="R14" s="23">
        <f t="shared" si="4"/>
        <v>1186</v>
      </c>
      <c r="S14" s="27" t="s">
        <v>18</v>
      </c>
      <c r="T14" s="19" t="s">
        <v>27</v>
      </c>
    </row>
    <row r="15" spans="1:20" ht="37.5" customHeight="1" x14ac:dyDescent="0.25">
      <c r="A15" s="19" t="s">
        <v>28</v>
      </c>
      <c r="B15">
        <f t="shared" si="5"/>
        <v>28410</v>
      </c>
      <c r="C15">
        <v>4320</v>
      </c>
      <c r="D15">
        <v>24090</v>
      </c>
      <c r="F15">
        <f t="shared" si="0"/>
        <v>523</v>
      </c>
      <c r="G15" s="20">
        <f t="shared" si="6"/>
        <v>10</v>
      </c>
      <c r="H15" s="21">
        <v>88818020002</v>
      </c>
      <c r="I15" s="22">
        <v>9</v>
      </c>
      <c r="J15" s="23"/>
      <c r="K15" s="24">
        <v>27887</v>
      </c>
      <c r="L15" s="23">
        <f t="shared" si="1"/>
        <v>523</v>
      </c>
      <c r="M15" s="24">
        <v>4233</v>
      </c>
      <c r="N15" s="25">
        <f t="shared" si="2"/>
        <v>87</v>
      </c>
      <c r="O15" s="24">
        <v>23654</v>
      </c>
      <c r="P15" s="23">
        <f t="shared" si="3"/>
        <v>436</v>
      </c>
      <c r="Q15" s="26"/>
      <c r="R15" s="23">
        <f t="shared" si="4"/>
        <v>0</v>
      </c>
      <c r="S15" s="27" t="s">
        <v>18</v>
      </c>
      <c r="T15" s="19" t="s">
        <v>28</v>
      </c>
    </row>
    <row r="16" spans="1:20" ht="37.5" customHeight="1" x14ac:dyDescent="0.25">
      <c r="A16" s="19" t="s">
        <v>29</v>
      </c>
      <c r="B16">
        <f t="shared" si="5"/>
        <v>21279</v>
      </c>
      <c r="C16">
        <v>5022</v>
      </c>
      <c r="D16">
        <v>16257</v>
      </c>
      <c r="E16">
        <v>20242</v>
      </c>
      <c r="F16">
        <f t="shared" si="0"/>
        <v>928</v>
      </c>
      <c r="G16" s="20">
        <f t="shared" si="6"/>
        <v>11</v>
      </c>
      <c r="H16" s="21">
        <v>99723070146</v>
      </c>
      <c r="I16" s="22">
        <v>10</v>
      </c>
      <c r="J16" s="23"/>
      <c r="K16" s="24">
        <f>M16+O16</f>
        <v>20351</v>
      </c>
      <c r="L16" s="23">
        <f t="shared" si="1"/>
        <v>928</v>
      </c>
      <c r="M16" s="24">
        <v>4815</v>
      </c>
      <c r="N16" s="25">
        <f t="shared" si="2"/>
        <v>207</v>
      </c>
      <c r="O16" s="24">
        <v>15536</v>
      </c>
      <c r="P16" s="23">
        <f t="shared" si="3"/>
        <v>721</v>
      </c>
      <c r="Q16" s="26">
        <v>18420</v>
      </c>
      <c r="R16" s="23">
        <f t="shared" si="4"/>
        <v>1822</v>
      </c>
      <c r="S16" s="27" t="s">
        <v>18</v>
      </c>
      <c r="T16" s="19" t="s">
        <v>29</v>
      </c>
    </row>
    <row r="17" spans="1:20" ht="37.5" customHeight="1" x14ac:dyDescent="0.25">
      <c r="A17" s="19" t="s">
        <v>30</v>
      </c>
      <c r="B17">
        <f t="shared" si="5"/>
        <v>16444</v>
      </c>
      <c r="C17">
        <v>3388</v>
      </c>
      <c r="D17">
        <v>13056</v>
      </c>
      <c r="F17">
        <f t="shared" si="0"/>
        <v>15</v>
      </c>
      <c r="G17" s="20">
        <f t="shared" si="6"/>
        <v>12</v>
      </c>
      <c r="H17" s="21">
        <v>66622040666</v>
      </c>
      <c r="I17" s="22">
        <v>11</v>
      </c>
      <c r="J17" s="23"/>
      <c r="K17" s="24">
        <v>16429</v>
      </c>
      <c r="L17" s="23">
        <f t="shared" si="1"/>
        <v>15</v>
      </c>
      <c r="M17" s="24">
        <v>3386</v>
      </c>
      <c r="N17" s="25">
        <f t="shared" si="2"/>
        <v>2</v>
      </c>
      <c r="O17" s="24">
        <v>13043</v>
      </c>
      <c r="P17" s="23">
        <f t="shared" si="3"/>
        <v>13</v>
      </c>
      <c r="Q17" s="26"/>
      <c r="R17" s="23">
        <f t="shared" si="4"/>
        <v>0</v>
      </c>
      <c r="S17" s="27" t="s">
        <v>18</v>
      </c>
      <c r="T17" s="19" t="s">
        <v>30</v>
      </c>
    </row>
    <row r="18" spans="1:20" ht="37.5" customHeight="1" x14ac:dyDescent="0.25">
      <c r="A18" s="19" t="s">
        <v>31</v>
      </c>
      <c r="B18">
        <f t="shared" si="5"/>
        <v>64365</v>
      </c>
      <c r="C18">
        <v>9678</v>
      </c>
      <c r="D18">
        <v>54687</v>
      </c>
      <c r="F18">
        <f t="shared" si="0"/>
        <v>418</v>
      </c>
      <c r="G18" s="20">
        <f t="shared" si="6"/>
        <v>13</v>
      </c>
      <c r="H18" s="21">
        <v>23014010482</v>
      </c>
      <c r="I18" s="22">
        <v>12</v>
      </c>
      <c r="J18" s="23"/>
      <c r="K18" s="24">
        <v>63947</v>
      </c>
      <c r="L18" s="23">
        <f t="shared" si="1"/>
        <v>418</v>
      </c>
      <c r="M18" s="24">
        <v>9613</v>
      </c>
      <c r="N18" s="25">
        <f t="shared" si="2"/>
        <v>65</v>
      </c>
      <c r="O18" s="24">
        <v>54334</v>
      </c>
      <c r="P18" s="23">
        <f t="shared" si="3"/>
        <v>353</v>
      </c>
      <c r="Q18" s="26"/>
      <c r="R18" s="23">
        <f t="shared" si="4"/>
        <v>0</v>
      </c>
      <c r="S18" s="27" t="s">
        <v>18</v>
      </c>
      <c r="T18" s="19" t="s">
        <v>31</v>
      </c>
    </row>
    <row r="19" spans="1:20" ht="37.5" customHeight="1" x14ac:dyDescent="0.25">
      <c r="A19" s="19" t="s">
        <v>32</v>
      </c>
      <c r="B19">
        <f t="shared" si="5"/>
        <v>50121</v>
      </c>
      <c r="C19">
        <v>7478</v>
      </c>
      <c r="D19">
        <v>42643</v>
      </c>
      <c r="F19">
        <f t="shared" si="0"/>
        <v>404</v>
      </c>
      <c r="G19" s="20">
        <f t="shared" si="6"/>
        <v>14</v>
      </c>
      <c r="H19" s="21">
        <v>23015010587</v>
      </c>
      <c r="I19" s="22">
        <v>13</v>
      </c>
      <c r="J19" s="23"/>
      <c r="K19" s="24">
        <v>49717</v>
      </c>
      <c r="L19" s="23">
        <f t="shared" si="1"/>
        <v>404</v>
      </c>
      <c r="M19" s="24">
        <v>7413</v>
      </c>
      <c r="N19" s="25">
        <f t="shared" si="2"/>
        <v>65</v>
      </c>
      <c r="O19" s="24">
        <v>42304</v>
      </c>
      <c r="P19" s="23">
        <f t="shared" si="3"/>
        <v>339</v>
      </c>
      <c r="Q19" s="26"/>
      <c r="R19" s="23">
        <f t="shared" si="4"/>
        <v>0</v>
      </c>
      <c r="S19" s="27" t="s">
        <v>18</v>
      </c>
      <c r="T19" s="19" t="s">
        <v>32</v>
      </c>
    </row>
    <row r="20" spans="1:20" ht="37.5" customHeight="1" x14ac:dyDescent="0.25">
      <c r="A20" s="19" t="s">
        <v>33</v>
      </c>
      <c r="B20">
        <f t="shared" si="5"/>
        <v>31838</v>
      </c>
      <c r="C20">
        <v>5647</v>
      </c>
      <c r="D20">
        <v>26191</v>
      </c>
      <c r="F20">
        <f t="shared" si="0"/>
        <v>309</v>
      </c>
      <c r="G20" s="20">
        <f t="shared" si="6"/>
        <v>15</v>
      </c>
      <c r="H20" s="21">
        <v>23014010454</v>
      </c>
      <c r="I20" s="22">
        <v>14</v>
      </c>
      <c r="J20" s="23"/>
      <c r="K20" s="24">
        <v>31529</v>
      </c>
      <c r="L20" s="23">
        <f t="shared" si="1"/>
        <v>309</v>
      </c>
      <c r="M20" s="24">
        <v>5588</v>
      </c>
      <c r="N20" s="25">
        <f t="shared" si="2"/>
        <v>59</v>
      </c>
      <c r="O20" s="24">
        <v>25941</v>
      </c>
      <c r="P20" s="23">
        <f t="shared" si="3"/>
        <v>250</v>
      </c>
      <c r="Q20" s="26"/>
      <c r="R20" s="23">
        <f t="shared" si="4"/>
        <v>0</v>
      </c>
      <c r="S20" s="27" t="s">
        <v>18</v>
      </c>
      <c r="T20" s="19" t="s">
        <v>33</v>
      </c>
    </row>
    <row r="21" spans="1:20" ht="37.5" customHeight="1" x14ac:dyDescent="0.25">
      <c r="A21" s="19" t="s">
        <v>34</v>
      </c>
      <c r="B21">
        <f t="shared" si="5"/>
        <v>27831</v>
      </c>
      <c r="C21">
        <v>4365</v>
      </c>
      <c r="D21">
        <v>23466</v>
      </c>
      <c r="F21">
        <f t="shared" si="0"/>
        <v>375</v>
      </c>
      <c r="G21" s="20">
        <f t="shared" si="6"/>
        <v>16</v>
      </c>
      <c r="H21" s="21">
        <v>66617020293</v>
      </c>
      <c r="I21" s="22">
        <v>15</v>
      </c>
      <c r="J21" s="23"/>
      <c r="K21" s="24">
        <v>27456</v>
      </c>
      <c r="L21" s="23">
        <f t="shared" si="1"/>
        <v>375</v>
      </c>
      <c r="M21" s="24">
        <v>4320</v>
      </c>
      <c r="N21" s="25">
        <f t="shared" si="2"/>
        <v>45</v>
      </c>
      <c r="O21" s="24">
        <v>23136</v>
      </c>
      <c r="P21" s="23">
        <f t="shared" si="3"/>
        <v>330</v>
      </c>
      <c r="Q21" s="26"/>
      <c r="R21" s="23">
        <f t="shared" si="4"/>
        <v>0</v>
      </c>
      <c r="S21" s="27" t="s">
        <v>18</v>
      </c>
      <c r="T21" s="19" t="s">
        <v>34</v>
      </c>
    </row>
    <row r="22" spans="1:20" ht="37.5" customHeight="1" x14ac:dyDescent="0.25">
      <c r="A22" s="19" t="s">
        <v>35</v>
      </c>
      <c r="B22">
        <f t="shared" si="5"/>
        <v>1135</v>
      </c>
      <c r="C22">
        <v>365</v>
      </c>
      <c r="D22">
        <v>770</v>
      </c>
      <c r="E22">
        <v>2874</v>
      </c>
      <c r="F22">
        <f t="shared" si="0"/>
        <v>519</v>
      </c>
      <c r="G22" s="20">
        <f t="shared" si="6"/>
        <v>17</v>
      </c>
      <c r="H22" s="21">
        <v>99624050094</v>
      </c>
      <c r="I22" s="22">
        <v>16</v>
      </c>
      <c r="J22" s="23"/>
      <c r="K22" s="24">
        <f>M22+O22</f>
        <v>616</v>
      </c>
      <c r="L22" s="23">
        <f t="shared" si="1"/>
        <v>519</v>
      </c>
      <c r="M22" s="24">
        <v>214</v>
      </c>
      <c r="N22" s="25">
        <f t="shared" si="2"/>
        <v>151</v>
      </c>
      <c r="O22" s="24">
        <v>402</v>
      </c>
      <c r="P22" s="23">
        <f t="shared" si="3"/>
        <v>368</v>
      </c>
      <c r="Q22" s="26">
        <v>2158</v>
      </c>
      <c r="R22" s="23">
        <f t="shared" si="4"/>
        <v>716</v>
      </c>
      <c r="S22" s="27" t="s">
        <v>18</v>
      </c>
      <c r="T22" s="19" t="s">
        <v>35</v>
      </c>
    </row>
    <row r="23" spans="1:20" ht="37.5" customHeight="1" x14ac:dyDescent="0.25">
      <c r="A23" s="19" t="s">
        <v>36</v>
      </c>
      <c r="B23">
        <f t="shared" si="5"/>
        <v>112954</v>
      </c>
      <c r="C23">
        <v>23318</v>
      </c>
      <c r="D23">
        <v>89636</v>
      </c>
      <c r="F23">
        <f t="shared" si="0"/>
        <v>1313</v>
      </c>
      <c r="G23" s="20">
        <f t="shared" si="6"/>
        <v>18</v>
      </c>
      <c r="H23" s="21">
        <v>66601102493</v>
      </c>
      <c r="I23" s="22">
        <v>17</v>
      </c>
      <c r="J23" s="23"/>
      <c r="K23" s="24">
        <v>111641</v>
      </c>
      <c r="L23" s="23">
        <f t="shared" si="1"/>
        <v>1313</v>
      </c>
      <c r="M23" s="24">
        <v>23084</v>
      </c>
      <c r="N23" s="25">
        <f t="shared" si="2"/>
        <v>234</v>
      </c>
      <c r="O23" s="24">
        <v>88557</v>
      </c>
      <c r="P23" s="23">
        <f t="shared" si="3"/>
        <v>1079</v>
      </c>
      <c r="Q23" s="26"/>
      <c r="R23" s="23">
        <f t="shared" si="4"/>
        <v>0</v>
      </c>
      <c r="S23" s="27" t="s">
        <v>18</v>
      </c>
      <c r="T23" s="19" t="s">
        <v>36</v>
      </c>
    </row>
    <row r="24" spans="1:20" ht="37.5" customHeight="1" x14ac:dyDescent="0.25">
      <c r="A24" s="19" t="s">
        <v>37</v>
      </c>
      <c r="B24">
        <f t="shared" si="5"/>
        <v>11712</v>
      </c>
      <c r="C24">
        <v>2010</v>
      </c>
      <c r="D24">
        <v>9702</v>
      </c>
      <c r="F24">
        <f t="shared" si="0"/>
        <v>74</v>
      </c>
      <c r="G24" s="20">
        <f t="shared" si="6"/>
        <v>19</v>
      </c>
      <c r="H24" s="21">
        <v>23013010380</v>
      </c>
      <c r="I24" s="22">
        <v>18</v>
      </c>
      <c r="J24" s="23"/>
      <c r="K24" s="24">
        <v>11638</v>
      </c>
      <c r="L24" s="23">
        <f t="shared" si="1"/>
        <v>74</v>
      </c>
      <c r="M24" s="24">
        <v>1998</v>
      </c>
      <c r="N24" s="25">
        <f t="shared" si="2"/>
        <v>12</v>
      </c>
      <c r="O24" s="24">
        <v>9640</v>
      </c>
      <c r="P24" s="23">
        <f t="shared" si="3"/>
        <v>62</v>
      </c>
      <c r="Q24" s="26"/>
      <c r="R24" s="23">
        <f t="shared" si="4"/>
        <v>0</v>
      </c>
      <c r="S24" s="27" t="s">
        <v>18</v>
      </c>
      <c r="T24" s="19" t="s">
        <v>37</v>
      </c>
    </row>
    <row r="25" spans="1:20" ht="37.5" customHeight="1" x14ac:dyDescent="0.25">
      <c r="A25" s="19" t="s">
        <v>38</v>
      </c>
      <c r="B25">
        <f t="shared" si="5"/>
        <v>80199</v>
      </c>
      <c r="C25">
        <v>16194</v>
      </c>
      <c r="D25">
        <v>64005</v>
      </c>
      <c r="F25">
        <f t="shared" si="0"/>
        <v>443</v>
      </c>
      <c r="G25" s="20">
        <f t="shared" si="6"/>
        <v>20</v>
      </c>
      <c r="H25" s="21">
        <v>23011020073</v>
      </c>
      <c r="I25" s="22">
        <v>20</v>
      </c>
      <c r="J25" s="23"/>
      <c r="K25" s="24">
        <v>79756</v>
      </c>
      <c r="L25" s="23">
        <f t="shared" si="1"/>
        <v>443</v>
      </c>
      <c r="M25" s="24">
        <v>16115</v>
      </c>
      <c r="N25" s="25">
        <f t="shared" si="2"/>
        <v>79</v>
      </c>
      <c r="O25" s="24">
        <v>63641</v>
      </c>
      <c r="P25" s="23">
        <f t="shared" si="3"/>
        <v>364</v>
      </c>
      <c r="Q25" s="26"/>
      <c r="R25" s="23">
        <f t="shared" si="4"/>
        <v>0</v>
      </c>
      <c r="S25" s="27" t="s">
        <v>18</v>
      </c>
      <c r="T25" s="19" t="s">
        <v>38</v>
      </c>
    </row>
    <row r="26" spans="1:20" ht="37.5" customHeight="1" x14ac:dyDescent="0.25">
      <c r="A26" s="19" t="s">
        <v>39</v>
      </c>
      <c r="B26">
        <f t="shared" si="5"/>
        <v>58639</v>
      </c>
      <c r="C26">
        <v>11039</v>
      </c>
      <c r="D26">
        <v>47600</v>
      </c>
      <c r="F26">
        <f t="shared" si="0"/>
        <v>213</v>
      </c>
      <c r="G26" s="20">
        <f t="shared" si="6"/>
        <v>21</v>
      </c>
      <c r="H26" s="21">
        <v>23013010379</v>
      </c>
      <c r="I26" s="22">
        <v>21</v>
      </c>
      <c r="J26" s="23"/>
      <c r="K26" s="24">
        <v>58426</v>
      </c>
      <c r="L26" s="23">
        <f t="shared" si="1"/>
        <v>213</v>
      </c>
      <c r="M26" s="24">
        <v>10999</v>
      </c>
      <c r="N26" s="25">
        <f t="shared" si="2"/>
        <v>40</v>
      </c>
      <c r="O26" s="24">
        <v>47427</v>
      </c>
      <c r="P26" s="23">
        <f t="shared" si="3"/>
        <v>173</v>
      </c>
      <c r="Q26" s="26"/>
      <c r="R26" s="23">
        <f t="shared" si="4"/>
        <v>0</v>
      </c>
      <c r="S26" s="27" t="s">
        <v>18</v>
      </c>
      <c r="T26" s="19" t="s">
        <v>39</v>
      </c>
    </row>
    <row r="27" spans="1:20" ht="37.5" customHeight="1" x14ac:dyDescent="0.25">
      <c r="A27" s="19" t="s">
        <v>40</v>
      </c>
      <c r="B27">
        <f t="shared" si="5"/>
        <v>103461</v>
      </c>
      <c r="C27">
        <v>17510</v>
      </c>
      <c r="D27">
        <v>85951</v>
      </c>
      <c r="F27">
        <f t="shared" si="0"/>
        <v>689</v>
      </c>
      <c r="G27" s="20">
        <f t="shared" si="6"/>
        <v>22</v>
      </c>
      <c r="H27" s="21">
        <v>23012070276</v>
      </c>
      <c r="I27" s="22">
        <v>22</v>
      </c>
      <c r="J27" s="23"/>
      <c r="K27" s="24">
        <v>102772</v>
      </c>
      <c r="L27" s="23">
        <f t="shared" si="1"/>
        <v>689</v>
      </c>
      <c r="M27" s="24">
        <v>17388</v>
      </c>
      <c r="N27" s="25">
        <f t="shared" si="2"/>
        <v>122</v>
      </c>
      <c r="O27" s="24">
        <v>85384</v>
      </c>
      <c r="P27" s="23">
        <f t="shared" si="3"/>
        <v>567</v>
      </c>
      <c r="Q27" s="26"/>
      <c r="R27" s="23">
        <f t="shared" si="4"/>
        <v>0</v>
      </c>
      <c r="S27" s="27" t="s">
        <v>18</v>
      </c>
      <c r="T27" s="19" t="s">
        <v>40</v>
      </c>
    </row>
    <row r="28" spans="1:20" ht="37.5" customHeight="1" x14ac:dyDescent="0.25">
      <c r="A28" s="19" t="s">
        <v>41</v>
      </c>
      <c r="B28">
        <f t="shared" si="5"/>
        <v>57957</v>
      </c>
      <c r="C28">
        <v>12682</v>
      </c>
      <c r="D28">
        <v>45275</v>
      </c>
      <c r="F28">
        <f t="shared" si="0"/>
        <v>555</v>
      </c>
      <c r="G28" s="20">
        <f t="shared" si="6"/>
        <v>23</v>
      </c>
      <c r="H28" s="21">
        <v>23014090984</v>
      </c>
      <c r="I28" s="22">
        <v>23</v>
      </c>
      <c r="J28" s="23"/>
      <c r="K28" s="24">
        <v>57402</v>
      </c>
      <c r="L28" s="23">
        <f t="shared" si="1"/>
        <v>555</v>
      </c>
      <c r="M28" s="24">
        <v>12593</v>
      </c>
      <c r="N28" s="25">
        <f t="shared" si="2"/>
        <v>89</v>
      </c>
      <c r="O28" s="24">
        <v>44809</v>
      </c>
      <c r="P28" s="23">
        <f t="shared" si="3"/>
        <v>466</v>
      </c>
      <c r="Q28" s="26"/>
      <c r="R28" s="23">
        <f t="shared" si="4"/>
        <v>0</v>
      </c>
      <c r="S28" s="27" t="s">
        <v>18</v>
      </c>
      <c r="T28" s="19" t="s">
        <v>41</v>
      </c>
    </row>
    <row r="29" spans="1:20" ht="37.5" customHeight="1" x14ac:dyDescent="0.25">
      <c r="A29" s="19" t="s">
        <v>42</v>
      </c>
      <c r="B29">
        <f t="shared" si="5"/>
        <v>15736</v>
      </c>
      <c r="C29">
        <v>2604</v>
      </c>
      <c r="D29">
        <v>13132</v>
      </c>
      <c r="F29">
        <f t="shared" si="0"/>
        <v>260</v>
      </c>
      <c r="G29" s="20">
        <f t="shared" si="6"/>
        <v>24</v>
      </c>
      <c r="H29" s="21">
        <v>66621070354</v>
      </c>
      <c r="I29" s="22">
        <v>25</v>
      </c>
      <c r="J29" s="23"/>
      <c r="K29" s="24">
        <v>15476</v>
      </c>
      <c r="L29" s="23">
        <f t="shared" si="1"/>
        <v>260</v>
      </c>
      <c r="M29" s="24">
        <v>2565</v>
      </c>
      <c r="N29" s="25">
        <f t="shared" si="2"/>
        <v>39</v>
      </c>
      <c r="O29" s="24">
        <v>12911</v>
      </c>
      <c r="P29" s="23">
        <f t="shared" si="3"/>
        <v>221</v>
      </c>
      <c r="Q29" s="26"/>
      <c r="R29" s="23">
        <f t="shared" si="4"/>
        <v>0</v>
      </c>
      <c r="S29" s="27" t="s">
        <v>18</v>
      </c>
      <c r="T29" s="19" t="s">
        <v>42</v>
      </c>
    </row>
    <row r="30" spans="1:20" ht="37.5" customHeight="1" x14ac:dyDescent="0.25">
      <c r="A30" s="19" t="s">
        <v>43</v>
      </c>
      <c r="B30">
        <f t="shared" si="5"/>
        <v>25196</v>
      </c>
      <c r="C30">
        <v>3365</v>
      </c>
      <c r="D30">
        <v>21831</v>
      </c>
      <c r="F30">
        <f t="shared" si="0"/>
        <v>385</v>
      </c>
      <c r="G30" s="20">
        <f t="shared" si="6"/>
        <v>25</v>
      </c>
      <c r="H30" s="21">
        <v>23015100697</v>
      </c>
      <c r="I30" s="22">
        <v>27</v>
      </c>
      <c r="J30" s="23"/>
      <c r="K30" s="24">
        <v>24811</v>
      </c>
      <c r="L30" s="23">
        <f t="shared" si="1"/>
        <v>385</v>
      </c>
      <c r="M30" s="24">
        <v>3373</v>
      </c>
      <c r="N30" s="25">
        <f t="shared" si="2"/>
        <v>-8</v>
      </c>
      <c r="O30" s="24">
        <v>21438</v>
      </c>
      <c r="P30" s="23">
        <f t="shared" si="3"/>
        <v>393</v>
      </c>
      <c r="Q30" s="26"/>
      <c r="R30" s="23">
        <f t="shared" si="4"/>
        <v>0</v>
      </c>
      <c r="S30" s="27" t="s">
        <v>18</v>
      </c>
      <c r="T30" s="19" t="s">
        <v>43</v>
      </c>
    </row>
    <row r="31" spans="1:20" ht="37.5" customHeight="1" x14ac:dyDescent="0.25">
      <c r="A31" s="19" t="s">
        <v>44</v>
      </c>
      <c r="B31">
        <f t="shared" si="5"/>
        <v>59674</v>
      </c>
      <c r="C31">
        <v>11476</v>
      </c>
      <c r="D31">
        <v>48198</v>
      </c>
      <c r="F31">
        <f t="shared" si="0"/>
        <v>345</v>
      </c>
      <c r="G31" s="20">
        <f t="shared" si="6"/>
        <v>26</v>
      </c>
      <c r="H31" s="21">
        <v>23011120048</v>
      </c>
      <c r="I31" s="22">
        <v>28</v>
      </c>
      <c r="J31" s="23"/>
      <c r="K31" s="24">
        <v>59329</v>
      </c>
      <c r="L31" s="23">
        <f t="shared" si="1"/>
        <v>345</v>
      </c>
      <c r="M31" s="24">
        <v>11407</v>
      </c>
      <c r="N31" s="25">
        <f t="shared" si="2"/>
        <v>69</v>
      </c>
      <c r="O31" s="24">
        <v>47922</v>
      </c>
      <c r="P31" s="23">
        <f t="shared" si="3"/>
        <v>276</v>
      </c>
      <c r="Q31" s="26"/>
      <c r="R31" s="23">
        <f t="shared" si="4"/>
        <v>0</v>
      </c>
      <c r="S31" s="27" t="s">
        <v>18</v>
      </c>
      <c r="T31" s="19" t="s">
        <v>44</v>
      </c>
    </row>
    <row r="32" spans="1:20" ht="37.5" customHeight="1" x14ac:dyDescent="0.25">
      <c r="A32" s="19" t="s">
        <v>45</v>
      </c>
      <c r="B32">
        <f t="shared" si="5"/>
        <v>25832</v>
      </c>
      <c r="C32">
        <v>4526</v>
      </c>
      <c r="D32">
        <v>21306</v>
      </c>
      <c r="F32">
        <f t="shared" si="0"/>
        <v>579</v>
      </c>
      <c r="G32" s="20">
        <f t="shared" si="6"/>
        <v>27</v>
      </c>
      <c r="H32" s="21">
        <v>88820040298</v>
      </c>
      <c r="I32" s="22">
        <v>30</v>
      </c>
      <c r="J32" s="23"/>
      <c r="K32" s="24">
        <v>25253</v>
      </c>
      <c r="L32" s="23">
        <f t="shared" si="1"/>
        <v>579</v>
      </c>
      <c r="M32" s="24">
        <v>4433</v>
      </c>
      <c r="N32" s="25">
        <f t="shared" si="2"/>
        <v>93</v>
      </c>
      <c r="O32" s="24">
        <v>20820</v>
      </c>
      <c r="P32" s="23">
        <f t="shared" si="3"/>
        <v>486</v>
      </c>
      <c r="Q32" s="26"/>
      <c r="R32" s="23">
        <f t="shared" si="4"/>
        <v>0</v>
      </c>
      <c r="S32" s="27" t="s">
        <v>18</v>
      </c>
      <c r="T32" s="19" t="s">
        <v>45</v>
      </c>
    </row>
    <row r="33" spans="1:20" ht="37.5" customHeight="1" x14ac:dyDescent="0.25">
      <c r="A33" s="19" t="s">
        <v>46</v>
      </c>
      <c r="B33">
        <f t="shared" si="5"/>
        <v>25428</v>
      </c>
      <c r="C33">
        <v>4414</v>
      </c>
      <c r="D33">
        <v>21014</v>
      </c>
      <c r="F33">
        <f t="shared" si="0"/>
        <v>565</v>
      </c>
      <c r="G33" s="20">
        <f t="shared" si="6"/>
        <v>28</v>
      </c>
      <c r="H33" s="21">
        <v>88818030269</v>
      </c>
      <c r="I33" s="22">
        <v>31</v>
      </c>
      <c r="J33" s="23"/>
      <c r="K33" s="24">
        <v>24863</v>
      </c>
      <c r="L33" s="23">
        <f t="shared" si="1"/>
        <v>565</v>
      </c>
      <c r="M33" s="24">
        <v>4309</v>
      </c>
      <c r="N33" s="25">
        <f t="shared" si="2"/>
        <v>105</v>
      </c>
      <c r="O33" s="24">
        <v>20554</v>
      </c>
      <c r="P33" s="23">
        <f t="shared" si="3"/>
        <v>460</v>
      </c>
      <c r="Q33" s="26"/>
      <c r="R33" s="23">
        <f t="shared" si="4"/>
        <v>0</v>
      </c>
      <c r="S33" s="27" t="s">
        <v>18</v>
      </c>
      <c r="T33" s="19" t="s">
        <v>46</v>
      </c>
    </row>
    <row r="34" spans="1:20" ht="37.5" customHeight="1" x14ac:dyDescent="0.25">
      <c r="A34" s="19" t="s">
        <v>47</v>
      </c>
      <c r="B34">
        <f t="shared" si="5"/>
        <v>27295</v>
      </c>
      <c r="C34">
        <v>4532</v>
      </c>
      <c r="D34">
        <v>22763</v>
      </c>
      <c r="F34">
        <f t="shared" si="0"/>
        <v>273</v>
      </c>
      <c r="G34" s="20">
        <f t="shared" si="6"/>
        <v>29</v>
      </c>
      <c r="H34" s="21">
        <v>66621010136</v>
      </c>
      <c r="I34" s="22">
        <v>32</v>
      </c>
      <c r="J34" s="23"/>
      <c r="K34" s="24">
        <v>27022</v>
      </c>
      <c r="L34" s="23">
        <f t="shared" si="1"/>
        <v>273</v>
      </c>
      <c r="M34" s="24">
        <v>4486</v>
      </c>
      <c r="N34" s="25">
        <f t="shared" si="2"/>
        <v>46</v>
      </c>
      <c r="O34" s="24">
        <v>22536</v>
      </c>
      <c r="P34" s="23">
        <f t="shared" si="3"/>
        <v>227</v>
      </c>
      <c r="Q34" s="26"/>
      <c r="R34" s="23">
        <f t="shared" si="4"/>
        <v>0</v>
      </c>
      <c r="S34" s="27" t="s">
        <v>18</v>
      </c>
      <c r="T34" s="19" t="s">
        <v>47</v>
      </c>
    </row>
    <row r="35" spans="1:20" ht="37.5" customHeight="1" x14ac:dyDescent="0.25">
      <c r="A35" s="19" t="s">
        <v>48</v>
      </c>
      <c r="B35">
        <f t="shared" si="5"/>
        <v>266</v>
      </c>
      <c r="C35">
        <v>72</v>
      </c>
      <c r="D35">
        <v>194</v>
      </c>
      <c r="E35">
        <v>610</v>
      </c>
      <c r="F35">
        <f t="shared" si="0"/>
        <v>266</v>
      </c>
      <c r="G35" s="20">
        <f t="shared" si="6"/>
        <v>30</v>
      </c>
      <c r="H35" s="21">
        <v>99625010246</v>
      </c>
      <c r="I35" s="22">
        <v>33</v>
      </c>
      <c r="J35" s="23"/>
      <c r="K35" s="24">
        <v>0</v>
      </c>
      <c r="L35" s="23">
        <f t="shared" si="1"/>
        <v>266</v>
      </c>
      <c r="M35" s="24">
        <v>0</v>
      </c>
      <c r="N35" s="25">
        <f t="shared" si="2"/>
        <v>72</v>
      </c>
      <c r="O35" s="24">
        <v>0</v>
      </c>
      <c r="P35" s="23">
        <f t="shared" si="3"/>
        <v>194</v>
      </c>
      <c r="Q35" s="26">
        <v>0</v>
      </c>
      <c r="R35" s="23">
        <f t="shared" si="4"/>
        <v>610</v>
      </c>
      <c r="S35" s="27" t="s">
        <v>18</v>
      </c>
      <c r="T35" s="19" t="s">
        <v>48</v>
      </c>
    </row>
    <row r="36" spans="1:20" ht="37.5" customHeight="1" x14ac:dyDescent="0.25">
      <c r="A36" s="19" t="s">
        <v>49</v>
      </c>
      <c r="B36">
        <f t="shared" si="5"/>
        <v>44035</v>
      </c>
      <c r="C36">
        <v>7992</v>
      </c>
      <c r="D36">
        <v>36043</v>
      </c>
      <c r="F36">
        <f t="shared" si="0"/>
        <v>715</v>
      </c>
      <c r="G36" s="20">
        <f t="shared" si="6"/>
        <v>31</v>
      </c>
      <c r="H36" s="21">
        <v>66616020286</v>
      </c>
      <c r="I36" s="22">
        <v>34</v>
      </c>
      <c r="J36" s="23"/>
      <c r="K36" s="24">
        <v>43320</v>
      </c>
      <c r="L36" s="23">
        <f t="shared" si="1"/>
        <v>715</v>
      </c>
      <c r="M36" s="24">
        <v>7845</v>
      </c>
      <c r="N36" s="25">
        <f t="shared" si="2"/>
        <v>147</v>
      </c>
      <c r="O36" s="24">
        <v>35475</v>
      </c>
      <c r="P36" s="23">
        <f t="shared" si="3"/>
        <v>568</v>
      </c>
      <c r="Q36" s="26"/>
      <c r="R36" s="23">
        <f t="shared" si="4"/>
        <v>0</v>
      </c>
      <c r="S36" s="27" t="s">
        <v>18</v>
      </c>
      <c r="T36" s="19" t="s">
        <v>49</v>
      </c>
    </row>
    <row r="37" spans="1:20" ht="37.5" customHeight="1" x14ac:dyDescent="0.25">
      <c r="A37" s="19" t="s">
        <v>50</v>
      </c>
      <c r="B37">
        <v>125422</v>
      </c>
      <c r="C37" s="37"/>
      <c r="D37" s="37"/>
      <c r="F37">
        <f t="shared" si="0"/>
        <v>698</v>
      </c>
      <c r="G37" s="20">
        <f t="shared" si="6"/>
        <v>32</v>
      </c>
      <c r="H37" s="21">
        <v>2309080114</v>
      </c>
      <c r="I37" s="22">
        <v>35</v>
      </c>
      <c r="J37" s="23"/>
      <c r="K37" s="24">
        <v>124724</v>
      </c>
      <c r="L37" s="23">
        <f t="shared" si="1"/>
        <v>698</v>
      </c>
      <c r="M37" s="24">
        <v>24336</v>
      </c>
      <c r="N37" s="25">
        <f t="shared" si="2"/>
        <v>-24336</v>
      </c>
      <c r="O37" s="24">
        <v>100388</v>
      </c>
      <c r="P37" s="23">
        <f t="shared" si="3"/>
        <v>-100388</v>
      </c>
      <c r="Q37" s="26"/>
      <c r="R37" s="23">
        <f t="shared" si="4"/>
        <v>0</v>
      </c>
      <c r="S37" s="27" t="s">
        <v>18</v>
      </c>
      <c r="T37" s="19" t="s">
        <v>50</v>
      </c>
    </row>
    <row r="38" spans="1:20" ht="37.5" customHeight="1" x14ac:dyDescent="0.25">
      <c r="A38" s="19" t="s">
        <v>51</v>
      </c>
      <c r="B38">
        <f t="shared" si="5"/>
        <v>24342</v>
      </c>
      <c r="C38">
        <v>3748</v>
      </c>
      <c r="D38">
        <v>20594</v>
      </c>
      <c r="F38">
        <f t="shared" si="0"/>
        <v>256</v>
      </c>
      <c r="G38" s="20">
        <f t="shared" si="6"/>
        <v>33</v>
      </c>
      <c r="H38" s="21">
        <v>66621010119</v>
      </c>
      <c r="I38" s="22">
        <v>36</v>
      </c>
      <c r="J38" s="23"/>
      <c r="K38" s="24">
        <v>24086</v>
      </c>
      <c r="L38" s="23">
        <f t="shared" si="1"/>
        <v>256</v>
      </c>
      <c r="M38" s="24">
        <v>3696</v>
      </c>
      <c r="N38" s="25">
        <f t="shared" si="2"/>
        <v>52</v>
      </c>
      <c r="O38" s="24">
        <v>20390</v>
      </c>
      <c r="P38" s="23">
        <f t="shared" si="3"/>
        <v>204</v>
      </c>
      <c r="Q38" s="26"/>
      <c r="R38" s="23">
        <f t="shared" si="4"/>
        <v>0</v>
      </c>
      <c r="S38" s="27" t="s">
        <v>18</v>
      </c>
      <c r="T38" s="19" t="s">
        <v>51</v>
      </c>
    </row>
    <row r="39" spans="1:20" ht="37.5" customHeight="1" x14ac:dyDescent="0.25">
      <c r="A39" s="19" t="s">
        <v>52</v>
      </c>
      <c r="B39">
        <f t="shared" si="5"/>
        <v>15906</v>
      </c>
      <c r="C39">
        <v>3030</v>
      </c>
      <c r="D39">
        <v>12876</v>
      </c>
      <c r="F39">
        <f t="shared" si="0"/>
        <v>366</v>
      </c>
      <c r="G39" s="20">
        <f t="shared" si="6"/>
        <v>34</v>
      </c>
      <c r="H39" s="21">
        <v>88820010441</v>
      </c>
      <c r="I39" s="22">
        <v>37</v>
      </c>
      <c r="J39" s="23"/>
      <c r="K39" s="24">
        <v>15540</v>
      </c>
      <c r="L39" s="23">
        <f t="shared" si="1"/>
        <v>366</v>
      </c>
      <c r="M39" s="24">
        <v>2961</v>
      </c>
      <c r="N39" s="25">
        <f t="shared" si="2"/>
        <v>69</v>
      </c>
      <c r="O39" s="24">
        <v>12579</v>
      </c>
      <c r="P39" s="23">
        <f t="shared" si="3"/>
        <v>297</v>
      </c>
      <c r="Q39" s="26"/>
      <c r="R39" s="23">
        <f t="shared" si="4"/>
        <v>0</v>
      </c>
      <c r="S39" s="27" t="s">
        <v>18</v>
      </c>
      <c r="T39" s="19" t="s">
        <v>52</v>
      </c>
    </row>
    <row r="40" spans="1:20" ht="37.5" customHeight="1" x14ac:dyDescent="0.25">
      <c r="A40" s="19" t="s">
        <v>53</v>
      </c>
      <c r="B40">
        <f t="shared" si="5"/>
        <v>57735</v>
      </c>
      <c r="C40">
        <v>9803</v>
      </c>
      <c r="D40">
        <v>47932</v>
      </c>
      <c r="F40">
        <f t="shared" si="0"/>
        <v>274</v>
      </c>
      <c r="G40" s="20">
        <f t="shared" si="6"/>
        <v>35</v>
      </c>
      <c r="H40" s="21">
        <v>23014010394</v>
      </c>
      <c r="I40" s="22">
        <v>38</v>
      </c>
      <c r="J40" s="23"/>
      <c r="K40" s="24">
        <v>57461</v>
      </c>
      <c r="L40" s="23">
        <f t="shared" si="1"/>
        <v>274</v>
      </c>
      <c r="M40" s="24">
        <v>9753</v>
      </c>
      <c r="N40" s="25">
        <f t="shared" si="2"/>
        <v>50</v>
      </c>
      <c r="O40" s="24">
        <v>47708</v>
      </c>
      <c r="P40" s="23">
        <f t="shared" si="3"/>
        <v>224</v>
      </c>
      <c r="Q40" s="26"/>
      <c r="R40" s="23">
        <f t="shared" si="4"/>
        <v>0</v>
      </c>
      <c r="S40" s="27" t="s">
        <v>18</v>
      </c>
      <c r="T40" s="19" t="s">
        <v>53</v>
      </c>
    </row>
    <row r="41" spans="1:20" ht="37.5" customHeight="1" x14ac:dyDescent="0.25">
      <c r="A41" s="19" t="s">
        <v>54</v>
      </c>
      <c r="B41">
        <f t="shared" si="5"/>
        <v>140341</v>
      </c>
      <c r="C41">
        <v>24980</v>
      </c>
      <c r="D41">
        <v>115361</v>
      </c>
      <c r="F41">
        <f t="shared" si="0"/>
        <v>494</v>
      </c>
      <c r="G41" s="20">
        <f t="shared" si="6"/>
        <v>36</v>
      </c>
      <c r="H41" s="21">
        <v>23012060191</v>
      </c>
      <c r="I41" s="22">
        <v>39</v>
      </c>
      <c r="J41" s="23"/>
      <c r="K41" s="24">
        <v>139847</v>
      </c>
      <c r="L41" s="23">
        <f t="shared" si="1"/>
        <v>494</v>
      </c>
      <c r="M41" s="24">
        <v>24887</v>
      </c>
      <c r="N41" s="25">
        <f t="shared" si="2"/>
        <v>93</v>
      </c>
      <c r="O41" s="24">
        <v>114960</v>
      </c>
      <c r="P41" s="23">
        <f t="shared" si="3"/>
        <v>401</v>
      </c>
      <c r="Q41" s="26"/>
      <c r="R41" s="23">
        <f t="shared" si="4"/>
        <v>0</v>
      </c>
      <c r="S41" s="27" t="s">
        <v>18</v>
      </c>
      <c r="T41" s="19" t="s">
        <v>54</v>
      </c>
    </row>
    <row r="42" spans="1:20" ht="37.5" customHeight="1" x14ac:dyDescent="0.25">
      <c r="A42" s="19" t="s">
        <v>55</v>
      </c>
      <c r="B42">
        <f t="shared" si="5"/>
        <v>42488</v>
      </c>
      <c r="C42">
        <v>7844</v>
      </c>
      <c r="D42">
        <v>34644</v>
      </c>
      <c r="F42">
        <f t="shared" si="0"/>
        <v>325</v>
      </c>
      <c r="G42" s="20">
        <f t="shared" si="6"/>
        <v>37</v>
      </c>
      <c r="H42" s="21">
        <v>88818020261</v>
      </c>
      <c r="I42" s="22">
        <v>40</v>
      </c>
      <c r="J42" s="23"/>
      <c r="K42" s="24">
        <v>42163</v>
      </c>
      <c r="L42" s="23">
        <f t="shared" si="1"/>
        <v>325</v>
      </c>
      <c r="M42" s="24">
        <v>7789</v>
      </c>
      <c r="N42" s="25">
        <f t="shared" si="2"/>
        <v>55</v>
      </c>
      <c r="O42" s="24">
        <v>34374</v>
      </c>
      <c r="P42" s="23">
        <f t="shared" si="3"/>
        <v>270</v>
      </c>
      <c r="Q42" s="26"/>
      <c r="R42" s="23">
        <f t="shared" si="4"/>
        <v>0</v>
      </c>
      <c r="S42" s="27" t="s">
        <v>18</v>
      </c>
      <c r="T42" s="19" t="s">
        <v>55</v>
      </c>
    </row>
    <row r="43" spans="1:20" ht="37.5" customHeight="1" x14ac:dyDescent="0.25">
      <c r="A43" s="19" t="s">
        <v>56</v>
      </c>
      <c r="B43">
        <f t="shared" si="5"/>
        <v>32065</v>
      </c>
      <c r="C43">
        <v>4924</v>
      </c>
      <c r="D43">
        <v>27141</v>
      </c>
      <c r="F43">
        <f t="shared" si="0"/>
        <v>309</v>
      </c>
      <c r="G43" s="20">
        <f t="shared" si="6"/>
        <v>38</v>
      </c>
      <c r="H43" s="21">
        <v>66621070352</v>
      </c>
      <c r="I43" s="22">
        <v>41</v>
      </c>
      <c r="J43" s="23"/>
      <c r="K43" s="24">
        <v>31756</v>
      </c>
      <c r="L43" s="23">
        <f t="shared" si="1"/>
        <v>309</v>
      </c>
      <c r="M43" s="24">
        <v>4868</v>
      </c>
      <c r="N43" s="25">
        <f t="shared" si="2"/>
        <v>56</v>
      </c>
      <c r="O43" s="24">
        <v>26888</v>
      </c>
      <c r="P43" s="23">
        <f t="shared" si="3"/>
        <v>253</v>
      </c>
      <c r="Q43" s="26"/>
      <c r="R43" s="23">
        <f t="shared" si="4"/>
        <v>0</v>
      </c>
      <c r="S43" s="27" t="s">
        <v>18</v>
      </c>
      <c r="T43" s="19" t="s">
        <v>56</v>
      </c>
    </row>
    <row r="44" spans="1:20" ht="37.5" customHeight="1" x14ac:dyDescent="0.25">
      <c r="A44" s="19" t="s">
        <v>57</v>
      </c>
      <c r="B44">
        <f t="shared" si="5"/>
        <v>83071</v>
      </c>
      <c r="C44">
        <v>13347</v>
      </c>
      <c r="D44">
        <v>69724</v>
      </c>
      <c r="F44">
        <f t="shared" si="0"/>
        <v>479</v>
      </c>
      <c r="G44" s="20">
        <f t="shared" si="6"/>
        <v>39</v>
      </c>
      <c r="H44" s="21">
        <v>23014090909</v>
      </c>
      <c r="I44" s="22">
        <v>42</v>
      </c>
      <c r="J44" s="23"/>
      <c r="K44" s="24">
        <v>82592</v>
      </c>
      <c r="L44" s="23">
        <f t="shared" si="1"/>
        <v>479</v>
      </c>
      <c r="M44" s="24">
        <v>13273</v>
      </c>
      <c r="N44" s="25">
        <f t="shared" si="2"/>
        <v>74</v>
      </c>
      <c r="O44" s="24">
        <v>69319</v>
      </c>
      <c r="P44" s="23">
        <f t="shared" si="3"/>
        <v>405</v>
      </c>
      <c r="Q44" s="26"/>
      <c r="R44" s="23">
        <f t="shared" si="4"/>
        <v>0</v>
      </c>
      <c r="S44" s="27" t="s">
        <v>18</v>
      </c>
      <c r="T44" s="19" t="s">
        <v>57</v>
      </c>
    </row>
    <row r="45" spans="1:20" ht="37.5" customHeight="1" x14ac:dyDescent="0.25">
      <c r="A45" s="19" t="s">
        <v>58</v>
      </c>
      <c r="B45">
        <f t="shared" si="5"/>
        <v>6539</v>
      </c>
      <c r="C45">
        <v>965</v>
      </c>
      <c r="D45">
        <v>5574</v>
      </c>
      <c r="F45">
        <f t="shared" si="0"/>
        <v>244</v>
      </c>
      <c r="G45" s="20">
        <f t="shared" si="6"/>
        <v>40</v>
      </c>
      <c r="H45" s="21">
        <v>66622040404</v>
      </c>
      <c r="I45" s="22">
        <v>43</v>
      </c>
      <c r="J45" s="23"/>
      <c r="K45" s="24">
        <v>6295</v>
      </c>
      <c r="L45" s="23">
        <f t="shared" si="1"/>
        <v>244</v>
      </c>
      <c r="M45" s="24">
        <v>923</v>
      </c>
      <c r="N45" s="25">
        <f t="shared" si="2"/>
        <v>42</v>
      </c>
      <c r="O45" s="24">
        <v>5372</v>
      </c>
      <c r="P45" s="23">
        <f t="shared" si="3"/>
        <v>202</v>
      </c>
      <c r="Q45" s="26"/>
      <c r="R45" s="23">
        <f t="shared" si="4"/>
        <v>0</v>
      </c>
      <c r="S45" s="27" t="s">
        <v>18</v>
      </c>
      <c r="T45" s="19" t="s">
        <v>58</v>
      </c>
    </row>
    <row r="46" spans="1:20" ht="37.5" customHeight="1" x14ac:dyDescent="0.25">
      <c r="A46" s="19" t="s">
        <v>59</v>
      </c>
      <c r="B46">
        <f t="shared" si="5"/>
        <v>18081</v>
      </c>
      <c r="C46">
        <v>2964</v>
      </c>
      <c r="D46">
        <v>15117</v>
      </c>
      <c r="F46">
        <f t="shared" si="0"/>
        <v>604</v>
      </c>
      <c r="G46" s="20">
        <f t="shared" si="6"/>
        <v>41</v>
      </c>
      <c r="H46" s="21">
        <v>88819050180</v>
      </c>
      <c r="I46" s="22">
        <v>44</v>
      </c>
      <c r="J46" s="23"/>
      <c r="K46" s="24">
        <v>17477</v>
      </c>
      <c r="L46" s="23">
        <f t="shared" si="1"/>
        <v>604</v>
      </c>
      <c r="M46" s="24">
        <v>2868</v>
      </c>
      <c r="N46" s="25">
        <f t="shared" si="2"/>
        <v>96</v>
      </c>
      <c r="O46" s="24">
        <v>14609</v>
      </c>
      <c r="P46" s="23">
        <f t="shared" si="3"/>
        <v>508</v>
      </c>
      <c r="Q46" s="26"/>
      <c r="R46" s="23">
        <f t="shared" si="4"/>
        <v>0</v>
      </c>
      <c r="S46" s="27" t="s">
        <v>18</v>
      </c>
      <c r="T46" s="19" t="s">
        <v>59</v>
      </c>
    </row>
    <row r="47" spans="1:20" ht="37.5" customHeight="1" x14ac:dyDescent="0.25">
      <c r="A47" s="19" t="s">
        <v>60</v>
      </c>
      <c r="B47">
        <f t="shared" si="5"/>
        <v>23856</v>
      </c>
      <c r="C47">
        <v>4883</v>
      </c>
      <c r="D47">
        <v>18973</v>
      </c>
      <c r="F47">
        <f t="shared" si="0"/>
        <v>64</v>
      </c>
      <c r="G47" s="20">
        <f t="shared" si="6"/>
        <v>42</v>
      </c>
      <c r="H47" s="21">
        <v>66621010170</v>
      </c>
      <c r="I47" s="22">
        <v>45</v>
      </c>
      <c r="J47" s="23"/>
      <c r="K47" s="24">
        <v>23792</v>
      </c>
      <c r="L47" s="23">
        <f t="shared" si="1"/>
        <v>64</v>
      </c>
      <c r="M47" s="24">
        <v>4873</v>
      </c>
      <c r="N47" s="25">
        <f t="shared" si="2"/>
        <v>10</v>
      </c>
      <c r="O47" s="24">
        <v>18919</v>
      </c>
      <c r="P47" s="23">
        <f t="shared" si="3"/>
        <v>54</v>
      </c>
      <c r="Q47" s="26"/>
      <c r="R47" s="23">
        <f t="shared" si="4"/>
        <v>0</v>
      </c>
      <c r="S47" s="27" t="s">
        <v>18</v>
      </c>
      <c r="T47" s="19" t="s">
        <v>60</v>
      </c>
    </row>
    <row r="48" spans="1:20" ht="37.5" customHeight="1" x14ac:dyDescent="0.25">
      <c r="A48" s="19" t="s">
        <v>61</v>
      </c>
      <c r="B48">
        <f t="shared" si="5"/>
        <v>44114</v>
      </c>
      <c r="C48">
        <v>7733</v>
      </c>
      <c r="D48">
        <v>36381</v>
      </c>
      <c r="F48">
        <f t="shared" si="0"/>
        <v>1466</v>
      </c>
      <c r="G48" s="20">
        <f t="shared" si="6"/>
        <v>43</v>
      </c>
      <c r="H48" s="21">
        <v>66622030154</v>
      </c>
      <c r="I48" s="22">
        <v>46</v>
      </c>
      <c r="J48" s="23"/>
      <c r="K48" s="24">
        <v>42648</v>
      </c>
      <c r="L48" s="23">
        <f t="shared" si="1"/>
        <v>1466</v>
      </c>
      <c r="M48" s="24">
        <v>7509</v>
      </c>
      <c r="N48" s="25">
        <f t="shared" si="2"/>
        <v>224</v>
      </c>
      <c r="O48" s="24">
        <v>35139</v>
      </c>
      <c r="P48" s="23">
        <f t="shared" si="3"/>
        <v>1242</v>
      </c>
      <c r="Q48" s="26"/>
      <c r="R48" s="23">
        <f t="shared" si="4"/>
        <v>0</v>
      </c>
      <c r="S48" s="27" t="s">
        <v>18</v>
      </c>
      <c r="T48" s="19" t="s">
        <v>61</v>
      </c>
    </row>
    <row r="49" spans="1:20" ht="37.5" customHeight="1" x14ac:dyDescent="0.25">
      <c r="A49" s="19" t="s">
        <v>62</v>
      </c>
      <c r="B49">
        <f t="shared" si="5"/>
        <v>19291</v>
      </c>
      <c r="C49">
        <v>3837</v>
      </c>
      <c r="D49">
        <v>15454</v>
      </c>
      <c r="F49">
        <f t="shared" si="0"/>
        <v>135</v>
      </c>
      <c r="G49" s="20">
        <f t="shared" si="6"/>
        <v>44</v>
      </c>
      <c r="H49" s="21">
        <v>23014060625</v>
      </c>
      <c r="I49" s="22">
        <v>47</v>
      </c>
      <c r="J49" s="23"/>
      <c r="K49" s="24">
        <v>19156</v>
      </c>
      <c r="L49" s="23">
        <f t="shared" si="1"/>
        <v>135</v>
      </c>
      <c r="M49" s="24">
        <v>3807</v>
      </c>
      <c r="N49" s="25">
        <f t="shared" si="2"/>
        <v>30</v>
      </c>
      <c r="O49" s="24">
        <v>15349</v>
      </c>
      <c r="P49" s="23">
        <f t="shared" si="3"/>
        <v>105</v>
      </c>
      <c r="Q49" s="26"/>
      <c r="R49" s="23">
        <f t="shared" si="4"/>
        <v>0</v>
      </c>
      <c r="S49" s="27" t="s">
        <v>18</v>
      </c>
      <c r="T49" s="19" t="s">
        <v>62</v>
      </c>
    </row>
    <row r="50" spans="1:20" ht="37.5" customHeight="1" x14ac:dyDescent="0.25">
      <c r="A50" s="19" t="s">
        <v>63</v>
      </c>
      <c r="B50">
        <f t="shared" si="5"/>
        <v>3401</v>
      </c>
      <c r="C50">
        <v>870</v>
      </c>
      <c r="D50">
        <v>2531</v>
      </c>
      <c r="E50">
        <v>4051</v>
      </c>
      <c r="F50">
        <f t="shared" si="0"/>
        <v>336</v>
      </c>
      <c r="G50" s="20">
        <f t="shared" si="6"/>
        <v>45</v>
      </c>
      <c r="H50" s="21">
        <v>99624030034</v>
      </c>
      <c r="I50" s="22">
        <v>48</v>
      </c>
      <c r="J50" s="23"/>
      <c r="K50" s="24">
        <f>M50+O50</f>
        <v>3065</v>
      </c>
      <c r="L50" s="23">
        <f t="shared" si="1"/>
        <v>336</v>
      </c>
      <c r="M50" s="24">
        <v>780</v>
      </c>
      <c r="N50" s="25">
        <f t="shared" si="2"/>
        <v>90</v>
      </c>
      <c r="O50" s="24">
        <v>2285</v>
      </c>
      <c r="P50" s="23">
        <f t="shared" si="3"/>
        <v>246</v>
      </c>
      <c r="Q50" s="26">
        <v>3393</v>
      </c>
      <c r="R50" s="23">
        <f t="shared" si="4"/>
        <v>658</v>
      </c>
      <c r="S50" s="27" t="s">
        <v>18</v>
      </c>
      <c r="T50" s="19" t="s">
        <v>63</v>
      </c>
    </row>
    <row r="51" spans="1:20" ht="37.5" customHeight="1" x14ac:dyDescent="0.25">
      <c r="A51" s="19" t="s">
        <v>64</v>
      </c>
      <c r="B51">
        <f t="shared" si="5"/>
        <v>118968</v>
      </c>
      <c r="C51">
        <v>19795</v>
      </c>
      <c r="D51">
        <v>99173</v>
      </c>
      <c r="F51">
        <f t="shared" si="0"/>
        <v>351</v>
      </c>
      <c r="G51" s="20">
        <f t="shared" si="6"/>
        <v>46</v>
      </c>
      <c r="H51" s="21">
        <v>88820003197</v>
      </c>
      <c r="I51" s="22">
        <v>49</v>
      </c>
      <c r="J51" s="23"/>
      <c r="K51" s="24">
        <v>118617</v>
      </c>
      <c r="L51" s="23">
        <f t="shared" si="1"/>
        <v>351</v>
      </c>
      <c r="M51" s="24">
        <v>19729</v>
      </c>
      <c r="N51" s="25">
        <f t="shared" si="2"/>
        <v>66</v>
      </c>
      <c r="O51" s="24">
        <v>98888</v>
      </c>
      <c r="P51" s="23">
        <f t="shared" si="3"/>
        <v>285</v>
      </c>
      <c r="Q51" s="26"/>
      <c r="R51" s="23">
        <f t="shared" si="4"/>
        <v>0</v>
      </c>
      <c r="S51" s="27" t="s">
        <v>18</v>
      </c>
      <c r="T51" s="19" t="s">
        <v>64</v>
      </c>
    </row>
    <row r="52" spans="1:20" ht="37.5" customHeight="1" x14ac:dyDescent="0.25">
      <c r="A52" s="19" t="s">
        <v>65</v>
      </c>
      <c r="B52">
        <f t="shared" si="5"/>
        <v>71187</v>
      </c>
      <c r="C52">
        <v>11948</v>
      </c>
      <c r="D52">
        <v>59239</v>
      </c>
      <c r="F52">
        <f t="shared" si="0"/>
        <v>529</v>
      </c>
      <c r="G52" s="20">
        <f t="shared" si="6"/>
        <v>47</v>
      </c>
      <c r="H52" s="21">
        <v>23013040133</v>
      </c>
      <c r="I52" s="22">
        <v>50</v>
      </c>
      <c r="J52" s="23"/>
      <c r="K52" s="24">
        <v>70658</v>
      </c>
      <c r="L52" s="23">
        <f t="shared" si="1"/>
        <v>529</v>
      </c>
      <c r="M52" s="24">
        <v>11861</v>
      </c>
      <c r="N52" s="25">
        <f t="shared" si="2"/>
        <v>87</v>
      </c>
      <c r="O52" s="24">
        <v>58797</v>
      </c>
      <c r="P52" s="23">
        <f t="shared" si="3"/>
        <v>442</v>
      </c>
      <c r="Q52" s="26"/>
      <c r="R52" s="23">
        <f t="shared" si="4"/>
        <v>0</v>
      </c>
      <c r="S52" s="27" t="s">
        <v>18</v>
      </c>
      <c r="T52" s="19" t="s">
        <v>65</v>
      </c>
    </row>
    <row r="53" spans="1:20" ht="37.5" customHeight="1" x14ac:dyDescent="0.25">
      <c r="A53" s="19" t="s">
        <v>66</v>
      </c>
      <c r="B53">
        <f t="shared" si="5"/>
        <v>13518</v>
      </c>
      <c r="C53">
        <v>2315</v>
      </c>
      <c r="D53">
        <v>11203</v>
      </c>
      <c r="F53">
        <f t="shared" si="0"/>
        <v>291</v>
      </c>
      <c r="G53" s="20">
        <f t="shared" si="6"/>
        <v>48</v>
      </c>
      <c r="H53" s="21">
        <v>66621060399</v>
      </c>
      <c r="I53" s="22">
        <v>51</v>
      </c>
      <c r="J53" s="23"/>
      <c r="K53" s="24">
        <v>13227</v>
      </c>
      <c r="L53" s="23">
        <f t="shared" si="1"/>
        <v>291</v>
      </c>
      <c r="M53" s="24">
        <v>2258</v>
      </c>
      <c r="N53" s="25">
        <f t="shared" si="2"/>
        <v>57</v>
      </c>
      <c r="O53" s="24">
        <v>10969</v>
      </c>
      <c r="P53" s="23">
        <f t="shared" si="3"/>
        <v>234</v>
      </c>
      <c r="Q53" s="26"/>
      <c r="R53" s="23">
        <f t="shared" si="4"/>
        <v>0</v>
      </c>
      <c r="S53" s="27" t="s">
        <v>18</v>
      </c>
      <c r="T53" s="19" t="s">
        <v>66</v>
      </c>
    </row>
    <row r="54" spans="1:20" ht="37.5" customHeight="1" x14ac:dyDescent="0.25">
      <c r="A54" s="19" t="s">
        <v>67</v>
      </c>
      <c r="B54">
        <f t="shared" si="5"/>
        <v>10494</v>
      </c>
      <c r="C54">
        <v>1823</v>
      </c>
      <c r="D54">
        <v>8671</v>
      </c>
      <c r="F54">
        <f t="shared" si="0"/>
        <v>372</v>
      </c>
      <c r="G54" s="20">
        <f t="shared" si="6"/>
        <v>49</v>
      </c>
      <c r="H54" s="21">
        <v>66622060319</v>
      </c>
      <c r="I54" s="22">
        <v>52</v>
      </c>
      <c r="J54" s="23"/>
      <c r="K54" s="24">
        <v>10122</v>
      </c>
      <c r="L54" s="23">
        <f t="shared" si="1"/>
        <v>372</v>
      </c>
      <c r="M54" s="24">
        <v>1754</v>
      </c>
      <c r="N54" s="25">
        <f t="shared" si="2"/>
        <v>69</v>
      </c>
      <c r="O54" s="24">
        <v>8368</v>
      </c>
      <c r="P54" s="23">
        <f t="shared" si="3"/>
        <v>303</v>
      </c>
      <c r="Q54" s="26"/>
      <c r="R54" s="23">
        <f t="shared" si="4"/>
        <v>0</v>
      </c>
      <c r="S54" s="27" t="s">
        <v>18</v>
      </c>
      <c r="T54" s="19" t="s">
        <v>67</v>
      </c>
    </row>
    <row r="55" spans="1:20" ht="37.5" customHeight="1" x14ac:dyDescent="0.25">
      <c r="A55" s="19" t="s">
        <v>68</v>
      </c>
      <c r="B55">
        <f t="shared" si="5"/>
        <v>79128</v>
      </c>
      <c r="C55">
        <v>12743</v>
      </c>
      <c r="D55">
        <v>66385</v>
      </c>
      <c r="F55">
        <f t="shared" si="0"/>
        <v>393</v>
      </c>
      <c r="G55" s="20">
        <f t="shared" si="6"/>
        <v>50</v>
      </c>
      <c r="H55" s="21">
        <v>23012070143</v>
      </c>
      <c r="I55" s="22">
        <v>53</v>
      </c>
      <c r="J55" s="23"/>
      <c r="K55" s="24">
        <v>78735</v>
      </c>
      <c r="L55" s="23">
        <f t="shared" si="1"/>
        <v>393</v>
      </c>
      <c r="M55" s="24">
        <v>12684</v>
      </c>
      <c r="N55" s="25">
        <f t="shared" si="2"/>
        <v>59</v>
      </c>
      <c r="O55" s="24">
        <v>66051</v>
      </c>
      <c r="P55" s="23">
        <f t="shared" si="3"/>
        <v>334</v>
      </c>
      <c r="Q55" s="26"/>
      <c r="R55" s="23">
        <f t="shared" si="4"/>
        <v>0</v>
      </c>
      <c r="S55" s="27" t="s">
        <v>18</v>
      </c>
      <c r="T55" s="19" t="s">
        <v>68</v>
      </c>
    </row>
    <row r="56" spans="1:20" ht="37.5" customHeight="1" x14ac:dyDescent="0.25">
      <c r="A56" s="19" t="s">
        <v>69</v>
      </c>
      <c r="B56">
        <f t="shared" si="5"/>
        <v>118663</v>
      </c>
      <c r="C56">
        <v>22922</v>
      </c>
      <c r="D56">
        <v>95741</v>
      </c>
      <c r="F56">
        <f t="shared" si="0"/>
        <v>698</v>
      </c>
      <c r="G56" s="20">
        <f t="shared" si="6"/>
        <v>51</v>
      </c>
      <c r="H56" s="21">
        <v>23013010421</v>
      </c>
      <c r="I56" s="22">
        <v>54</v>
      </c>
      <c r="J56" s="23"/>
      <c r="K56" s="24">
        <v>117965</v>
      </c>
      <c r="L56" s="23">
        <f t="shared" si="1"/>
        <v>698</v>
      </c>
      <c r="M56" s="24">
        <v>22812</v>
      </c>
      <c r="N56" s="25">
        <f t="shared" si="2"/>
        <v>110</v>
      </c>
      <c r="O56" s="24">
        <v>95153</v>
      </c>
      <c r="P56" s="23">
        <f t="shared" si="3"/>
        <v>588</v>
      </c>
      <c r="Q56" s="26"/>
      <c r="R56" s="23">
        <f t="shared" si="4"/>
        <v>0</v>
      </c>
      <c r="S56" s="27" t="s">
        <v>18</v>
      </c>
      <c r="T56" s="19" t="s">
        <v>69</v>
      </c>
    </row>
    <row r="57" spans="1:20" ht="37.5" customHeight="1" x14ac:dyDescent="0.25">
      <c r="A57" s="19" t="s">
        <v>70</v>
      </c>
      <c r="B57">
        <f t="shared" si="5"/>
        <v>46415</v>
      </c>
      <c r="C57">
        <v>12080</v>
      </c>
      <c r="D57">
        <v>34335</v>
      </c>
      <c r="F57">
        <f t="shared" si="0"/>
        <v>196</v>
      </c>
      <c r="G57" s="20">
        <f t="shared" si="6"/>
        <v>52</v>
      </c>
      <c r="H57" s="21">
        <v>23010050066</v>
      </c>
      <c r="I57" s="22">
        <v>55</v>
      </c>
      <c r="J57" s="23"/>
      <c r="K57" s="24">
        <v>46219</v>
      </c>
      <c r="L57" s="23">
        <f t="shared" si="1"/>
        <v>196</v>
      </c>
      <c r="M57" s="24">
        <v>12053</v>
      </c>
      <c r="N57" s="25">
        <f t="shared" si="2"/>
        <v>27</v>
      </c>
      <c r="O57" s="24">
        <v>34166</v>
      </c>
      <c r="P57" s="23">
        <f t="shared" si="3"/>
        <v>169</v>
      </c>
      <c r="Q57" s="26"/>
      <c r="R57" s="23">
        <f t="shared" si="4"/>
        <v>0</v>
      </c>
      <c r="S57" s="27" t="s">
        <v>18</v>
      </c>
      <c r="T57" s="19" t="s">
        <v>70</v>
      </c>
    </row>
    <row r="58" spans="1:20" ht="37.5" customHeight="1" x14ac:dyDescent="0.25">
      <c r="A58" s="19" t="s">
        <v>71</v>
      </c>
      <c r="B58">
        <f t="shared" si="5"/>
        <v>39949</v>
      </c>
      <c r="C58">
        <v>13506</v>
      </c>
      <c r="D58">
        <v>26443</v>
      </c>
      <c r="F58">
        <f t="shared" si="0"/>
        <v>127</v>
      </c>
      <c r="G58" s="20">
        <f t="shared" si="6"/>
        <v>53</v>
      </c>
      <c r="H58" s="21">
        <v>10020167</v>
      </c>
      <c r="I58" s="22">
        <v>56</v>
      </c>
      <c r="J58" s="23"/>
      <c r="K58" s="24">
        <v>39822</v>
      </c>
      <c r="L58" s="23">
        <f t="shared" si="1"/>
        <v>127</v>
      </c>
      <c r="M58" s="24">
        <v>13481</v>
      </c>
      <c r="N58" s="25">
        <f t="shared" si="2"/>
        <v>25</v>
      </c>
      <c r="O58" s="24">
        <v>26341</v>
      </c>
      <c r="P58" s="23">
        <f t="shared" si="3"/>
        <v>102</v>
      </c>
      <c r="Q58" s="26"/>
      <c r="R58" s="23">
        <f t="shared" si="4"/>
        <v>0</v>
      </c>
      <c r="S58" s="27" t="s">
        <v>18</v>
      </c>
      <c r="T58" s="19" t="s">
        <v>71</v>
      </c>
    </row>
    <row r="59" spans="1:20" ht="37.5" customHeight="1" x14ac:dyDescent="0.25">
      <c r="A59" s="19" t="s">
        <v>72</v>
      </c>
      <c r="B59">
        <f t="shared" si="5"/>
        <v>56651</v>
      </c>
      <c r="C59">
        <v>8101</v>
      </c>
      <c r="D59">
        <v>48550</v>
      </c>
      <c r="F59">
        <f t="shared" si="0"/>
        <v>309</v>
      </c>
      <c r="G59" s="20">
        <f t="shared" si="6"/>
        <v>54</v>
      </c>
      <c r="H59" s="21">
        <v>23015100164</v>
      </c>
      <c r="I59" s="22">
        <v>57</v>
      </c>
      <c r="J59" s="23"/>
      <c r="K59" s="24">
        <v>56342</v>
      </c>
      <c r="L59" s="23">
        <f t="shared" si="1"/>
        <v>309</v>
      </c>
      <c r="M59" s="24">
        <v>8045</v>
      </c>
      <c r="N59" s="25">
        <f t="shared" si="2"/>
        <v>56</v>
      </c>
      <c r="O59" s="24">
        <v>48297</v>
      </c>
      <c r="P59" s="23">
        <f t="shared" si="3"/>
        <v>253</v>
      </c>
      <c r="Q59" s="26"/>
      <c r="R59" s="23">
        <f t="shared" si="4"/>
        <v>0</v>
      </c>
      <c r="S59" s="27" t="s">
        <v>18</v>
      </c>
      <c r="T59" s="19" t="s">
        <v>72</v>
      </c>
    </row>
    <row r="60" spans="1:20" ht="37.5" customHeight="1" x14ac:dyDescent="0.25">
      <c r="A60" s="19" t="s">
        <v>73</v>
      </c>
      <c r="B60">
        <f t="shared" si="5"/>
        <v>35843</v>
      </c>
      <c r="C60">
        <v>7558</v>
      </c>
      <c r="D60">
        <v>28285</v>
      </c>
      <c r="F60">
        <f t="shared" si="0"/>
        <v>622</v>
      </c>
      <c r="G60" s="20">
        <f t="shared" si="6"/>
        <v>55</v>
      </c>
      <c r="H60" s="21">
        <v>66621050443</v>
      </c>
      <c r="I60" s="22">
        <v>58</v>
      </c>
      <c r="J60" s="23"/>
      <c r="K60" s="24">
        <v>35221</v>
      </c>
      <c r="L60" s="23">
        <f t="shared" si="1"/>
        <v>622</v>
      </c>
      <c r="M60" s="24">
        <v>7439</v>
      </c>
      <c r="N60" s="25">
        <f t="shared" si="2"/>
        <v>119</v>
      </c>
      <c r="O60" s="24">
        <v>27782</v>
      </c>
      <c r="P60" s="23">
        <f t="shared" si="3"/>
        <v>503</v>
      </c>
      <c r="Q60" s="26"/>
      <c r="R60" s="23">
        <f t="shared" si="4"/>
        <v>0</v>
      </c>
      <c r="S60" s="27" t="s">
        <v>18</v>
      </c>
      <c r="T60" s="19" t="s">
        <v>73</v>
      </c>
    </row>
    <row r="61" spans="1:20" ht="37.5" customHeight="1" x14ac:dyDescent="0.25">
      <c r="A61" s="19" t="s">
        <v>74</v>
      </c>
      <c r="B61">
        <f t="shared" si="5"/>
        <v>5968</v>
      </c>
      <c r="C61">
        <v>1424</v>
      </c>
      <c r="D61">
        <v>4544</v>
      </c>
      <c r="E61">
        <v>9580</v>
      </c>
      <c r="F61">
        <f t="shared" si="0"/>
        <v>529</v>
      </c>
      <c r="G61" s="20">
        <f t="shared" si="6"/>
        <v>56</v>
      </c>
      <c r="H61" s="21">
        <v>99723070108</v>
      </c>
      <c r="I61" s="22">
        <v>59</v>
      </c>
      <c r="J61" s="23"/>
      <c r="K61" s="24">
        <f>M61+O61</f>
        <v>5439</v>
      </c>
      <c r="L61" s="23">
        <f t="shared" si="1"/>
        <v>529</v>
      </c>
      <c r="M61" s="24">
        <v>1301</v>
      </c>
      <c r="N61" s="25">
        <f t="shared" si="2"/>
        <v>123</v>
      </c>
      <c r="O61" s="24">
        <v>4138</v>
      </c>
      <c r="P61" s="23">
        <f t="shared" si="3"/>
        <v>406</v>
      </c>
      <c r="Q61" s="26">
        <v>8889</v>
      </c>
      <c r="R61" s="23">
        <f t="shared" si="4"/>
        <v>691</v>
      </c>
      <c r="S61" s="27" t="s">
        <v>18</v>
      </c>
      <c r="T61" s="19" t="s">
        <v>74</v>
      </c>
    </row>
    <row r="62" spans="1:20" ht="37.5" customHeight="1" x14ac:dyDescent="0.25">
      <c r="A62" s="19" t="s">
        <v>75</v>
      </c>
      <c r="B62">
        <f t="shared" si="5"/>
        <v>44785</v>
      </c>
      <c r="C62">
        <v>8099</v>
      </c>
      <c r="D62">
        <v>36686</v>
      </c>
      <c r="F62">
        <f t="shared" si="0"/>
        <v>531</v>
      </c>
      <c r="G62" s="20">
        <f t="shared" si="6"/>
        <v>57</v>
      </c>
      <c r="H62" s="21">
        <v>88820040299</v>
      </c>
      <c r="I62" s="22">
        <v>60</v>
      </c>
      <c r="J62" s="23"/>
      <c r="K62" s="24">
        <v>44254</v>
      </c>
      <c r="L62" s="23">
        <f t="shared" si="1"/>
        <v>531</v>
      </c>
      <c r="M62" s="24">
        <v>7999</v>
      </c>
      <c r="N62" s="25">
        <f t="shared" si="2"/>
        <v>100</v>
      </c>
      <c r="O62" s="24">
        <v>36255</v>
      </c>
      <c r="P62" s="23">
        <f t="shared" si="3"/>
        <v>431</v>
      </c>
      <c r="Q62" s="26"/>
      <c r="R62" s="23">
        <f t="shared" si="4"/>
        <v>0</v>
      </c>
      <c r="S62" s="27" t="s">
        <v>18</v>
      </c>
      <c r="T62" s="19" t="s">
        <v>75</v>
      </c>
    </row>
    <row r="63" spans="1:20" ht="37.5" customHeight="1" x14ac:dyDescent="0.25">
      <c r="A63" s="19" t="s">
        <v>76</v>
      </c>
      <c r="B63">
        <f t="shared" si="5"/>
        <v>77901</v>
      </c>
      <c r="C63">
        <v>12828</v>
      </c>
      <c r="D63">
        <v>65073</v>
      </c>
      <c r="F63">
        <f t="shared" si="0"/>
        <v>271</v>
      </c>
      <c r="G63" s="20">
        <f t="shared" si="6"/>
        <v>58</v>
      </c>
      <c r="H63" s="21">
        <v>23013040166</v>
      </c>
      <c r="I63" s="22">
        <v>61</v>
      </c>
      <c r="J63" s="23"/>
      <c r="K63" s="24">
        <v>77630</v>
      </c>
      <c r="L63" s="23">
        <f t="shared" si="1"/>
        <v>271</v>
      </c>
      <c r="M63" s="24">
        <v>12780</v>
      </c>
      <c r="N63" s="25">
        <f t="shared" si="2"/>
        <v>48</v>
      </c>
      <c r="O63" s="24">
        <v>64850</v>
      </c>
      <c r="P63" s="23">
        <f t="shared" si="3"/>
        <v>223</v>
      </c>
      <c r="Q63" s="26"/>
      <c r="R63" s="23">
        <f t="shared" si="4"/>
        <v>0</v>
      </c>
      <c r="S63" s="27" t="s">
        <v>18</v>
      </c>
      <c r="T63" s="19" t="s">
        <v>76</v>
      </c>
    </row>
    <row r="64" spans="1:20" ht="37.5" customHeight="1" x14ac:dyDescent="0.25">
      <c r="A64" s="19" t="s">
        <v>77</v>
      </c>
      <c r="B64">
        <f t="shared" si="5"/>
        <v>22635</v>
      </c>
      <c r="C64">
        <v>4337</v>
      </c>
      <c r="D64">
        <v>18298</v>
      </c>
      <c r="F64">
        <f t="shared" si="0"/>
        <v>192</v>
      </c>
      <c r="G64" s="20">
        <f t="shared" si="6"/>
        <v>59</v>
      </c>
      <c r="H64" s="21">
        <v>88819010305</v>
      </c>
      <c r="I64" s="22">
        <v>63</v>
      </c>
      <c r="J64" s="23"/>
      <c r="K64" s="24">
        <v>22443</v>
      </c>
      <c r="L64" s="23">
        <f t="shared" si="1"/>
        <v>192</v>
      </c>
      <c r="M64" s="24">
        <v>4294</v>
      </c>
      <c r="N64" s="25">
        <f t="shared" si="2"/>
        <v>43</v>
      </c>
      <c r="O64" s="24">
        <v>18149</v>
      </c>
      <c r="P64" s="23">
        <f t="shared" si="3"/>
        <v>149</v>
      </c>
      <c r="Q64" s="26"/>
      <c r="R64" s="23">
        <f t="shared" si="4"/>
        <v>0</v>
      </c>
      <c r="S64" s="27" t="s">
        <v>18</v>
      </c>
      <c r="T64" s="19" t="s">
        <v>77</v>
      </c>
    </row>
    <row r="65" spans="1:20" ht="37.5" customHeight="1" x14ac:dyDescent="0.25">
      <c r="A65" s="19" t="s">
        <v>78</v>
      </c>
      <c r="B65">
        <f t="shared" si="5"/>
        <v>20008</v>
      </c>
      <c r="C65">
        <v>3232</v>
      </c>
      <c r="D65">
        <v>16776</v>
      </c>
      <c r="F65">
        <f t="shared" si="0"/>
        <v>263</v>
      </c>
      <c r="G65" s="20">
        <f t="shared" si="6"/>
        <v>60</v>
      </c>
      <c r="H65" s="21">
        <v>88820030023</v>
      </c>
      <c r="I65" s="22">
        <v>66</v>
      </c>
      <c r="J65" s="23"/>
      <c r="K65" s="24">
        <v>19745</v>
      </c>
      <c r="L65" s="23">
        <f t="shared" si="1"/>
        <v>263</v>
      </c>
      <c r="M65" s="24">
        <v>3188</v>
      </c>
      <c r="N65" s="25">
        <f t="shared" si="2"/>
        <v>44</v>
      </c>
      <c r="O65" s="24">
        <v>16557</v>
      </c>
      <c r="P65" s="23">
        <f t="shared" si="3"/>
        <v>219</v>
      </c>
      <c r="Q65" s="26"/>
      <c r="R65" s="23">
        <f t="shared" si="4"/>
        <v>0</v>
      </c>
      <c r="S65" s="27" t="s">
        <v>18</v>
      </c>
      <c r="T65" s="19" t="s">
        <v>78</v>
      </c>
    </row>
    <row r="66" spans="1:20" ht="37.5" customHeight="1" x14ac:dyDescent="0.25">
      <c r="A66" s="19" t="s">
        <v>79</v>
      </c>
      <c r="B66">
        <f t="shared" si="5"/>
        <v>66307</v>
      </c>
      <c r="C66">
        <v>11622</v>
      </c>
      <c r="D66">
        <v>54685</v>
      </c>
      <c r="F66">
        <f t="shared" si="0"/>
        <v>396</v>
      </c>
      <c r="G66" s="20">
        <f t="shared" si="6"/>
        <v>61</v>
      </c>
      <c r="H66" s="21">
        <v>23012060001</v>
      </c>
      <c r="I66" s="22">
        <v>67</v>
      </c>
      <c r="J66" s="23"/>
      <c r="K66" s="24">
        <v>65911</v>
      </c>
      <c r="L66" s="23">
        <f t="shared" si="1"/>
        <v>396</v>
      </c>
      <c r="M66" s="24">
        <v>11552</v>
      </c>
      <c r="N66" s="25">
        <f t="shared" si="2"/>
        <v>70</v>
      </c>
      <c r="O66" s="24">
        <v>54359</v>
      </c>
      <c r="P66" s="23">
        <f t="shared" si="3"/>
        <v>326</v>
      </c>
      <c r="Q66" s="26"/>
      <c r="R66" s="23">
        <f t="shared" si="4"/>
        <v>0</v>
      </c>
      <c r="S66" s="27" t="s">
        <v>18</v>
      </c>
      <c r="T66" s="19" t="s">
        <v>79</v>
      </c>
    </row>
    <row r="67" spans="1:20" ht="37.5" customHeight="1" x14ac:dyDescent="0.25">
      <c r="A67" s="19" t="s">
        <v>80</v>
      </c>
      <c r="B67">
        <f t="shared" si="5"/>
        <v>52209</v>
      </c>
      <c r="C67">
        <v>7845</v>
      </c>
      <c r="D67">
        <v>44364</v>
      </c>
      <c r="F67">
        <f t="shared" si="0"/>
        <v>303</v>
      </c>
      <c r="G67" s="20">
        <f t="shared" si="6"/>
        <v>62</v>
      </c>
      <c r="H67" s="21">
        <v>23014040492</v>
      </c>
      <c r="I67" s="22">
        <v>68</v>
      </c>
      <c r="J67" s="23"/>
      <c r="K67" s="24">
        <v>51906</v>
      </c>
      <c r="L67" s="23">
        <f t="shared" si="1"/>
        <v>303</v>
      </c>
      <c r="M67" s="24">
        <v>7793</v>
      </c>
      <c r="N67" s="25">
        <f t="shared" si="2"/>
        <v>52</v>
      </c>
      <c r="O67" s="24">
        <v>44113</v>
      </c>
      <c r="P67" s="23">
        <f t="shared" si="3"/>
        <v>251</v>
      </c>
      <c r="Q67" s="26"/>
      <c r="R67" s="23">
        <f t="shared" si="4"/>
        <v>0</v>
      </c>
      <c r="S67" s="27" t="s">
        <v>18</v>
      </c>
      <c r="T67" s="19" t="s">
        <v>80</v>
      </c>
    </row>
    <row r="68" spans="1:20" ht="37.5" customHeight="1" x14ac:dyDescent="0.25">
      <c r="A68" s="19" t="s">
        <v>81</v>
      </c>
      <c r="B68">
        <f t="shared" si="5"/>
        <v>59627</v>
      </c>
      <c r="C68">
        <v>9286</v>
      </c>
      <c r="D68">
        <v>50341</v>
      </c>
      <c r="F68">
        <f t="shared" si="0"/>
        <v>320</v>
      </c>
      <c r="G68" s="20">
        <f t="shared" si="6"/>
        <v>63</v>
      </c>
      <c r="H68" s="21">
        <v>23015100029</v>
      </c>
      <c r="I68" s="22">
        <v>69</v>
      </c>
      <c r="J68" s="23"/>
      <c r="K68" s="24">
        <v>59307</v>
      </c>
      <c r="L68" s="23">
        <f t="shared" si="1"/>
        <v>320</v>
      </c>
      <c r="M68" s="24">
        <v>9223</v>
      </c>
      <c r="N68" s="25">
        <f t="shared" si="2"/>
        <v>63</v>
      </c>
      <c r="O68" s="24">
        <v>50084</v>
      </c>
      <c r="P68" s="23">
        <f t="shared" si="3"/>
        <v>257</v>
      </c>
      <c r="Q68" s="26"/>
      <c r="R68" s="23">
        <f t="shared" si="4"/>
        <v>0</v>
      </c>
      <c r="S68" s="27" t="s">
        <v>18</v>
      </c>
      <c r="T68" s="19" t="s">
        <v>81</v>
      </c>
    </row>
    <row r="69" spans="1:20" ht="37.5" customHeight="1" x14ac:dyDescent="0.25">
      <c r="A69" s="19" t="s">
        <v>82</v>
      </c>
      <c r="B69">
        <v>468</v>
      </c>
      <c r="C69">
        <v>58</v>
      </c>
      <c r="D69">
        <v>409</v>
      </c>
      <c r="F69">
        <f t="shared" si="0"/>
        <v>0</v>
      </c>
      <c r="G69" s="20">
        <f t="shared" si="6"/>
        <v>64</v>
      </c>
      <c r="H69" s="21">
        <v>88820020396</v>
      </c>
      <c r="I69" s="22">
        <v>70</v>
      </c>
      <c r="J69" s="23"/>
      <c r="K69" s="24">
        <v>468</v>
      </c>
      <c r="L69" s="23">
        <f t="shared" si="1"/>
        <v>0</v>
      </c>
      <c r="M69" s="24">
        <v>59</v>
      </c>
      <c r="N69" s="25">
        <f t="shared" si="2"/>
        <v>-1</v>
      </c>
      <c r="O69" s="24">
        <v>409</v>
      </c>
      <c r="P69" s="23">
        <f t="shared" si="3"/>
        <v>0</v>
      </c>
      <c r="Q69" s="26"/>
      <c r="R69" s="23">
        <f t="shared" si="4"/>
        <v>0</v>
      </c>
      <c r="S69" s="27" t="s">
        <v>18</v>
      </c>
      <c r="T69" s="19" t="s">
        <v>82</v>
      </c>
    </row>
    <row r="70" spans="1:20" ht="37.5" customHeight="1" x14ac:dyDescent="0.25">
      <c r="A70" s="19" t="s">
        <v>83</v>
      </c>
      <c r="B70">
        <f t="shared" si="5"/>
        <v>95806</v>
      </c>
      <c r="C70">
        <v>16786</v>
      </c>
      <c r="D70">
        <v>79020</v>
      </c>
      <c r="F70">
        <f t="shared" ref="F70:F133" si="7">L70</f>
        <v>858</v>
      </c>
      <c r="G70" s="20">
        <f t="shared" si="6"/>
        <v>65</v>
      </c>
      <c r="H70" s="21">
        <v>23012100251</v>
      </c>
      <c r="I70" s="22">
        <v>71</v>
      </c>
      <c r="J70" s="23"/>
      <c r="K70" s="24">
        <v>94948</v>
      </c>
      <c r="L70" s="23">
        <f t="shared" ref="L70:L133" si="8">B70-K70</f>
        <v>858</v>
      </c>
      <c r="M70" s="24">
        <v>16655</v>
      </c>
      <c r="N70" s="25">
        <f t="shared" ref="N70:N133" si="9">C70-M70</f>
        <v>131</v>
      </c>
      <c r="O70" s="24">
        <v>78293</v>
      </c>
      <c r="P70" s="23">
        <f t="shared" ref="P70:P133" si="10">D70-O70</f>
        <v>727</v>
      </c>
      <c r="Q70" s="26"/>
      <c r="R70" s="23">
        <f t="shared" ref="R70:R133" si="11">E70-Q70</f>
        <v>0</v>
      </c>
      <c r="S70" s="27" t="s">
        <v>18</v>
      </c>
      <c r="T70" s="19" t="s">
        <v>83</v>
      </c>
    </row>
    <row r="71" spans="1:20" ht="37.5" customHeight="1" x14ac:dyDescent="0.25">
      <c r="A71" s="19" t="s">
        <v>84</v>
      </c>
      <c r="B71">
        <f t="shared" ref="B71:B134" si="12">C71+D71</f>
        <v>33185</v>
      </c>
      <c r="C71">
        <v>5722</v>
      </c>
      <c r="D71">
        <v>27463</v>
      </c>
      <c r="F71">
        <f t="shared" si="7"/>
        <v>0</v>
      </c>
      <c r="G71" s="20">
        <f t="shared" si="6"/>
        <v>66</v>
      </c>
      <c r="H71" s="21">
        <v>23013010127</v>
      </c>
      <c r="I71" s="22">
        <v>72</v>
      </c>
      <c r="J71" s="23"/>
      <c r="K71" s="24">
        <v>33185</v>
      </c>
      <c r="L71" s="23">
        <f t="shared" si="8"/>
        <v>0</v>
      </c>
      <c r="M71" s="24">
        <v>5722</v>
      </c>
      <c r="N71" s="25">
        <f t="shared" si="9"/>
        <v>0</v>
      </c>
      <c r="O71" s="24">
        <v>27463</v>
      </c>
      <c r="P71" s="23">
        <f t="shared" si="10"/>
        <v>0</v>
      </c>
      <c r="Q71" s="26"/>
      <c r="R71" s="23">
        <f t="shared" si="11"/>
        <v>0</v>
      </c>
      <c r="S71" s="27" t="s">
        <v>18</v>
      </c>
      <c r="T71" s="19" t="s">
        <v>84</v>
      </c>
    </row>
    <row r="72" spans="1:20" ht="37.5" customHeight="1" x14ac:dyDescent="0.25">
      <c r="A72" s="19" t="s">
        <v>85</v>
      </c>
      <c r="B72">
        <f t="shared" si="12"/>
        <v>34497</v>
      </c>
      <c r="C72">
        <v>5867</v>
      </c>
      <c r="D72">
        <v>28630</v>
      </c>
      <c r="F72">
        <f t="shared" si="7"/>
        <v>107</v>
      </c>
      <c r="G72" s="20">
        <f t="shared" ref="G72:G135" si="13">G71+1</f>
        <v>67</v>
      </c>
      <c r="H72" s="21">
        <v>23014060853</v>
      </c>
      <c r="I72" s="22">
        <v>73</v>
      </c>
      <c r="J72" s="23"/>
      <c r="K72" s="24">
        <v>34390</v>
      </c>
      <c r="L72" s="23">
        <f t="shared" si="8"/>
        <v>107</v>
      </c>
      <c r="M72" s="24">
        <v>5851</v>
      </c>
      <c r="N72" s="25">
        <f t="shared" si="9"/>
        <v>16</v>
      </c>
      <c r="O72" s="24">
        <v>28539</v>
      </c>
      <c r="P72" s="23">
        <f t="shared" si="10"/>
        <v>91</v>
      </c>
      <c r="Q72" s="26"/>
      <c r="R72" s="23">
        <f t="shared" si="11"/>
        <v>0</v>
      </c>
      <c r="S72" s="27" t="s">
        <v>18</v>
      </c>
      <c r="T72" s="19" t="s">
        <v>85</v>
      </c>
    </row>
    <row r="73" spans="1:20" ht="37.5" customHeight="1" x14ac:dyDescent="0.25">
      <c r="A73" s="19" t="s">
        <v>86</v>
      </c>
      <c r="B73">
        <f t="shared" si="12"/>
        <v>129025</v>
      </c>
      <c r="C73">
        <v>23491</v>
      </c>
      <c r="D73">
        <v>105534</v>
      </c>
      <c r="F73">
        <f t="shared" si="7"/>
        <v>363</v>
      </c>
      <c r="G73" s="20">
        <f t="shared" si="13"/>
        <v>68</v>
      </c>
      <c r="H73" s="21">
        <v>23013040375</v>
      </c>
      <c r="I73" s="22">
        <v>74</v>
      </c>
      <c r="J73" s="23"/>
      <c r="K73" s="24">
        <v>128662</v>
      </c>
      <c r="L73" s="23">
        <f t="shared" si="8"/>
        <v>363</v>
      </c>
      <c r="M73" s="24">
        <v>23407</v>
      </c>
      <c r="N73" s="25">
        <f t="shared" si="9"/>
        <v>84</v>
      </c>
      <c r="O73" s="24">
        <v>105255</v>
      </c>
      <c r="P73" s="23">
        <f t="shared" si="10"/>
        <v>279</v>
      </c>
      <c r="Q73" s="26"/>
      <c r="R73" s="23">
        <f t="shared" si="11"/>
        <v>0</v>
      </c>
      <c r="S73" s="27" t="s">
        <v>18</v>
      </c>
      <c r="T73" s="19" t="s">
        <v>86</v>
      </c>
    </row>
    <row r="74" spans="1:20" ht="37.5" customHeight="1" x14ac:dyDescent="0.25">
      <c r="A74" s="19" t="s">
        <v>87</v>
      </c>
      <c r="B74">
        <f t="shared" si="12"/>
        <v>54892</v>
      </c>
      <c r="C74">
        <v>9885</v>
      </c>
      <c r="D74">
        <v>45007</v>
      </c>
      <c r="F74">
        <f t="shared" si="7"/>
        <v>330</v>
      </c>
      <c r="G74" s="20">
        <f t="shared" si="13"/>
        <v>69</v>
      </c>
      <c r="H74" s="21">
        <v>23012010114</v>
      </c>
      <c r="I74" s="22">
        <v>75</v>
      </c>
      <c r="J74" s="23"/>
      <c r="K74" s="24">
        <v>54562</v>
      </c>
      <c r="L74" s="23">
        <f t="shared" si="8"/>
        <v>330</v>
      </c>
      <c r="M74" s="24">
        <v>9771</v>
      </c>
      <c r="N74" s="25">
        <f t="shared" si="9"/>
        <v>114</v>
      </c>
      <c r="O74" s="24">
        <v>44791</v>
      </c>
      <c r="P74" s="23">
        <f t="shared" si="10"/>
        <v>216</v>
      </c>
      <c r="Q74" s="26"/>
      <c r="R74" s="23">
        <f t="shared" si="11"/>
        <v>0</v>
      </c>
      <c r="S74" s="27" t="s">
        <v>18</v>
      </c>
      <c r="T74" s="19" t="s">
        <v>87</v>
      </c>
    </row>
    <row r="75" spans="1:20" ht="37.5" customHeight="1" x14ac:dyDescent="0.25">
      <c r="A75" s="19" t="s">
        <v>88</v>
      </c>
      <c r="B75">
        <f t="shared" si="12"/>
        <v>29522</v>
      </c>
      <c r="C75">
        <v>4912</v>
      </c>
      <c r="D75">
        <v>24610</v>
      </c>
      <c r="F75">
        <f t="shared" si="7"/>
        <v>734</v>
      </c>
      <c r="G75" s="20">
        <f t="shared" si="13"/>
        <v>70</v>
      </c>
      <c r="H75" s="21">
        <v>66617020379</v>
      </c>
      <c r="I75" s="22">
        <v>76</v>
      </c>
      <c r="J75" s="23"/>
      <c r="K75" s="24">
        <v>28788</v>
      </c>
      <c r="L75" s="23">
        <f t="shared" si="8"/>
        <v>734</v>
      </c>
      <c r="M75" s="24">
        <v>4787</v>
      </c>
      <c r="N75" s="25">
        <f t="shared" si="9"/>
        <v>125</v>
      </c>
      <c r="O75" s="24">
        <v>24001</v>
      </c>
      <c r="P75" s="23">
        <f t="shared" si="10"/>
        <v>609</v>
      </c>
      <c r="Q75" s="26"/>
      <c r="R75" s="23">
        <f t="shared" si="11"/>
        <v>0</v>
      </c>
      <c r="S75" s="27" t="s">
        <v>18</v>
      </c>
      <c r="T75" s="19" t="s">
        <v>88</v>
      </c>
    </row>
    <row r="76" spans="1:20" ht="37.5" customHeight="1" x14ac:dyDescent="0.25">
      <c r="A76" s="19" t="s">
        <v>89</v>
      </c>
      <c r="B76">
        <f t="shared" si="12"/>
        <v>39500</v>
      </c>
      <c r="C76">
        <v>6469</v>
      </c>
      <c r="D76">
        <v>33031</v>
      </c>
      <c r="F76">
        <f t="shared" si="7"/>
        <v>266</v>
      </c>
      <c r="G76" s="20">
        <f t="shared" si="13"/>
        <v>71</v>
      </c>
      <c r="H76" s="21">
        <v>23014010438</v>
      </c>
      <c r="I76" s="22">
        <v>77</v>
      </c>
      <c r="J76" s="23"/>
      <c r="K76" s="24">
        <v>39234</v>
      </c>
      <c r="L76" s="23">
        <f t="shared" si="8"/>
        <v>266</v>
      </c>
      <c r="M76" s="24">
        <v>6427</v>
      </c>
      <c r="N76" s="25">
        <f t="shared" si="9"/>
        <v>42</v>
      </c>
      <c r="O76" s="24">
        <v>32807</v>
      </c>
      <c r="P76" s="23">
        <f t="shared" si="10"/>
        <v>224</v>
      </c>
      <c r="Q76" s="26"/>
      <c r="R76" s="23">
        <f t="shared" si="11"/>
        <v>0</v>
      </c>
      <c r="S76" s="27" t="s">
        <v>18</v>
      </c>
      <c r="T76" s="19" t="s">
        <v>89</v>
      </c>
    </row>
    <row r="77" spans="1:20" ht="37.5" customHeight="1" x14ac:dyDescent="0.25">
      <c r="A77" s="19" t="s">
        <v>90</v>
      </c>
      <c r="B77">
        <f t="shared" si="12"/>
        <v>45617</v>
      </c>
      <c r="C77">
        <v>9138</v>
      </c>
      <c r="D77">
        <v>36479</v>
      </c>
      <c r="F77">
        <f t="shared" si="7"/>
        <v>278</v>
      </c>
      <c r="G77" s="20">
        <f t="shared" si="13"/>
        <v>72</v>
      </c>
      <c r="H77" s="21">
        <v>23011010115</v>
      </c>
      <c r="I77" s="22">
        <v>78</v>
      </c>
      <c r="J77" s="23"/>
      <c r="K77" s="24">
        <v>45339</v>
      </c>
      <c r="L77" s="23">
        <f t="shared" si="8"/>
        <v>278</v>
      </c>
      <c r="M77" s="24">
        <v>9083</v>
      </c>
      <c r="N77" s="25">
        <f t="shared" si="9"/>
        <v>55</v>
      </c>
      <c r="O77" s="24">
        <v>36256</v>
      </c>
      <c r="P77" s="23">
        <f t="shared" si="10"/>
        <v>223</v>
      </c>
      <c r="Q77" s="26"/>
      <c r="R77" s="23">
        <f t="shared" si="11"/>
        <v>0</v>
      </c>
      <c r="S77" s="27" t="s">
        <v>18</v>
      </c>
      <c r="T77" s="19" t="s">
        <v>90</v>
      </c>
    </row>
    <row r="78" spans="1:20" ht="37.5" customHeight="1" x14ac:dyDescent="0.25">
      <c r="A78" s="19" t="s">
        <v>91</v>
      </c>
      <c r="B78">
        <f t="shared" si="12"/>
        <v>34041</v>
      </c>
      <c r="C78">
        <v>5230</v>
      </c>
      <c r="D78">
        <v>28811</v>
      </c>
      <c r="F78">
        <f t="shared" si="7"/>
        <v>115</v>
      </c>
      <c r="G78" s="20">
        <f t="shared" si="13"/>
        <v>73</v>
      </c>
      <c r="H78" s="21">
        <v>23014010090</v>
      </c>
      <c r="I78" s="22">
        <v>79</v>
      </c>
      <c r="J78" s="23"/>
      <c r="K78" s="24">
        <v>33926</v>
      </c>
      <c r="L78" s="23">
        <f t="shared" si="8"/>
        <v>115</v>
      </c>
      <c r="M78" s="24">
        <v>5211</v>
      </c>
      <c r="N78" s="25">
        <f t="shared" si="9"/>
        <v>19</v>
      </c>
      <c r="O78" s="24">
        <v>28715</v>
      </c>
      <c r="P78" s="23">
        <f t="shared" si="10"/>
        <v>96</v>
      </c>
      <c r="Q78" s="26"/>
      <c r="R78" s="23">
        <f t="shared" si="11"/>
        <v>0</v>
      </c>
      <c r="S78" s="27" t="s">
        <v>18</v>
      </c>
      <c r="T78" s="19" t="s">
        <v>91</v>
      </c>
    </row>
    <row r="79" spans="1:20" ht="37.5" customHeight="1" x14ac:dyDescent="0.25">
      <c r="A79" s="19" t="s">
        <v>92</v>
      </c>
      <c r="B79">
        <f t="shared" si="12"/>
        <v>79997</v>
      </c>
      <c r="C79">
        <v>12446</v>
      </c>
      <c r="D79">
        <v>67551</v>
      </c>
      <c r="F79">
        <f t="shared" si="7"/>
        <v>136</v>
      </c>
      <c r="G79" s="20">
        <f t="shared" si="13"/>
        <v>74</v>
      </c>
      <c r="H79" s="21">
        <v>23014040504</v>
      </c>
      <c r="I79" s="22">
        <v>80</v>
      </c>
      <c r="J79" s="23"/>
      <c r="K79" s="24">
        <v>79861</v>
      </c>
      <c r="L79" s="23">
        <f t="shared" si="8"/>
        <v>136</v>
      </c>
      <c r="M79" s="24">
        <v>12429</v>
      </c>
      <c r="N79" s="25">
        <f t="shared" si="9"/>
        <v>17</v>
      </c>
      <c r="O79" s="24">
        <v>67432</v>
      </c>
      <c r="P79" s="23">
        <f t="shared" si="10"/>
        <v>119</v>
      </c>
      <c r="Q79" s="26"/>
      <c r="R79" s="23">
        <f t="shared" si="11"/>
        <v>0</v>
      </c>
      <c r="S79" s="27" t="s">
        <v>18</v>
      </c>
      <c r="T79" s="19" t="s">
        <v>92</v>
      </c>
    </row>
    <row r="80" spans="1:20" ht="37.5" customHeight="1" x14ac:dyDescent="0.25">
      <c r="A80" s="19" t="s">
        <v>93</v>
      </c>
      <c r="B80">
        <f t="shared" si="12"/>
        <v>48707</v>
      </c>
      <c r="C80">
        <v>7873</v>
      </c>
      <c r="D80">
        <v>40834</v>
      </c>
      <c r="F80">
        <f t="shared" si="7"/>
        <v>375</v>
      </c>
      <c r="G80" s="20">
        <f t="shared" si="13"/>
        <v>75</v>
      </c>
      <c r="H80" s="21">
        <v>23012060202</v>
      </c>
      <c r="I80" s="22">
        <v>81</v>
      </c>
      <c r="J80" s="23"/>
      <c r="K80" s="24">
        <v>48332</v>
      </c>
      <c r="L80" s="23">
        <f t="shared" si="8"/>
        <v>375</v>
      </c>
      <c r="M80" s="24">
        <v>7806</v>
      </c>
      <c r="N80" s="25">
        <f t="shared" si="9"/>
        <v>67</v>
      </c>
      <c r="O80" s="24">
        <v>40526</v>
      </c>
      <c r="P80" s="23">
        <f t="shared" si="10"/>
        <v>308</v>
      </c>
      <c r="Q80" s="26"/>
      <c r="R80" s="23">
        <f t="shared" si="11"/>
        <v>0</v>
      </c>
      <c r="S80" s="27" t="s">
        <v>18</v>
      </c>
      <c r="T80" s="19" t="s">
        <v>93</v>
      </c>
    </row>
    <row r="81" spans="1:20" ht="37.5" customHeight="1" x14ac:dyDescent="0.25">
      <c r="A81" s="19" t="s">
        <v>94</v>
      </c>
      <c r="B81">
        <f t="shared" si="12"/>
        <v>48550</v>
      </c>
      <c r="C81">
        <v>8992</v>
      </c>
      <c r="D81">
        <v>39558</v>
      </c>
      <c r="F81">
        <f t="shared" si="7"/>
        <v>432</v>
      </c>
      <c r="G81" s="20">
        <f t="shared" si="13"/>
        <v>76</v>
      </c>
      <c r="H81" s="21">
        <v>23013080077</v>
      </c>
      <c r="I81" s="22">
        <v>82</v>
      </c>
      <c r="J81" s="23"/>
      <c r="K81" s="24">
        <v>48118</v>
      </c>
      <c r="L81" s="23">
        <f t="shared" si="8"/>
        <v>432</v>
      </c>
      <c r="M81" s="24">
        <v>8816</v>
      </c>
      <c r="N81" s="25">
        <f t="shared" si="9"/>
        <v>176</v>
      </c>
      <c r="O81" s="24">
        <v>39302</v>
      </c>
      <c r="P81" s="23">
        <f t="shared" si="10"/>
        <v>256</v>
      </c>
      <c r="Q81" s="26"/>
      <c r="R81" s="23">
        <f t="shared" si="11"/>
        <v>0</v>
      </c>
      <c r="S81" s="27" t="s">
        <v>18</v>
      </c>
      <c r="T81" s="19" t="s">
        <v>94</v>
      </c>
    </row>
    <row r="82" spans="1:20" ht="37.5" customHeight="1" x14ac:dyDescent="0.25">
      <c r="A82" s="19" t="s">
        <v>95</v>
      </c>
      <c r="B82">
        <f t="shared" si="12"/>
        <v>47023</v>
      </c>
      <c r="C82">
        <v>6921</v>
      </c>
      <c r="D82">
        <v>40102</v>
      </c>
      <c r="F82">
        <f t="shared" si="7"/>
        <v>269</v>
      </c>
      <c r="G82" s="20">
        <f t="shared" si="13"/>
        <v>77</v>
      </c>
      <c r="H82" s="21">
        <v>88820020067</v>
      </c>
      <c r="I82" s="22">
        <v>83</v>
      </c>
      <c r="J82" s="23"/>
      <c r="K82" s="24">
        <v>46754</v>
      </c>
      <c r="L82" s="23">
        <f t="shared" si="8"/>
        <v>269</v>
      </c>
      <c r="M82" s="24">
        <v>6862</v>
      </c>
      <c r="N82" s="25">
        <f t="shared" si="9"/>
        <v>59</v>
      </c>
      <c r="O82" s="24">
        <v>39892</v>
      </c>
      <c r="P82" s="23">
        <f t="shared" si="10"/>
        <v>210</v>
      </c>
      <c r="Q82" s="26"/>
      <c r="R82" s="23">
        <f t="shared" si="11"/>
        <v>0</v>
      </c>
      <c r="S82" s="27" t="s">
        <v>18</v>
      </c>
      <c r="T82" s="19" t="s">
        <v>95</v>
      </c>
    </row>
    <row r="83" spans="1:20" ht="37.5" customHeight="1" x14ac:dyDescent="0.25">
      <c r="A83" s="19" t="s">
        <v>96</v>
      </c>
      <c r="B83">
        <f t="shared" si="12"/>
        <v>51196</v>
      </c>
      <c r="C83">
        <v>7964</v>
      </c>
      <c r="D83">
        <v>43232</v>
      </c>
      <c r="F83">
        <f t="shared" si="7"/>
        <v>190</v>
      </c>
      <c r="G83" s="20">
        <f t="shared" si="13"/>
        <v>78</v>
      </c>
      <c r="H83" s="21">
        <v>23014060854</v>
      </c>
      <c r="I83" s="22">
        <v>84</v>
      </c>
      <c r="J83" s="23"/>
      <c r="K83" s="24">
        <v>51006</v>
      </c>
      <c r="L83" s="23">
        <f t="shared" si="8"/>
        <v>190</v>
      </c>
      <c r="M83" s="24">
        <v>7935</v>
      </c>
      <c r="N83" s="25">
        <f t="shared" si="9"/>
        <v>29</v>
      </c>
      <c r="O83" s="24">
        <v>43071</v>
      </c>
      <c r="P83" s="23">
        <f t="shared" si="10"/>
        <v>161</v>
      </c>
      <c r="Q83" s="26"/>
      <c r="R83" s="23">
        <f t="shared" si="11"/>
        <v>0</v>
      </c>
      <c r="S83" s="27" t="s">
        <v>18</v>
      </c>
      <c r="T83" s="19" t="s">
        <v>96</v>
      </c>
    </row>
    <row r="84" spans="1:20" ht="37.5" customHeight="1" x14ac:dyDescent="0.25">
      <c r="A84" s="19" t="s">
        <v>97</v>
      </c>
      <c r="B84">
        <f t="shared" si="12"/>
        <v>14470</v>
      </c>
      <c r="C84">
        <v>2378</v>
      </c>
      <c r="D84">
        <v>12092</v>
      </c>
      <c r="F84">
        <f t="shared" si="7"/>
        <v>150</v>
      </c>
      <c r="G84" s="20">
        <f t="shared" si="13"/>
        <v>79</v>
      </c>
      <c r="H84" s="21">
        <v>88821020134</v>
      </c>
      <c r="I84" s="22">
        <v>85</v>
      </c>
      <c r="J84" s="23"/>
      <c r="K84" s="24">
        <v>14320</v>
      </c>
      <c r="L84" s="23">
        <f t="shared" si="8"/>
        <v>150</v>
      </c>
      <c r="M84" s="24">
        <v>2344</v>
      </c>
      <c r="N84" s="25">
        <f t="shared" si="9"/>
        <v>34</v>
      </c>
      <c r="O84" s="24">
        <v>11976</v>
      </c>
      <c r="P84" s="23">
        <f t="shared" si="10"/>
        <v>116</v>
      </c>
      <c r="Q84" s="26"/>
      <c r="R84" s="23">
        <f t="shared" si="11"/>
        <v>0</v>
      </c>
      <c r="S84" s="27" t="s">
        <v>18</v>
      </c>
      <c r="T84" s="19" t="s">
        <v>97</v>
      </c>
    </row>
    <row r="85" spans="1:20" ht="37.5" customHeight="1" x14ac:dyDescent="0.25">
      <c r="A85" s="19" t="s">
        <v>98</v>
      </c>
      <c r="B85">
        <f t="shared" si="12"/>
        <v>16746</v>
      </c>
      <c r="C85">
        <v>3692</v>
      </c>
      <c r="D85">
        <v>13054</v>
      </c>
      <c r="F85">
        <f t="shared" si="7"/>
        <v>68</v>
      </c>
      <c r="G85" s="20">
        <f t="shared" si="13"/>
        <v>80</v>
      </c>
      <c r="H85" s="21">
        <v>88819010309</v>
      </c>
      <c r="I85" s="22">
        <v>86</v>
      </c>
      <c r="J85" s="23"/>
      <c r="K85" s="24">
        <v>16678</v>
      </c>
      <c r="L85" s="23">
        <f t="shared" si="8"/>
        <v>68</v>
      </c>
      <c r="M85" s="24">
        <v>3680</v>
      </c>
      <c r="N85" s="25">
        <f t="shared" si="9"/>
        <v>12</v>
      </c>
      <c r="O85" s="24">
        <v>12998</v>
      </c>
      <c r="P85" s="23">
        <f t="shared" si="10"/>
        <v>56</v>
      </c>
      <c r="Q85" s="26"/>
      <c r="R85" s="23">
        <f t="shared" si="11"/>
        <v>0</v>
      </c>
      <c r="S85" s="27" t="s">
        <v>18</v>
      </c>
      <c r="T85" s="19" t="s">
        <v>98</v>
      </c>
    </row>
    <row r="86" spans="1:20" ht="37.5" customHeight="1" x14ac:dyDescent="0.25">
      <c r="A86" s="19" t="s">
        <v>99</v>
      </c>
      <c r="B86">
        <f t="shared" si="12"/>
        <v>28199</v>
      </c>
      <c r="C86">
        <v>4682</v>
      </c>
      <c r="D86">
        <v>23517</v>
      </c>
      <c r="F86">
        <f t="shared" si="7"/>
        <v>309</v>
      </c>
      <c r="G86" s="20">
        <f t="shared" si="13"/>
        <v>81</v>
      </c>
      <c r="H86" s="21">
        <v>88819050370</v>
      </c>
      <c r="I86" s="22">
        <v>87</v>
      </c>
      <c r="J86" s="23"/>
      <c r="K86" s="24">
        <v>27890</v>
      </c>
      <c r="L86" s="23">
        <f t="shared" si="8"/>
        <v>309</v>
      </c>
      <c r="M86" s="24">
        <v>4620</v>
      </c>
      <c r="N86" s="25">
        <f t="shared" si="9"/>
        <v>62</v>
      </c>
      <c r="O86" s="24">
        <v>23270</v>
      </c>
      <c r="P86" s="23">
        <f t="shared" si="10"/>
        <v>247</v>
      </c>
      <c r="Q86" s="26"/>
      <c r="R86" s="23">
        <f t="shared" si="11"/>
        <v>0</v>
      </c>
      <c r="S86" s="27" t="s">
        <v>18</v>
      </c>
      <c r="T86" s="19" t="s">
        <v>99</v>
      </c>
    </row>
    <row r="87" spans="1:20" ht="37.5" customHeight="1" x14ac:dyDescent="0.25">
      <c r="A87" s="19" t="s">
        <v>100</v>
      </c>
      <c r="B87">
        <f t="shared" si="12"/>
        <v>59896</v>
      </c>
      <c r="C87">
        <v>8746</v>
      </c>
      <c r="D87">
        <v>51150</v>
      </c>
      <c r="F87">
        <f t="shared" si="7"/>
        <v>435</v>
      </c>
      <c r="G87" s="20">
        <f t="shared" si="13"/>
        <v>82</v>
      </c>
      <c r="H87" s="21">
        <v>23013010318</v>
      </c>
      <c r="I87" s="22">
        <v>88</v>
      </c>
      <c r="J87" s="23"/>
      <c r="K87" s="24">
        <v>59461</v>
      </c>
      <c r="L87" s="23">
        <f t="shared" si="8"/>
        <v>435</v>
      </c>
      <c r="M87" s="24">
        <v>8675</v>
      </c>
      <c r="N87" s="25">
        <f t="shared" si="9"/>
        <v>71</v>
      </c>
      <c r="O87" s="24">
        <v>50786</v>
      </c>
      <c r="P87" s="23">
        <f t="shared" si="10"/>
        <v>364</v>
      </c>
      <c r="Q87" s="26"/>
      <c r="R87" s="23">
        <f t="shared" si="11"/>
        <v>0</v>
      </c>
      <c r="S87" s="27" t="s">
        <v>18</v>
      </c>
      <c r="T87" s="19" t="s">
        <v>100</v>
      </c>
    </row>
    <row r="88" spans="1:20" ht="37.5" customHeight="1" x14ac:dyDescent="0.25">
      <c r="A88" s="19" t="s">
        <v>101</v>
      </c>
      <c r="B88">
        <f t="shared" si="12"/>
        <v>66481</v>
      </c>
      <c r="C88">
        <v>11569</v>
      </c>
      <c r="D88">
        <v>54912</v>
      </c>
      <c r="F88">
        <f t="shared" si="7"/>
        <v>19</v>
      </c>
      <c r="G88" s="20">
        <f t="shared" si="13"/>
        <v>83</v>
      </c>
      <c r="H88" s="21">
        <v>23012010127</v>
      </c>
      <c r="I88" s="22">
        <v>89</v>
      </c>
      <c r="J88" s="23"/>
      <c r="K88" s="24">
        <v>66462</v>
      </c>
      <c r="L88" s="23">
        <f t="shared" si="8"/>
        <v>19</v>
      </c>
      <c r="M88" s="24">
        <v>11569</v>
      </c>
      <c r="N88" s="25">
        <f t="shared" si="9"/>
        <v>0</v>
      </c>
      <c r="O88" s="24">
        <v>54893</v>
      </c>
      <c r="P88" s="23">
        <f t="shared" si="10"/>
        <v>19</v>
      </c>
      <c r="Q88" s="26"/>
      <c r="R88" s="23">
        <f t="shared" si="11"/>
        <v>0</v>
      </c>
      <c r="S88" s="27" t="s">
        <v>18</v>
      </c>
      <c r="T88" s="19" t="s">
        <v>101</v>
      </c>
    </row>
    <row r="89" spans="1:20" ht="37.5" customHeight="1" x14ac:dyDescent="0.25">
      <c r="A89" s="19" t="s">
        <v>102</v>
      </c>
      <c r="B89">
        <f t="shared" si="12"/>
        <v>19286</v>
      </c>
      <c r="C89">
        <v>2896</v>
      </c>
      <c r="D89">
        <v>16390</v>
      </c>
      <c r="F89">
        <f t="shared" si="7"/>
        <v>304</v>
      </c>
      <c r="G89" s="20">
        <f t="shared" si="13"/>
        <v>84</v>
      </c>
      <c r="H89" s="21">
        <v>88820030388</v>
      </c>
      <c r="I89" s="22">
        <v>90</v>
      </c>
      <c r="J89" s="23"/>
      <c r="K89" s="24">
        <v>18982</v>
      </c>
      <c r="L89" s="23">
        <f t="shared" si="8"/>
        <v>304</v>
      </c>
      <c r="M89" s="24">
        <v>2853</v>
      </c>
      <c r="N89" s="25">
        <f t="shared" si="9"/>
        <v>43</v>
      </c>
      <c r="O89" s="24">
        <v>16129</v>
      </c>
      <c r="P89" s="23">
        <f t="shared" si="10"/>
        <v>261</v>
      </c>
      <c r="Q89" s="26"/>
      <c r="R89" s="23">
        <f t="shared" si="11"/>
        <v>0</v>
      </c>
      <c r="S89" s="27" t="s">
        <v>18</v>
      </c>
      <c r="T89" s="19" t="s">
        <v>102</v>
      </c>
    </row>
    <row r="90" spans="1:20" ht="37.5" customHeight="1" x14ac:dyDescent="0.25">
      <c r="A90" s="19" t="s">
        <v>103</v>
      </c>
      <c r="B90">
        <f t="shared" si="12"/>
        <v>52622</v>
      </c>
      <c r="C90">
        <v>9193</v>
      </c>
      <c r="D90">
        <v>43429</v>
      </c>
      <c r="F90">
        <f t="shared" si="7"/>
        <v>317</v>
      </c>
      <c r="G90" s="20">
        <f t="shared" si="13"/>
        <v>85</v>
      </c>
      <c r="H90" s="21">
        <v>23012100190</v>
      </c>
      <c r="I90" s="22">
        <v>92</v>
      </c>
      <c r="J90" s="23"/>
      <c r="K90" s="24">
        <v>52305</v>
      </c>
      <c r="L90" s="23">
        <f t="shared" si="8"/>
        <v>317</v>
      </c>
      <c r="M90" s="24">
        <v>9138</v>
      </c>
      <c r="N90" s="25">
        <f t="shared" si="9"/>
        <v>55</v>
      </c>
      <c r="O90" s="24">
        <v>43167</v>
      </c>
      <c r="P90" s="23">
        <f t="shared" si="10"/>
        <v>262</v>
      </c>
      <c r="Q90" s="26"/>
      <c r="R90" s="23">
        <f t="shared" si="11"/>
        <v>0</v>
      </c>
      <c r="S90" s="27" t="s">
        <v>18</v>
      </c>
      <c r="T90" s="19" t="s">
        <v>103</v>
      </c>
    </row>
    <row r="91" spans="1:20" ht="37.5" customHeight="1" x14ac:dyDescent="0.25">
      <c r="A91" s="19" t="s">
        <v>104</v>
      </c>
      <c r="B91">
        <f t="shared" si="12"/>
        <v>10191</v>
      </c>
      <c r="C91">
        <v>1995</v>
      </c>
      <c r="D91">
        <v>8196</v>
      </c>
      <c r="F91">
        <f t="shared" si="7"/>
        <v>2</v>
      </c>
      <c r="G91" s="20">
        <f t="shared" si="13"/>
        <v>86</v>
      </c>
      <c r="H91" s="21">
        <v>66621040284</v>
      </c>
      <c r="I91" s="22">
        <v>93</v>
      </c>
      <c r="J91" s="23"/>
      <c r="K91" s="24">
        <v>10189</v>
      </c>
      <c r="L91" s="23">
        <f t="shared" si="8"/>
        <v>2</v>
      </c>
      <c r="M91" s="24">
        <v>1994</v>
      </c>
      <c r="N91" s="25">
        <f t="shared" si="9"/>
        <v>1</v>
      </c>
      <c r="O91" s="24">
        <v>8195</v>
      </c>
      <c r="P91" s="23">
        <f t="shared" si="10"/>
        <v>1</v>
      </c>
      <c r="Q91" s="26"/>
      <c r="R91" s="23">
        <f t="shared" si="11"/>
        <v>0</v>
      </c>
      <c r="S91" s="27" t="s">
        <v>18</v>
      </c>
      <c r="T91" s="19" t="s">
        <v>104</v>
      </c>
    </row>
    <row r="92" spans="1:20" ht="37.5" customHeight="1" x14ac:dyDescent="0.25">
      <c r="A92" s="19" t="s">
        <v>105</v>
      </c>
      <c r="B92">
        <f t="shared" si="12"/>
        <v>107894</v>
      </c>
      <c r="C92">
        <v>21093</v>
      </c>
      <c r="D92">
        <v>86801</v>
      </c>
      <c r="F92">
        <f t="shared" si="7"/>
        <v>416</v>
      </c>
      <c r="G92" s="20">
        <f t="shared" si="13"/>
        <v>87</v>
      </c>
      <c r="H92" s="21">
        <v>23011070058</v>
      </c>
      <c r="I92" s="22">
        <v>94</v>
      </c>
      <c r="J92" s="23"/>
      <c r="K92" s="24">
        <v>107478</v>
      </c>
      <c r="L92" s="23">
        <f t="shared" si="8"/>
        <v>416</v>
      </c>
      <c r="M92" s="24">
        <v>21002</v>
      </c>
      <c r="N92" s="25">
        <f t="shared" si="9"/>
        <v>91</v>
      </c>
      <c r="O92" s="24">
        <v>86476</v>
      </c>
      <c r="P92" s="23">
        <f t="shared" si="10"/>
        <v>325</v>
      </c>
      <c r="Q92" s="26"/>
      <c r="R92" s="23">
        <f t="shared" si="11"/>
        <v>0</v>
      </c>
      <c r="S92" s="27" t="s">
        <v>18</v>
      </c>
      <c r="T92" s="19" t="s">
        <v>105</v>
      </c>
    </row>
    <row r="93" spans="1:20" ht="37.5" customHeight="1" x14ac:dyDescent="0.25">
      <c r="A93" s="19" t="s">
        <v>106</v>
      </c>
      <c r="B93">
        <f t="shared" si="12"/>
        <v>6739</v>
      </c>
      <c r="C93">
        <v>1296</v>
      </c>
      <c r="D93">
        <v>5443</v>
      </c>
      <c r="E93">
        <v>6235</v>
      </c>
      <c r="F93">
        <f t="shared" si="7"/>
        <v>203</v>
      </c>
      <c r="G93" s="20">
        <f t="shared" si="13"/>
        <v>88</v>
      </c>
      <c r="H93" s="21">
        <v>99623080277</v>
      </c>
      <c r="I93" s="22">
        <v>95</v>
      </c>
      <c r="J93" s="23"/>
      <c r="K93" s="24">
        <f>M93+O93</f>
        <v>6536</v>
      </c>
      <c r="L93" s="23">
        <f t="shared" si="8"/>
        <v>203</v>
      </c>
      <c r="M93" s="24">
        <v>1235</v>
      </c>
      <c r="N93" s="25">
        <f t="shared" si="9"/>
        <v>61</v>
      </c>
      <c r="O93" s="24">
        <v>5301</v>
      </c>
      <c r="P93" s="23">
        <f t="shared" si="10"/>
        <v>142</v>
      </c>
      <c r="Q93" s="26">
        <v>5685</v>
      </c>
      <c r="R93" s="23">
        <f t="shared" si="11"/>
        <v>550</v>
      </c>
      <c r="S93" s="27" t="s">
        <v>18</v>
      </c>
      <c r="T93" s="19" t="s">
        <v>106</v>
      </c>
    </row>
    <row r="94" spans="1:20" ht="37.5" customHeight="1" x14ac:dyDescent="0.25">
      <c r="A94" s="19" t="s">
        <v>107</v>
      </c>
      <c r="B94">
        <f t="shared" si="12"/>
        <v>49714</v>
      </c>
      <c r="C94">
        <v>10186</v>
      </c>
      <c r="D94">
        <v>39528</v>
      </c>
      <c r="F94">
        <f t="shared" si="7"/>
        <v>320</v>
      </c>
      <c r="G94" s="20">
        <f t="shared" si="13"/>
        <v>89</v>
      </c>
      <c r="H94" s="21">
        <v>23013010137</v>
      </c>
      <c r="I94" s="22">
        <v>96</v>
      </c>
      <c r="J94" s="23"/>
      <c r="K94" s="24">
        <v>49394</v>
      </c>
      <c r="L94" s="23">
        <f t="shared" si="8"/>
        <v>320</v>
      </c>
      <c r="M94" s="24">
        <v>10140</v>
      </c>
      <c r="N94" s="25">
        <f t="shared" si="9"/>
        <v>46</v>
      </c>
      <c r="O94" s="24">
        <v>39254</v>
      </c>
      <c r="P94" s="23">
        <f t="shared" si="10"/>
        <v>274</v>
      </c>
      <c r="Q94" s="26"/>
      <c r="R94" s="23">
        <f t="shared" si="11"/>
        <v>0</v>
      </c>
      <c r="S94" s="27" t="s">
        <v>18</v>
      </c>
      <c r="T94" s="19" t="s">
        <v>107</v>
      </c>
    </row>
    <row r="95" spans="1:20" ht="37.5" customHeight="1" x14ac:dyDescent="0.25">
      <c r="A95" s="19" t="s">
        <v>108</v>
      </c>
      <c r="B95">
        <f t="shared" si="12"/>
        <v>19267</v>
      </c>
      <c r="C95">
        <v>4867</v>
      </c>
      <c r="D95">
        <v>14400</v>
      </c>
      <c r="F95">
        <f t="shared" si="7"/>
        <v>201</v>
      </c>
      <c r="G95" s="20">
        <f t="shared" si="13"/>
        <v>90</v>
      </c>
      <c r="H95" s="21">
        <v>66618010134</v>
      </c>
      <c r="I95" s="22">
        <v>97</v>
      </c>
      <c r="J95" s="23"/>
      <c r="K95" s="24">
        <v>19066</v>
      </c>
      <c r="L95" s="23">
        <f t="shared" si="8"/>
        <v>201</v>
      </c>
      <c r="M95" s="24">
        <v>4824</v>
      </c>
      <c r="N95" s="25">
        <f t="shared" si="9"/>
        <v>43</v>
      </c>
      <c r="O95" s="24">
        <v>14242</v>
      </c>
      <c r="P95" s="23">
        <f t="shared" si="10"/>
        <v>158</v>
      </c>
      <c r="Q95" s="26"/>
      <c r="R95" s="23">
        <f t="shared" si="11"/>
        <v>0</v>
      </c>
      <c r="S95" s="27" t="s">
        <v>18</v>
      </c>
      <c r="T95" s="19" t="s">
        <v>108</v>
      </c>
    </row>
    <row r="96" spans="1:20" ht="37.5" customHeight="1" x14ac:dyDescent="0.25">
      <c r="A96" s="19" t="s">
        <v>109</v>
      </c>
      <c r="B96">
        <f t="shared" si="12"/>
        <v>31586</v>
      </c>
      <c r="C96">
        <v>5712</v>
      </c>
      <c r="D96">
        <v>25874</v>
      </c>
      <c r="F96">
        <f t="shared" si="7"/>
        <v>341</v>
      </c>
      <c r="G96" s="20">
        <f t="shared" si="13"/>
        <v>91</v>
      </c>
      <c r="H96" s="21">
        <v>66618010018</v>
      </c>
      <c r="I96" s="22">
        <v>98</v>
      </c>
      <c r="J96" s="23"/>
      <c r="K96" s="24">
        <v>31245</v>
      </c>
      <c r="L96" s="23">
        <f t="shared" si="8"/>
        <v>341</v>
      </c>
      <c r="M96" s="24">
        <v>5652</v>
      </c>
      <c r="N96" s="25">
        <f t="shared" si="9"/>
        <v>60</v>
      </c>
      <c r="O96" s="24">
        <v>25593</v>
      </c>
      <c r="P96" s="23">
        <f t="shared" si="10"/>
        <v>281</v>
      </c>
      <c r="Q96" s="26"/>
      <c r="R96" s="23">
        <f t="shared" si="11"/>
        <v>0</v>
      </c>
      <c r="S96" s="27" t="s">
        <v>18</v>
      </c>
      <c r="T96" s="19" t="s">
        <v>109</v>
      </c>
    </row>
    <row r="97" spans="1:20" ht="37.5" customHeight="1" x14ac:dyDescent="0.25">
      <c r="A97" s="19" t="s">
        <v>110</v>
      </c>
      <c r="B97">
        <f t="shared" si="12"/>
        <v>33287</v>
      </c>
      <c r="C97">
        <v>5944</v>
      </c>
      <c r="D97">
        <v>27343</v>
      </c>
      <c r="F97">
        <f t="shared" si="7"/>
        <v>232</v>
      </c>
      <c r="G97" s="20">
        <f t="shared" si="13"/>
        <v>92</v>
      </c>
      <c r="H97" s="21">
        <v>66616020003</v>
      </c>
      <c r="I97" s="22">
        <v>100</v>
      </c>
      <c r="J97" s="23"/>
      <c r="K97" s="24">
        <v>33055</v>
      </c>
      <c r="L97" s="23">
        <f t="shared" si="8"/>
        <v>232</v>
      </c>
      <c r="M97" s="24">
        <v>5908</v>
      </c>
      <c r="N97" s="25">
        <f t="shared" si="9"/>
        <v>36</v>
      </c>
      <c r="O97" s="24">
        <v>27147</v>
      </c>
      <c r="P97" s="23">
        <f t="shared" si="10"/>
        <v>196</v>
      </c>
      <c r="Q97" s="26"/>
      <c r="R97" s="23">
        <f t="shared" si="11"/>
        <v>0</v>
      </c>
      <c r="S97" s="27" t="s">
        <v>18</v>
      </c>
      <c r="T97" s="19" t="s">
        <v>110</v>
      </c>
    </row>
    <row r="98" spans="1:20" ht="37.5" customHeight="1" x14ac:dyDescent="0.25">
      <c r="A98" s="19" t="s">
        <v>111</v>
      </c>
      <c r="B98">
        <f t="shared" si="12"/>
        <v>53066</v>
      </c>
      <c r="C98">
        <v>8878</v>
      </c>
      <c r="D98">
        <v>44188</v>
      </c>
      <c r="F98">
        <f t="shared" si="7"/>
        <v>547</v>
      </c>
      <c r="G98" s="20">
        <f t="shared" si="13"/>
        <v>93</v>
      </c>
      <c r="H98" s="21">
        <v>66616031368</v>
      </c>
      <c r="I98" s="22">
        <v>102</v>
      </c>
      <c r="J98" s="23"/>
      <c r="K98" s="24">
        <v>52519</v>
      </c>
      <c r="L98" s="23">
        <f t="shared" si="8"/>
        <v>547</v>
      </c>
      <c r="M98" s="24">
        <v>8803</v>
      </c>
      <c r="N98" s="25">
        <f t="shared" si="9"/>
        <v>75</v>
      </c>
      <c r="O98" s="24">
        <v>43716</v>
      </c>
      <c r="P98" s="23">
        <f t="shared" si="10"/>
        <v>472</v>
      </c>
      <c r="Q98" s="26"/>
      <c r="R98" s="23">
        <f t="shared" si="11"/>
        <v>0</v>
      </c>
      <c r="S98" s="27" t="s">
        <v>18</v>
      </c>
      <c r="T98" s="19" t="s">
        <v>111</v>
      </c>
    </row>
    <row r="99" spans="1:20" ht="37.5" customHeight="1" x14ac:dyDescent="0.25">
      <c r="A99" s="19" t="s">
        <v>112</v>
      </c>
      <c r="B99">
        <f t="shared" si="12"/>
        <v>34867</v>
      </c>
      <c r="C99">
        <v>5932</v>
      </c>
      <c r="D99">
        <v>28935</v>
      </c>
      <c r="F99">
        <f t="shared" si="7"/>
        <v>392</v>
      </c>
      <c r="G99" s="20">
        <f t="shared" si="13"/>
        <v>94</v>
      </c>
      <c r="H99" s="21">
        <v>88818020338</v>
      </c>
      <c r="I99" s="22">
        <v>103</v>
      </c>
      <c r="J99" s="23"/>
      <c r="K99" s="24">
        <v>34475</v>
      </c>
      <c r="L99" s="23">
        <f t="shared" si="8"/>
        <v>392</v>
      </c>
      <c r="M99" s="24">
        <v>5874</v>
      </c>
      <c r="N99" s="25">
        <f t="shared" si="9"/>
        <v>58</v>
      </c>
      <c r="O99" s="24">
        <v>28601</v>
      </c>
      <c r="P99" s="23">
        <f t="shared" si="10"/>
        <v>334</v>
      </c>
      <c r="Q99" s="26"/>
      <c r="R99" s="23">
        <f t="shared" si="11"/>
        <v>0</v>
      </c>
      <c r="S99" s="27" t="s">
        <v>18</v>
      </c>
      <c r="T99" s="19" t="s">
        <v>112</v>
      </c>
    </row>
    <row r="100" spans="1:20" ht="37.5" customHeight="1" x14ac:dyDescent="0.25">
      <c r="A100" s="19" t="s">
        <v>113</v>
      </c>
      <c r="B100">
        <f t="shared" si="12"/>
        <v>16352</v>
      </c>
      <c r="C100">
        <v>3214</v>
      </c>
      <c r="D100">
        <v>13138</v>
      </c>
      <c r="F100">
        <f t="shared" si="7"/>
        <v>433</v>
      </c>
      <c r="G100" s="20">
        <f t="shared" si="13"/>
        <v>95</v>
      </c>
      <c r="H100" s="21">
        <v>66621090115</v>
      </c>
      <c r="I100" s="22">
        <v>104</v>
      </c>
      <c r="J100" s="23"/>
      <c r="K100" s="24">
        <v>15919</v>
      </c>
      <c r="L100" s="23">
        <f t="shared" si="8"/>
        <v>433</v>
      </c>
      <c r="M100" s="24">
        <v>3133</v>
      </c>
      <c r="N100" s="25">
        <f t="shared" si="9"/>
        <v>81</v>
      </c>
      <c r="O100" s="24">
        <v>12786</v>
      </c>
      <c r="P100" s="23">
        <f t="shared" si="10"/>
        <v>352</v>
      </c>
      <c r="Q100" s="26"/>
      <c r="R100" s="23">
        <f t="shared" si="11"/>
        <v>0</v>
      </c>
      <c r="S100" s="27" t="s">
        <v>18</v>
      </c>
      <c r="T100" s="19" t="s">
        <v>113</v>
      </c>
    </row>
    <row r="101" spans="1:20" ht="37.5" customHeight="1" x14ac:dyDescent="0.25">
      <c r="A101" s="19" t="s">
        <v>114</v>
      </c>
      <c r="B101">
        <f t="shared" si="12"/>
        <v>17576</v>
      </c>
      <c r="C101">
        <v>2439</v>
      </c>
      <c r="D101">
        <v>15137</v>
      </c>
      <c r="E101">
        <v>15289</v>
      </c>
      <c r="F101">
        <f t="shared" si="7"/>
        <v>397</v>
      </c>
      <c r="G101" s="20">
        <f t="shared" si="13"/>
        <v>96</v>
      </c>
      <c r="H101" s="21">
        <v>99622010033</v>
      </c>
      <c r="I101" s="22">
        <v>105</v>
      </c>
      <c r="J101" s="23"/>
      <c r="K101" s="24">
        <f>M101+O101</f>
        <v>17179</v>
      </c>
      <c r="L101" s="23">
        <f t="shared" si="8"/>
        <v>397</v>
      </c>
      <c r="M101" s="24">
        <v>2359</v>
      </c>
      <c r="N101" s="25">
        <f t="shared" si="9"/>
        <v>80</v>
      </c>
      <c r="O101" s="24">
        <v>14820</v>
      </c>
      <c r="P101" s="23">
        <f t="shared" si="10"/>
        <v>317</v>
      </c>
      <c r="Q101" s="26">
        <v>14494</v>
      </c>
      <c r="R101" s="23">
        <f t="shared" si="11"/>
        <v>795</v>
      </c>
      <c r="S101" s="27" t="s">
        <v>18</v>
      </c>
      <c r="T101" s="19" t="s">
        <v>114</v>
      </c>
    </row>
    <row r="102" spans="1:20" ht="37.5" customHeight="1" x14ac:dyDescent="0.25">
      <c r="A102" s="19" t="s">
        <v>115</v>
      </c>
      <c r="B102">
        <f t="shared" si="12"/>
        <v>14719</v>
      </c>
      <c r="C102">
        <v>3263</v>
      </c>
      <c r="D102">
        <v>11456</v>
      </c>
      <c r="F102">
        <f t="shared" si="7"/>
        <v>106</v>
      </c>
      <c r="G102" s="20">
        <f t="shared" si="13"/>
        <v>97</v>
      </c>
      <c r="H102" s="21">
        <v>66621040180</v>
      </c>
      <c r="I102" s="22">
        <v>106</v>
      </c>
      <c r="J102" s="23"/>
      <c r="K102" s="24">
        <v>14613</v>
      </c>
      <c r="L102" s="23">
        <f t="shared" si="8"/>
        <v>106</v>
      </c>
      <c r="M102" s="24"/>
      <c r="N102" s="25">
        <f t="shared" si="9"/>
        <v>3263</v>
      </c>
      <c r="O102" s="24"/>
      <c r="P102" s="23">
        <f t="shared" si="10"/>
        <v>11456</v>
      </c>
      <c r="Q102" s="26"/>
      <c r="R102" s="23">
        <f t="shared" si="11"/>
        <v>0</v>
      </c>
      <c r="S102" s="27" t="s">
        <v>18</v>
      </c>
      <c r="T102" s="19" t="s">
        <v>115</v>
      </c>
    </row>
    <row r="103" spans="1:20" ht="37.5" customHeight="1" x14ac:dyDescent="0.25">
      <c r="A103" s="19" t="s">
        <v>116</v>
      </c>
      <c r="B103">
        <f t="shared" si="12"/>
        <v>48634</v>
      </c>
      <c r="C103">
        <v>8177</v>
      </c>
      <c r="D103">
        <v>40457</v>
      </c>
      <c r="F103">
        <f t="shared" si="7"/>
        <v>15</v>
      </c>
      <c r="G103" s="20">
        <f t="shared" si="13"/>
        <v>98</v>
      </c>
      <c r="H103" s="21">
        <v>88819020175</v>
      </c>
      <c r="I103" s="22">
        <v>108</v>
      </c>
      <c r="J103" s="23"/>
      <c r="K103" s="24">
        <v>48619</v>
      </c>
      <c r="L103" s="23">
        <f t="shared" si="8"/>
        <v>15</v>
      </c>
      <c r="M103" s="24">
        <v>8174</v>
      </c>
      <c r="N103" s="25">
        <f t="shared" si="9"/>
        <v>3</v>
      </c>
      <c r="O103" s="24">
        <v>40445</v>
      </c>
      <c r="P103" s="23">
        <f t="shared" si="10"/>
        <v>12</v>
      </c>
      <c r="Q103" s="26"/>
      <c r="R103" s="23">
        <f t="shared" si="11"/>
        <v>0</v>
      </c>
      <c r="S103" s="27" t="s">
        <v>18</v>
      </c>
      <c r="T103" s="19" t="s">
        <v>116</v>
      </c>
    </row>
    <row r="104" spans="1:20" ht="37.5" customHeight="1" x14ac:dyDescent="0.25">
      <c r="A104" s="19" t="s">
        <v>117</v>
      </c>
      <c r="B104">
        <f t="shared" si="12"/>
        <v>26382</v>
      </c>
      <c r="C104">
        <v>4294</v>
      </c>
      <c r="D104">
        <v>22088</v>
      </c>
      <c r="F104">
        <f t="shared" si="7"/>
        <v>22</v>
      </c>
      <c r="G104" s="20">
        <f t="shared" si="13"/>
        <v>99</v>
      </c>
      <c r="H104" s="21">
        <v>88820060219</v>
      </c>
      <c r="I104" s="22">
        <v>109</v>
      </c>
      <c r="J104" s="23"/>
      <c r="K104" s="24">
        <v>26360</v>
      </c>
      <c r="L104" s="23">
        <f t="shared" si="8"/>
        <v>22</v>
      </c>
      <c r="M104" s="24">
        <v>4380</v>
      </c>
      <c r="N104" s="25">
        <f t="shared" si="9"/>
        <v>-86</v>
      </c>
      <c r="O104" s="24">
        <v>21980</v>
      </c>
      <c r="P104" s="23">
        <f t="shared" si="10"/>
        <v>108</v>
      </c>
      <c r="Q104" s="26"/>
      <c r="R104" s="23">
        <f t="shared" si="11"/>
        <v>0</v>
      </c>
      <c r="S104" s="27" t="s">
        <v>18</v>
      </c>
      <c r="T104" s="19" t="s">
        <v>117</v>
      </c>
    </row>
    <row r="105" spans="1:20" ht="37.5" customHeight="1" x14ac:dyDescent="0.25">
      <c r="A105" s="19" t="s">
        <v>118</v>
      </c>
      <c r="B105">
        <f t="shared" si="12"/>
        <v>65006</v>
      </c>
      <c r="C105">
        <v>11823</v>
      </c>
      <c r="D105">
        <v>53183</v>
      </c>
      <c r="F105">
        <f t="shared" si="7"/>
        <v>276</v>
      </c>
      <c r="G105" s="20">
        <f t="shared" si="13"/>
        <v>100</v>
      </c>
      <c r="H105" s="21">
        <v>23015010399</v>
      </c>
      <c r="I105" s="22">
        <v>111</v>
      </c>
      <c r="J105" s="23"/>
      <c r="K105" s="24">
        <v>64730</v>
      </c>
      <c r="L105" s="23">
        <f t="shared" si="8"/>
        <v>276</v>
      </c>
      <c r="M105" s="24">
        <v>11789</v>
      </c>
      <c r="N105" s="25">
        <f t="shared" si="9"/>
        <v>34</v>
      </c>
      <c r="O105" s="24">
        <v>52941</v>
      </c>
      <c r="P105" s="23">
        <f t="shared" si="10"/>
        <v>242</v>
      </c>
      <c r="Q105" s="26"/>
      <c r="R105" s="23">
        <f t="shared" si="11"/>
        <v>0</v>
      </c>
      <c r="S105" s="27" t="s">
        <v>18</v>
      </c>
      <c r="T105" s="19" t="s">
        <v>118</v>
      </c>
    </row>
    <row r="106" spans="1:20" ht="37.5" customHeight="1" x14ac:dyDescent="0.25">
      <c r="A106" s="19" t="s">
        <v>119</v>
      </c>
      <c r="B106">
        <f t="shared" si="12"/>
        <v>71148</v>
      </c>
      <c r="C106">
        <v>11294</v>
      </c>
      <c r="D106">
        <v>59854</v>
      </c>
      <c r="F106">
        <f t="shared" si="7"/>
        <v>274</v>
      </c>
      <c r="G106" s="20">
        <f t="shared" si="13"/>
        <v>101</v>
      </c>
      <c r="H106" s="21">
        <v>23009070164</v>
      </c>
      <c r="I106" s="22">
        <v>113</v>
      </c>
      <c r="J106" s="23"/>
      <c r="K106" s="24">
        <v>70874</v>
      </c>
      <c r="L106" s="23">
        <f t="shared" si="8"/>
        <v>274</v>
      </c>
      <c r="M106" s="24">
        <v>11246</v>
      </c>
      <c r="N106" s="25">
        <f t="shared" si="9"/>
        <v>48</v>
      </c>
      <c r="O106" s="24">
        <v>59628</v>
      </c>
      <c r="P106" s="23">
        <f t="shared" si="10"/>
        <v>226</v>
      </c>
      <c r="Q106" s="26"/>
      <c r="R106" s="23">
        <f t="shared" si="11"/>
        <v>0</v>
      </c>
      <c r="S106" s="27" t="s">
        <v>18</v>
      </c>
      <c r="T106" s="19" t="s">
        <v>119</v>
      </c>
    </row>
    <row r="107" spans="1:20" ht="37.5" customHeight="1" x14ac:dyDescent="0.25">
      <c r="A107" s="19" t="s">
        <v>120</v>
      </c>
      <c r="B107">
        <f t="shared" si="12"/>
        <v>27494</v>
      </c>
      <c r="C107">
        <v>5638</v>
      </c>
      <c r="D107">
        <v>21856</v>
      </c>
      <c r="F107">
        <f t="shared" si="7"/>
        <v>300</v>
      </c>
      <c r="G107" s="20">
        <f t="shared" si="13"/>
        <v>102</v>
      </c>
      <c r="H107" s="21">
        <v>88819010024</v>
      </c>
      <c r="I107" s="22" t="s">
        <v>121</v>
      </c>
      <c r="J107" s="23"/>
      <c r="K107" s="24">
        <v>27194</v>
      </c>
      <c r="L107" s="23">
        <f t="shared" si="8"/>
        <v>300</v>
      </c>
      <c r="M107" s="24">
        <v>5585</v>
      </c>
      <c r="N107" s="25">
        <f t="shared" si="9"/>
        <v>53</v>
      </c>
      <c r="O107" s="24">
        <v>21609</v>
      </c>
      <c r="P107" s="23">
        <f t="shared" si="10"/>
        <v>247</v>
      </c>
      <c r="Q107" s="26"/>
      <c r="R107" s="23">
        <f t="shared" si="11"/>
        <v>0</v>
      </c>
      <c r="S107" s="27" t="s">
        <v>18</v>
      </c>
      <c r="T107" s="19" t="s">
        <v>120</v>
      </c>
    </row>
    <row r="108" spans="1:20" ht="37.5" customHeight="1" x14ac:dyDescent="0.25">
      <c r="A108" s="19" t="s">
        <v>122</v>
      </c>
      <c r="B108">
        <f t="shared" si="12"/>
        <v>9924</v>
      </c>
      <c r="C108">
        <v>1723</v>
      </c>
      <c r="D108">
        <v>8201</v>
      </c>
      <c r="F108">
        <f t="shared" si="7"/>
        <v>172</v>
      </c>
      <c r="G108" s="20">
        <f t="shared" si="13"/>
        <v>103</v>
      </c>
      <c r="H108" s="21">
        <v>66621060459</v>
      </c>
      <c r="I108" s="22" t="s">
        <v>123</v>
      </c>
      <c r="J108" s="23"/>
      <c r="K108" s="24">
        <v>9752</v>
      </c>
      <c r="L108" s="23">
        <f t="shared" si="8"/>
        <v>172</v>
      </c>
      <c r="M108" s="24">
        <v>1691</v>
      </c>
      <c r="N108" s="25">
        <f t="shared" si="9"/>
        <v>32</v>
      </c>
      <c r="O108" s="24">
        <v>8061</v>
      </c>
      <c r="P108" s="23">
        <f t="shared" si="10"/>
        <v>140</v>
      </c>
      <c r="Q108" s="26"/>
      <c r="R108" s="23">
        <f t="shared" si="11"/>
        <v>0</v>
      </c>
      <c r="S108" s="27" t="s">
        <v>18</v>
      </c>
      <c r="T108" s="19" t="s">
        <v>122</v>
      </c>
    </row>
    <row r="109" spans="1:20" ht="37.5" customHeight="1" x14ac:dyDescent="0.25">
      <c r="A109" s="19" t="s">
        <v>124</v>
      </c>
      <c r="B109">
        <f t="shared" si="12"/>
        <v>61698</v>
      </c>
      <c r="C109">
        <v>18110</v>
      </c>
      <c r="D109">
        <v>43588</v>
      </c>
      <c r="F109">
        <f t="shared" si="7"/>
        <v>184</v>
      </c>
      <c r="G109" s="20">
        <f t="shared" si="13"/>
        <v>104</v>
      </c>
      <c r="H109" s="21">
        <v>9080018</v>
      </c>
      <c r="I109" s="22" t="s">
        <v>125</v>
      </c>
      <c r="J109" s="23"/>
      <c r="K109" s="24">
        <v>61514</v>
      </c>
      <c r="L109" s="23">
        <f t="shared" si="8"/>
        <v>184</v>
      </c>
      <c r="M109" s="24">
        <v>18081</v>
      </c>
      <c r="N109" s="25">
        <f t="shared" si="9"/>
        <v>29</v>
      </c>
      <c r="O109" s="24">
        <v>43433</v>
      </c>
      <c r="P109" s="23">
        <f t="shared" si="10"/>
        <v>155</v>
      </c>
      <c r="Q109" s="26"/>
      <c r="R109" s="23">
        <f t="shared" si="11"/>
        <v>0</v>
      </c>
      <c r="S109" s="27" t="s">
        <v>18</v>
      </c>
      <c r="T109" s="19" t="s">
        <v>124</v>
      </c>
    </row>
    <row r="110" spans="1:20" ht="37.5" customHeight="1" x14ac:dyDescent="0.25">
      <c r="A110" s="19" t="s">
        <v>126</v>
      </c>
      <c r="B110">
        <f t="shared" si="12"/>
        <v>86287</v>
      </c>
      <c r="C110">
        <v>20131</v>
      </c>
      <c r="D110">
        <v>66156</v>
      </c>
      <c r="F110">
        <f t="shared" si="7"/>
        <v>469</v>
      </c>
      <c r="G110" s="20">
        <f t="shared" si="13"/>
        <v>105</v>
      </c>
      <c r="H110" s="21">
        <v>9080017</v>
      </c>
      <c r="I110" s="22" t="s">
        <v>127</v>
      </c>
      <c r="J110" s="23"/>
      <c r="K110" s="24">
        <v>85818</v>
      </c>
      <c r="L110" s="23">
        <f t="shared" si="8"/>
        <v>469</v>
      </c>
      <c r="M110" s="24">
        <v>20047</v>
      </c>
      <c r="N110" s="25">
        <f t="shared" si="9"/>
        <v>84</v>
      </c>
      <c r="O110" s="24">
        <v>65771</v>
      </c>
      <c r="P110" s="23">
        <f t="shared" si="10"/>
        <v>385</v>
      </c>
      <c r="Q110" s="26"/>
      <c r="R110" s="23">
        <f t="shared" si="11"/>
        <v>0</v>
      </c>
      <c r="S110" s="27" t="s">
        <v>18</v>
      </c>
      <c r="T110" s="19" t="s">
        <v>126</v>
      </c>
    </row>
    <row r="111" spans="1:20" ht="37.5" customHeight="1" x14ac:dyDescent="0.25">
      <c r="A111" s="19" t="s">
        <v>128</v>
      </c>
      <c r="B111">
        <f t="shared" si="12"/>
        <v>26991</v>
      </c>
      <c r="C111">
        <v>5132</v>
      </c>
      <c r="D111">
        <v>21859</v>
      </c>
      <c r="F111">
        <f t="shared" si="7"/>
        <v>515</v>
      </c>
      <c r="G111" s="20">
        <f t="shared" si="13"/>
        <v>106</v>
      </c>
      <c r="H111" s="21">
        <v>23014010165</v>
      </c>
      <c r="I111" s="22" t="s">
        <v>129</v>
      </c>
      <c r="J111" s="23"/>
      <c r="K111" s="24">
        <v>26476</v>
      </c>
      <c r="L111" s="23">
        <f t="shared" si="8"/>
        <v>515</v>
      </c>
      <c r="M111" s="24">
        <v>5039</v>
      </c>
      <c r="N111" s="25">
        <f t="shared" si="9"/>
        <v>93</v>
      </c>
      <c r="O111" s="24">
        <v>21437</v>
      </c>
      <c r="P111" s="23">
        <f t="shared" si="10"/>
        <v>422</v>
      </c>
      <c r="Q111" s="26"/>
      <c r="R111" s="23">
        <f t="shared" si="11"/>
        <v>0</v>
      </c>
      <c r="S111" s="27" t="s">
        <v>18</v>
      </c>
      <c r="T111" s="19" t="s">
        <v>128</v>
      </c>
    </row>
    <row r="112" spans="1:20" ht="37.5" customHeight="1" x14ac:dyDescent="0.25">
      <c r="A112" s="19" t="s">
        <v>130</v>
      </c>
      <c r="B112">
        <f t="shared" si="12"/>
        <v>19951</v>
      </c>
      <c r="C112">
        <v>3104</v>
      </c>
      <c r="D112">
        <v>16847</v>
      </c>
      <c r="F112">
        <f t="shared" si="7"/>
        <v>128</v>
      </c>
      <c r="G112" s="20">
        <f t="shared" si="13"/>
        <v>107</v>
      </c>
      <c r="H112" s="21">
        <v>88820030208</v>
      </c>
      <c r="I112" s="22" t="s">
        <v>131</v>
      </c>
      <c r="J112" s="23"/>
      <c r="K112" s="24">
        <v>19823</v>
      </c>
      <c r="L112" s="23">
        <f t="shared" si="8"/>
        <v>128</v>
      </c>
      <c r="M112" s="24">
        <v>3069</v>
      </c>
      <c r="N112" s="25">
        <f t="shared" si="9"/>
        <v>35</v>
      </c>
      <c r="O112" s="24">
        <v>16754</v>
      </c>
      <c r="P112" s="23">
        <f t="shared" si="10"/>
        <v>93</v>
      </c>
      <c r="Q112" s="26"/>
      <c r="R112" s="23">
        <f t="shared" si="11"/>
        <v>0</v>
      </c>
      <c r="S112" s="27" t="s">
        <v>18</v>
      </c>
      <c r="T112" s="19" t="s">
        <v>130</v>
      </c>
    </row>
    <row r="113" spans="1:20" ht="37.5" customHeight="1" x14ac:dyDescent="0.25">
      <c r="A113" s="19" t="s">
        <v>132</v>
      </c>
      <c r="B113">
        <f t="shared" si="12"/>
        <v>51211</v>
      </c>
      <c r="C113">
        <v>9102</v>
      </c>
      <c r="D113">
        <v>42109</v>
      </c>
      <c r="F113">
        <f t="shared" si="7"/>
        <v>319</v>
      </c>
      <c r="G113" s="20">
        <f t="shared" si="13"/>
        <v>108</v>
      </c>
      <c r="H113" s="21">
        <v>23013090277</v>
      </c>
      <c r="I113" s="22" t="s">
        <v>133</v>
      </c>
      <c r="J113" s="23"/>
      <c r="K113" s="24">
        <v>50892</v>
      </c>
      <c r="L113" s="23">
        <f t="shared" si="8"/>
        <v>319</v>
      </c>
      <c r="M113" s="24">
        <v>9050</v>
      </c>
      <c r="N113" s="25">
        <f t="shared" si="9"/>
        <v>52</v>
      </c>
      <c r="O113" s="24">
        <v>41842</v>
      </c>
      <c r="P113" s="23">
        <f t="shared" si="10"/>
        <v>267</v>
      </c>
      <c r="Q113" s="26"/>
      <c r="R113" s="23">
        <f t="shared" si="11"/>
        <v>0</v>
      </c>
      <c r="S113" s="27" t="s">
        <v>18</v>
      </c>
      <c r="T113" s="19" t="s">
        <v>132</v>
      </c>
    </row>
    <row r="114" spans="1:20" ht="37.5" customHeight="1" x14ac:dyDescent="0.25">
      <c r="A114" s="19" t="s">
        <v>134</v>
      </c>
      <c r="B114">
        <f t="shared" si="12"/>
        <v>9264</v>
      </c>
      <c r="C114">
        <v>2301</v>
      </c>
      <c r="D114">
        <v>6963</v>
      </c>
      <c r="F114">
        <f t="shared" si="7"/>
        <v>292</v>
      </c>
      <c r="G114" s="20">
        <f t="shared" si="13"/>
        <v>109</v>
      </c>
      <c r="H114" s="21">
        <v>66622020221</v>
      </c>
      <c r="I114" s="22" t="s">
        <v>135</v>
      </c>
      <c r="J114" s="23"/>
      <c r="K114" s="24">
        <v>8972</v>
      </c>
      <c r="L114" s="23">
        <f t="shared" si="8"/>
        <v>292</v>
      </c>
      <c r="M114" s="24">
        <v>2239</v>
      </c>
      <c r="N114" s="25">
        <f t="shared" si="9"/>
        <v>62</v>
      </c>
      <c r="O114" s="24">
        <v>6733</v>
      </c>
      <c r="P114" s="23">
        <f t="shared" si="10"/>
        <v>230</v>
      </c>
      <c r="Q114" s="26"/>
      <c r="R114" s="23">
        <f t="shared" si="11"/>
        <v>0</v>
      </c>
      <c r="S114" s="27" t="s">
        <v>18</v>
      </c>
      <c r="T114" s="19" t="s">
        <v>134</v>
      </c>
    </row>
    <row r="115" spans="1:20" ht="37.5" customHeight="1" x14ac:dyDescent="0.25">
      <c r="A115" s="19" t="s">
        <v>136</v>
      </c>
      <c r="B115">
        <f t="shared" si="12"/>
        <v>60319</v>
      </c>
      <c r="C115">
        <v>11664</v>
      </c>
      <c r="D115">
        <v>48655</v>
      </c>
      <c r="F115">
        <f t="shared" si="7"/>
        <v>597</v>
      </c>
      <c r="G115" s="20">
        <f t="shared" si="13"/>
        <v>110</v>
      </c>
      <c r="H115" s="21">
        <v>23013040243</v>
      </c>
      <c r="I115" s="22" t="s">
        <v>137</v>
      </c>
      <c r="J115" s="23"/>
      <c r="K115" s="24">
        <v>59722</v>
      </c>
      <c r="L115" s="23">
        <f t="shared" si="8"/>
        <v>597</v>
      </c>
      <c r="M115" s="24">
        <v>11551</v>
      </c>
      <c r="N115" s="25">
        <f t="shared" si="9"/>
        <v>113</v>
      </c>
      <c r="O115" s="24">
        <v>48171</v>
      </c>
      <c r="P115" s="23">
        <f t="shared" si="10"/>
        <v>484</v>
      </c>
      <c r="Q115" s="26"/>
      <c r="R115" s="23">
        <f t="shared" si="11"/>
        <v>0</v>
      </c>
      <c r="S115" s="27" t="s">
        <v>18</v>
      </c>
      <c r="T115" s="19" t="s">
        <v>136</v>
      </c>
    </row>
    <row r="116" spans="1:20" ht="37.5" customHeight="1" x14ac:dyDescent="0.25">
      <c r="A116" s="19" t="s">
        <v>138</v>
      </c>
      <c r="B116">
        <f t="shared" si="12"/>
        <v>55178</v>
      </c>
      <c r="C116">
        <v>7543</v>
      </c>
      <c r="D116">
        <v>47635</v>
      </c>
      <c r="F116">
        <f t="shared" si="7"/>
        <v>602</v>
      </c>
      <c r="G116" s="20">
        <f t="shared" si="13"/>
        <v>111</v>
      </c>
      <c r="H116" s="21">
        <v>23013010354</v>
      </c>
      <c r="I116" s="22" t="s">
        <v>139</v>
      </c>
      <c r="J116" s="23"/>
      <c r="K116" s="24">
        <v>54576</v>
      </c>
      <c r="L116" s="23">
        <f t="shared" si="8"/>
        <v>602</v>
      </c>
      <c r="M116" s="24">
        <v>7447</v>
      </c>
      <c r="N116" s="25">
        <f t="shared" si="9"/>
        <v>96</v>
      </c>
      <c r="O116" s="24">
        <v>47129</v>
      </c>
      <c r="P116" s="23">
        <f t="shared" si="10"/>
        <v>506</v>
      </c>
      <c r="Q116" s="26"/>
      <c r="R116" s="23">
        <f t="shared" si="11"/>
        <v>0</v>
      </c>
      <c r="S116" s="27" t="s">
        <v>18</v>
      </c>
      <c r="T116" s="19" t="s">
        <v>138</v>
      </c>
    </row>
    <row r="117" spans="1:20" ht="37.5" customHeight="1" x14ac:dyDescent="0.25">
      <c r="A117" s="19" t="s">
        <v>140</v>
      </c>
      <c r="B117">
        <f t="shared" si="12"/>
        <v>19842</v>
      </c>
      <c r="C117">
        <v>3513</v>
      </c>
      <c r="D117">
        <v>16329</v>
      </c>
      <c r="F117">
        <f t="shared" si="7"/>
        <v>29</v>
      </c>
      <c r="G117" s="20">
        <f t="shared" si="13"/>
        <v>112</v>
      </c>
      <c r="H117" s="21">
        <v>23012060022</v>
      </c>
      <c r="I117" s="22" t="s">
        <v>141</v>
      </c>
      <c r="J117" s="23"/>
      <c r="K117" s="24">
        <v>19813</v>
      </c>
      <c r="L117" s="23">
        <f t="shared" si="8"/>
        <v>29</v>
      </c>
      <c r="M117" s="24">
        <v>3507</v>
      </c>
      <c r="N117" s="25">
        <f t="shared" si="9"/>
        <v>6</v>
      </c>
      <c r="O117" s="24">
        <v>16306</v>
      </c>
      <c r="P117" s="23">
        <f t="shared" si="10"/>
        <v>23</v>
      </c>
      <c r="Q117" s="26"/>
      <c r="R117" s="23">
        <f t="shared" si="11"/>
        <v>0</v>
      </c>
      <c r="S117" s="27" t="s">
        <v>18</v>
      </c>
      <c r="T117" s="19" t="s">
        <v>140</v>
      </c>
    </row>
    <row r="118" spans="1:20" ht="37.5" customHeight="1" x14ac:dyDescent="0.25">
      <c r="A118" s="19" t="s">
        <v>142</v>
      </c>
      <c r="B118">
        <f t="shared" si="12"/>
        <v>295</v>
      </c>
      <c r="C118">
        <v>80</v>
      </c>
      <c r="D118">
        <v>215</v>
      </c>
      <c r="E118">
        <v>1382</v>
      </c>
      <c r="F118">
        <f t="shared" si="7"/>
        <v>295</v>
      </c>
      <c r="G118" s="20">
        <f t="shared" si="13"/>
        <v>113</v>
      </c>
      <c r="H118" s="21">
        <v>99625010163</v>
      </c>
      <c r="I118" s="22">
        <v>114</v>
      </c>
      <c r="J118" s="23"/>
      <c r="K118" s="24">
        <v>0</v>
      </c>
      <c r="L118" s="23">
        <f t="shared" si="8"/>
        <v>295</v>
      </c>
      <c r="M118" s="24">
        <v>0</v>
      </c>
      <c r="N118" s="25">
        <f t="shared" si="9"/>
        <v>80</v>
      </c>
      <c r="O118" s="24">
        <v>0</v>
      </c>
      <c r="P118" s="23">
        <f t="shared" si="10"/>
        <v>215</v>
      </c>
      <c r="Q118" s="26">
        <v>0</v>
      </c>
      <c r="R118" s="23">
        <f t="shared" si="11"/>
        <v>1382</v>
      </c>
      <c r="S118" s="27" t="s">
        <v>18</v>
      </c>
      <c r="T118" s="19" t="s">
        <v>142</v>
      </c>
    </row>
    <row r="119" spans="1:20" ht="37.5" customHeight="1" x14ac:dyDescent="0.25">
      <c r="A119" s="19" t="s">
        <v>143</v>
      </c>
      <c r="B119">
        <f t="shared" si="12"/>
        <v>4742</v>
      </c>
      <c r="C119">
        <v>1098</v>
      </c>
      <c r="D119">
        <v>3644</v>
      </c>
      <c r="E119">
        <v>9135</v>
      </c>
      <c r="F119">
        <f t="shared" si="7"/>
        <v>176</v>
      </c>
      <c r="G119" s="20">
        <f t="shared" si="13"/>
        <v>114</v>
      </c>
      <c r="H119" s="21">
        <v>99623080083</v>
      </c>
      <c r="I119" s="22" t="s">
        <v>144</v>
      </c>
      <c r="J119" s="23"/>
      <c r="K119" s="24">
        <f>M119+O119</f>
        <v>4566</v>
      </c>
      <c r="L119" s="23">
        <f t="shared" si="8"/>
        <v>176</v>
      </c>
      <c r="M119" s="24">
        <v>1039</v>
      </c>
      <c r="N119" s="25">
        <f t="shared" si="9"/>
        <v>59</v>
      </c>
      <c r="O119" s="24">
        <v>3527</v>
      </c>
      <c r="P119" s="23">
        <f t="shared" si="10"/>
        <v>117</v>
      </c>
      <c r="Q119" s="26">
        <v>8416</v>
      </c>
      <c r="R119" s="23">
        <f t="shared" si="11"/>
        <v>719</v>
      </c>
      <c r="S119" s="27" t="s">
        <v>18</v>
      </c>
      <c r="T119" s="19" t="s">
        <v>143</v>
      </c>
    </row>
    <row r="120" spans="1:20" ht="37.5" customHeight="1" x14ac:dyDescent="0.25">
      <c r="A120" s="19" t="s">
        <v>145</v>
      </c>
      <c r="B120">
        <f t="shared" si="12"/>
        <v>4863</v>
      </c>
      <c r="C120">
        <v>1407</v>
      </c>
      <c r="D120">
        <v>3456</v>
      </c>
      <c r="E120">
        <v>10046</v>
      </c>
      <c r="F120">
        <f t="shared" si="7"/>
        <v>148</v>
      </c>
      <c r="G120" s="20">
        <f t="shared" si="13"/>
        <v>115</v>
      </c>
      <c r="H120" s="21">
        <v>99723050130</v>
      </c>
      <c r="I120" s="22" t="s">
        <v>146</v>
      </c>
      <c r="J120" s="23"/>
      <c r="K120" s="24">
        <f>M120+O120</f>
        <v>4715</v>
      </c>
      <c r="L120" s="23">
        <f t="shared" si="8"/>
        <v>148</v>
      </c>
      <c r="M120" s="24">
        <v>1360</v>
      </c>
      <c r="N120" s="25">
        <f t="shared" si="9"/>
        <v>47</v>
      </c>
      <c r="O120" s="24">
        <v>3355</v>
      </c>
      <c r="P120" s="23">
        <f t="shared" si="10"/>
        <v>101</v>
      </c>
      <c r="Q120" s="26">
        <v>9367</v>
      </c>
      <c r="R120" s="23">
        <f t="shared" si="11"/>
        <v>679</v>
      </c>
      <c r="S120" s="27" t="s">
        <v>18</v>
      </c>
      <c r="T120" s="19" t="s">
        <v>145</v>
      </c>
    </row>
    <row r="121" spans="1:20" ht="37.5" customHeight="1" x14ac:dyDescent="0.25">
      <c r="A121" s="19" t="s">
        <v>147</v>
      </c>
      <c r="B121">
        <f t="shared" si="12"/>
        <v>2421</v>
      </c>
      <c r="C121">
        <v>522</v>
      </c>
      <c r="D121">
        <v>1899</v>
      </c>
      <c r="E121">
        <v>3557</v>
      </c>
      <c r="F121">
        <f t="shared" si="7"/>
        <v>304</v>
      </c>
      <c r="G121" s="20">
        <f t="shared" si="13"/>
        <v>116</v>
      </c>
      <c r="H121" s="21">
        <v>99624030341</v>
      </c>
      <c r="I121" s="22" t="s">
        <v>148</v>
      </c>
      <c r="J121" s="23"/>
      <c r="K121" s="24">
        <f>M121+O121</f>
        <v>2117</v>
      </c>
      <c r="L121" s="23">
        <f t="shared" si="8"/>
        <v>304</v>
      </c>
      <c r="M121" s="24">
        <v>465</v>
      </c>
      <c r="N121" s="25">
        <f t="shared" si="9"/>
        <v>57</v>
      </c>
      <c r="O121" s="24">
        <v>1652</v>
      </c>
      <c r="P121" s="23">
        <f t="shared" si="10"/>
        <v>247</v>
      </c>
      <c r="Q121" s="26">
        <v>2966</v>
      </c>
      <c r="R121" s="23">
        <f t="shared" si="11"/>
        <v>591</v>
      </c>
      <c r="S121" s="27" t="s">
        <v>18</v>
      </c>
      <c r="T121" s="19" t="s">
        <v>147</v>
      </c>
    </row>
    <row r="122" spans="1:20" ht="37.5" customHeight="1" x14ac:dyDescent="0.25">
      <c r="A122" s="19" t="s">
        <v>149</v>
      </c>
      <c r="B122">
        <f t="shared" si="12"/>
        <v>33089</v>
      </c>
      <c r="C122">
        <v>5402</v>
      </c>
      <c r="D122">
        <v>27687</v>
      </c>
      <c r="F122">
        <f t="shared" si="7"/>
        <v>205</v>
      </c>
      <c r="G122" s="20">
        <f t="shared" si="13"/>
        <v>117</v>
      </c>
      <c r="H122" s="21">
        <v>23014090971</v>
      </c>
      <c r="I122" s="22">
        <v>115</v>
      </c>
      <c r="J122" s="23"/>
      <c r="K122" s="24">
        <v>32884</v>
      </c>
      <c r="L122" s="23">
        <f t="shared" si="8"/>
        <v>205</v>
      </c>
      <c r="M122" s="24">
        <v>5365</v>
      </c>
      <c r="N122" s="25">
        <f t="shared" si="9"/>
        <v>37</v>
      </c>
      <c r="O122" s="24">
        <v>27519</v>
      </c>
      <c r="P122" s="23">
        <f t="shared" si="10"/>
        <v>168</v>
      </c>
      <c r="Q122" s="26"/>
      <c r="R122" s="23">
        <f t="shared" si="11"/>
        <v>0</v>
      </c>
      <c r="S122" s="27" t="s">
        <v>18</v>
      </c>
      <c r="T122" s="19" t="s">
        <v>149</v>
      </c>
    </row>
    <row r="123" spans="1:20" ht="37.5" customHeight="1" x14ac:dyDescent="0.25">
      <c r="A123" s="19" t="s">
        <v>150</v>
      </c>
      <c r="B123">
        <f t="shared" si="12"/>
        <v>17940</v>
      </c>
      <c r="C123">
        <v>3431</v>
      </c>
      <c r="D123">
        <v>14509</v>
      </c>
      <c r="F123">
        <f t="shared" si="7"/>
        <v>303</v>
      </c>
      <c r="G123" s="20">
        <f t="shared" si="13"/>
        <v>118</v>
      </c>
      <c r="H123" s="21">
        <v>66601102511</v>
      </c>
      <c r="I123" s="22">
        <v>116</v>
      </c>
      <c r="J123" s="23"/>
      <c r="K123" s="24">
        <v>17637</v>
      </c>
      <c r="L123" s="23">
        <f t="shared" si="8"/>
        <v>303</v>
      </c>
      <c r="M123" s="24">
        <v>3378</v>
      </c>
      <c r="N123" s="25">
        <f t="shared" si="9"/>
        <v>53</v>
      </c>
      <c r="O123" s="24">
        <v>14259</v>
      </c>
      <c r="P123" s="23">
        <f t="shared" si="10"/>
        <v>250</v>
      </c>
      <c r="Q123" s="26"/>
      <c r="R123" s="23">
        <f t="shared" si="11"/>
        <v>0</v>
      </c>
      <c r="S123" s="27" t="s">
        <v>18</v>
      </c>
      <c r="T123" s="19" t="s">
        <v>150</v>
      </c>
    </row>
    <row r="124" spans="1:20" ht="37.5" customHeight="1" x14ac:dyDescent="0.25">
      <c r="A124" s="19" t="s">
        <v>151</v>
      </c>
      <c r="B124">
        <f t="shared" si="12"/>
        <v>10199</v>
      </c>
      <c r="C124">
        <v>1727</v>
      </c>
      <c r="D124">
        <v>8472</v>
      </c>
      <c r="F124">
        <f t="shared" si="7"/>
        <v>178</v>
      </c>
      <c r="G124" s="20">
        <f t="shared" si="13"/>
        <v>119</v>
      </c>
      <c r="H124" s="21">
        <v>66622030299</v>
      </c>
      <c r="I124" s="22">
        <v>117</v>
      </c>
      <c r="J124" s="23"/>
      <c r="K124" s="24">
        <v>10021</v>
      </c>
      <c r="L124" s="23">
        <f t="shared" si="8"/>
        <v>178</v>
      </c>
      <c r="M124" s="24">
        <v>1686</v>
      </c>
      <c r="N124" s="25">
        <f t="shared" si="9"/>
        <v>41</v>
      </c>
      <c r="O124" s="24">
        <v>8335</v>
      </c>
      <c r="P124" s="23">
        <f t="shared" si="10"/>
        <v>137</v>
      </c>
      <c r="Q124" s="26"/>
      <c r="R124" s="23">
        <f t="shared" si="11"/>
        <v>0</v>
      </c>
      <c r="S124" s="27" t="s">
        <v>18</v>
      </c>
      <c r="T124" s="19" t="s">
        <v>151</v>
      </c>
    </row>
    <row r="125" spans="1:20" ht="37.5" customHeight="1" x14ac:dyDescent="0.25">
      <c r="A125" s="19" t="s">
        <v>152</v>
      </c>
      <c r="B125">
        <f t="shared" si="12"/>
        <v>28267</v>
      </c>
      <c r="C125">
        <v>4459</v>
      </c>
      <c r="D125">
        <v>23808</v>
      </c>
      <c r="F125">
        <f t="shared" si="7"/>
        <v>421</v>
      </c>
      <c r="G125" s="20">
        <f t="shared" si="13"/>
        <v>120</v>
      </c>
      <c r="H125" s="21">
        <v>88818030324</v>
      </c>
      <c r="I125" s="22">
        <v>118</v>
      </c>
      <c r="J125" s="23"/>
      <c r="K125" s="24">
        <v>27846</v>
      </c>
      <c r="L125" s="23">
        <f t="shared" si="8"/>
        <v>421</v>
      </c>
      <c r="M125" s="24">
        <v>4396</v>
      </c>
      <c r="N125" s="25">
        <f t="shared" si="9"/>
        <v>63</v>
      </c>
      <c r="O125" s="24">
        <v>23450</v>
      </c>
      <c r="P125" s="23">
        <f t="shared" si="10"/>
        <v>358</v>
      </c>
      <c r="Q125" s="26"/>
      <c r="R125" s="23">
        <f t="shared" si="11"/>
        <v>0</v>
      </c>
      <c r="S125" s="27" t="s">
        <v>18</v>
      </c>
      <c r="T125" s="19" t="s">
        <v>152</v>
      </c>
    </row>
    <row r="126" spans="1:20" ht="37.5" customHeight="1" x14ac:dyDescent="0.25">
      <c r="A126" s="19" t="s">
        <v>153</v>
      </c>
      <c r="B126">
        <f t="shared" si="12"/>
        <v>61614</v>
      </c>
      <c r="C126">
        <v>8594</v>
      </c>
      <c r="D126">
        <v>53020</v>
      </c>
      <c r="F126">
        <f t="shared" si="7"/>
        <v>357</v>
      </c>
      <c r="G126" s="20">
        <f t="shared" si="13"/>
        <v>121</v>
      </c>
      <c r="H126" s="21">
        <v>23014090152</v>
      </c>
      <c r="I126" s="22">
        <v>119</v>
      </c>
      <c r="J126" s="23"/>
      <c r="K126" s="24">
        <v>61257</v>
      </c>
      <c r="L126" s="23">
        <f t="shared" si="8"/>
        <v>357</v>
      </c>
      <c r="M126" s="24">
        <v>8525</v>
      </c>
      <c r="N126" s="25">
        <f t="shared" si="9"/>
        <v>69</v>
      </c>
      <c r="O126" s="24">
        <v>52732</v>
      </c>
      <c r="P126" s="23">
        <f t="shared" si="10"/>
        <v>288</v>
      </c>
      <c r="Q126" s="26"/>
      <c r="R126" s="23">
        <f t="shared" si="11"/>
        <v>0</v>
      </c>
      <c r="S126" s="27" t="s">
        <v>18</v>
      </c>
      <c r="T126" s="19" t="s">
        <v>153</v>
      </c>
    </row>
    <row r="127" spans="1:20" ht="37.5" customHeight="1" x14ac:dyDescent="0.25">
      <c r="A127" s="19" t="s">
        <v>154</v>
      </c>
      <c r="B127">
        <f t="shared" si="12"/>
        <v>5913</v>
      </c>
      <c r="C127">
        <v>1494</v>
      </c>
      <c r="D127">
        <v>4419</v>
      </c>
      <c r="E127">
        <v>13827</v>
      </c>
      <c r="F127">
        <f t="shared" si="7"/>
        <v>143</v>
      </c>
      <c r="G127" s="20">
        <f t="shared" si="13"/>
        <v>122</v>
      </c>
      <c r="H127" s="21">
        <v>99723030022</v>
      </c>
      <c r="I127" s="22">
        <v>120</v>
      </c>
      <c r="J127" s="23"/>
      <c r="K127" s="24">
        <f>M127+O127</f>
        <v>5770</v>
      </c>
      <c r="L127" s="23">
        <f t="shared" si="8"/>
        <v>143</v>
      </c>
      <c r="M127" s="24">
        <v>1443</v>
      </c>
      <c r="N127" s="25">
        <f t="shared" si="9"/>
        <v>51</v>
      </c>
      <c r="O127" s="24">
        <v>4327</v>
      </c>
      <c r="P127" s="23">
        <f t="shared" si="10"/>
        <v>92</v>
      </c>
      <c r="Q127" s="26">
        <v>12960</v>
      </c>
      <c r="R127" s="23">
        <f t="shared" si="11"/>
        <v>867</v>
      </c>
      <c r="S127" s="27" t="s">
        <v>18</v>
      </c>
      <c r="T127" s="19" t="s">
        <v>154</v>
      </c>
    </row>
    <row r="128" spans="1:20" ht="37.5" customHeight="1" x14ac:dyDescent="0.25">
      <c r="A128" s="19" t="s">
        <v>155</v>
      </c>
      <c r="B128">
        <f t="shared" si="12"/>
        <v>66505</v>
      </c>
      <c r="C128">
        <v>11758</v>
      </c>
      <c r="D128">
        <v>54747</v>
      </c>
      <c r="F128">
        <f t="shared" si="7"/>
        <v>710</v>
      </c>
      <c r="G128" s="20">
        <f t="shared" si="13"/>
        <v>123</v>
      </c>
      <c r="H128" s="21">
        <v>23014060718</v>
      </c>
      <c r="I128" s="22">
        <v>121</v>
      </c>
      <c r="J128" s="23"/>
      <c r="K128" s="24">
        <v>65795</v>
      </c>
      <c r="L128" s="23">
        <f t="shared" si="8"/>
        <v>710</v>
      </c>
      <c r="M128" s="24">
        <v>11639</v>
      </c>
      <c r="N128" s="25">
        <f t="shared" si="9"/>
        <v>119</v>
      </c>
      <c r="O128" s="24">
        <v>54156</v>
      </c>
      <c r="P128" s="23">
        <f t="shared" si="10"/>
        <v>591</v>
      </c>
      <c r="Q128" s="26"/>
      <c r="R128" s="23">
        <f t="shared" si="11"/>
        <v>0</v>
      </c>
      <c r="S128" s="27" t="s">
        <v>18</v>
      </c>
      <c r="T128" s="19" t="s">
        <v>155</v>
      </c>
    </row>
    <row r="129" spans="1:20" ht="37.5" customHeight="1" x14ac:dyDescent="0.25">
      <c r="A129" s="19" t="s">
        <v>156</v>
      </c>
      <c r="B129">
        <f t="shared" si="12"/>
        <v>11951</v>
      </c>
      <c r="C129">
        <v>2222</v>
      </c>
      <c r="D129">
        <v>9729</v>
      </c>
      <c r="F129">
        <f t="shared" si="7"/>
        <v>248</v>
      </c>
      <c r="G129" s="20">
        <f t="shared" si="13"/>
        <v>124</v>
      </c>
      <c r="H129" s="21">
        <v>66621090123</v>
      </c>
      <c r="I129" s="22">
        <v>122</v>
      </c>
      <c r="J129" s="23"/>
      <c r="K129" s="24">
        <v>11703</v>
      </c>
      <c r="L129" s="23">
        <f t="shared" si="8"/>
        <v>248</v>
      </c>
      <c r="M129" s="24">
        <v>2179</v>
      </c>
      <c r="N129" s="25">
        <f t="shared" si="9"/>
        <v>43</v>
      </c>
      <c r="O129" s="24">
        <v>9524</v>
      </c>
      <c r="P129" s="23">
        <f t="shared" si="10"/>
        <v>205</v>
      </c>
      <c r="Q129" s="26"/>
      <c r="R129" s="23">
        <f t="shared" si="11"/>
        <v>0</v>
      </c>
      <c r="S129" s="27" t="s">
        <v>18</v>
      </c>
      <c r="T129" s="19" t="s">
        <v>156</v>
      </c>
    </row>
    <row r="130" spans="1:20" ht="37.5" customHeight="1" x14ac:dyDescent="0.25">
      <c r="A130" s="19" t="s">
        <v>157</v>
      </c>
      <c r="B130">
        <f t="shared" si="12"/>
        <v>76404</v>
      </c>
      <c r="C130">
        <v>13160</v>
      </c>
      <c r="D130">
        <v>63244</v>
      </c>
      <c r="F130">
        <f t="shared" si="7"/>
        <v>671</v>
      </c>
      <c r="G130" s="20">
        <f t="shared" si="13"/>
        <v>125</v>
      </c>
      <c r="H130" s="21">
        <v>23013010020</v>
      </c>
      <c r="I130" s="22">
        <v>123</v>
      </c>
      <c r="J130" s="23"/>
      <c r="K130" s="24">
        <v>75733</v>
      </c>
      <c r="L130" s="23">
        <f t="shared" si="8"/>
        <v>671</v>
      </c>
      <c r="M130" s="24">
        <v>13030</v>
      </c>
      <c r="N130" s="25">
        <f t="shared" si="9"/>
        <v>130</v>
      </c>
      <c r="O130" s="24">
        <v>62703</v>
      </c>
      <c r="P130" s="23">
        <f t="shared" si="10"/>
        <v>541</v>
      </c>
      <c r="Q130" s="26"/>
      <c r="R130" s="23">
        <f t="shared" si="11"/>
        <v>0</v>
      </c>
      <c r="S130" s="27" t="s">
        <v>18</v>
      </c>
      <c r="T130" s="19" t="s">
        <v>157</v>
      </c>
    </row>
    <row r="131" spans="1:20" ht="37.5" customHeight="1" x14ac:dyDescent="0.25">
      <c r="A131" s="19" t="s">
        <v>158</v>
      </c>
      <c r="B131">
        <f t="shared" si="12"/>
        <v>14285</v>
      </c>
      <c r="C131">
        <v>2262</v>
      </c>
      <c r="D131">
        <v>12023</v>
      </c>
      <c r="F131">
        <f t="shared" si="7"/>
        <v>317</v>
      </c>
      <c r="G131" s="20">
        <f t="shared" si="13"/>
        <v>126</v>
      </c>
      <c r="H131" s="21">
        <v>66621010010</v>
      </c>
      <c r="I131" s="22">
        <v>124</v>
      </c>
      <c r="J131" s="23"/>
      <c r="K131" s="24">
        <v>13968</v>
      </c>
      <c r="L131" s="23">
        <f t="shared" si="8"/>
        <v>317</v>
      </c>
      <c r="M131" s="24">
        <v>2209</v>
      </c>
      <c r="N131" s="25">
        <f t="shared" si="9"/>
        <v>53</v>
      </c>
      <c r="O131" s="24">
        <v>11759</v>
      </c>
      <c r="P131" s="23">
        <f t="shared" si="10"/>
        <v>264</v>
      </c>
      <c r="Q131" s="26"/>
      <c r="R131" s="23">
        <f t="shared" si="11"/>
        <v>0</v>
      </c>
      <c r="S131" s="27" t="s">
        <v>18</v>
      </c>
      <c r="T131" s="19" t="s">
        <v>158</v>
      </c>
    </row>
    <row r="132" spans="1:20" ht="37.5" customHeight="1" x14ac:dyDescent="0.25">
      <c r="A132" s="19" t="s">
        <v>159</v>
      </c>
      <c r="B132">
        <f t="shared" si="12"/>
        <v>9257</v>
      </c>
      <c r="C132">
        <v>1400</v>
      </c>
      <c r="D132">
        <v>7857</v>
      </c>
      <c r="F132">
        <f t="shared" si="7"/>
        <v>39</v>
      </c>
      <c r="G132" s="20">
        <f t="shared" si="13"/>
        <v>127</v>
      </c>
      <c r="H132" s="21">
        <v>88819010243</v>
      </c>
      <c r="I132" s="22">
        <v>125</v>
      </c>
      <c r="J132" s="23"/>
      <c r="K132" s="24">
        <v>9218</v>
      </c>
      <c r="L132" s="23">
        <f t="shared" si="8"/>
        <v>39</v>
      </c>
      <c r="M132" s="24">
        <v>1394</v>
      </c>
      <c r="N132" s="25">
        <f t="shared" si="9"/>
        <v>6</v>
      </c>
      <c r="O132" s="24">
        <v>7824</v>
      </c>
      <c r="P132" s="23">
        <f t="shared" si="10"/>
        <v>33</v>
      </c>
      <c r="Q132" s="26"/>
      <c r="R132" s="23">
        <f t="shared" si="11"/>
        <v>0</v>
      </c>
      <c r="S132" s="27" t="s">
        <v>18</v>
      </c>
      <c r="T132" s="19" t="s">
        <v>159</v>
      </c>
    </row>
    <row r="133" spans="1:20" ht="37.5" customHeight="1" x14ac:dyDescent="0.25">
      <c r="A133" s="19" t="s">
        <v>160</v>
      </c>
      <c r="B133">
        <f t="shared" si="12"/>
        <v>44439</v>
      </c>
      <c r="C133">
        <v>7140</v>
      </c>
      <c r="D133">
        <v>37299</v>
      </c>
      <c r="F133">
        <f t="shared" si="7"/>
        <v>415</v>
      </c>
      <c r="G133" s="20">
        <f t="shared" si="13"/>
        <v>128</v>
      </c>
      <c r="H133" s="21">
        <v>88819030435</v>
      </c>
      <c r="I133" s="22">
        <v>126</v>
      </c>
      <c r="J133" s="23"/>
      <c r="K133" s="24">
        <v>44024</v>
      </c>
      <c r="L133" s="23">
        <f t="shared" si="8"/>
        <v>415</v>
      </c>
      <c r="M133" s="24">
        <v>7058</v>
      </c>
      <c r="N133" s="25">
        <f t="shared" si="9"/>
        <v>82</v>
      </c>
      <c r="O133" s="24">
        <v>36966</v>
      </c>
      <c r="P133" s="23">
        <f t="shared" si="10"/>
        <v>333</v>
      </c>
      <c r="Q133" s="26"/>
      <c r="R133" s="23">
        <f t="shared" si="11"/>
        <v>0</v>
      </c>
      <c r="S133" s="27" t="s">
        <v>18</v>
      </c>
      <c r="T133" s="19" t="s">
        <v>160</v>
      </c>
    </row>
    <row r="134" spans="1:20" ht="37.5" customHeight="1" x14ac:dyDescent="0.25">
      <c r="A134" s="19" t="s">
        <v>161</v>
      </c>
      <c r="B134">
        <f t="shared" si="12"/>
        <v>50610</v>
      </c>
      <c r="C134">
        <v>9161</v>
      </c>
      <c r="D134">
        <v>41449</v>
      </c>
      <c r="F134">
        <f t="shared" ref="F134:F197" si="14">L134</f>
        <v>483</v>
      </c>
      <c r="G134" s="20">
        <f t="shared" si="13"/>
        <v>129</v>
      </c>
      <c r="H134" s="21">
        <v>88818030302</v>
      </c>
      <c r="I134" s="22">
        <v>127</v>
      </c>
      <c r="J134" s="23"/>
      <c r="K134" s="24">
        <v>50127</v>
      </c>
      <c r="L134" s="23">
        <f t="shared" ref="L134:L197" si="15">B134-K134</f>
        <v>483</v>
      </c>
      <c r="M134" s="24">
        <v>9079</v>
      </c>
      <c r="N134" s="25">
        <f t="shared" ref="N134:N197" si="16">C134-M134</f>
        <v>82</v>
      </c>
      <c r="O134" s="24">
        <v>41048</v>
      </c>
      <c r="P134" s="23">
        <f t="shared" ref="P134:P197" si="17">D134-O134</f>
        <v>401</v>
      </c>
      <c r="Q134" s="26"/>
      <c r="R134" s="23">
        <f t="shared" ref="R134:R197" si="18">E134-Q134</f>
        <v>0</v>
      </c>
      <c r="S134" s="27" t="s">
        <v>18</v>
      </c>
      <c r="T134" s="19" t="s">
        <v>161</v>
      </c>
    </row>
    <row r="135" spans="1:20" ht="37.5" customHeight="1" x14ac:dyDescent="0.25">
      <c r="A135" s="19" t="s">
        <v>162</v>
      </c>
      <c r="B135">
        <f t="shared" ref="B135:B198" si="19">C135+D135</f>
        <v>8417</v>
      </c>
      <c r="C135">
        <v>1915</v>
      </c>
      <c r="D135">
        <v>6502</v>
      </c>
      <c r="E135">
        <v>16410</v>
      </c>
      <c r="F135">
        <f t="shared" si="14"/>
        <v>254</v>
      </c>
      <c r="G135" s="20">
        <f t="shared" si="13"/>
        <v>130</v>
      </c>
      <c r="H135" s="21">
        <v>99722020002</v>
      </c>
      <c r="I135" s="22">
        <v>129</v>
      </c>
      <c r="J135" s="23"/>
      <c r="K135" s="24">
        <f>M135+O135</f>
        <v>8163</v>
      </c>
      <c r="L135" s="23">
        <f t="shared" si="15"/>
        <v>254</v>
      </c>
      <c r="M135" s="24">
        <v>1844</v>
      </c>
      <c r="N135" s="25">
        <f t="shared" si="16"/>
        <v>71</v>
      </c>
      <c r="O135" s="24">
        <v>6319</v>
      </c>
      <c r="P135" s="23">
        <f t="shared" si="17"/>
        <v>183</v>
      </c>
      <c r="Q135" s="26">
        <v>15777</v>
      </c>
      <c r="R135" s="23">
        <f t="shared" si="18"/>
        <v>633</v>
      </c>
      <c r="S135" s="27" t="s">
        <v>18</v>
      </c>
      <c r="T135" s="19" t="s">
        <v>162</v>
      </c>
    </row>
    <row r="136" spans="1:20" ht="37.5" customHeight="1" x14ac:dyDescent="0.25">
      <c r="A136" s="19" t="s">
        <v>163</v>
      </c>
      <c r="B136">
        <f t="shared" si="19"/>
        <v>769</v>
      </c>
      <c r="C136">
        <v>198</v>
      </c>
      <c r="D136">
        <v>571</v>
      </c>
      <c r="E136">
        <v>1782</v>
      </c>
      <c r="F136">
        <f t="shared" si="14"/>
        <v>470</v>
      </c>
      <c r="G136" s="20">
        <f t="shared" ref="G136:G199" si="20">G135+1</f>
        <v>131</v>
      </c>
      <c r="H136" s="21">
        <v>99624050279</v>
      </c>
      <c r="I136" s="22">
        <v>130</v>
      </c>
      <c r="J136" s="23"/>
      <c r="K136" s="24">
        <f>M136+O136</f>
        <v>299</v>
      </c>
      <c r="L136" s="23">
        <f t="shared" si="15"/>
        <v>470</v>
      </c>
      <c r="M136" s="24">
        <v>95</v>
      </c>
      <c r="N136" s="25">
        <f t="shared" si="16"/>
        <v>103</v>
      </c>
      <c r="O136" s="24">
        <v>204</v>
      </c>
      <c r="P136" s="23">
        <f t="shared" si="17"/>
        <v>367</v>
      </c>
      <c r="Q136" s="26">
        <v>1115</v>
      </c>
      <c r="R136" s="23">
        <f t="shared" si="18"/>
        <v>667</v>
      </c>
      <c r="S136" s="27" t="s">
        <v>18</v>
      </c>
      <c r="T136" s="19" t="s">
        <v>163</v>
      </c>
    </row>
    <row r="137" spans="1:20" ht="37.5" customHeight="1" x14ac:dyDescent="0.25">
      <c r="A137" s="19" t="s">
        <v>164</v>
      </c>
      <c r="B137">
        <f t="shared" si="19"/>
        <v>24684</v>
      </c>
      <c r="C137">
        <v>4921</v>
      </c>
      <c r="D137">
        <v>19763</v>
      </c>
      <c r="F137">
        <f t="shared" si="14"/>
        <v>363</v>
      </c>
      <c r="G137" s="20">
        <f t="shared" si="20"/>
        <v>132</v>
      </c>
      <c r="H137" s="21">
        <v>88819030495</v>
      </c>
      <c r="I137" s="22">
        <v>132</v>
      </c>
      <c r="J137" s="23"/>
      <c r="K137" s="24">
        <v>24321</v>
      </c>
      <c r="L137" s="23">
        <f t="shared" si="15"/>
        <v>363</v>
      </c>
      <c r="M137" s="24">
        <v>4852</v>
      </c>
      <c r="N137" s="25">
        <f t="shared" si="16"/>
        <v>69</v>
      </c>
      <c r="O137" s="24">
        <v>19469</v>
      </c>
      <c r="P137" s="23">
        <f t="shared" si="17"/>
        <v>294</v>
      </c>
      <c r="Q137" s="26"/>
      <c r="R137" s="23">
        <f t="shared" si="18"/>
        <v>0</v>
      </c>
      <c r="S137" s="27" t="s">
        <v>18</v>
      </c>
      <c r="T137" s="19" t="s">
        <v>164</v>
      </c>
    </row>
    <row r="138" spans="1:20" ht="37.5" customHeight="1" x14ac:dyDescent="0.25">
      <c r="A138" s="19" t="s">
        <v>165</v>
      </c>
      <c r="B138">
        <f t="shared" si="19"/>
        <v>59330</v>
      </c>
      <c r="C138">
        <v>7390</v>
      </c>
      <c r="D138">
        <v>51940</v>
      </c>
      <c r="F138">
        <f t="shared" si="14"/>
        <v>650</v>
      </c>
      <c r="G138" s="20">
        <f t="shared" si="20"/>
        <v>133</v>
      </c>
      <c r="H138" s="21">
        <v>88820003201</v>
      </c>
      <c r="I138" s="22">
        <v>133</v>
      </c>
      <c r="J138" s="23"/>
      <c r="K138" s="24">
        <v>58680</v>
      </c>
      <c r="L138" s="23">
        <f t="shared" si="15"/>
        <v>650</v>
      </c>
      <c r="M138" s="24">
        <v>7267</v>
      </c>
      <c r="N138" s="25">
        <f t="shared" si="16"/>
        <v>123</v>
      </c>
      <c r="O138" s="24">
        <v>51413</v>
      </c>
      <c r="P138" s="23">
        <f t="shared" si="17"/>
        <v>527</v>
      </c>
      <c r="Q138" s="26"/>
      <c r="R138" s="23">
        <f t="shared" si="18"/>
        <v>0</v>
      </c>
      <c r="S138" s="27" t="s">
        <v>18</v>
      </c>
      <c r="T138" s="19" t="s">
        <v>165</v>
      </c>
    </row>
    <row r="139" spans="1:20" ht="37.5" customHeight="1" x14ac:dyDescent="0.25">
      <c r="A139" s="19" t="s">
        <v>166</v>
      </c>
      <c r="B139">
        <f t="shared" si="19"/>
        <v>53162</v>
      </c>
      <c r="C139">
        <v>10873</v>
      </c>
      <c r="D139">
        <v>42289</v>
      </c>
      <c r="F139">
        <f t="shared" si="14"/>
        <v>178</v>
      </c>
      <c r="G139" s="20">
        <f t="shared" si="20"/>
        <v>134</v>
      </c>
      <c r="H139" s="21">
        <v>23014010492</v>
      </c>
      <c r="I139" s="22">
        <v>134</v>
      </c>
      <c r="J139" s="23"/>
      <c r="K139" s="24">
        <v>52984</v>
      </c>
      <c r="L139" s="23">
        <f t="shared" si="15"/>
        <v>178</v>
      </c>
      <c r="M139" s="24">
        <v>10863</v>
      </c>
      <c r="N139" s="25">
        <f t="shared" si="16"/>
        <v>10</v>
      </c>
      <c r="O139" s="24">
        <v>42121</v>
      </c>
      <c r="P139" s="23">
        <f t="shared" si="17"/>
        <v>168</v>
      </c>
      <c r="Q139" s="26"/>
      <c r="R139" s="23">
        <f t="shared" si="18"/>
        <v>0</v>
      </c>
      <c r="S139" s="27" t="s">
        <v>18</v>
      </c>
      <c r="T139" s="19" t="s">
        <v>166</v>
      </c>
    </row>
    <row r="140" spans="1:20" ht="37.5" customHeight="1" x14ac:dyDescent="0.25">
      <c r="A140" s="19" t="s">
        <v>167</v>
      </c>
      <c r="B140">
        <f t="shared" si="19"/>
        <v>71021</v>
      </c>
      <c r="C140">
        <v>13911</v>
      </c>
      <c r="D140">
        <v>57110</v>
      </c>
      <c r="F140">
        <f t="shared" si="14"/>
        <v>661</v>
      </c>
      <c r="G140" s="20">
        <f t="shared" si="20"/>
        <v>135</v>
      </c>
      <c r="H140" s="21">
        <v>23012110095</v>
      </c>
      <c r="I140" s="22">
        <v>135</v>
      </c>
      <c r="J140" s="23"/>
      <c r="K140" s="24">
        <v>70360</v>
      </c>
      <c r="L140" s="23">
        <f t="shared" si="15"/>
        <v>661</v>
      </c>
      <c r="M140" s="24">
        <v>13797</v>
      </c>
      <c r="N140" s="25">
        <f t="shared" si="16"/>
        <v>114</v>
      </c>
      <c r="O140" s="24">
        <v>56563</v>
      </c>
      <c r="P140" s="23">
        <f t="shared" si="17"/>
        <v>547</v>
      </c>
      <c r="Q140" s="26"/>
      <c r="R140" s="23">
        <f t="shared" si="18"/>
        <v>0</v>
      </c>
      <c r="S140" s="27" t="s">
        <v>18</v>
      </c>
      <c r="T140" s="19" t="s">
        <v>167</v>
      </c>
    </row>
    <row r="141" spans="1:20" ht="37.5" customHeight="1" x14ac:dyDescent="0.25">
      <c r="A141" s="19" t="s">
        <v>168</v>
      </c>
      <c r="B141">
        <f t="shared" si="19"/>
        <v>71256</v>
      </c>
      <c r="C141">
        <v>11740</v>
      </c>
      <c r="D141">
        <v>59516</v>
      </c>
      <c r="F141">
        <f t="shared" si="14"/>
        <v>259</v>
      </c>
      <c r="G141" s="20">
        <f t="shared" si="20"/>
        <v>136</v>
      </c>
      <c r="H141" s="21">
        <v>23012070082</v>
      </c>
      <c r="I141" s="22">
        <v>136</v>
      </c>
      <c r="J141" s="23"/>
      <c r="K141" s="24">
        <v>70997</v>
      </c>
      <c r="L141" s="23">
        <f t="shared" si="15"/>
        <v>259</v>
      </c>
      <c r="M141" s="24">
        <v>11695</v>
      </c>
      <c r="N141" s="25">
        <f t="shared" si="16"/>
        <v>45</v>
      </c>
      <c r="O141" s="24">
        <v>59302</v>
      </c>
      <c r="P141" s="23">
        <f t="shared" si="17"/>
        <v>214</v>
      </c>
      <c r="Q141" s="26"/>
      <c r="R141" s="23">
        <f t="shared" si="18"/>
        <v>0</v>
      </c>
      <c r="S141" s="27" t="s">
        <v>18</v>
      </c>
      <c r="T141" s="19" t="s">
        <v>168</v>
      </c>
    </row>
    <row r="142" spans="1:20" ht="37.5" customHeight="1" x14ac:dyDescent="0.25">
      <c r="A142" s="19" t="s">
        <v>169</v>
      </c>
      <c r="B142">
        <f t="shared" si="19"/>
        <v>74741</v>
      </c>
      <c r="C142">
        <v>11150</v>
      </c>
      <c r="D142">
        <v>63591</v>
      </c>
      <c r="F142">
        <f t="shared" si="14"/>
        <v>481</v>
      </c>
      <c r="G142" s="20">
        <f t="shared" si="20"/>
        <v>137</v>
      </c>
      <c r="H142" s="21">
        <v>23014090823</v>
      </c>
      <c r="I142" s="22">
        <v>137</v>
      </c>
      <c r="J142" s="23"/>
      <c r="K142" s="24">
        <v>74260</v>
      </c>
      <c r="L142" s="23">
        <f t="shared" si="15"/>
        <v>481</v>
      </c>
      <c r="M142" s="24">
        <v>11063</v>
      </c>
      <c r="N142" s="25">
        <f t="shared" si="16"/>
        <v>87</v>
      </c>
      <c r="O142" s="24">
        <v>63197</v>
      </c>
      <c r="P142" s="23">
        <f t="shared" si="17"/>
        <v>394</v>
      </c>
      <c r="Q142" s="26"/>
      <c r="R142" s="23">
        <f t="shared" si="18"/>
        <v>0</v>
      </c>
      <c r="S142" s="27" t="s">
        <v>18</v>
      </c>
      <c r="T142" s="19" t="s">
        <v>169</v>
      </c>
    </row>
    <row r="143" spans="1:20" ht="37.5" customHeight="1" x14ac:dyDescent="0.25">
      <c r="A143" s="19" t="s">
        <v>170</v>
      </c>
      <c r="B143">
        <f t="shared" si="19"/>
        <v>54391</v>
      </c>
      <c r="C143">
        <v>8973</v>
      </c>
      <c r="D143">
        <v>45418</v>
      </c>
      <c r="F143">
        <f t="shared" si="14"/>
        <v>378</v>
      </c>
      <c r="G143" s="20">
        <f t="shared" si="20"/>
        <v>138</v>
      </c>
      <c r="H143" s="21">
        <v>88818010227</v>
      </c>
      <c r="I143" s="22">
        <v>138</v>
      </c>
      <c r="J143" s="23"/>
      <c r="K143" s="24">
        <v>54013</v>
      </c>
      <c r="L143" s="23">
        <f t="shared" si="15"/>
        <v>378</v>
      </c>
      <c r="M143" s="24">
        <v>8917</v>
      </c>
      <c r="N143" s="25">
        <f t="shared" si="16"/>
        <v>56</v>
      </c>
      <c r="O143" s="24">
        <v>45096</v>
      </c>
      <c r="P143" s="23">
        <f t="shared" si="17"/>
        <v>322</v>
      </c>
      <c r="Q143" s="26"/>
      <c r="R143" s="23">
        <f t="shared" si="18"/>
        <v>0</v>
      </c>
      <c r="S143" s="27" t="s">
        <v>18</v>
      </c>
      <c r="T143" s="19" t="s">
        <v>170</v>
      </c>
    </row>
    <row r="144" spans="1:20" ht="37.5" customHeight="1" x14ac:dyDescent="0.25">
      <c r="A144" s="19" t="s">
        <v>171</v>
      </c>
      <c r="B144">
        <f t="shared" si="19"/>
        <v>51450</v>
      </c>
      <c r="C144">
        <v>8498</v>
      </c>
      <c r="D144">
        <v>42952</v>
      </c>
      <c r="F144">
        <f t="shared" si="14"/>
        <v>6</v>
      </c>
      <c r="G144" s="20">
        <f t="shared" si="20"/>
        <v>139</v>
      </c>
      <c r="H144" s="21">
        <v>88819050255</v>
      </c>
      <c r="I144" s="22">
        <v>139</v>
      </c>
      <c r="J144" s="23"/>
      <c r="K144" s="24">
        <v>51444</v>
      </c>
      <c r="L144" s="23">
        <f t="shared" si="15"/>
        <v>6</v>
      </c>
      <c r="M144" s="24">
        <v>8497</v>
      </c>
      <c r="N144" s="25">
        <f t="shared" si="16"/>
        <v>1</v>
      </c>
      <c r="O144" s="24">
        <v>42947</v>
      </c>
      <c r="P144" s="23">
        <f t="shared" si="17"/>
        <v>5</v>
      </c>
      <c r="Q144" s="26"/>
      <c r="R144" s="23">
        <f t="shared" si="18"/>
        <v>0</v>
      </c>
      <c r="S144" s="27" t="s">
        <v>18</v>
      </c>
      <c r="T144" s="19" t="s">
        <v>171</v>
      </c>
    </row>
    <row r="145" spans="1:20" ht="37.5" customHeight="1" x14ac:dyDescent="0.25">
      <c r="A145" s="19" t="s">
        <v>172</v>
      </c>
      <c r="B145">
        <f t="shared" si="19"/>
        <v>4392</v>
      </c>
      <c r="C145">
        <v>1396</v>
      </c>
      <c r="D145">
        <v>2996</v>
      </c>
      <c r="E145">
        <v>12596</v>
      </c>
      <c r="F145">
        <f t="shared" si="14"/>
        <v>181</v>
      </c>
      <c r="G145" s="20">
        <f t="shared" si="20"/>
        <v>140</v>
      </c>
      <c r="H145" s="21">
        <v>99723070192</v>
      </c>
      <c r="I145" s="22">
        <v>140</v>
      </c>
      <c r="J145" s="23"/>
      <c r="K145" s="24">
        <f>M145+O145</f>
        <v>4211</v>
      </c>
      <c r="L145" s="23">
        <f t="shared" si="15"/>
        <v>181</v>
      </c>
      <c r="M145" s="24">
        <v>1349</v>
      </c>
      <c r="N145" s="25">
        <f t="shared" si="16"/>
        <v>47</v>
      </c>
      <c r="O145" s="24">
        <v>2862</v>
      </c>
      <c r="P145" s="23">
        <f t="shared" si="17"/>
        <v>134</v>
      </c>
      <c r="Q145" s="26">
        <v>11654</v>
      </c>
      <c r="R145" s="23">
        <f t="shared" si="18"/>
        <v>942</v>
      </c>
      <c r="S145" s="27" t="s">
        <v>18</v>
      </c>
      <c r="T145" s="19" t="s">
        <v>172</v>
      </c>
    </row>
    <row r="146" spans="1:20" ht="37.5" customHeight="1" x14ac:dyDescent="0.25">
      <c r="A146" s="19" t="s">
        <v>173</v>
      </c>
      <c r="B146">
        <f t="shared" si="19"/>
        <v>5929</v>
      </c>
      <c r="C146">
        <v>1058</v>
      </c>
      <c r="D146">
        <v>4871</v>
      </c>
      <c r="F146">
        <f t="shared" si="14"/>
        <v>100</v>
      </c>
      <c r="G146" s="20">
        <f t="shared" si="20"/>
        <v>141</v>
      </c>
      <c r="H146" s="21">
        <v>88820020134</v>
      </c>
      <c r="I146" s="22">
        <v>141</v>
      </c>
      <c r="J146" s="23"/>
      <c r="K146" s="24">
        <v>5829</v>
      </c>
      <c r="L146" s="23">
        <f t="shared" si="15"/>
        <v>100</v>
      </c>
      <c r="M146" s="24">
        <v>1035</v>
      </c>
      <c r="N146" s="25">
        <f t="shared" si="16"/>
        <v>23</v>
      </c>
      <c r="O146" s="24">
        <v>4794</v>
      </c>
      <c r="P146" s="23">
        <f t="shared" si="17"/>
        <v>77</v>
      </c>
      <c r="Q146" s="26"/>
      <c r="R146" s="23">
        <f t="shared" si="18"/>
        <v>0</v>
      </c>
      <c r="S146" s="27" t="s">
        <v>18</v>
      </c>
      <c r="T146" s="19" t="s">
        <v>173</v>
      </c>
    </row>
    <row r="147" spans="1:20" ht="37.5" customHeight="1" x14ac:dyDescent="0.25">
      <c r="A147" s="19" t="s">
        <v>174</v>
      </c>
      <c r="B147">
        <f t="shared" si="19"/>
        <v>93395</v>
      </c>
      <c r="C147">
        <v>14087</v>
      </c>
      <c r="D147">
        <v>79308</v>
      </c>
      <c r="F147">
        <f t="shared" si="14"/>
        <v>447</v>
      </c>
      <c r="G147" s="20">
        <f t="shared" si="20"/>
        <v>142</v>
      </c>
      <c r="H147" s="21">
        <v>23013010179</v>
      </c>
      <c r="I147" s="22">
        <v>142</v>
      </c>
      <c r="J147" s="23"/>
      <c r="K147" s="24">
        <v>92948</v>
      </c>
      <c r="L147" s="23">
        <f t="shared" si="15"/>
        <v>447</v>
      </c>
      <c r="M147" s="24">
        <v>14009</v>
      </c>
      <c r="N147" s="25">
        <f t="shared" si="16"/>
        <v>78</v>
      </c>
      <c r="O147" s="24">
        <v>78939</v>
      </c>
      <c r="P147" s="23">
        <f t="shared" si="17"/>
        <v>369</v>
      </c>
      <c r="Q147" s="26"/>
      <c r="R147" s="23">
        <f t="shared" si="18"/>
        <v>0</v>
      </c>
      <c r="S147" s="27" t="s">
        <v>18</v>
      </c>
      <c r="T147" s="19" t="s">
        <v>174</v>
      </c>
    </row>
    <row r="148" spans="1:20" ht="37.5" customHeight="1" x14ac:dyDescent="0.25">
      <c r="A148" s="19" t="s">
        <v>175</v>
      </c>
      <c r="B148">
        <f t="shared" si="19"/>
        <v>21408</v>
      </c>
      <c r="C148">
        <v>3313</v>
      </c>
      <c r="D148">
        <v>18095</v>
      </c>
      <c r="F148">
        <f t="shared" si="14"/>
        <v>143</v>
      </c>
      <c r="G148" s="20">
        <f t="shared" si="20"/>
        <v>143</v>
      </c>
      <c r="H148" s="21">
        <v>66619040485</v>
      </c>
      <c r="I148" s="22">
        <v>143</v>
      </c>
      <c r="J148" s="23"/>
      <c r="K148" s="24">
        <v>21265</v>
      </c>
      <c r="L148" s="23">
        <f t="shared" si="15"/>
        <v>143</v>
      </c>
      <c r="M148" s="24">
        <v>3286</v>
      </c>
      <c r="N148" s="25">
        <f t="shared" si="16"/>
        <v>27</v>
      </c>
      <c r="O148" s="24">
        <v>17979</v>
      </c>
      <c r="P148" s="23">
        <f t="shared" si="17"/>
        <v>116</v>
      </c>
      <c r="Q148" s="26"/>
      <c r="R148" s="23">
        <f t="shared" si="18"/>
        <v>0</v>
      </c>
      <c r="S148" s="27" t="s">
        <v>18</v>
      </c>
      <c r="T148" s="19" t="s">
        <v>175</v>
      </c>
    </row>
    <row r="149" spans="1:20" ht="37.5" customHeight="1" x14ac:dyDescent="0.25">
      <c r="A149" s="19" t="s">
        <v>176</v>
      </c>
      <c r="B149">
        <f t="shared" si="19"/>
        <v>18869</v>
      </c>
      <c r="C149">
        <v>3195</v>
      </c>
      <c r="D149">
        <v>15674</v>
      </c>
      <c r="F149">
        <f t="shared" si="14"/>
        <v>15</v>
      </c>
      <c r="G149" s="20">
        <f t="shared" si="20"/>
        <v>144</v>
      </c>
      <c r="H149" s="21">
        <v>88820050121</v>
      </c>
      <c r="I149" s="22">
        <v>144</v>
      </c>
      <c r="J149" s="23"/>
      <c r="K149" s="24">
        <v>18854</v>
      </c>
      <c r="L149" s="23">
        <f t="shared" si="15"/>
        <v>15</v>
      </c>
      <c r="M149" s="24">
        <v>3192</v>
      </c>
      <c r="N149" s="25">
        <f t="shared" si="16"/>
        <v>3</v>
      </c>
      <c r="O149" s="24">
        <v>15662</v>
      </c>
      <c r="P149" s="23">
        <f t="shared" si="17"/>
        <v>12</v>
      </c>
      <c r="Q149" s="26"/>
      <c r="R149" s="23">
        <f t="shared" si="18"/>
        <v>0</v>
      </c>
      <c r="S149" s="27" t="s">
        <v>18</v>
      </c>
      <c r="T149" s="19" t="s">
        <v>176</v>
      </c>
    </row>
    <row r="150" spans="1:20" ht="37.5" customHeight="1" x14ac:dyDescent="0.25">
      <c r="A150" s="19" t="s">
        <v>177</v>
      </c>
      <c r="B150">
        <f t="shared" si="19"/>
        <v>45889</v>
      </c>
      <c r="C150">
        <v>8232</v>
      </c>
      <c r="D150">
        <v>37657</v>
      </c>
      <c r="F150">
        <f t="shared" si="14"/>
        <v>83</v>
      </c>
      <c r="G150" s="20">
        <f t="shared" si="20"/>
        <v>145</v>
      </c>
      <c r="H150" s="21">
        <v>88819030327</v>
      </c>
      <c r="I150" s="22">
        <v>145</v>
      </c>
      <c r="J150" s="23"/>
      <c r="K150" s="24">
        <v>45806</v>
      </c>
      <c r="L150" s="23">
        <f t="shared" si="15"/>
        <v>83</v>
      </c>
      <c r="M150" s="24">
        <v>8218</v>
      </c>
      <c r="N150" s="25">
        <f t="shared" si="16"/>
        <v>14</v>
      </c>
      <c r="O150" s="24">
        <v>37588</v>
      </c>
      <c r="P150" s="23">
        <f t="shared" si="17"/>
        <v>69</v>
      </c>
      <c r="Q150" s="26"/>
      <c r="R150" s="23">
        <f t="shared" si="18"/>
        <v>0</v>
      </c>
      <c r="S150" s="27" t="s">
        <v>18</v>
      </c>
      <c r="T150" s="19" t="s">
        <v>177</v>
      </c>
    </row>
    <row r="151" spans="1:20" ht="37.5" customHeight="1" x14ac:dyDescent="0.25">
      <c r="A151" s="19" t="s">
        <v>178</v>
      </c>
      <c r="B151">
        <f t="shared" si="19"/>
        <v>18726</v>
      </c>
      <c r="C151">
        <v>4055</v>
      </c>
      <c r="D151">
        <v>14671</v>
      </c>
      <c r="F151">
        <f t="shared" si="14"/>
        <v>897</v>
      </c>
      <c r="G151" s="20">
        <f t="shared" si="20"/>
        <v>146</v>
      </c>
      <c r="H151" s="21">
        <v>23015100636</v>
      </c>
      <c r="I151" s="22">
        <v>146</v>
      </c>
      <c r="J151" s="23"/>
      <c r="K151" s="24">
        <v>17829</v>
      </c>
      <c r="L151" s="23">
        <f t="shared" si="15"/>
        <v>897</v>
      </c>
      <c r="M151" s="24">
        <v>3912</v>
      </c>
      <c r="N151" s="25">
        <f t="shared" si="16"/>
        <v>143</v>
      </c>
      <c r="O151" s="24">
        <v>13917</v>
      </c>
      <c r="P151" s="23">
        <f t="shared" si="17"/>
        <v>754</v>
      </c>
      <c r="Q151" s="26"/>
      <c r="R151" s="23">
        <f t="shared" si="18"/>
        <v>0</v>
      </c>
      <c r="S151" s="27" t="s">
        <v>18</v>
      </c>
      <c r="T151" s="19" t="s">
        <v>178</v>
      </c>
    </row>
    <row r="152" spans="1:20" ht="37.5" customHeight="1" x14ac:dyDescent="0.25">
      <c r="A152" s="19" t="s">
        <v>179</v>
      </c>
      <c r="B152">
        <f t="shared" si="19"/>
        <v>36618</v>
      </c>
      <c r="C152">
        <v>5964</v>
      </c>
      <c r="D152">
        <v>30654</v>
      </c>
      <c r="F152">
        <f t="shared" si="14"/>
        <v>179</v>
      </c>
      <c r="G152" s="20">
        <f t="shared" si="20"/>
        <v>147</v>
      </c>
      <c r="H152" s="21">
        <v>23015010274</v>
      </c>
      <c r="I152" s="22">
        <v>147</v>
      </c>
      <c r="J152" s="23"/>
      <c r="K152" s="24">
        <v>36439</v>
      </c>
      <c r="L152" s="23">
        <f t="shared" si="15"/>
        <v>179</v>
      </c>
      <c r="M152" s="24">
        <v>5934</v>
      </c>
      <c r="N152" s="25">
        <f t="shared" si="16"/>
        <v>30</v>
      </c>
      <c r="O152" s="24">
        <v>30505</v>
      </c>
      <c r="P152" s="23">
        <f t="shared" si="17"/>
        <v>149</v>
      </c>
      <c r="Q152" s="26"/>
      <c r="R152" s="23">
        <f t="shared" si="18"/>
        <v>0</v>
      </c>
      <c r="S152" s="27" t="s">
        <v>18</v>
      </c>
      <c r="T152" s="19" t="s">
        <v>179</v>
      </c>
    </row>
    <row r="153" spans="1:20" ht="37.5" customHeight="1" x14ac:dyDescent="0.25">
      <c r="A153" s="19" t="s">
        <v>180</v>
      </c>
      <c r="B153">
        <f t="shared" si="19"/>
        <v>592</v>
      </c>
      <c r="C153">
        <v>158</v>
      </c>
      <c r="D153">
        <v>434</v>
      </c>
      <c r="E153">
        <v>1149</v>
      </c>
      <c r="F153">
        <f t="shared" si="14"/>
        <v>396</v>
      </c>
      <c r="G153" s="20">
        <f t="shared" si="20"/>
        <v>148</v>
      </c>
      <c r="H153" s="21">
        <v>99625010061</v>
      </c>
      <c r="I153" s="22">
        <v>149</v>
      </c>
      <c r="J153" s="23"/>
      <c r="K153" s="24">
        <f>M153+O153</f>
        <v>196</v>
      </c>
      <c r="L153" s="23">
        <f t="shared" si="15"/>
        <v>396</v>
      </c>
      <c r="M153" s="24">
        <v>60</v>
      </c>
      <c r="N153" s="25">
        <f t="shared" si="16"/>
        <v>98</v>
      </c>
      <c r="O153" s="24">
        <v>136</v>
      </c>
      <c r="P153" s="23">
        <f t="shared" si="17"/>
        <v>298</v>
      </c>
      <c r="Q153" s="26">
        <v>615</v>
      </c>
      <c r="R153" s="23">
        <f t="shared" si="18"/>
        <v>534</v>
      </c>
      <c r="S153" s="27" t="s">
        <v>18</v>
      </c>
      <c r="T153" s="19" t="s">
        <v>180</v>
      </c>
    </row>
    <row r="154" spans="1:20" ht="37.5" customHeight="1" x14ac:dyDescent="0.25">
      <c r="A154" s="19" t="s">
        <v>181</v>
      </c>
      <c r="B154">
        <f t="shared" si="19"/>
        <v>11918</v>
      </c>
      <c r="C154">
        <v>3310</v>
      </c>
      <c r="D154">
        <v>8608</v>
      </c>
      <c r="E154">
        <v>18449</v>
      </c>
      <c r="F154">
        <f t="shared" si="14"/>
        <v>337</v>
      </c>
      <c r="G154" s="20">
        <f t="shared" si="20"/>
        <v>149</v>
      </c>
      <c r="H154" s="21">
        <v>99723040057</v>
      </c>
      <c r="I154" s="22">
        <v>150</v>
      </c>
      <c r="J154" s="23"/>
      <c r="K154" s="24">
        <f>M154+O154</f>
        <v>11581</v>
      </c>
      <c r="L154" s="23">
        <f t="shared" si="15"/>
        <v>337</v>
      </c>
      <c r="M154" s="24">
        <v>3202</v>
      </c>
      <c r="N154" s="25">
        <f t="shared" si="16"/>
        <v>108</v>
      </c>
      <c r="O154" s="24">
        <v>8379</v>
      </c>
      <c r="P154" s="23">
        <f t="shared" si="17"/>
        <v>229</v>
      </c>
      <c r="Q154" s="26">
        <v>17283</v>
      </c>
      <c r="R154" s="23">
        <f t="shared" si="18"/>
        <v>1166</v>
      </c>
      <c r="S154" s="27" t="s">
        <v>18</v>
      </c>
      <c r="T154" s="19" t="s">
        <v>181</v>
      </c>
    </row>
    <row r="155" spans="1:20" ht="37.5" customHeight="1" x14ac:dyDescent="0.25">
      <c r="A155" s="19" t="s">
        <v>182</v>
      </c>
      <c r="B155">
        <f t="shared" si="19"/>
        <v>40235</v>
      </c>
      <c r="C155">
        <v>7331</v>
      </c>
      <c r="D155">
        <v>32904</v>
      </c>
      <c r="F155">
        <f t="shared" si="14"/>
        <v>56</v>
      </c>
      <c r="G155" s="20">
        <f t="shared" si="20"/>
        <v>150</v>
      </c>
      <c r="H155" s="21">
        <v>66616020470</v>
      </c>
      <c r="I155" s="22">
        <v>152</v>
      </c>
      <c r="J155" s="23"/>
      <c r="K155" s="24">
        <v>40179</v>
      </c>
      <c r="L155" s="23">
        <f t="shared" si="15"/>
        <v>56</v>
      </c>
      <c r="M155" s="24">
        <v>7372</v>
      </c>
      <c r="N155" s="25">
        <f t="shared" si="16"/>
        <v>-41</v>
      </c>
      <c r="O155" s="24">
        <v>32807</v>
      </c>
      <c r="P155" s="23">
        <f t="shared" si="17"/>
        <v>97</v>
      </c>
      <c r="Q155" s="26"/>
      <c r="R155" s="23">
        <f t="shared" si="18"/>
        <v>0</v>
      </c>
      <c r="S155" s="27" t="s">
        <v>18</v>
      </c>
      <c r="T155" s="19" t="s">
        <v>182</v>
      </c>
    </row>
    <row r="156" spans="1:20" ht="37.5" customHeight="1" x14ac:dyDescent="0.25">
      <c r="A156" s="19" t="s">
        <v>183</v>
      </c>
      <c r="B156">
        <f t="shared" si="19"/>
        <v>4322</v>
      </c>
      <c r="C156">
        <v>1103</v>
      </c>
      <c r="D156">
        <v>3219</v>
      </c>
      <c r="E156">
        <v>11177</v>
      </c>
      <c r="F156">
        <f t="shared" si="14"/>
        <v>138</v>
      </c>
      <c r="G156" s="20">
        <f t="shared" si="20"/>
        <v>151</v>
      </c>
      <c r="H156" s="21">
        <v>99624010033</v>
      </c>
      <c r="I156" s="22">
        <v>153</v>
      </c>
      <c r="J156" s="23"/>
      <c r="K156" s="24">
        <f>M156+O156</f>
        <v>4184</v>
      </c>
      <c r="L156" s="23">
        <f t="shared" si="15"/>
        <v>138</v>
      </c>
      <c r="M156" s="24">
        <v>1060</v>
      </c>
      <c r="N156" s="25">
        <f t="shared" si="16"/>
        <v>43</v>
      </c>
      <c r="O156" s="24">
        <v>3124</v>
      </c>
      <c r="P156" s="23">
        <f t="shared" si="17"/>
        <v>95</v>
      </c>
      <c r="Q156" s="26">
        <v>9997</v>
      </c>
      <c r="R156" s="23">
        <f t="shared" si="18"/>
        <v>1180</v>
      </c>
      <c r="S156" s="27" t="s">
        <v>18</v>
      </c>
      <c r="T156" s="19" t="s">
        <v>183</v>
      </c>
    </row>
    <row r="157" spans="1:20" ht="37.5" customHeight="1" x14ac:dyDescent="0.25">
      <c r="A157" s="19" t="s">
        <v>184</v>
      </c>
      <c r="B157">
        <f t="shared" si="19"/>
        <v>325</v>
      </c>
      <c r="C157">
        <v>69</v>
      </c>
      <c r="D157">
        <v>256</v>
      </c>
      <c r="E157">
        <v>616</v>
      </c>
      <c r="F157">
        <f t="shared" si="14"/>
        <v>325</v>
      </c>
      <c r="G157" s="20">
        <f t="shared" si="20"/>
        <v>152</v>
      </c>
      <c r="H157" s="21">
        <v>99625010253</v>
      </c>
      <c r="I157" s="22">
        <v>154</v>
      </c>
      <c r="J157" s="23"/>
      <c r="K157" s="24">
        <v>0</v>
      </c>
      <c r="L157" s="23">
        <f t="shared" si="15"/>
        <v>325</v>
      </c>
      <c r="M157" s="24">
        <v>0</v>
      </c>
      <c r="N157" s="25">
        <f t="shared" si="16"/>
        <v>69</v>
      </c>
      <c r="O157" s="24">
        <v>0</v>
      </c>
      <c r="P157" s="23">
        <f t="shared" si="17"/>
        <v>256</v>
      </c>
      <c r="Q157" s="26">
        <v>0</v>
      </c>
      <c r="R157" s="23">
        <f t="shared" si="18"/>
        <v>616</v>
      </c>
      <c r="S157" s="27" t="s">
        <v>18</v>
      </c>
      <c r="T157" s="19" t="s">
        <v>184</v>
      </c>
    </row>
    <row r="158" spans="1:20" ht="37.5" customHeight="1" x14ac:dyDescent="0.25">
      <c r="A158" s="19" t="s">
        <v>185</v>
      </c>
      <c r="B158">
        <f t="shared" si="19"/>
        <v>14354</v>
      </c>
      <c r="C158">
        <v>3506</v>
      </c>
      <c r="D158">
        <v>10848</v>
      </c>
      <c r="E158">
        <v>17491</v>
      </c>
      <c r="F158">
        <f t="shared" si="14"/>
        <v>766</v>
      </c>
      <c r="G158" s="20">
        <f t="shared" si="20"/>
        <v>153</v>
      </c>
      <c r="H158" s="21">
        <v>99723050189</v>
      </c>
      <c r="I158" s="22">
        <v>155</v>
      </c>
      <c r="J158" s="23"/>
      <c r="K158" s="24">
        <f>M158+O158</f>
        <v>13588</v>
      </c>
      <c r="L158" s="23">
        <f t="shared" si="15"/>
        <v>766</v>
      </c>
      <c r="M158" s="24">
        <v>3336</v>
      </c>
      <c r="N158" s="25">
        <f t="shared" si="16"/>
        <v>170</v>
      </c>
      <c r="O158" s="24">
        <v>10252</v>
      </c>
      <c r="P158" s="23">
        <f t="shared" si="17"/>
        <v>596</v>
      </c>
      <c r="Q158" s="26">
        <v>16434</v>
      </c>
      <c r="R158" s="23">
        <f t="shared" si="18"/>
        <v>1057</v>
      </c>
      <c r="S158" s="27" t="s">
        <v>18</v>
      </c>
      <c r="T158" s="19" t="s">
        <v>185</v>
      </c>
    </row>
    <row r="159" spans="1:20" ht="37.5" customHeight="1" x14ac:dyDescent="0.25">
      <c r="A159" s="19" t="s">
        <v>186</v>
      </c>
      <c r="B159">
        <f t="shared" si="19"/>
        <v>1046</v>
      </c>
      <c r="C159">
        <v>316</v>
      </c>
      <c r="D159">
        <v>730</v>
      </c>
      <c r="E159">
        <v>2419</v>
      </c>
      <c r="F159">
        <f t="shared" si="14"/>
        <v>217</v>
      </c>
      <c r="G159" s="20">
        <f t="shared" si="20"/>
        <v>154</v>
      </c>
      <c r="H159" s="21">
        <v>99624040348</v>
      </c>
      <c r="I159" s="22">
        <v>156</v>
      </c>
      <c r="J159" s="23"/>
      <c r="K159" s="24">
        <f>M159+O159</f>
        <v>829</v>
      </c>
      <c r="L159" s="23">
        <f t="shared" si="15"/>
        <v>217</v>
      </c>
      <c r="M159" s="24">
        <v>251</v>
      </c>
      <c r="N159" s="25">
        <f t="shared" si="16"/>
        <v>65</v>
      </c>
      <c r="O159" s="24">
        <v>578</v>
      </c>
      <c r="P159" s="23">
        <f t="shared" si="17"/>
        <v>152</v>
      </c>
      <c r="Q159" s="26">
        <v>1858</v>
      </c>
      <c r="R159" s="23">
        <f t="shared" si="18"/>
        <v>561</v>
      </c>
      <c r="S159" s="27" t="s">
        <v>18</v>
      </c>
      <c r="T159" s="19" t="s">
        <v>186</v>
      </c>
    </row>
    <row r="160" spans="1:20" ht="37.5" customHeight="1" x14ac:dyDescent="0.25">
      <c r="A160" s="19" t="s">
        <v>187</v>
      </c>
      <c r="B160">
        <f t="shared" si="19"/>
        <v>54408</v>
      </c>
      <c r="C160">
        <v>8960</v>
      </c>
      <c r="D160">
        <v>45448</v>
      </c>
      <c r="F160">
        <f t="shared" si="14"/>
        <v>375</v>
      </c>
      <c r="G160" s="20">
        <f t="shared" si="20"/>
        <v>155</v>
      </c>
      <c r="H160" s="21">
        <v>66616020251</v>
      </c>
      <c r="I160" s="22">
        <v>157</v>
      </c>
      <c r="J160" s="23"/>
      <c r="K160" s="24">
        <v>54033</v>
      </c>
      <c r="L160" s="23">
        <f t="shared" si="15"/>
        <v>375</v>
      </c>
      <c r="M160" s="24">
        <v>8901</v>
      </c>
      <c r="N160" s="25">
        <f t="shared" si="16"/>
        <v>59</v>
      </c>
      <c r="O160" s="24">
        <v>45132</v>
      </c>
      <c r="P160" s="23">
        <f t="shared" si="17"/>
        <v>316</v>
      </c>
      <c r="Q160" s="26"/>
      <c r="R160" s="23">
        <f t="shared" si="18"/>
        <v>0</v>
      </c>
      <c r="S160" s="27" t="s">
        <v>18</v>
      </c>
      <c r="T160" s="19" t="s">
        <v>187</v>
      </c>
    </row>
    <row r="161" spans="1:20" ht="37.5" customHeight="1" x14ac:dyDescent="0.25">
      <c r="A161" s="19" t="s">
        <v>188</v>
      </c>
      <c r="B161">
        <f t="shared" si="19"/>
        <v>74522</v>
      </c>
      <c r="C161">
        <v>13971</v>
      </c>
      <c r="D161">
        <v>60551</v>
      </c>
      <c r="F161">
        <f t="shared" si="14"/>
        <v>339</v>
      </c>
      <c r="G161" s="20">
        <f t="shared" si="20"/>
        <v>156</v>
      </c>
      <c r="H161" s="21">
        <v>23012110097</v>
      </c>
      <c r="I161" s="22">
        <v>158</v>
      </c>
      <c r="J161" s="23"/>
      <c r="K161" s="24">
        <v>74183</v>
      </c>
      <c r="L161" s="23">
        <f t="shared" si="15"/>
        <v>339</v>
      </c>
      <c r="M161" s="24">
        <v>13920</v>
      </c>
      <c r="N161" s="25">
        <f t="shared" si="16"/>
        <v>51</v>
      </c>
      <c r="O161" s="24">
        <v>60263</v>
      </c>
      <c r="P161" s="23">
        <f t="shared" si="17"/>
        <v>288</v>
      </c>
      <c r="Q161" s="26"/>
      <c r="R161" s="23">
        <f t="shared" si="18"/>
        <v>0</v>
      </c>
      <c r="S161" s="27" t="s">
        <v>18</v>
      </c>
      <c r="T161" s="19" t="s">
        <v>188</v>
      </c>
    </row>
    <row r="162" spans="1:20" ht="37.5" customHeight="1" x14ac:dyDescent="0.25">
      <c r="A162" s="19" t="s">
        <v>189</v>
      </c>
      <c r="B162">
        <f t="shared" si="19"/>
        <v>43641</v>
      </c>
      <c r="C162">
        <v>7910</v>
      </c>
      <c r="D162">
        <v>35731</v>
      </c>
      <c r="F162">
        <f t="shared" si="14"/>
        <v>240</v>
      </c>
      <c r="G162" s="20">
        <f t="shared" si="20"/>
        <v>157</v>
      </c>
      <c r="H162" s="21">
        <v>23014040277</v>
      </c>
      <c r="I162" s="22">
        <v>160</v>
      </c>
      <c r="J162" s="23"/>
      <c r="K162" s="24">
        <v>43401</v>
      </c>
      <c r="L162" s="23">
        <f t="shared" si="15"/>
        <v>240</v>
      </c>
      <c r="M162" s="24">
        <v>7867</v>
      </c>
      <c r="N162" s="25">
        <f t="shared" si="16"/>
        <v>43</v>
      </c>
      <c r="O162" s="24">
        <v>35534</v>
      </c>
      <c r="P162" s="23">
        <f t="shared" si="17"/>
        <v>197</v>
      </c>
      <c r="Q162" s="26"/>
      <c r="R162" s="23">
        <f t="shared" si="18"/>
        <v>0</v>
      </c>
      <c r="S162" s="27" t="s">
        <v>18</v>
      </c>
      <c r="T162" s="19" t="s">
        <v>189</v>
      </c>
    </row>
    <row r="163" spans="1:20" ht="37.5" customHeight="1" x14ac:dyDescent="0.25">
      <c r="A163" s="19" t="s">
        <v>190</v>
      </c>
      <c r="B163">
        <f t="shared" si="19"/>
        <v>36058</v>
      </c>
      <c r="C163">
        <v>5955</v>
      </c>
      <c r="D163">
        <v>30103</v>
      </c>
      <c r="F163">
        <f t="shared" si="14"/>
        <v>539</v>
      </c>
      <c r="G163" s="20">
        <f t="shared" si="20"/>
        <v>158</v>
      </c>
      <c r="H163" s="21">
        <v>23014090350</v>
      </c>
      <c r="I163" s="22">
        <v>161</v>
      </c>
      <c r="J163" s="23"/>
      <c r="K163" s="24">
        <v>35519</v>
      </c>
      <c r="L163" s="23">
        <f t="shared" si="15"/>
        <v>539</v>
      </c>
      <c r="M163" s="24">
        <v>5863</v>
      </c>
      <c r="N163" s="25">
        <f t="shared" si="16"/>
        <v>92</v>
      </c>
      <c r="O163" s="24">
        <v>29656</v>
      </c>
      <c r="P163" s="23">
        <f t="shared" si="17"/>
        <v>447</v>
      </c>
      <c r="Q163" s="26"/>
      <c r="R163" s="23">
        <f t="shared" si="18"/>
        <v>0</v>
      </c>
      <c r="S163" s="27" t="s">
        <v>18</v>
      </c>
      <c r="T163" s="19" t="s">
        <v>190</v>
      </c>
    </row>
    <row r="164" spans="1:20" ht="37.5" customHeight="1" x14ac:dyDescent="0.25">
      <c r="A164" s="19" t="s">
        <v>191</v>
      </c>
      <c r="B164">
        <f t="shared" si="19"/>
        <v>14545</v>
      </c>
      <c r="C164">
        <v>2980</v>
      </c>
      <c r="D164">
        <v>11565</v>
      </c>
      <c r="F164">
        <f t="shared" si="14"/>
        <v>144</v>
      </c>
      <c r="G164" s="20">
        <f t="shared" si="20"/>
        <v>159</v>
      </c>
      <c r="H164" s="21">
        <v>66621100059</v>
      </c>
      <c r="I164" s="22">
        <v>162</v>
      </c>
      <c r="J164" s="23"/>
      <c r="K164" s="24">
        <v>14401</v>
      </c>
      <c r="L164" s="23">
        <f t="shared" si="15"/>
        <v>144</v>
      </c>
      <c r="M164" s="24">
        <v>2938</v>
      </c>
      <c r="N164" s="25">
        <f t="shared" si="16"/>
        <v>42</v>
      </c>
      <c r="O164" s="24">
        <v>11463</v>
      </c>
      <c r="P164" s="23">
        <f t="shared" si="17"/>
        <v>102</v>
      </c>
      <c r="Q164" s="26"/>
      <c r="R164" s="23">
        <f t="shared" si="18"/>
        <v>0</v>
      </c>
      <c r="S164" s="27" t="s">
        <v>18</v>
      </c>
      <c r="T164" s="19" t="s">
        <v>191</v>
      </c>
    </row>
    <row r="165" spans="1:20" ht="37.5" customHeight="1" x14ac:dyDescent="0.25">
      <c r="A165" s="19" t="s">
        <v>192</v>
      </c>
      <c r="B165">
        <f t="shared" si="19"/>
        <v>18755</v>
      </c>
      <c r="C165">
        <v>3572</v>
      </c>
      <c r="D165">
        <v>15183</v>
      </c>
      <c r="F165">
        <f t="shared" si="14"/>
        <v>88</v>
      </c>
      <c r="G165" s="20">
        <f t="shared" si="20"/>
        <v>160</v>
      </c>
      <c r="H165" s="21">
        <v>23012110155</v>
      </c>
      <c r="I165" s="22">
        <v>163</v>
      </c>
      <c r="J165" s="23"/>
      <c r="K165" s="24">
        <v>18667</v>
      </c>
      <c r="L165" s="23">
        <f t="shared" si="15"/>
        <v>88</v>
      </c>
      <c r="M165" s="24">
        <v>3551</v>
      </c>
      <c r="N165" s="25">
        <f t="shared" si="16"/>
        <v>21</v>
      </c>
      <c r="O165" s="24">
        <v>15116</v>
      </c>
      <c r="P165" s="23">
        <f t="shared" si="17"/>
        <v>67</v>
      </c>
      <c r="Q165" s="26"/>
      <c r="R165" s="23">
        <f t="shared" si="18"/>
        <v>0</v>
      </c>
      <c r="S165" s="27" t="s">
        <v>18</v>
      </c>
      <c r="T165" s="19" t="s">
        <v>192</v>
      </c>
    </row>
    <row r="166" spans="1:20" ht="37.5" customHeight="1" x14ac:dyDescent="0.25">
      <c r="A166" s="19" t="s">
        <v>193</v>
      </c>
      <c r="B166">
        <f t="shared" si="19"/>
        <v>9318</v>
      </c>
      <c r="C166">
        <v>2479</v>
      </c>
      <c r="D166">
        <v>6839</v>
      </c>
      <c r="E166">
        <v>7101</v>
      </c>
      <c r="F166">
        <f t="shared" si="14"/>
        <v>172</v>
      </c>
      <c r="G166" s="20">
        <f t="shared" si="20"/>
        <v>161</v>
      </c>
      <c r="H166" s="21">
        <v>99723070030</v>
      </c>
      <c r="I166" s="22">
        <v>164</v>
      </c>
      <c r="J166" s="23"/>
      <c r="K166" s="24">
        <f>M166+O166</f>
        <v>9146</v>
      </c>
      <c r="L166" s="23">
        <f t="shared" si="15"/>
        <v>172</v>
      </c>
      <c r="M166" s="24">
        <v>2430</v>
      </c>
      <c r="N166" s="25">
        <f t="shared" si="16"/>
        <v>49</v>
      </c>
      <c r="O166" s="24">
        <v>6716</v>
      </c>
      <c r="P166" s="23">
        <f t="shared" si="17"/>
        <v>123</v>
      </c>
      <c r="Q166" s="26">
        <v>6502</v>
      </c>
      <c r="R166" s="23">
        <f t="shared" si="18"/>
        <v>599</v>
      </c>
      <c r="S166" s="27" t="s">
        <v>18</v>
      </c>
      <c r="T166" s="19" t="s">
        <v>193</v>
      </c>
    </row>
    <row r="167" spans="1:20" ht="37.5" customHeight="1" x14ac:dyDescent="0.25">
      <c r="A167" s="19" t="s">
        <v>194</v>
      </c>
      <c r="B167">
        <f t="shared" si="19"/>
        <v>36607</v>
      </c>
      <c r="C167">
        <v>7354</v>
      </c>
      <c r="D167">
        <v>29253</v>
      </c>
      <c r="F167">
        <f t="shared" si="14"/>
        <v>452</v>
      </c>
      <c r="G167" s="20">
        <f t="shared" si="20"/>
        <v>162</v>
      </c>
      <c r="H167" s="21">
        <v>66619040256</v>
      </c>
      <c r="I167" s="22">
        <v>165</v>
      </c>
      <c r="J167" s="23"/>
      <c r="K167" s="24">
        <v>36155</v>
      </c>
      <c r="L167" s="23">
        <f t="shared" si="15"/>
        <v>452</v>
      </c>
      <c r="M167" s="24">
        <v>7274</v>
      </c>
      <c r="N167" s="25">
        <f t="shared" si="16"/>
        <v>80</v>
      </c>
      <c r="O167" s="24">
        <v>28881</v>
      </c>
      <c r="P167" s="23">
        <f t="shared" si="17"/>
        <v>372</v>
      </c>
      <c r="Q167" s="26"/>
      <c r="R167" s="23">
        <f t="shared" si="18"/>
        <v>0</v>
      </c>
      <c r="S167" s="27" t="s">
        <v>18</v>
      </c>
      <c r="T167" s="19" t="s">
        <v>194</v>
      </c>
    </row>
    <row r="168" spans="1:20" ht="37.5" customHeight="1" x14ac:dyDescent="0.25">
      <c r="A168" s="19" t="s">
        <v>195</v>
      </c>
      <c r="B168">
        <f t="shared" si="19"/>
        <v>777</v>
      </c>
      <c r="C168">
        <v>206</v>
      </c>
      <c r="D168">
        <v>571</v>
      </c>
      <c r="E168">
        <v>2030</v>
      </c>
      <c r="F168">
        <f t="shared" si="14"/>
        <v>513</v>
      </c>
      <c r="G168" s="20">
        <f t="shared" si="20"/>
        <v>163</v>
      </c>
      <c r="H168" s="21">
        <v>99625010025</v>
      </c>
      <c r="I168" s="22">
        <v>166</v>
      </c>
      <c r="J168" s="23"/>
      <c r="K168" s="24">
        <f>M168+O168</f>
        <v>264</v>
      </c>
      <c r="L168" s="23">
        <f t="shared" si="15"/>
        <v>513</v>
      </c>
      <c r="M168" s="24">
        <v>90</v>
      </c>
      <c r="N168" s="25">
        <f t="shared" si="16"/>
        <v>116</v>
      </c>
      <c r="O168" s="24">
        <v>174</v>
      </c>
      <c r="P168" s="23">
        <f t="shared" si="17"/>
        <v>397</v>
      </c>
      <c r="Q168" s="26">
        <v>1106</v>
      </c>
      <c r="R168" s="23">
        <f t="shared" si="18"/>
        <v>924</v>
      </c>
      <c r="S168" s="27" t="s">
        <v>18</v>
      </c>
      <c r="T168" s="19" t="s">
        <v>195</v>
      </c>
    </row>
    <row r="169" spans="1:20" ht="37.5" customHeight="1" x14ac:dyDescent="0.25">
      <c r="A169" s="19" t="s">
        <v>196</v>
      </c>
      <c r="B169">
        <f t="shared" si="19"/>
        <v>10958</v>
      </c>
      <c r="C169">
        <v>2294</v>
      </c>
      <c r="D169">
        <v>8664</v>
      </c>
      <c r="E169">
        <v>17194</v>
      </c>
      <c r="F169">
        <f t="shared" si="14"/>
        <v>318</v>
      </c>
      <c r="G169" s="20">
        <f t="shared" si="20"/>
        <v>164</v>
      </c>
      <c r="H169" s="21">
        <v>99723040045</v>
      </c>
      <c r="I169" s="22">
        <v>167</v>
      </c>
      <c r="J169" s="23"/>
      <c r="K169" s="24">
        <f>M169+O169</f>
        <v>10640</v>
      </c>
      <c r="L169" s="23">
        <f t="shared" si="15"/>
        <v>318</v>
      </c>
      <c r="M169" s="24">
        <v>2209</v>
      </c>
      <c r="N169" s="25">
        <f t="shared" si="16"/>
        <v>85</v>
      </c>
      <c r="O169" s="24">
        <v>8431</v>
      </c>
      <c r="P169" s="23">
        <f t="shared" si="17"/>
        <v>233</v>
      </c>
      <c r="Q169" s="26">
        <v>16208</v>
      </c>
      <c r="R169" s="23">
        <f t="shared" si="18"/>
        <v>986</v>
      </c>
      <c r="S169" s="27" t="s">
        <v>18</v>
      </c>
      <c r="T169" s="19" t="s">
        <v>196</v>
      </c>
    </row>
    <row r="170" spans="1:20" ht="37.5" customHeight="1" x14ac:dyDescent="0.25">
      <c r="A170" s="19" t="s">
        <v>197</v>
      </c>
      <c r="B170">
        <f t="shared" si="19"/>
        <v>7883</v>
      </c>
      <c r="C170">
        <v>1432</v>
      </c>
      <c r="D170">
        <v>6451</v>
      </c>
      <c r="F170">
        <f t="shared" si="14"/>
        <v>0</v>
      </c>
      <c r="G170" s="20">
        <f t="shared" si="20"/>
        <v>165</v>
      </c>
      <c r="H170" s="21">
        <v>66621100347</v>
      </c>
      <c r="I170" s="22">
        <v>168</v>
      </c>
      <c r="J170" s="23"/>
      <c r="K170" s="24">
        <v>7883</v>
      </c>
      <c r="L170" s="23">
        <f t="shared" si="15"/>
        <v>0</v>
      </c>
      <c r="M170" s="24">
        <v>1432</v>
      </c>
      <c r="N170" s="25">
        <f t="shared" si="16"/>
        <v>0</v>
      </c>
      <c r="O170" s="24">
        <v>6451</v>
      </c>
      <c r="P170" s="23">
        <f t="shared" si="17"/>
        <v>0</v>
      </c>
      <c r="Q170" s="26"/>
      <c r="R170" s="23">
        <f t="shared" si="18"/>
        <v>0</v>
      </c>
      <c r="S170" s="27" t="s">
        <v>18</v>
      </c>
      <c r="T170" s="19" t="s">
        <v>197</v>
      </c>
    </row>
    <row r="171" spans="1:20" ht="37.5" customHeight="1" x14ac:dyDescent="0.25">
      <c r="A171" s="19" t="s">
        <v>198</v>
      </c>
      <c r="B171">
        <f t="shared" si="19"/>
        <v>3427</v>
      </c>
      <c r="C171">
        <v>810</v>
      </c>
      <c r="D171">
        <v>2617</v>
      </c>
      <c r="E171">
        <v>6048</v>
      </c>
      <c r="F171">
        <f t="shared" si="14"/>
        <v>361</v>
      </c>
      <c r="G171" s="20">
        <f t="shared" si="20"/>
        <v>166</v>
      </c>
      <c r="H171" s="21">
        <v>99624030342</v>
      </c>
      <c r="I171" s="22">
        <v>170</v>
      </c>
      <c r="J171" s="23"/>
      <c r="K171" s="24">
        <f>M171+O171</f>
        <v>3066</v>
      </c>
      <c r="L171" s="23">
        <f t="shared" si="15"/>
        <v>361</v>
      </c>
      <c r="M171" s="24">
        <v>726</v>
      </c>
      <c r="N171" s="25">
        <f t="shared" si="16"/>
        <v>84</v>
      </c>
      <c r="O171" s="24">
        <v>2340</v>
      </c>
      <c r="P171" s="23">
        <f t="shared" si="17"/>
        <v>277</v>
      </c>
      <c r="Q171" s="26">
        <v>5152</v>
      </c>
      <c r="R171" s="23">
        <f t="shared" si="18"/>
        <v>896</v>
      </c>
      <c r="S171" s="27" t="s">
        <v>18</v>
      </c>
      <c r="T171" s="19" t="s">
        <v>198</v>
      </c>
    </row>
    <row r="172" spans="1:20" ht="37.5" customHeight="1" x14ac:dyDescent="0.25">
      <c r="A172" s="19" t="s">
        <v>199</v>
      </c>
      <c r="B172">
        <f t="shared" si="19"/>
        <v>26784</v>
      </c>
      <c r="C172">
        <v>4339</v>
      </c>
      <c r="D172">
        <v>22445</v>
      </c>
      <c r="F172">
        <f t="shared" si="14"/>
        <v>420</v>
      </c>
      <c r="G172" s="20">
        <f t="shared" si="20"/>
        <v>167</v>
      </c>
      <c r="H172" s="21">
        <v>66621030201</v>
      </c>
      <c r="I172" s="22">
        <v>172</v>
      </c>
      <c r="J172" s="23"/>
      <c r="K172" s="24">
        <v>26364</v>
      </c>
      <c r="L172" s="23">
        <f t="shared" si="15"/>
        <v>420</v>
      </c>
      <c r="M172" s="24">
        <v>4312</v>
      </c>
      <c r="N172" s="25">
        <f t="shared" si="16"/>
        <v>27</v>
      </c>
      <c r="O172" s="24">
        <v>22052</v>
      </c>
      <c r="P172" s="23">
        <f t="shared" si="17"/>
        <v>393</v>
      </c>
      <c r="Q172" s="26"/>
      <c r="R172" s="23">
        <f t="shared" si="18"/>
        <v>0</v>
      </c>
      <c r="S172" s="27" t="s">
        <v>18</v>
      </c>
      <c r="T172" s="19" t="s">
        <v>199</v>
      </c>
    </row>
    <row r="173" spans="1:20" ht="37.5" customHeight="1" x14ac:dyDescent="0.25">
      <c r="A173" s="19" t="s">
        <v>200</v>
      </c>
      <c r="B173">
        <f t="shared" si="19"/>
        <v>2477</v>
      </c>
      <c r="C173">
        <v>651</v>
      </c>
      <c r="D173">
        <v>1826</v>
      </c>
      <c r="E173">
        <v>2652</v>
      </c>
      <c r="F173">
        <f t="shared" si="14"/>
        <v>383</v>
      </c>
      <c r="G173" s="20">
        <f t="shared" si="20"/>
        <v>168</v>
      </c>
      <c r="H173" s="21">
        <v>99624040392</v>
      </c>
      <c r="I173" s="22">
        <v>174</v>
      </c>
      <c r="J173" s="23"/>
      <c r="K173" s="24">
        <f>M173+O173</f>
        <v>2094</v>
      </c>
      <c r="L173" s="23">
        <f t="shared" si="15"/>
        <v>383</v>
      </c>
      <c r="M173" s="24">
        <v>542</v>
      </c>
      <c r="N173" s="25">
        <f t="shared" si="16"/>
        <v>109</v>
      </c>
      <c r="O173" s="24">
        <v>1552</v>
      </c>
      <c r="P173" s="23">
        <f t="shared" si="17"/>
        <v>274</v>
      </c>
      <c r="Q173" s="26">
        <v>1993</v>
      </c>
      <c r="R173" s="23">
        <f t="shared" si="18"/>
        <v>659</v>
      </c>
      <c r="S173" s="27" t="s">
        <v>18</v>
      </c>
      <c r="T173" s="19" t="s">
        <v>200</v>
      </c>
    </row>
    <row r="174" spans="1:20" ht="37.5" customHeight="1" x14ac:dyDescent="0.25">
      <c r="A174" s="19" t="s">
        <v>201</v>
      </c>
      <c r="B174">
        <f t="shared" si="19"/>
        <v>42801</v>
      </c>
      <c r="C174">
        <v>7674</v>
      </c>
      <c r="D174">
        <v>35127</v>
      </c>
      <c r="F174">
        <f t="shared" si="14"/>
        <v>836</v>
      </c>
      <c r="G174" s="20">
        <f t="shared" si="20"/>
        <v>169</v>
      </c>
      <c r="H174" s="21">
        <v>88818020101</v>
      </c>
      <c r="I174" s="22">
        <v>177</v>
      </c>
      <c r="J174" s="23"/>
      <c r="K174" s="24">
        <v>41965</v>
      </c>
      <c r="L174" s="23">
        <f t="shared" si="15"/>
        <v>836</v>
      </c>
      <c r="M174" s="24">
        <v>7544</v>
      </c>
      <c r="N174" s="25">
        <f t="shared" si="16"/>
        <v>130</v>
      </c>
      <c r="O174" s="24">
        <v>34421</v>
      </c>
      <c r="P174" s="23">
        <f t="shared" si="17"/>
        <v>706</v>
      </c>
      <c r="Q174" s="26"/>
      <c r="R174" s="23">
        <f t="shared" si="18"/>
        <v>0</v>
      </c>
      <c r="S174" s="27" t="s">
        <v>18</v>
      </c>
      <c r="T174" s="19" t="s">
        <v>201</v>
      </c>
    </row>
    <row r="175" spans="1:20" ht="37.5" customHeight="1" x14ac:dyDescent="0.25">
      <c r="A175" s="19" t="s">
        <v>202</v>
      </c>
      <c r="B175">
        <f t="shared" si="19"/>
        <v>71492</v>
      </c>
      <c r="C175">
        <v>19696</v>
      </c>
      <c r="D175">
        <v>51796</v>
      </c>
      <c r="F175">
        <f t="shared" si="14"/>
        <v>196</v>
      </c>
      <c r="G175" s="20">
        <f t="shared" si="20"/>
        <v>170</v>
      </c>
      <c r="H175" s="21">
        <v>23011100064</v>
      </c>
      <c r="I175" s="22">
        <v>179</v>
      </c>
      <c r="J175" s="23"/>
      <c r="K175" s="24">
        <v>71296</v>
      </c>
      <c r="L175" s="23">
        <f t="shared" si="15"/>
        <v>196</v>
      </c>
      <c r="M175" s="24">
        <v>19656</v>
      </c>
      <c r="N175" s="25">
        <f t="shared" si="16"/>
        <v>40</v>
      </c>
      <c r="O175" s="24">
        <v>51640</v>
      </c>
      <c r="P175" s="23">
        <f t="shared" si="17"/>
        <v>156</v>
      </c>
      <c r="Q175" s="26"/>
      <c r="R175" s="23">
        <f t="shared" si="18"/>
        <v>0</v>
      </c>
      <c r="S175" s="27" t="s">
        <v>18</v>
      </c>
      <c r="T175" s="19" t="s">
        <v>202</v>
      </c>
    </row>
    <row r="176" spans="1:20" ht="37.5" customHeight="1" x14ac:dyDescent="0.25">
      <c r="A176" s="19" t="s">
        <v>203</v>
      </c>
      <c r="B176">
        <f t="shared" si="19"/>
        <v>70530</v>
      </c>
      <c r="C176">
        <v>11399</v>
      </c>
      <c r="D176">
        <v>59131</v>
      </c>
      <c r="F176">
        <f t="shared" si="14"/>
        <v>334</v>
      </c>
      <c r="G176" s="20">
        <f t="shared" si="20"/>
        <v>171</v>
      </c>
      <c r="H176" s="21">
        <v>23014010412</v>
      </c>
      <c r="I176" s="22">
        <v>182</v>
      </c>
      <c r="J176" s="23"/>
      <c r="K176" s="24">
        <v>70196</v>
      </c>
      <c r="L176" s="23">
        <f t="shared" si="15"/>
        <v>334</v>
      </c>
      <c r="M176" s="24">
        <v>11347</v>
      </c>
      <c r="N176" s="25">
        <f t="shared" si="16"/>
        <v>52</v>
      </c>
      <c r="O176" s="24">
        <v>58849</v>
      </c>
      <c r="P176" s="23">
        <f t="shared" si="17"/>
        <v>282</v>
      </c>
      <c r="Q176" s="26"/>
      <c r="R176" s="23">
        <f t="shared" si="18"/>
        <v>0</v>
      </c>
      <c r="S176" s="27" t="s">
        <v>18</v>
      </c>
      <c r="T176" s="19" t="s">
        <v>203</v>
      </c>
    </row>
    <row r="177" spans="1:20" ht="37.5" customHeight="1" x14ac:dyDescent="0.25">
      <c r="A177" s="19" t="s">
        <v>204</v>
      </c>
      <c r="B177">
        <f t="shared" si="19"/>
        <v>54685</v>
      </c>
      <c r="C177">
        <v>9328</v>
      </c>
      <c r="D177">
        <v>45357</v>
      </c>
      <c r="F177">
        <f t="shared" si="14"/>
        <v>470</v>
      </c>
      <c r="G177" s="20">
        <f t="shared" si="20"/>
        <v>172</v>
      </c>
      <c r="H177" s="21">
        <v>23014090992</v>
      </c>
      <c r="I177" s="22">
        <v>183</v>
      </c>
      <c r="J177" s="23"/>
      <c r="K177" s="24">
        <v>54215</v>
      </c>
      <c r="L177" s="23">
        <f t="shared" si="15"/>
        <v>470</v>
      </c>
      <c r="M177" s="24">
        <v>9248</v>
      </c>
      <c r="N177" s="25">
        <f t="shared" si="16"/>
        <v>80</v>
      </c>
      <c r="O177" s="24">
        <v>44967</v>
      </c>
      <c r="P177" s="23">
        <f t="shared" si="17"/>
        <v>390</v>
      </c>
      <c r="Q177" s="26"/>
      <c r="R177" s="23">
        <f t="shared" si="18"/>
        <v>0</v>
      </c>
      <c r="S177" s="27" t="s">
        <v>18</v>
      </c>
      <c r="T177" s="19" t="s">
        <v>204</v>
      </c>
    </row>
    <row r="178" spans="1:20" ht="37.5" customHeight="1" x14ac:dyDescent="0.25">
      <c r="A178" s="19" t="s">
        <v>205</v>
      </c>
      <c r="B178">
        <f t="shared" si="19"/>
        <v>51285</v>
      </c>
      <c r="C178">
        <v>8011</v>
      </c>
      <c r="D178">
        <v>43274</v>
      </c>
      <c r="F178">
        <f t="shared" si="14"/>
        <v>1155</v>
      </c>
      <c r="G178" s="20">
        <f t="shared" si="20"/>
        <v>173</v>
      </c>
      <c r="H178" s="21">
        <v>66619040352</v>
      </c>
      <c r="I178" s="22">
        <v>184</v>
      </c>
      <c r="J178" s="23"/>
      <c r="K178" s="24">
        <v>50130</v>
      </c>
      <c r="L178" s="23">
        <f t="shared" si="15"/>
        <v>1155</v>
      </c>
      <c r="M178" s="24">
        <v>7802</v>
      </c>
      <c r="N178" s="25">
        <f t="shared" si="16"/>
        <v>209</v>
      </c>
      <c r="O178" s="24">
        <v>42328</v>
      </c>
      <c r="P178" s="23">
        <f t="shared" si="17"/>
        <v>946</v>
      </c>
      <c r="Q178" s="26"/>
      <c r="R178" s="23">
        <f t="shared" si="18"/>
        <v>0</v>
      </c>
      <c r="S178" s="27" t="s">
        <v>18</v>
      </c>
      <c r="T178" s="19" t="s">
        <v>205</v>
      </c>
    </row>
    <row r="179" spans="1:20" ht="37.5" customHeight="1" x14ac:dyDescent="0.25">
      <c r="A179" s="19" t="s">
        <v>206</v>
      </c>
      <c r="B179">
        <f t="shared" si="19"/>
        <v>37248</v>
      </c>
      <c r="C179">
        <v>6696</v>
      </c>
      <c r="D179">
        <v>30552</v>
      </c>
      <c r="F179">
        <f t="shared" si="14"/>
        <v>377</v>
      </c>
      <c r="G179" s="20">
        <f t="shared" si="20"/>
        <v>174</v>
      </c>
      <c r="H179" s="21">
        <v>88818010261</v>
      </c>
      <c r="I179" s="22">
        <v>185</v>
      </c>
      <c r="J179" s="23"/>
      <c r="K179" s="24">
        <v>36871</v>
      </c>
      <c r="L179" s="23">
        <f t="shared" si="15"/>
        <v>377</v>
      </c>
      <c r="M179" s="24">
        <v>6615</v>
      </c>
      <c r="N179" s="25">
        <f t="shared" si="16"/>
        <v>81</v>
      </c>
      <c r="O179" s="24">
        <v>30256</v>
      </c>
      <c r="P179" s="23">
        <f t="shared" si="17"/>
        <v>296</v>
      </c>
      <c r="Q179" s="26"/>
      <c r="R179" s="23">
        <f t="shared" si="18"/>
        <v>0</v>
      </c>
      <c r="S179" s="27" t="s">
        <v>18</v>
      </c>
      <c r="T179" s="19" t="s">
        <v>206</v>
      </c>
    </row>
    <row r="180" spans="1:20" ht="37.5" customHeight="1" x14ac:dyDescent="0.25">
      <c r="A180" s="19" t="s">
        <v>207</v>
      </c>
      <c r="B180">
        <f t="shared" si="19"/>
        <v>27441</v>
      </c>
      <c r="C180">
        <v>4360</v>
      </c>
      <c r="D180">
        <v>23081</v>
      </c>
      <c r="F180">
        <f t="shared" si="14"/>
        <v>271</v>
      </c>
      <c r="G180" s="20">
        <f t="shared" si="20"/>
        <v>175</v>
      </c>
      <c r="H180" s="21">
        <v>23014040453</v>
      </c>
      <c r="I180" s="22">
        <v>186</v>
      </c>
      <c r="J180" s="23"/>
      <c r="K180" s="24">
        <v>27170</v>
      </c>
      <c r="L180" s="23">
        <f t="shared" si="15"/>
        <v>271</v>
      </c>
      <c r="M180" s="24">
        <v>4303</v>
      </c>
      <c r="N180" s="25">
        <f t="shared" si="16"/>
        <v>57</v>
      </c>
      <c r="O180" s="24">
        <v>22867</v>
      </c>
      <c r="P180" s="23">
        <f t="shared" si="17"/>
        <v>214</v>
      </c>
      <c r="Q180" s="26"/>
      <c r="R180" s="23">
        <f t="shared" si="18"/>
        <v>0</v>
      </c>
      <c r="S180" s="27" t="s">
        <v>18</v>
      </c>
      <c r="T180" s="19" t="s">
        <v>207</v>
      </c>
    </row>
    <row r="181" spans="1:20" ht="37.5" customHeight="1" x14ac:dyDescent="0.25">
      <c r="A181" s="19" t="s">
        <v>208</v>
      </c>
      <c r="B181">
        <f t="shared" si="19"/>
        <v>14631</v>
      </c>
      <c r="C181">
        <v>3152</v>
      </c>
      <c r="D181">
        <v>11479</v>
      </c>
      <c r="F181">
        <f t="shared" si="14"/>
        <v>179</v>
      </c>
      <c r="G181" s="20">
        <f t="shared" si="20"/>
        <v>176</v>
      </c>
      <c r="H181" s="21">
        <v>88820030444</v>
      </c>
      <c r="I181" s="22">
        <v>187</v>
      </c>
      <c r="J181" s="23"/>
      <c r="K181" s="24">
        <v>14452</v>
      </c>
      <c r="L181" s="23">
        <f t="shared" si="15"/>
        <v>179</v>
      </c>
      <c r="M181" s="24">
        <v>3099</v>
      </c>
      <c r="N181" s="25">
        <f t="shared" si="16"/>
        <v>53</v>
      </c>
      <c r="O181" s="24">
        <v>11353</v>
      </c>
      <c r="P181" s="23">
        <f t="shared" si="17"/>
        <v>126</v>
      </c>
      <c r="Q181" s="26"/>
      <c r="R181" s="23">
        <f t="shared" si="18"/>
        <v>0</v>
      </c>
      <c r="S181" s="27" t="s">
        <v>18</v>
      </c>
      <c r="T181" s="19" t="s">
        <v>208</v>
      </c>
    </row>
    <row r="182" spans="1:20" ht="37.5" customHeight="1" x14ac:dyDescent="0.25">
      <c r="A182" s="19" t="s">
        <v>209</v>
      </c>
      <c r="B182">
        <f t="shared" si="19"/>
        <v>2681</v>
      </c>
      <c r="C182">
        <v>685</v>
      </c>
      <c r="D182">
        <v>1996</v>
      </c>
      <c r="F182">
        <f t="shared" si="14"/>
        <v>0</v>
      </c>
      <c r="G182" s="20">
        <f t="shared" si="20"/>
        <v>177</v>
      </c>
      <c r="H182" s="21">
        <v>23015100974</v>
      </c>
      <c r="I182" s="22">
        <v>188</v>
      </c>
      <c r="J182" s="23"/>
      <c r="K182" s="24">
        <v>2681</v>
      </c>
      <c r="L182" s="23">
        <f t="shared" si="15"/>
        <v>0</v>
      </c>
      <c r="M182" s="24">
        <v>685</v>
      </c>
      <c r="N182" s="25">
        <f t="shared" si="16"/>
        <v>0</v>
      </c>
      <c r="O182" s="24">
        <v>1996</v>
      </c>
      <c r="P182" s="23">
        <f t="shared" si="17"/>
        <v>0</v>
      </c>
      <c r="Q182" s="26"/>
      <c r="R182" s="23">
        <f t="shared" si="18"/>
        <v>0</v>
      </c>
      <c r="S182" s="27" t="s">
        <v>18</v>
      </c>
      <c r="T182" s="19" t="s">
        <v>209</v>
      </c>
    </row>
    <row r="183" spans="1:20" ht="37.5" customHeight="1" x14ac:dyDescent="0.25">
      <c r="A183" s="19" t="s">
        <v>210</v>
      </c>
      <c r="B183">
        <f t="shared" si="19"/>
        <v>4203</v>
      </c>
      <c r="C183">
        <v>1236</v>
      </c>
      <c r="D183">
        <v>2967</v>
      </c>
      <c r="E183">
        <v>9293</v>
      </c>
      <c r="F183">
        <f t="shared" si="14"/>
        <v>295</v>
      </c>
      <c r="G183" s="20">
        <f t="shared" si="20"/>
        <v>178</v>
      </c>
      <c r="H183" s="21">
        <v>99624010247</v>
      </c>
      <c r="I183" s="22">
        <v>189</v>
      </c>
      <c r="J183" s="23"/>
      <c r="K183" s="24">
        <f>M183+O183</f>
        <v>3908</v>
      </c>
      <c r="L183" s="23">
        <f t="shared" si="15"/>
        <v>295</v>
      </c>
      <c r="M183" s="24">
        <v>1163</v>
      </c>
      <c r="N183" s="25">
        <f t="shared" si="16"/>
        <v>73</v>
      </c>
      <c r="O183" s="24">
        <v>2745</v>
      </c>
      <c r="P183" s="23">
        <f t="shared" si="17"/>
        <v>222</v>
      </c>
      <c r="Q183" s="26">
        <v>8330</v>
      </c>
      <c r="R183" s="23">
        <f t="shared" si="18"/>
        <v>963</v>
      </c>
      <c r="S183" s="27" t="s">
        <v>18</v>
      </c>
      <c r="T183" s="19" t="s">
        <v>210</v>
      </c>
    </row>
    <row r="184" spans="1:20" ht="37.5" customHeight="1" x14ac:dyDescent="0.25">
      <c r="A184" s="19" t="s">
        <v>211</v>
      </c>
      <c r="B184">
        <f t="shared" si="19"/>
        <v>54716</v>
      </c>
      <c r="C184">
        <v>9547</v>
      </c>
      <c r="D184">
        <v>45169</v>
      </c>
      <c r="F184">
        <f t="shared" si="14"/>
        <v>213</v>
      </c>
      <c r="G184" s="20">
        <f t="shared" si="20"/>
        <v>179</v>
      </c>
      <c r="H184" s="21">
        <v>23014060804</v>
      </c>
      <c r="I184" s="22">
        <v>190</v>
      </c>
      <c r="J184" s="23"/>
      <c r="K184" s="24">
        <v>54503</v>
      </c>
      <c r="L184" s="23">
        <f t="shared" si="15"/>
        <v>213</v>
      </c>
      <c r="M184" s="24">
        <v>9497</v>
      </c>
      <c r="N184" s="25">
        <f t="shared" si="16"/>
        <v>50</v>
      </c>
      <c r="O184" s="24">
        <v>45006</v>
      </c>
      <c r="P184" s="23">
        <f t="shared" si="17"/>
        <v>163</v>
      </c>
      <c r="Q184" s="26"/>
      <c r="R184" s="23">
        <f t="shared" si="18"/>
        <v>0</v>
      </c>
      <c r="S184" s="27" t="s">
        <v>18</v>
      </c>
      <c r="T184" s="19" t="s">
        <v>211</v>
      </c>
    </row>
    <row r="185" spans="1:20" ht="37.5" customHeight="1" x14ac:dyDescent="0.25">
      <c r="A185" s="19" t="s">
        <v>212</v>
      </c>
      <c r="B185">
        <f t="shared" si="19"/>
        <v>592</v>
      </c>
      <c r="C185">
        <v>70</v>
      </c>
      <c r="D185">
        <v>522</v>
      </c>
      <c r="F185">
        <f t="shared" si="14"/>
        <v>0</v>
      </c>
      <c r="G185" s="20">
        <f t="shared" si="20"/>
        <v>180</v>
      </c>
      <c r="H185" s="21">
        <v>66622060207</v>
      </c>
      <c r="I185" s="22">
        <v>191</v>
      </c>
      <c r="J185" s="23"/>
      <c r="K185" s="24">
        <v>592</v>
      </c>
      <c r="L185" s="23">
        <f t="shared" si="15"/>
        <v>0</v>
      </c>
      <c r="M185" s="24">
        <v>70</v>
      </c>
      <c r="N185" s="25">
        <f t="shared" si="16"/>
        <v>0</v>
      </c>
      <c r="O185" s="24">
        <v>522</v>
      </c>
      <c r="P185" s="23">
        <f t="shared" si="17"/>
        <v>0</v>
      </c>
      <c r="Q185" s="26"/>
      <c r="R185" s="23">
        <f t="shared" si="18"/>
        <v>0</v>
      </c>
      <c r="S185" s="27" t="s">
        <v>18</v>
      </c>
      <c r="T185" s="19" t="s">
        <v>212</v>
      </c>
    </row>
    <row r="186" spans="1:20" ht="37.5" customHeight="1" x14ac:dyDescent="0.25">
      <c r="A186" s="19" t="s">
        <v>213</v>
      </c>
      <c r="B186">
        <f t="shared" si="19"/>
        <v>11755</v>
      </c>
      <c r="C186">
        <v>1486</v>
      </c>
      <c r="D186">
        <v>10269</v>
      </c>
      <c r="F186">
        <f t="shared" si="14"/>
        <v>321</v>
      </c>
      <c r="G186" s="20">
        <f t="shared" si="20"/>
        <v>181</v>
      </c>
      <c r="H186" s="21">
        <v>88820010003</v>
      </c>
      <c r="I186" s="22">
        <v>192</v>
      </c>
      <c r="J186" s="23"/>
      <c r="K186" s="24">
        <v>11434</v>
      </c>
      <c r="L186" s="23">
        <f t="shared" si="15"/>
        <v>321</v>
      </c>
      <c r="M186" s="24">
        <v>1428</v>
      </c>
      <c r="N186" s="25">
        <f t="shared" si="16"/>
        <v>58</v>
      </c>
      <c r="O186" s="24">
        <v>10006</v>
      </c>
      <c r="P186" s="23">
        <f t="shared" si="17"/>
        <v>263</v>
      </c>
      <c r="Q186" s="26"/>
      <c r="R186" s="23">
        <f t="shared" si="18"/>
        <v>0</v>
      </c>
      <c r="S186" s="27" t="s">
        <v>18</v>
      </c>
      <c r="T186" s="19" t="s">
        <v>213</v>
      </c>
    </row>
    <row r="187" spans="1:20" ht="37.5" customHeight="1" x14ac:dyDescent="0.25">
      <c r="A187" s="19" t="s">
        <v>214</v>
      </c>
      <c r="B187">
        <f t="shared" si="19"/>
        <v>89440</v>
      </c>
      <c r="C187">
        <v>15499</v>
      </c>
      <c r="D187">
        <v>73941</v>
      </c>
      <c r="F187">
        <f t="shared" si="14"/>
        <v>476</v>
      </c>
      <c r="G187" s="20">
        <f t="shared" si="20"/>
        <v>182</v>
      </c>
      <c r="H187" s="21">
        <v>23011100093</v>
      </c>
      <c r="I187" s="22">
        <v>193</v>
      </c>
      <c r="J187" s="23"/>
      <c r="K187" s="24">
        <v>88964</v>
      </c>
      <c r="L187" s="23">
        <f t="shared" si="15"/>
        <v>476</v>
      </c>
      <c r="M187" s="24">
        <v>15387</v>
      </c>
      <c r="N187" s="25">
        <f t="shared" si="16"/>
        <v>112</v>
      </c>
      <c r="O187" s="24">
        <v>73577</v>
      </c>
      <c r="P187" s="23">
        <f t="shared" si="17"/>
        <v>364</v>
      </c>
      <c r="Q187" s="26"/>
      <c r="R187" s="23">
        <f t="shared" si="18"/>
        <v>0</v>
      </c>
      <c r="S187" s="27" t="s">
        <v>18</v>
      </c>
      <c r="T187" s="19" t="s">
        <v>214</v>
      </c>
    </row>
    <row r="188" spans="1:20" ht="37.5" customHeight="1" x14ac:dyDescent="0.25">
      <c r="A188" s="19" t="s">
        <v>215</v>
      </c>
      <c r="B188">
        <f t="shared" si="19"/>
        <v>349</v>
      </c>
      <c r="C188">
        <v>97</v>
      </c>
      <c r="D188">
        <v>252</v>
      </c>
      <c r="E188">
        <v>621</v>
      </c>
      <c r="F188">
        <f t="shared" si="14"/>
        <v>349</v>
      </c>
      <c r="G188" s="20">
        <f t="shared" si="20"/>
        <v>183</v>
      </c>
      <c r="H188" s="21">
        <v>99625010292</v>
      </c>
      <c r="I188" s="22">
        <v>194</v>
      </c>
      <c r="J188" s="23"/>
      <c r="K188" s="24">
        <v>0</v>
      </c>
      <c r="L188" s="23">
        <f t="shared" si="15"/>
        <v>349</v>
      </c>
      <c r="M188" s="24">
        <v>0</v>
      </c>
      <c r="N188" s="25">
        <f t="shared" si="16"/>
        <v>97</v>
      </c>
      <c r="O188" s="24">
        <v>0</v>
      </c>
      <c r="P188" s="23">
        <f t="shared" si="17"/>
        <v>252</v>
      </c>
      <c r="Q188" s="26">
        <v>0</v>
      </c>
      <c r="R188" s="23">
        <f t="shared" si="18"/>
        <v>621</v>
      </c>
      <c r="S188" s="27" t="s">
        <v>18</v>
      </c>
      <c r="T188" s="19" t="s">
        <v>215</v>
      </c>
    </row>
    <row r="189" spans="1:20" ht="37.5" customHeight="1" x14ac:dyDescent="0.25">
      <c r="A189" s="19" t="s">
        <v>216</v>
      </c>
      <c r="B189">
        <f t="shared" si="19"/>
        <v>3168</v>
      </c>
      <c r="C189">
        <v>736</v>
      </c>
      <c r="D189">
        <v>2432</v>
      </c>
      <c r="E189">
        <v>3738</v>
      </c>
      <c r="F189">
        <f t="shared" si="14"/>
        <v>376</v>
      </c>
      <c r="G189" s="20">
        <f t="shared" si="20"/>
        <v>184</v>
      </c>
      <c r="H189" s="21">
        <v>99624030307</v>
      </c>
      <c r="I189" s="22">
        <v>196</v>
      </c>
      <c r="J189" s="23"/>
      <c r="K189" s="24">
        <f>M189+O189</f>
        <v>2792</v>
      </c>
      <c r="L189" s="23">
        <f t="shared" si="15"/>
        <v>376</v>
      </c>
      <c r="M189" s="24">
        <v>654</v>
      </c>
      <c r="N189" s="25">
        <f t="shared" si="16"/>
        <v>82</v>
      </c>
      <c r="O189" s="24">
        <v>2138</v>
      </c>
      <c r="P189" s="23">
        <f t="shared" si="17"/>
        <v>294</v>
      </c>
      <c r="Q189" s="26">
        <v>3027</v>
      </c>
      <c r="R189" s="23">
        <f t="shared" si="18"/>
        <v>711</v>
      </c>
      <c r="S189" s="27" t="s">
        <v>18</v>
      </c>
      <c r="T189" s="19" t="s">
        <v>216</v>
      </c>
    </row>
    <row r="190" spans="1:20" ht="37.5" customHeight="1" x14ac:dyDescent="0.25">
      <c r="A190" s="19" t="s">
        <v>217</v>
      </c>
      <c r="B190">
        <f t="shared" si="19"/>
        <v>792</v>
      </c>
      <c r="C190">
        <v>103</v>
      </c>
      <c r="D190">
        <v>689</v>
      </c>
      <c r="F190">
        <f t="shared" si="14"/>
        <v>85</v>
      </c>
      <c r="G190" s="20">
        <f t="shared" si="20"/>
        <v>185</v>
      </c>
      <c r="H190" s="21">
        <v>66623020134</v>
      </c>
      <c r="I190" s="22">
        <v>197</v>
      </c>
      <c r="J190" s="23"/>
      <c r="K190" s="24">
        <v>707</v>
      </c>
      <c r="L190" s="23">
        <f t="shared" si="15"/>
        <v>85</v>
      </c>
      <c r="M190" s="24">
        <v>98</v>
      </c>
      <c r="N190" s="25">
        <f t="shared" si="16"/>
        <v>5</v>
      </c>
      <c r="O190" s="24">
        <v>609</v>
      </c>
      <c r="P190" s="23">
        <f t="shared" si="17"/>
        <v>80</v>
      </c>
      <c r="Q190" s="26"/>
      <c r="R190" s="23">
        <f t="shared" si="18"/>
        <v>0</v>
      </c>
      <c r="S190" s="27" t="s">
        <v>18</v>
      </c>
      <c r="T190" s="19" t="s">
        <v>217</v>
      </c>
    </row>
    <row r="191" spans="1:20" ht="37.5" customHeight="1" x14ac:dyDescent="0.25">
      <c r="A191" s="19" t="s">
        <v>218</v>
      </c>
      <c r="B191">
        <f t="shared" si="19"/>
        <v>1784</v>
      </c>
      <c r="C191">
        <v>242</v>
      </c>
      <c r="D191">
        <v>1542</v>
      </c>
      <c r="F191">
        <f t="shared" si="14"/>
        <v>20</v>
      </c>
      <c r="G191" s="20">
        <f t="shared" si="20"/>
        <v>186</v>
      </c>
      <c r="H191" s="21">
        <v>66621100426</v>
      </c>
      <c r="I191" s="22">
        <v>198</v>
      </c>
      <c r="J191" s="23"/>
      <c r="K191" s="24">
        <v>1764</v>
      </c>
      <c r="L191" s="23">
        <f t="shared" si="15"/>
        <v>20</v>
      </c>
      <c r="M191" s="24">
        <v>239</v>
      </c>
      <c r="N191" s="25">
        <f t="shared" si="16"/>
        <v>3</v>
      </c>
      <c r="O191" s="24">
        <v>1525</v>
      </c>
      <c r="P191" s="23">
        <f t="shared" si="17"/>
        <v>17</v>
      </c>
      <c r="Q191" s="26"/>
      <c r="R191" s="23">
        <f t="shared" si="18"/>
        <v>0</v>
      </c>
      <c r="S191" s="27" t="s">
        <v>18</v>
      </c>
      <c r="T191" s="19" t="s">
        <v>218</v>
      </c>
    </row>
    <row r="192" spans="1:20" ht="37.5" customHeight="1" x14ac:dyDescent="0.25">
      <c r="A192" s="19" t="s">
        <v>219</v>
      </c>
      <c r="B192">
        <f t="shared" si="19"/>
        <v>26214</v>
      </c>
      <c r="C192">
        <v>4431</v>
      </c>
      <c r="D192">
        <v>21783</v>
      </c>
      <c r="F192">
        <f t="shared" si="14"/>
        <v>239</v>
      </c>
      <c r="G192" s="20">
        <f t="shared" si="20"/>
        <v>187</v>
      </c>
      <c r="H192" s="21">
        <v>66619040492</v>
      </c>
      <c r="I192" s="22">
        <v>199</v>
      </c>
      <c r="J192" s="23"/>
      <c r="K192" s="24">
        <v>25975</v>
      </c>
      <c r="L192" s="23">
        <f t="shared" si="15"/>
        <v>239</v>
      </c>
      <c r="M192" s="24">
        <v>4390</v>
      </c>
      <c r="N192" s="25">
        <f t="shared" si="16"/>
        <v>41</v>
      </c>
      <c r="O192" s="24">
        <v>21585</v>
      </c>
      <c r="P192" s="23">
        <f t="shared" si="17"/>
        <v>198</v>
      </c>
      <c r="Q192" s="26"/>
      <c r="R192" s="23">
        <f t="shared" si="18"/>
        <v>0</v>
      </c>
      <c r="S192" s="27" t="s">
        <v>18</v>
      </c>
      <c r="T192" s="19" t="s">
        <v>219</v>
      </c>
    </row>
    <row r="193" spans="1:20" ht="37.5" customHeight="1" x14ac:dyDescent="0.25">
      <c r="A193" s="19" t="s">
        <v>220</v>
      </c>
      <c r="B193">
        <f t="shared" si="19"/>
        <v>29476</v>
      </c>
      <c r="C193">
        <v>4437</v>
      </c>
      <c r="D193">
        <v>25039</v>
      </c>
      <c r="F193">
        <f t="shared" si="14"/>
        <v>484</v>
      </c>
      <c r="G193" s="20">
        <f t="shared" si="20"/>
        <v>188</v>
      </c>
      <c r="H193" s="21">
        <v>88820030095</v>
      </c>
      <c r="I193" s="22">
        <v>200</v>
      </c>
      <c r="J193" s="23"/>
      <c r="K193" s="24">
        <v>28992</v>
      </c>
      <c r="L193" s="23">
        <f t="shared" si="15"/>
        <v>484</v>
      </c>
      <c r="M193" s="24">
        <v>4357</v>
      </c>
      <c r="N193" s="25">
        <f t="shared" si="16"/>
        <v>80</v>
      </c>
      <c r="O193" s="24">
        <v>24635</v>
      </c>
      <c r="P193" s="23">
        <f t="shared" si="17"/>
        <v>404</v>
      </c>
      <c r="Q193" s="26"/>
      <c r="R193" s="23">
        <f t="shared" si="18"/>
        <v>0</v>
      </c>
      <c r="S193" s="27" t="s">
        <v>18</v>
      </c>
      <c r="T193" s="19" t="s">
        <v>220</v>
      </c>
    </row>
    <row r="194" spans="1:20" ht="37.5" customHeight="1" x14ac:dyDescent="0.25">
      <c r="A194" s="19" t="s">
        <v>221</v>
      </c>
      <c r="B194">
        <f t="shared" si="19"/>
        <v>17592</v>
      </c>
      <c r="C194">
        <v>3145</v>
      </c>
      <c r="D194">
        <v>14447</v>
      </c>
      <c r="F194">
        <f t="shared" si="14"/>
        <v>167</v>
      </c>
      <c r="G194" s="20">
        <f t="shared" si="20"/>
        <v>189</v>
      </c>
      <c r="H194" s="21">
        <v>66618010093</v>
      </c>
      <c r="I194" s="22">
        <v>201</v>
      </c>
      <c r="J194" s="23"/>
      <c r="K194" s="24">
        <v>17425</v>
      </c>
      <c r="L194" s="23">
        <f t="shared" si="15"/>
        <v>167</v>
      </c>
      <c r="M194" s="24">
        <v>3116</v>
      </c>
      <c r="N194" s="25">
        <f t="shared" si="16"/>
        <v>29</v>
      </c>
      <c r="O194" s="24">
        <v>14309</v>
      </c>
      <c r="P194" s="23">
        <f t="shared" si="17"/>
        <v>138</v>
      </c>
      <c r="Q194" s="26"/>
      <c r="R194" s="23">
        <f t="shared" si="18"/>
        <v>0</v>
      </c>
      <c r="S194" s="27" t="s">
        <v>18</v>
      </c>
      <c r="T194" s="19" t="s">
        <v>221</v>
      </c>
    </row>
    <row r="195" spans="1:20" ht="37.5" customHeight="1" x14ac:dyDescent="0.25">
      <c r="A195" s="19" t="s">
        <v>222</v>
      </c>
      <c r="B195">
        <f t="shared" si="19"/>
        <v>62120</v>
      </c>
      <c r="C195">
        <v>12319</v>
      </c>
      <c r="D195">
        <v>49801</v>
      </c>
      <c r="F195">
        <f t="shared" si="14"/>
        <v>450</v>
      </c>
      <c r="G195" s="20">
        <f t="shared" si="20"/>
        <v>190</v>
      </c>
      <c r="H195" s="21">
        <v>23014060358</v>
      </c>
      <c r="I195" s="22">
        <v>202</v>
      </c>
      <c r="J195" s="23"/>
      <c r="K195" s="24">
        <v>61670</v>
      </c>
      <c r="L195" s="23">
        <f t="shared" si="15"/>
        <v>450</v>
      </c>
      <c r="M195" s="24">
        <v>12260</v>
      </c>
      <c r="N195" s="25">
        <f t="shared" si="16"/>
        <v>59</v>
      </c>
      <c r="O195" s="24">
        <v>49410</v>
      </c>
      <c r="P195" s="23">
        <f t="shared" si="17"/>
        <v>391</v>
      </c>
      <c r="Q195" s="26"/>
      <c r="R195" s="23">
        <f t="shared" si="18"/>
        <v>0</v>
      </c>
      <c r="S195" s="27" t="s">
        <v>18</v>
      </c>
      <c r="T195" s="19" t="s">
        <v>222</v>
      </c>
    </row>
    <row r="196" spans="1:20" ht="37.5" customHeight="1" x14ac:dyDescent="0.25">
      <c r="A196" s="19" t="s">
        <v>223</v>
      </c>
      <c r="B196">
        <f t="shared" si="19"/>
        <v>22278</v>
      </c>
      <c r="C196">
        <v>3601</v>
      </c>
      <c r="D196">
        <v>18677</v>
      </c>
      <c r="F196">
        <f t="shared" si="14"/>
        <v>378</v>
      </c>
      <c r="G196" s="20">
        <f t="shared" si="20"/>
        <v>191</v>
      </c>
      <c r="H196" s="21">
        <v>66622010284</v>
      </c>
      <c r="I196" s="22">
        <v>203</v>
      </c>
      <c r="J196" s="23"/>
      <c r="K196" s="24">
        <v>21900</v>
      </c>
      <c r="L196" s="23">
        <f t="shared" si="15"/>
        <v>378</v>
      </c>
      <c r="M196" s="24">
        <v>3536</v>
      </c>
      <c r="N196" s="25">
        <f t="shared" si="16"/>
        <v>65</v>
      </c>
      <c r="O196" s="24">
        <v>18364</v>
      </c>
      <c r="P196" s="23">
        <f t="shared" si="17"/>
        <v>313</v>
      </c>
      <c r="Q196" s="26"/>
      <c r="R196" s="23">
        <f t="shared" si="18"/>
        <v>0</v>
      </c>
      <c r="S196" s="27" t="s">
        <v>18</v>
      </c>
      <c r="T196" s="19" t="s">
        <v>223</v>
      </c>
    </row>
    <row r="197" spans="1:20" ht="37.5" customHeight="1" x14ac:dyDescent="0.25">
      <c r="A197" s="19" t="s">
        <v>224</v>
      </c>
      <c r="B197">
        <v>270</v>
      </c>
      <c r="C197">
        <v>39</v>
      </c>
      <c r="D197">
        <v>230</v>
      </c>
      <c r="F197">
        <f t="shared" si="14"/>
        <v>0</v>
      </c>
      <c r="G197" s="20">
        <f t="shared" si="20"/>
        <v>192</v>
      </c>
      <c r="H197" s="21">
        <v>66621090160</v>
      </c>
      <c r="I197" s="22">
        <v>204</v>
      </c>
      <c r="J197" s="23"/>
      <c r="K197" s="24">
        <v>270</v>
      </c>
      <c r="L197" s="23">
        <f t="shared" si="15"/>
        <v>0</v>
      </c>
      <c r="M197" s="24">
        <v>40</v>
      </c>
      <c r="N197" s="25">
        <f t="shared" si="16"/>
        <v>-1</v>
      </c>
      <c r="O197" s="24">
        <v>230</v>
      </c>
      <c r="P197" s="23">
        <f t="shared" si="17"/>
        <v>0</v>
      </c>
      <c r="Q197" s="26"/>
      <c r="R197" s="23">
        <f t="shared" si="18"/>
        <v>0</v>
      </c>
      <c r="S197" s="27" t="s">
        <v>18</v>
      </c>
      <c r="T197" s="19" t="s">
        <v>224</v>
      </c>
    </row>
    <row r="198" spans="1:20" ht="37.5" customHeight="1" x14ac:dyDescent="0.25">
      <c r="A198" s="19" t="s">
        <v>225</v>
      </c>
      <c r="B198">
        <f t="shared" si="19"/>
        <v>46018</v>
      </c>
      <c r="C198">
        <v>6723</v>
      </c>
      <c r="D198">
        <v>39295</v>
      </c>
      <c r="F198">
        <f t="shared" ref="F198:F261" si="21">L198</f>
        <v>637</v>
      </c>
      <c r="G198" s="20">
        <f t="shared" si="20"/>
        <v>193</v>
      </c>
      <c r="H198" s="21">
        <v>66617010212</v>
      </c>
      <c r="I198" s="22">
        <v>206</v>
      </c>
      <c r="J198" s="23"/>
      <c r="K198" s="24">
        <v>45381</v>
      </c>
      <c r="L198" s="23">
        <f t="shared" ref="L198:L261" si="22">B198-K198</f>
        <v>637</v>
      </c>
      <c r="M198" s="24">
        <v>6623</v>
      </c>
      <c r="N198" s="25">
        <f t="shared" ref="N198:N261" si="23">C198-M198</f>
        <v>100</v>
      </c>
      <c r="O198" s="24">
        <v>38758</v>
      </c>
      <c r="P198" s="23">
        <f t="shared" ref="P198:P261" si="24">D198-O198</f>
        <v>537</v>
      </c>
      <c r="Q198" s="26"/>
      <c r="R198" s="23">
        <f t="shared" ref="R198:R261" si="25">E198-Q198</f>
        <v>0</v>
      </c>
      <c r="S198" s="27" t="s">
        <v>18</v>
      </c>
      <c r="T198" s="19" t="s">
        <v>225</v>
      </c>
    </row>
    <row r="199" spans="1:20" ht="37.5" customHeight="1" x14ac:dyDescent="0.25">
      <c r="A199" s="19" t="s">
        <v>226</v>
      </c>
      <c r="B199">
        <f t="shared" ref="B199:B262" si="26">C199+D199</f>
        <v>6984</v>
      </c>
      <c r="C199">
        <v>1106</v>
      </c>
      <c r="D199">
        <v>5878</v>
      </c>
      <c r="F199">
        <f t="shared" si="21"/>
        <v>628</v>
      </c>
      <c r="G199" s="20">
        <f t="shared" si="20"/>
        <v>194</v>
      </c>
      <c r="H199" s="21">
        <v>66619040065</v>
      </c>
      <c r="I199" s="22">
        <v>207</v>
      </c>
      <c r="J199" s="23"/>
      <c r="K199" s="24">
        <v>6356</v>
      </c>
      <c r="L199" s="23">
        <f t="shared" si="22"/>
        <v>628</v>
      </c>
      <c r="M199" s="24">
        <v>990</v>
      </c>
      <c r="N199" s="25">
        <f t="shared" si="23"/>
        <v>116</v>
      </c>
      <c r="O199" s="24">
        <v>5366</v>
      </c>
      <c r="P199" s="23">
        <f t="shared" si="24"/>
        <v>512</v>
      </c>
      <c r="Q199" s="26"/>
      <c r="R199" s="23">
        <f t="shared" si="25"/>
        <v>0</v>
      </c>
      <c r="S199" s="27" t="s">
        <v>18</v>
      </c>
      <c r="T199" s="19" t="s">
        <v>226</v>
      </c>
    </row>
    <row r="200" spans="1:20" ht="37.5" customHeight="1" x14ac:dyDescent="0.25">
      <c r="A200" s="19" t="s">
        <v>227</v>
      </c>
      <c r="B200">
        <f t="shared" si="26"/>
        <v>1783</v>
      </c>
      <c r="C200">
        <v>472</v>
      </c>
      <c r="D200">
        <v>1311</v>
      </c>
      <c r="E200">
        <v>2521</v>
      </c>
      <c r="F200">
        <f t="shared" si="21"/>
        <v>907</v>
      </c>
      <c r="G200" s="20">
        <f t="shared" ref="G200:G263" si="27">G199+1</f>
        <v>195</v>
      </c>
      <c r="H200" s="21">
        <v>99624050251</v>
      </c>
      <c r="I200" s="22">
        <v>208</v>
      </c>
      <c r="J200" s="23"/>
      <c r="K200" s="24">
        <f>M200+O200</f>
        <v>876</v>
      </c>
      <c r="L200" s="23">
        <f t="shared" si="22"/>
        <v>907</v>
      </c>
      <c r="M200" s="24">
        <v>253</v>
      </c>
      <c r="N200" s="25">
        <f t="shared" si="23"/>
        <v>219</v>
      </c>
      <c r="O200" s="24">
        <v>623</v>
      </c>
      <c r="P200" s="23">
        <f t="shared" si="24"/>
        <v>688</v>
      </c>
      <c r="Q200" s="26">
        <v>1607</v>
      </c>
      <c r="R200" s="23">
        <f t="shared" si="25"/>
        <v>914</v>
      </c>
      <c r="S200" s="27" t="s">
        <v>18</v>
      </c>
      <c r="T200" s="19" t="s">
        <v>227</v>
      </c>
    </row>
    <row r="201" spans="1:20" ht="37.5" customHeight="1" x14ac:dyDescent="0.25">
      <c r="A201" s="19" t="s">
        <v>228</v>
      </c>
      <c r="B201">
        <f t="shared" si="26"/>
        <v>59345</v>
      </c>
      <c r="C201">
        <v>10180</v>
      </c>
      <c r="D201">
        <v>49165</v>
      </c>
      <c r="F201">
        <f t="shared" si="21"/>
        <v>735</v>
      </c>
      <c r="G201" s="20">
        <f t="shared" si="27"/>
        <v>196</v>
      </c>
      <c r="H201" s="21">
        <v>23013010126</v>
      </c>
      <c r="I201" s="22">
        <v>209</v>
      </c>
      <c r="J201" s="23"/>
      <c r="K201" s="24">
        <v>58610</v>
      </c>
      <c r="L201" s="23">
        <f t="shared" si="22"/>
        <v>735</v>
      </c>
      <c r="M201" s="24">
        <v>10070</v>
      </c>
      <c r="N201" s="25">
        <f t="shared" si="23"/>
        <v>110</v>
      </c>
      <c r="O201" s="24">
        <v>48540</v>
      </c>
      <c r="P201" s="23">
        <f t="shared" si="24"/>
        <v>625</v>
      </c>
      <c r="Q201" s="26"/>
      <c r="R201" s="23">
        <f t="shared" si="25"/>
        <v>0</v>
      </c>
      <c r="S201" s="27" t="s">
        <v>18</v>
      </c>
      <c r="T201" s="19" t="s">
        <v>228</v>
      </c>
    </row>
    <row r="202" spans="1:20" ht="37.5" customHeight="1" x14ac:dyDescent="0.25">
      <c r="A202" s="19" t="s">
        <v>229</v>
      </c>
      <c r="B202">
        <v>1858</v>
      </c>
      <c r="C202">
        <v>121</v>
      </c>
      <c r="D202">
        <v>1735</v>
      </c>
      <c r="F202">
        <f t="shared" si="21"/>
        <v>0</v>
      </c>
      <c r="G202" s="20">
        <f t="shared" si="27"/>
        <v>197</v>
      </c>
      <c r="H202" s="21">
        <v>66617020437</v>
      </c>
      <c r="I202" s="22">
        <v>210</v>
      </c>
      <c r="J202" s="23"/>
      <c r="K202" s="24">
        <v>1858</v>
      </c>
      <c r="L202" s="23">
        <f t="shared" si="22"/>
        <v>0</v>
      </c>
      <c r="M202" s="24">
        <v>126</v>
      </c>
      <c r="N202" s="25">
        <f t="shared" si="23"/>
        <v>-5</v>
      </c>
      <c r="O202" s="24">
        <v>1732</v>
      </c>
      <c r="P202" s="23">
        <f t="shared" si="24"/>
        <v>3</v>
      </c>
      <c r="Q202" s="26"/>
      <c r="R202" s="23">
        <f t="shared" si="25"/>
        <v>0</v>
      </c>
      <c r="S202" s="27" t="s">
        <v>18</v>
      </c>
      <c r="T202" s="19" t="s">
        <v>229</v>
      </c>
    </row>
    <row r="203" spans="1:20" ht="37.5" customHeight="1" x14ac:dyDescent="0.25">
      <c r="A203" s="19" t="s">
        <v>230</v>
      </c>
      <c r="B203">
        <f t="shared" si="26"/>
        <v>4066</v>
      </c>
      <c r="C203">
        <v>936</v>
      </c>
      <c r="D203">
        <v>3130</v>
      </c>
      <c r="E203">
        <v>3423</v>
      </c>
      <c r="F203">
        <f t="shared" si="21"/>
        <v>563</v>
      </c>
      <c r="G203" s="20">
        <f t="shared" si="27"/>
        <v>198</v>
      </c>
      <c r="H203" s="21">
        <v>99624040292</v>
      </c>
      <c r="I203" s="22">
        <v>212</v>
      </c>
      <c r="J203" s="23"/>
      <c r="K203" s="24">
        <f>M203+O203</f>
        <v>3503</v>
      </c>
      <c r="L203" s="23">
        <f t="shared" si="22"/>
        <v>563</v>
      </c>
      <c r="M203" s="24">
        <v>832</v>
      </c>
      <c r="N203" s="25">
        <f t="shared" si="23"/>
        <v>104</v>
      </c>
      <c r="O203" s="24">
        <v>2671</v>
      </c>
      <c r="P203" s="23">
        <f t="shared" si="24"/>
        <v>459</v>
      </c>
      <c r="Q203" s="26">
        <v>2766</v>
      </c>
      <c r="R203" s="23">
        <f t="shared" si="25"/>
        <v>657</v>
      </c>
      <c r="S203" s="27" t="s">
        <v>18</v>
      </c>
      <c r="T203" s="19" t="s">
        <v>230</v>
      </c>
    </row>
    <row r="204" spans="1:20" ht="37.5" customHeight="1" x14ac:dyDescent="0.25">
      <c r="A204" s="19" t="s">
        <v>231</v>
      </c>
      <c r="B204">
        <f t="shared" si="26"/>
        <v>2717</v>
      </c>
      <c r="C204">
        <v>385</v>
      </c>
      <c r="D204">
        <v>2332</v>
      </c>
      <c r="F204">
        <f t="shared" si="21"/>
        <v>85</v>
      </c>
      <c r="G204" s="20">
        <f t="shared" si="27"/>
        <v>199</v>
      </c>
      <c r="H204" s="21">
        <v>66622050121</v>
      </c>
      <c r="I204" s="22">
        <v>213</v>
      </c>
      <c r="J204" s="23"/>
      <c r="K204" s="24">
        <v>2632</v>
      </c>
      <c r="L204" s="23">
        <f t="shared" si="22"/>
        <v>85</v>
      </c>
      <c r="M204" s="24">
        <v>371</v>
      </c>
      <c r="N204" s="25">
        <f t="shared" si="23"/>
        <v>14</v>
      </c>
      <c r="O204" s="24">
        <v>2261</v>
      </c>
      <c r="P204" s="23">
        <f t="shared" si="24"/>
        <v>71</v>
      </c>
      <c r="Q204" s="26"/>
      <c r="R204" s="23">
        <f t="shared" si="25"/>
        <v>0</v>
      </c>
      <c r="S204" s="27" t="s">
        <v>18</v>
      </c>
      <c r="T204" s="19" t="s">
        <v>231</v>
      </c>
    </row>
    <row r="205" spans="1:20" ht="37.5" customHeight="1" x14ac:dyDescent="0.25">
      <c r="A205" s="19" t="s">
        <v>232</v>
      </c>
      <c r="B205">
        <f t="shared" si="26"/>
        <v>4129</v>
      </c>
      <c r="C205">
        <v>976</v>
      </c>
      <c r="D205">
        <v>3153</v>
      </c>
      <c r="E205">
        <v>7011</v>
      </c>
      <c r="F205">
        <f t="shared" si="21"/>
        <v>221</v>
      </c>
      <c r="G205" s="20">
        <f t="shared" si="27"/>
        <v>200</v>
      </c>
      <c r="H205" s="21">
        <v>99623080566</v>
      </c>
      <c r="I205" s="22">
        <v>214</v>
      </c>
      <c r="J205" s="23"/>
      <c r="K205" s="24">
        <f>M205+O205</f>
        <v>3908</v>
      </c>
      <c r="L205" s="23">
        <f t="shared" si="22"/>
        <v>221</v>
      </c>
      <c r="M205" s="24">
        <v>919</v>
      </c>
      <c r="N205" s="25">
        <f t="shared" si="23"/>
        <v>57</v>
      </c>
      <c r="O205" s="24">
        <v>2989</v>
      </c>
      <c r="P205" s="23">
        <f t="shared" si="24"/>
        <v>164</v>
      </c>
      <c r="Q205" s="26">
        <v>6349</v>
      </c>
      <c r="R205" s="23">
        <f t="shared" si="25"/>
        <v>662</v>
      </c>
      <c r="S205" s="27" t="s">
        <v>18</v>
      </c>
      <c r="T205" s="19" t="s">
        <v>232</v>
      </c>
    </row>
    <row r="206" spans="1:20" ht="37.5" customHeight="1" x14ac:dyDescent="0.25">
      <c r="A206" s="19" t="s">
        <v>233</v>
      </c>
      <c r="B206">
        <f t="shared" si="26"/>
        <v>82551</v>
      </c>
      <c r="C206">
        <v>14550</v>
      </c>
      <c r="D206">
        <v>68001</v>
      </c>
      <c r="F206">
        <f t="shared" si="21"/>
        <v>69</v>
      </c>
      <c r="G206" s="20">
        <f t="shared" si="27"/>
        <v>201</v>
      </c>
      <c r="H206" s="21">
        <v>2308030199</v>
      </c>
      <c r="I206" s="22">
        <v>215</v>
      </c>
      <c r="J206" s="23"/>
      <c r="K206" s="24">
        <v>82482</v>
      </c>
      <c r="L206" s="23">
        <f t="shared" si="22"/>
        <v>69</v>
      </c>
      <c r="M206" s="24">
        <v>14468</v>
      </c>
      <c r="N206" s="25">
        <f t="shared" si="23"/>
        <v>82</v>
      </c>
      <c r="O206" s="24">
        <v>68014</v>
      </c>
      <c r="P206" s="23">
        <f t="shared" si="24"/>
        <v>-13</v>
      </c>
      <c r="Q206" s="26"/>
      <c r="R206" s="23">
        <f t="shared" si="25"/>
        <v>0</v>
      </c>
      <c r="S206" s="27" t="s">
        <v>18</v>
      </c>
      <c r="T206" s="19" t="s">
        <v>233</v>
      </c>
    </row>
    <row r="207" spans="1:20" ht="37.5" customHeight="1" x14ac:dyDescent="0.25">
      <c r="A207" s="19" t="s">
        <v>234</v>
      </c>
      <c r="B207">
        <f t="shared" si="26"/>
        <v>39527</v>
      </c>
      <c r="C207">
        <v>9005</v>
      </c>
      <c r="D207">
        <v>30522</v>
      </c>
      <c r="F207">
        <f t="shared" si="21"/>
        <v>341</v>
      </c>
      <c r="G207" s="20">
        <f t="shared" si="27"/>
        <v>202</v>
      </c>
      <c r="H207" s="21">
        <v>23015100879</v>
      </c>
      <c r="I207" s="22">
        <v>216</v>
      </c>
      <c r="J207" s="23"/>
      <c r="K207" s="24">
        <v>39186</v>
      </c>
      <c r="L207" s="23">
        <f t="shared" si="22"/>
        <v>341</v>
      </c>
      <c r="M207" s="24">
        <v>8944</v>
      </c>
      <c r="N207" s="25">
        <f t="shared" si="23"/>
        <v>61</v>
      </c>
      <c r="O207" s="24">
        <v>30242</v>
      </c>
      <c r="P207" s="23">
        <f t="shared" si="24"/>
        <v>280</v>
      </c>
      <c r="Q207" s="26"/>
      <c r="R207" s="23">
        <f t="shared" si="25"/>
        <v>0</v>
      </c>
      <c r="S207" s="27" t="s">
        <v>18</v>
      </c>
      <c r="T207" s="19" t="s">
        <v>234</v>
      </c>
    </row>
    <row r="208" spans="1:20" ht="37.5" customHeight="1" x14ac:dyDescent="0.25">
      <c r="A208" s="19" t="s">
        <v>235</v>
      </c>
      <c r="B208">
        <f t="shared" si="26"/>
        <v>53497</v>
      </c>
      <c r="C208">
        <v>9386</v>
      </c>
      <c r="D208">
        <v>44111</v>
      </c>
      <c r="F208">
        <f t="shared" si="21"/>
        <v>343</v>
      </c>
      <c r="G208" s="20">
        <f t="shared" si="27"/>
        <v>203</v>
      </c>
      <c r="H208" s="21">
        <v>23014060360</v>
      </c>
      <c r="I208" s="22">
        <v>217</v>
      </c>
      <c r="J208" s="23"/>
      <c r="K208" s="24">
        <v>53154</v>
      </c>
      <c r="L208" s="23">
        <f t="shared" si="22"/>
        <v>343</v>
      </c>
      <c r="M208" s="24">
        <v>9326</v>
      </c>
      <c r="N208" s="25">
        <f t="shared" si="23"/>
        <v>60</v>
      </c>
      <c r="O208" s="24">
        <v>43828</v>
      </c>
      <c r="P208" s="23">
        <f t="shared" si="24"/>
        <v>283</v>
      </c>
      <c r="Q208" s="26"/>
      <c r="R208" s="23">
        <f t="shared" si="25"/>
        <v>0</v>
      </c>
      <c r="S208" s="27" t="s">
        <v>18</v>
      </c>
      <c r="T208" s="19" t="s">
        <v>235</v>
      </c>
    </row>
    <row r="209" spans="1:20" ht="37.5" customHeight="1" x14ac:dyDescent="0.25">
      <c r="A209" s="19" t="s">
        <v>236</v>
      </c>
      <c r="B209">
        <f t="shared" si="26"/>
        <v>6980</v>
      </c>
      <c r="C209">
        <v>1208</v>
      </c>
      <c r="D209">
        <v>5772</v>
      </c>
      <c r="E209">
        <v>7255</v>
      </c>
      <c r="F209">
        <f t="shared" si="21"/>
        <v>442</v>
      </c>
      <c r="G209" s="20">
        <f t="shared" si="27"/>
        <v>204</v>
      </c>
      <c r="H209" s="21">
        <v>99624010243</v>
      </c>
      <c r="I209" s="22">
        <v>218</v>
      </c>
      <c r="J209" s="23"/>
      <c r="K209" s="24">
        <f>M209+O209</f>
        <v>6538</v>
      </c>
      <c r="L209" s="23">
        <f t="shared" si="22"/>
        <v>442</v>
      </c>
      <c r="M209" s="24">
        <v>1113</v>
      </c>
      <c r="N209" s="25">
        <f t="shared" si="23"/>
        <v>95</v>
      </c>
      <c r="O209" s="24">
        <v>5425</v>
      </c>
      <c r="P209" s="23">
        <f t="shared" si="24"/>
        <v>347</v>
      </c>
      <c r="Q209" s="26">
        <v>6461</v>
      </c>
      <c r="R209" s="23">
        <f t="shared" si="25"/>
        <v>794</v>
      </c>
      <c r="S209" s="27" t="s">
        <v>18</v>
      </c>
      <c r="T209" s="19" t="s">
        <v>236</v>
      </c>
    </row>
    <row r="210" spans="1:20" ht="37.5" customHeight="1" x14ac:dyDescent="0.25">
      <c r="A210" s="19" t="s">
        <v>237</v>
      </c>
      <c r="B210">
        <f t="shared" si="26"/>
        <v>35526</v>
      </c>
      <c r="C210">
        <v>5689</v>
      </c>
      <c r="D210">
        <v>29837</v>
      </c>
      <c r="F210">
        <f t="shared" si="21"/>
        <v>425</v>
      </c>
      <c r="G210" s="20">
        <f t="shared" si="27"/>
        <v>205</v>
      </c>
      <c r="H210" s="21">
        <v>88819020220</v>
      </c>
      <c r="I210" s="22">
        <v>219</v>
      </c>
      <c r="J210" s="23"/>
      <c r="K210" s="24">
        <v>35101</v>
      </c>
      <c r="L210" s="23">
        <f t="shared" si="22"/>
        <v>425</v>
      </c>
      <c r="M210" s="24">
        <v>5622</v>
      </c>
      <c r="N210" s="25">
        <f t="shared" si="23"/>
        <v>67</v>
      </c>
      <c r="O210" s="24">
        <v>29479</v>
      </c>
      <c r="P210" s="23">
        <f t="shared" si="24"/>
        <v>358</v>
      </c>
      <c r="Q210" s="26"/>
      <c r="R210" s="23">
        <f t="shared" si="25"/>
        <v>0</v>
      </c>
      <c r="S210" s="27" t="s">
        <v>18</v>
      </c>
      <c r="T210" s="19" t="s">
        <v>237</v>
      </c>
    </row>
    <row r="211" spans="1:20" ht="37.5" customHeight="1" x14ac:dyDescent="0.25">
      <c r="A211" s="19" t="s">
        <v>238</v>
      </c>
      <c r="B211">
        <f t="shared" si="26"/>
        <v>46236</v>
      </c>
      <c r="C211">
        <v>7731</v>
      </c>
      <c r="D211">
        <v>38505</v>
      </c>
      <c r="F211">
        <f t="shared" si="21"/>
        <v>837</v>
      </c>
      <c r="G211" s="20">
        <f t="shared" si="27"/>
        <v>206</v>
      </c>
      <c r="H211" s="21">
        <v>66621050498</v>
      </c>
      <c r="I211" s="22">
        <v>220</v>
      </c>
      <c r="J211" s="23"/>
      <c r="K211" s="24">
        <v>45399</v>
      </c>
      <c r="L211" s="23">
        <f t="shared" si="22"/>
        <v>837</v>
      </c>
      <c r="M211" s="24">
        <v>7584</v>
      </c>
      <c r="N211" s="25">
        <f t="shared" si="23"/>
        <v>147</v>
      </c>
      <c r="O211" s="24">
        <v>37815</v>
      </c>
      <c r="P211" s="23">
        <f t="shared" si="24"/>
        <v>690</v>
      </c>
      <c r="Q211" s="26"/>
      <c r="R211" s="23">
        <f t="shared" si="25"/>
        <v>0</v>
      </c>
      <c r="S211" s="27" t="s">
        <v>18</v>
      </c>
      <c r="T211" s="19" t="s">
        <v>238</v>
      </c>
    </row>
    <row r="212" spans="1:20" ht="37.5" customHeight="1" x14ac:dyDescent="0.25">
      <c r="A212" s="19" t="s">
        <v>239</v>
      </c>
      <c r="B212">
        <f t="shared" si="26"/>
        <v>7497</v>
      </c>
      <c r="C212">
        <v>1229</v>
      </c>
      <c r="D212">
        <v>6268</v>
      </c>
      <c r="F212">
        <f t="shared" si="21"/>
        <v>71</v>
      </c>
      <c r="G212" s="20">
        <f t="shared" si="27"/>
        <v>207</v>
      </c>
      <c r="H212" s="21">
        <v>66621090174</v>
      </c>
      <c r="I212" s="22">
        <v>223</v>
      </c>
      <c r="J212" s="23"/>
      <c r="K212" s="24">
        <v>7426</v>
      </c>
      <c r="L212" s="23">
        <f t="shared" si="22"/>
        <v>71</v>
      </c>
      <c r="M212" s="24">
        <v>1221</v>
      </c>
      <c r="N212" s="25">
        <f t="shared" si="23"/>
        <v>8</v>
      </c>
      <c r="O212" s="24">
        <v>6205</v>
      </c>
      <c r="P212" s="23">
        <f t="shared" si="24"/>
        <v>63</v>
      </c>
      <c r="Q212" s="26"/>
      <c r="R212" s="23">
        <f t="shared" si="25"/>
        <v>0</v>
      </c>
      <c r="S212" s="27" t="s">
        <v>18</v>
      </c>
      <c r="T212" s="19" t="s">
        <v>239</v>
      </c>
    </row>
    <row r="213" spans="1:20" ht="37.5" customHeight="1" x14ac:dyDescent="0.25">
      <c r="A213" s="19" t="s">
        <v>240</v>
      </c>
      <c r="B213">
        <f t="shared" si="26"/>
        <v>9281</v>
      </c>
      <c r="C213">
        <v>1764</v>
      </c>
      <c r="D213">
        <v>7517</v>
      </c>
      <c r="E213">
        <v>7649</v>
      </c>
      <c r="F213">
        <f t="shared" si="21"/>
        <v>549</v>
      </c>
      <c r="G213" s="20">
        <f t="shared" si="27"/>
        <v>208</v>
      </c>
      <c r="H213" s="21">
        <v>99624010015</v>
      </c>
      <c r="I213" s="22">
        <v>224</v>
      </c>
      <c r="J213" s="23"/>
      <c r="K213" s="24">
        <f>M213+O213</f>
        <v>8732</v>
      </c>
      <c r="L213" s="23">
        <f t="shared" si="22"/>
        <v>549</v>
      </c>
      <c r="M213" s="24">
        <v>1651</v>
      </c>
      <c r="N213" s="25">
        <f t="shared" si="23"/>
        <v>113</v>
      </c>
      <c r="O213" s="24">
        <v>7081</v>
      </c>
      <c r="P213" s="23">
        <f t="shared" si="24"/>
        <v>436</v>
      </c>
      <c r="Q213" s="26">
        <v>6923</v>
      </c>
      <c r="R213" s="23">
        <f t="shared" si="25"/>
        <v>726</v>
      </c>
      <c r="S213" s="27" t="s">
        <v>18</v>
      </c>
      <c r="T213" s="19" t="s">
        <v>240</v>
      </c>
    </row>
    <row r="214" spans="1:20" ht="37.5" customHeight="1" x14ac:dyDescent="0.25">
      <c r="A214" s="19" t="s">
        <v>241</v>
      </c>
      <c r="B214">
        <f t="shared" si="26"/>
        <v>26362</v>
      </c>
      <c r="C214">
        <v>5245</v>
      </c>
      <c r="D214">
        <v>21117</v>
      </c>
      <c r="F214">
        <f t="shared" si="21"/>
        <v>553</v>
      </c>
      <c r="G214" s="20">
        <f t="shared" si="27"/>
        <v>209</v>
      </c>
      <c r="H214" s="21">
        <v>66622020268</v>
      </c>
      <c r="I214" s="22">
        <v>225</v>
      </c>
      <c r="J214" s="23"/>
      <c r="K214" s="24">
        <v>25809</v>
      </c>
      <c r="L214" s="23">
        <f t="shared" si="22"/>
        <v>553</v>
      </c>
      <c r="M214" s="24">
        <v>5139</v>
      </c>
      <c r="N214" s="25">
        <f t="shared" si="23"/>
        <v>106</v>
      </c>
      <c r="O214" s="24">
        <v>20670</v>
      </c>
      <c r="P214" s="23">
        <f t="shared" si="24"/>
        <v>447</v>
      </c>
      <c r="Q214" s="26"/>
      <c r="R214" s="23">
        <f t="shared" si="25"/>
        <v>0</v>
      </c>
      <c r="S214" s="27" t="s">
        <v>18</v>
      </c>
      <c r="T214" s="19" t="s">
        <v>241</v>
      </c>
    </row>
    <row r="215" spans="1:20" ht="37.5" customHeight="1" x14ac:dyDescent="0.25">
      <c r="A215" s="19" t="s">
        <v>242</v>
      </c>
      <c r="B215">
        <f t="shared" si="26"/>
        <v>6057</v>
      </c>
      <c r="C215">
        <v>1656</v>
      </c>
      <c r="D215">
        <v>4401</v>
      </c>
      <c r="E215">
        <v>5942</v>
      </c>
      <c r="F215">
        <f t="shared" si="21"/>
        <v>418</v>
      </c>
      <c r="G215" s="20">
        <f t="shared" si="27"/>
        <v>210</v>
      </c>
      <c r="H215" s="21">
        <v>99624020150</v>
      </c>
      <c r="I215" s="22">
        <v>227</v>
      </c>
      <c r="J215" s="23"/>
      <c r="K215" s="24">
        <f>M215+O215</f>
        <v>5639</v>
      </c>
      <c r="L215" s="23">
        <f t="shared" si="22"/>
        <v>418</v>
      </c>
      <c r="M215" s="24">
        <v>1538</v>
      </c>
      <c r="N215" s="25">
        <f t="shared" si="23"/>
        <v>118</v>
      </c>
      <c r="O215" s="24">
        <v>4101</v>
      </c>
      <c r="P215" s="23">
        <f t="shared" si="24"/>
        <v>300</v>
      </c>
      <c r="Q215" s="26">
        <v>5143</v>
      </c>
      <c r="R215" s="23">
        <f t="shared" si="25"/>
        <v>799</v>
      </c>
      <c r="S215" s="27" t="s">
        <v>18</v>
      </c>
      <c r="T215" s="19" t="s">
        <v>242</v>
      </c>
    </row>
    <row r="216" spans="1:20" ht="37.5" customHeight="1" x14ac:dyDescent="0.25">
      <c r="A216" s="19" t="s">
        <v>243</v>
      </c>
      <c r="B216">
        <f t="shared" si="26"/>
        <v>22834</v>
      </c>
      <c r="C216">
        <v>3669</v>
      </c>
      <c r="D216">
        <v>19165</v>
      </c>
      <c r="F216">
        <f t="shared" si="21"/>
        <v>361</v>
      </c>
      <c r="G216" s="20">
        <f t="shared" si="27"/>
        <v>211</v>
      </c>
      <c r="H216" s="21">
        <v>88820010228</v>
      </c>
      <c r="I216" s="22">
        <v>228</v>
      </c>
      <c r="J216" s="23"/>
      <c r="K216" s="24">
        <v>22473</v>
      </c>
      <c r="L216" s="23">
        <f t="shared" si="22"/>
        <v>361</v>
      </c>
      <c r="M216" s="24">
        <v>3608</v>
      </c>
      <c r="N216" s="25">
        <f t="shared" si="23"/>
        <v>61</v>
      </c>
      <c r="O216" s="24">
        <v>18865</v>
      </c>
      <c r="P216" s="23">
        <f t="shared" si="24"/>
        <v>300</v>
      </c>
      <c r="Q216" s="26"/>
      <c r="R216" s="23">
        <f t="shared" si="25"/>
        <v>0</v>
      </c>
      <c r="S216" s="27" t="s">
        <v>18</v>
      </c>
      <c r="T216" s="19" t="s">
        <v>243</v>
      </c>
    </row>
    <row r="217" spans="1:20" ht="37.5" customHeight="1" x14ac:dyDescent="0.25">
      <c r="A217" s="19" t="s">
        <v>244</v>
      </c>
      <c r="B217">
        <f t="shared" si="26"/>
        <v>44138</v>
      </c>
      <c r="C217">
        <v>11622</v>
      </c>
      <c r="D217">
        <v>32516</v>
      </c>
      <c r="F217">
        <f t="shared" si="21"/>
        <v>419</v>
      </c>
      <c r="G217" s="20">
        <f t="shared" si="27"/>
        <v>212</v>
      </c>
      <c r="H217" s="21">
        <v>23011020033</v>
      </c>
      <c r="I217" s="22">
        <v>229</v>
      </c>
      <c r="J217" s="23"/>
      <c r="K217" s="24">
        <v>43719</v>
      </c>
      <c r="L217" s="23">
        <f t="shared" si="22"/>
        <v>419</v>
      </c>
      <c r="M217" s="24">
        <v>11568</v>
      </c>
      <c r="N217" s="25">
        <f t="shared" si="23"/>
        <v>54</v>
      </c>
      <c r="O217" s="24">
        <v>32151</v>
      </c>
      <c r="P217" s="23">
        <f t="shared" si="24"/>
        <v>365</v>
      </c>
      <c r="Q217" s="26"/>
      <c r="R217" s="23">
        <f t="shared" si="25"/>
        <v>0</v>
      </c>
      <c r="S217" s="27" t="s">
        <v>18</v>
      </c>
      <c r="T217" s="19" t="s">
        <v>244</v>
      </c>
    </row>
    <row r="218" spans="1:20" ht="37.5" customHeight="1" x14ac:dyDescent="0.25">
      <c r="A218" s="19" t="s">
        <v>245</v>
      </c>
      <c r="B218">
        <f t="shared" si="26"/>
        <v>78646</v>
      </c>
      <c r="C218">
        <v>13144</v>
      </c>
      <c r="D218">
        <v>65502</v>
      </c>
      <c r="F218">
        <f t="shared" si="21"/>
        <v>752</v>
      </c>
      <c r="G218" s="20">
        <f t="shared" si="27"/>
        <v>213</v>
      </c>
      <c r="H218" s="21">
        <v>66616031425</v>
      </c>
      <c r="I218" s="22">
        <v>230</v>
      </c>
      <c r="J218" s="23"/>
      <c r="K218" s="24">
        <v>77894</v>
      </c>
      <c r="L218" s="23">
        <f t="shared" si="22"/>
        <v>752</v>
      </c>
      <c r="M218" s="24">
        <v>13003</v>
      </c>
      <c r="N218" s="25">
        <f t="shared" si="23"/>
        <v>141</v>
      </c>
      <c r="O218" s="24">
        <v>64891</v>
      </c>
      <c r="P218" s="23">
        <f t="shared" si="24"/>
        <v>611</v>
      </c>
      <c r="Q218" s="26"/>
      <c r="R218" s="23">
        <f t="shared" si="25"/>
        <v>0</v>
      </c>
      <c r="S218" s="27" t="s">
        <v>18</v>
      </c>
      <c r="T218" s="19" t="s">
        <v>245</v>
      </c>
    </row>
    <row r="219" spans="1:20" ht="37.5" customHeight="1" x14ac:dyDescent="0.25">
      <c r="A219" s="19" t="s">
        <v>246</v>
      </c>
      <c r="B219">
        <f t="shared" si="26"/>
        <v>18666</v>
      </c>
      <c r="C219">
        <v>3192</v>
      </c>
      <c r="D219">
        <v>15474</v>
      </c>
      <c r="F219">
        <f t="shared" si="21"/>
        <v>340</v>
      </c>
      <c r="G219" s="20">
        <f t="shared" si="27"/>
        <v>214</v>
      </c>
      <c r="H219" s="21">
        <v>88820030042</v>
      </c>
      <c r="I219" s="22">
        <v>231</v>
      </c>
      <c r="J219" s="23"/>
      <c r="K219" s="24">
        <v>18326</v>
      </c>
      <c r="L219" s="23">
        <f t="shared" si="22"/>
        <v>340</v>
      </c>
      <c r="M219" s="24">
        <v>3141</v>
      </c>
      <c r="N219" s="25">
        <f t="shared" si="23"/>
        <v>51</v>
      </c>
      <c r="O219" s="24">
        <v>15185</v>
      </c>
      <c r="P219" s="23">
        <f t="shared" si="24"/>
        <v>289</v>
      </c>
      <c r="Q219" s="26"/>
      <c r="R219" s="23">
        <f t="shared" si="25"/>
        <v>0</v>
      </c>
      <c r="S219" s="27" t="s">
        <v>18</v>
      </c>
      <c r="T219" s="19" t="s">
        <v>246</v>
      </c>
    </row>
    <row r="220" spans="1:20" ht="37.5" customHeight="1" x14ac:dyDescent="0.25">
      <c r="A220" s="19" t="s">
        <v>247</v>
      </c>
      <c r="B220">
        <f t="shared" si="26"/>
        <v>23682</v>
      </c>
      <c r="C220">
        <v>4147</v>
      </c>
      <c r="D220">
        <v>19535</v>
      </c>
      <c r="F220">
        <f t="shared" si="21"/>
        <v>426</v>
      </c>
      <c r="G220" s="20">
        <f t="shared" si="27"/>
        <v>215</v>
      </c>
      <c r="H220" s="21">
        <v>66622020459</v>
      </c>
      <c r="I220" s="22">
        <v>232</v>
      </c>
      <c r="J220" s="23"/>
      <c r="K220" s="24">
        <v>23256</v>
      </c>
      <c r="L220" s="23">
        <f t="shared" si="22"/>
        <v>426</v>
      </c>
      <c r="M220" s="24">
        <v>4071</v>
      </c>
      <c r="N220" s="25">
        <f t="shared" si="23"/>
        <v>76</v>
      </c>
      <c r="O220" s="24">
        <v>19185</v>
      </c>
      <c r="P220" s="23">
        <f t="shared" si="24"/>
        <v>350</v>
      </c>
      <c r="Q220" s="26"/>
      <c r="R220" s="23">
        <f t="shared" si="25"/>
        <v>0</v>
      </c>
      <c r="S220" s="27" t="s">
        <v>18</v>
      </c>
      <c r="T220" s="19" t="s">
        <v>247</v>
      </c>
    </row>
    <row r="221" spans="1:20" ht="37.5" customHeight="1" x14ac:dyDescent="0.25">
      <c r="A221" s="19" t="s">
        <v>248</v>
      </c>
      <c r="B221">
        <f t="shared" si="26"/>
        <v>39026</v>
      </c>
      <c r="C221">
        <v>5515</v>
      </c>
      <c r="D221">
        <v>33511</v>
      </c>
      <c r="F221">
        <f t="shared" si="21"/>
        <v>185</v>
      </c>
      <c r="G221" s="20">
        <f t="shared" si="27"/>
        <v>216</v>
      </c>
      <c r="H221" s="21">
        <v>23014010118</v>
      </c>
      <c r="I221" s="22">
        <v>233</v>
      </c>
      <c r="J221" s="23"/>
      <c r="K221" s="24">
        <v>38841</v>
      </c>
      <c r="L221" s="23">
        <f t="shared" si="22"/>
        <v>185</v>
      </c>
      <c r="M221" s="24">
        <v>5490</v>
      </c>
      <c r="N221" s="25">
        <f t="shared" si="23"/>
        <v>25</v>
      </c>
      <c r="O221" s="24">
        <v>33351</v>
      </c>
      <c r="P221" s="23">
        <f t="shared" si="24"/>
        <v>160</v>
      </c>
      <c r="Q221" s="26"/>
      <c r="R221" s="23">
        <f t="shared" si="25"/>
        <v>0</v>
      </c>
      <c r="S221" s="27" t="s">
        <v>18</v>
      </c>
      <c r="T221" s="19" t="s">
        <v>248</v>
      </c>
    </row>
    <row r="222" spans="1:20" ht="37.5" customHeight="1" x14ac:dyDescent="0.25">
      <c r="A222" s="19" t="s">
        <v>249</v>
      </c>
      <c r="B222">
        <f t="shared" si="26"/>
        <v>15160</v>
      </c>
      <c r="C222">
        <v>2886</v>
      </c>
      <c r="D222">
        <v>12274</v>
      </c>
      <c r="F222">
        <f t="shared" si="21"/>
        <v>33</v>
      </c>
      <c r="G222" s="20">
        <f t="shared" si="27"/>
        <v>217</v>
      </c>
      <c r="H222" s="21">
        <v>88821080125</v>
      </c>
      <c r="I222" s="22">
        <v>234</v>
      </c>
      <c r="J222" s="23"/>
      <c r="K222" s="24">
        <v>15127</v>
      </c>
      <c r="L222" s="23">
        <f t="shared" si="22"/>
        <v>33</v>
      </c>
      <c r="M222" s="24">
        <v>8866</v>
      </c>
      <c r="N222" s="25">
        <f t="shared" si="23"/>
        <v>-5980</v>
      </c>
      <c r="O222" s="24">
        <v>44565</v>
      </c>
      <c r="P222" s="23">
        <f t="shared" si="24"/>
        <v>-32291</v>
      </c>
      <c r="Q222" s="26"/>
      <c r="R222" s="23">
        <f t="shared" si="25"/>
        <v>0</v>
      </c>
      <c r="S222" s="27" t="s">
        <v>18</v>
      </c>
      <c r="T222" s="19" t="s">
        <v>249</v>
      </c>
    </row>
    <row r="223" spans="1:20" ht="37.5" customHeight="1" x14ac:dyDescent="0.25">
      <c r="A223" s="19" t="s">
        <v>250</v>
      </c>
      <c r="B223">
        <f t="shared" si="26"/>
        <v>11253</v>
      </c>
      <c r="C223">
        <v>2025</v>
      </c>
      <c r="D223">
        <v>9228</v>
      </c>
      <c r="F223">
        <f t="shared" si="21"/>
        <v>6</v>
      </c>
      <c r="G223" s="20">
        <f t="shared" si="27"/>
        <v>218</v>
      </c>
      <c r="H223" s="21">
        <v>23014040358</v>
      </c>
      <c r="I223" s="22">
        <v>236</v>
      </c>
      <c r="J223" s="23"/>
      <c r="K223" s="24">
        <v>11247</v>
      </c>
      <c r="L223" s="23">
        <f t="shared" si="22"/>
        <v>6</v>
      </c>
      <c r="M223" s="24">
        <v>2024</v>
      </c>
      <c r="N223" s="25">
        <f t="shared" si="23"/>
        <v>1</v>
      </c>
      <c r="O223" s="24">
        <v>9223</v>
      </c>
      <c r="P223" s="23">
        <f t="shared" si="24"/>
        <v>5</v>
      </c>
      <c r="Q223" s="26"/>
      <c r="R223" s="23">
        <f t="shared" si="25"/>
        <v>0</v>
      </c>
      <c r="S223" s="27" t="s">
        <v>18</v>
      </c>
      <c r="T223" s="19" t="s">
        <v>250</v>
      </c>
    </row>
    <row r="224" spans="1:20" ht="37.5" customHeight="1" x14ac:dyDescent="0.25">
      <c r="A224" s="19" t="s">
        <v>251</v>
      </c>
      <c r="B224">
        <f t="shared" si="26"/>
        <v>9536</v>
      </c>
      <c r="C224">
        <v>2722</v>
      </c>
      <c r="D224">
        <v>6814</v>
      </c>
      <c r="E224">
        <v>13325</v>
      </c>
      <c r="F224">
        <f t="shared" si="21"/>
        <v>487</v>
      </c>
      <c r="G224" s="20">
        <f t="shared" si="27"/>
        <v>219</v>
      </c>
      <c r="H224" s="21">
        <v>99723060194</v>
      </c>
      <c r="I224" s="22">
        <v>237</v>
      </c>
      <c r="J224" s="23"/>
      <c r="K224" s="24">
        <f>M224+O224</f>
        <v>9049</v>
      </c>
      <c r="L224" s="23">
        <f t="shared" si="22"/>
        <v>487</v>
      </c>
      <c r="M224" s="24">
        <v>2593</v>
      </c>
      <c r="N224" s="25">
        <f t="shared" si="23"/>
        <v>129</v>
      </c>
      <c r="O224" s="24">
        <v>6456</v>
      </c>
      <c r="P224" s="23">
        <f t="shared" si="24"/>
        <v>358</v>
      </c>
      <c r="Q224" s="26">
        <v>12375</v>
      </c>
      <c r="R224" s="23">
        <f t="shared" si="25"/>
        <v>950</v>
      </c>
      <c r="S224" s="27" t="s">
        <v>18</v>
      </c>
      <c r="T224" s="19" t="s">
        <v>251</v>
      </c>
    </row>
    <row r="225" spans="1:20" ht="37.5" customHeight="1" x14ac:dyDescent="0.25">
      <c r="A225" s="19" t="s">
        <v>252</v>
      </c>
      <c r="B225">
        <f t="shared" si="26"/>
        <v>2923</v>
      </c>
      <c r="C225">
        <v>811</v>
      </c>
      <c r="D225">
        <v>2112</v>
      </c>
      <c r="E225">
        <v>3048</v>
      </c>
      <c r="F225">
        <f t="shared" si="21"/>
        <v>341</v>
      </c>
      <c r="G225" s="20">
        <f t="shared" si="27"/>
        <v>220</v>
      </c>
      <c r="H225" s="21">
        <v>99624030082</v>
      </c>
      <c r="I225" s="22">
        <v>239</v>
      </c>
      <c r="J225" s="23"/>
      <c r="K225" s="24">
        <f>M225+O225</f>
        <v>2582</v>
      </c>
      <c r="L225" s="23">
        <f t="shared" si="22"/>
        <v>341</v>
      </c>
      <c r="M225" s="24">
        <v>721</v>
      </c>
      <c r="N225" s="25">
        <f t="shared" si="23"/>
        <v>90</v>
      </c>
      <c r="O225" s="24">
        <v>1861</v>
      </c>
      <c r="P225" s="23">
        <f t="shared" si="24"/>
        <v>251</v>
      </c>
      <c r="Q225" s="26">
        <v>2615</v>
      </c>
      <c r="R225" s="23">
        <f t="shared" si="25"/>
        <v>433</v>
      </c>
      <c r="S225" s="27" t="s">
        <v>18</v>
      </c>
      <c r="T225" s="19" t="s">
        <v>252</v>
      </c>
    </row>
    <row r="226" spans="1:20" ht="37.5" customHeight="1" x14ac:dyDescent="0.25">
      <c r="A226" s="19" t="s">
        <v>253</v>
      </c>
      <c r="B226">
        <f t="shared" si="26"/>
        <v>2296</v>
      </c>
      <c r="C226">
        <v>373</v>
      </c>
      <c r="D226">
        <v>1923</v>
      </c>
      <c r="F226">
        <f t="shared" si="21"/>
        <v>233</v>
      </c>
      <c r="G226" s="20">
        <f t="shared" si="27"/>
        <v>221</v>
      </c>
      <c r="H226" s="21">
        <v>66621100390</v>
      </c>
      <c r="I226" s="22">
        <v>240</v>
      </c>
      <c r="J226" s="23"/>
      <c r="K226" s="24">
        <v>2063</v>
      </c>
      <c r="L226" s="23">
        <f t="shared" si="22"/>
        <v>233</v>
      </c>
      <c r="M226" s="24">
        <v>327</v>
      </c>
      <c r="N226" s="25">
        <f t="shared" si="23"/>
        <v>46</v>
      </c>
      <c r="O226" s="24">
        <v>1736</v>
      </c>
      <c r="P226" s="23">
        <f t="shared" si="24"/>
        <v>187</v>
      </c>
      <c r="Q226" s="26"/>
      <c r="R226" s="23">
        <f t="shared" si="25"/>
        <v>0</v>
      </c>
      <c r="S226" s="27" t="s">
        <v>18</v>
      </c>
      <c r="T226" s="19" t="s">
        <v>253</v>
      </c>
    </row>
    <row r="227" spans="1:20" ht="37.5" customHeight="1" x14ac:dyDescent="0.25">
      <c r="A227" s="19" t="s">
        <v>254</v>
      </c>
      <c r="B227">
        <f t="shared" si="26"/>
        <v>53415</v>
      </c>
      <c r="C227">
        <v>8607</v>
      </c>
      <c r="D227">
        <v>44808</v>
      </c>
      <c r="F227">
        <f t="shared" si="21"/>
        <v>197</v>
      </c>
      <c r="G227" s="20">
        <f t="shared" si="27"/>
        <v>222</v>
      </c>
      <c r="H227" s="21">
        <v>23011100109</v>
      </c>
      <c r="I227" s="22">
        <v>241</v>
      </c>
      <c r="J227" s="23"/>
      <c r="K227" s="24">
        <v>53218</v>
      </c>
      <c r="L227" s="23">
        <f t="shared" si="22"/>
        <v>197</v>
      </c>
      <c r="M227" s="24">
        <v>8577</v>
      </c>
      <c r="N227" s="25">
        <f t="shared" si="23"/>
        <v>30</v>
      </c>
      <c r="O227" s="24">
        <v>44641</v>
      </c>
      <c r="P227" s="23">
        <f t="shared" si="24"/>
        <v>167</v>
      </c>
      <c r="Q227" s="26"/>
      <c r="R227" s="23">
        <f t="shared" si="25"/>
        <v>0</v>
      </c>
      <c r="S227" s="27" t="s">
        <v>18</v>
      </c>
      <c r="T227" s="19" t="s">
        <v>254</v>
      </c>
    </row>
    <row r="228" spans="1:20" ht="37.5" customHeight="1" x14ac:dyDescent="0.25">
      <c r="A228" s="19" t="s">
        <v>255</v>
      </c>
      <c r="B228">
        <f t="shared" si="26"/>
        <v>81149</v>
      </c>
      <c r="C228">
        <v>13442</v>
      </c>
      <c r="D228">
        <v>67707</v>
      </c>
      <c r="F228">
        <f t="shared" si="21"/>
        <v>763</v>
      </c>
      <c r="G228" s="20">
        <f t="shared" si="27"/>
        <v>223</v>
      </c>
      <c r="H228" s="21">
        <v>23012060008</v>
      </c>
      <c r="I228" s="22">
        <v>242</v>
      </c>
      <c r="J228" s="23"/>
      <c r="K228" s="24">
        <v>80386</v>
      </c>
      <c r="L228" s="23">
        <f t="shared" si="22"/>
        <v>763</v>
      </c>
      <c r="M228" s="24">
        <v>13280</v>
      </c>
      <c r="N228" s="25">
        <f t="shared" si="23"/>
        <v>162</v>
      </c>
      <c r="O228" s="24">
        <v>67106</v>
      </c>
      <c r="P228" s="23">
        <f t="shared" si="24"/>
        <v>601</v>
      </c>
      <c r="Q228" s="26"/>
      <c r="R228" s="23">
        <f t="shared" si="25"/>
        <v>0</v>
      </c>
      <c r="S228" s="27" t="s">
        <v>18</v>
      </c>
      <c r="T228" s="19" t="s">
        <v>255</v>
      </c>
    </row>
    <row r="229" spans="1:20" ht="37.5" customHeight="1" x14ac:dyDescent="0.25">
      <c r="A229" s="19" t="s">
        <v>256</v>
      </c>
      <c r="B229">
        <f t="shared" si="26"/>
        <v>63560</v>
      </c>
      <c r="C229">
        <v>11575</v>
      </c>
      <c r="D229">
        <v>51985</v>
      </c>
      <c r="F229">
        <f t="shared" si="21"/>
        <v>446</v>
      </c>
      <c r="G229" s="20">
        <f t="shared" si="27"/>
        <v>224</v>
      </c>
      <c r="H229" s="21">
        <v>23014060802</v>
      </c>
      <c r="I229" s="22">
        <v>243</v>
      </c>
      <c r="J229" s="23"/>
      <c r="K229" s="24">
        <v>63114</v>
      </c>
      <c r="L229" s="23">
        <f t="shared" si="22"/>
        <v>446</v>
      </c>
      <c r="M229" s="24">
        <v>11478</v>
      </c>
      <c r="N229" s="25">
        <f t="shared" si="23"/>
        <v>97</v>
      </c>
      <c r="O229" s="24">
        <v>51636</v>
      </c>
      <c r="P229" s="23">
        <f t="shared" si="24"/>
        <v>349</v>
      </c>
      <c r="Q229" s="26"/>
      <c r="R229" s="23">
        <f t="shared" si="25"/>
        <v>0</v>
      </c>
      <c r="S229" s="27" t="s">
        <v>18</v>
      </c>
      <c r="T229" s="19" t="s">
        <v>256</v>
      </c>
    </row>
    <row r="230" spans="1:20" ht="37.5" customHeight="1" x14ac:dyDescent="0.25">
      <c r="A230" s="19" t="s">
        <v>257</v>
      </c>
      <c r="B230">
        <f t="shared" si="26"/>
        <v>36641</v>
      </c>
      <c r="C230">
        <v>6511</v>
      </c>
      <c r="D230">
        <v>30130</v>
      </c>
      <c r="F230">
        <f t="shared" si="21"/>
        <v>291</v>
      </c>
      <c r="G230" s="20">
        <f t="shared" si="27"/>
        <v>225</v>
      </c>
      <c r="H230" s="21">
        <v>88819010023</v>
      </c>
      <c r="I230" s="22">
        <v>244</v>
      </c>
      <c r="J230" s="23"/>
      <c r="K230" s="24">
        <v>36350</v>
      </c>
      <c r="L230" s="23">
        <f t="shared" si="22"/>
        <v>291</v>
      </c>
      <c r="M230" s="24">
        <v>6459</v>
      </c>
      <c r="N230" s="25">
        <f t="shared" si="23"/>
        <v>52</v>
      </c>
      <c r="O230" s="24">
        <v>29891</v>
      </c>
      <c r="P230" s="23">
        <f t="shared" si="24"/>
        <v>239</v>
      </c>
      <c r="Q230" s="26"/>
      <c r="R230" s="23">
        <f t="shared" si="25"/>
        <v>0</v>
      </c>
      <c r="S230" s="27" t="s">
        <v>18</v>
      </c>
      <c r="T230" s="19" t="s">
        <v>257</v>
      </c>
    </row>
    <row r="231" spans="1:20" ht="37.5" customHeight="1" x14ac:dyDescent="0.25">
      <c r="A231" s="19" t="s">
        <v>258</v>
      </c>
      <c r="B231">
        <f t="shared" si="26"/>
        <v>37658</v>
      </c>
      <c r="C231">
        <v>5136</v>
      </c>
      <c r="D231">
        <v>32522</v>
      </c>
      <c r="F231">
        <f t="shared" si="21"/>
        <v>588</v>
      </c>
      <c r="G231" s="20">
        <f t="shared" si="27"/>
        <v>226</v>
      </c>
      <c r="H231" s="21">
        <v>88819030434</v>
      </c>
      <c r="I231" s="22">
        <v>245</v>
      </c>
      <c r="J231" s="23"/>
      <c r="K231" s="24">
        <v>37070</v>
      </c>
      <c r="L231" s="23">
        <f t="shared" si="22"/>
        <v>588</v>
      </c>
      <c r="M231" s="24">
        <v>5051</v>
      </c>
      <c r="N231" s="25">
        <f t="shared" si="23"/>
        <v>85</v>
      </c>
      <c r="O231" s="24">
        <v>32019</v>
      </c>
      <c r="P231" s="23">
        <f t="shared" si="24"/>
        <v>503</v>
      </c>
      <c r="Q231" s="26"/>
      <c r="R231" s="23">
        <f t="shared" si="25"/>
        <v>0</v>
      </c>
      <c r="S231" s="27" t="s">
        <v>18</v>
      </c>
      <c r="T231" s="19" t="s">
        <v>258</v>
      </c>
    </row>
    <row r="232" spans="1:20" ht="37.5" customHeight="1" x14ac:dyDescent="0.25">
      <c r="A232" s="19" t="s">
        <v>259</v>
      </c>
      <c r="B232">
        <f t="shared" si="26"/>
        <v>15227</v>
      </c>
      <c r="C232">
        <v>2896</v>
      </c>
      <c r="D232">
        <v>12331</v>
      </c>
      <c r="F232">
        <f t="shared" si="21"/>
        <v>465</v>
      </c>
      <c r="G232" s="20">
        <f t="shared" si="27"/>
        <v>227</v>
      </c>
      <c r="H232" s="21">
        <v>66622040468</v>
      </c>
      <c r="I232" s="22">
        <v>247</v>
      </c>
      <c r="J232" s="23"/>
      <c r="K232" s="24">
        <v>14762</v>
      </c>
      <c r="L232" s="23">
        <f t="shared" si="22"/>
        <v>465</v>
      </c>
      <c r="M232" s="24">
        <v>2803</v>
      </c>
      <c r="N232" s="25">
        <f t="shared" si="23"/>
        <v>93</v>
      </c>
      <c r="O232" s="24">
        <v>11959</v>
      </c>
      <c r="P232" s="23">
        <f t="shared" si="24"/>
        <v>372</v>
      </c>
      <c r="Q232" s="26"/>
      <c r="R232" s="23">
        <f t="shared" si="25"/>
        <v>0</v>
      </c>
      <c r="S232" s="27" t="s">
        <v>18</v>
      </c>
      <c r="T232" s="19" t="s">
        <v>259</v>
      </c>
    </row>
    <row r="233" spans="1:20" ht="37.5" customHeight="1" x14ac:dyDescent="0.25">
      <c r="A233" s="19" t="s">
        <v>260</v>
      </c>
      <c r="B233">
        <f t="shared" si="26"/>
        <v>1265</v>
      </c>
      <c r="C233">
        <v>130</v>
      </c>
      <c r="D233">
        <v>1135</v>
      </c>
      <c r="F233">
        <f t="shared" si="21"/>
        <v>59</v>
      </c>
      <c r="G233" s="20">
        <f t="shared" si="27"/>
        <v>228</v>
      </c>
      <c r="H233" s="21">
        <v>66622060505</v>
      </c>
      <c r="I233" s="22">
        <v>248</v>
      </c>
      <c r="J233" s="23"/>
      <c r="K233" s="24">
        <v>1206</v>
      </c>
      <c r="L233" s="23">
        <f t="shared" si="22"/>
        <v>59</v>
      </c>
      <c r="M233" s="24">
        <v>119</v>
      </c>
      <c r="N233" s="25">
        <f t="shared" si="23"/>
        <v>11</v>
      </c>
      <c r="O233" s="24">
        <v>1087</v>
      </c>
      <c r="P233" s="23">
        <f t="shared" si="24"/>
        <v>48</v>
      </c>
      <c r="Q233" s="26"/>
      <c r="R233" s="23">
        <f t="shared" si="25"/>
        <v>0</v>
      </c>
      <c r="S233" s="27" t="s">
        <v>18</v>
      </c>
      <c r="T233" s="19" t="s">
        <v>260</v>
      </c>
    </row>
    <row r="234" spans="1:20" ht="37.5" customHeight="1" x14ac:dyDescent="0.25">
      <c r="A234" s="19" t="s">
        <v>261</v>
      </c>
      <c r="B234">
        <f t="shared" si="26"/>
        <v>3950</v>
      </c>
      <c r="C234">
        <v>670</v>
      </c>
      <c r="D234">
        <v>3280</v>
      </c>
      <c r="E234">
        <v>4398</v>
      </c>
      <c r="F234">
        <f t="shared" si="21"/>
        <v>364</v>
      </c>
      <c r="G234" s="20">
        <f t="shared" si="27"/>
        <v>229</v>
      </c>
      <c r="H234" s="21">
        <v>99624030192</v>
      </c>
      <c r="I234" s="22">
        <v>250</v>
      </c>
      <c r="J234" s="23"/>
      <c r="K234" s="24">
        <f>M234+O234</f>
        <v>3586</v>
      </c>
      <c r="L234" s="23">
        <f t="shared" si="22"/>
        <v>364</v>
      </c>
      <c r="M234" s="24">
        <v>581</v>
      </c>
      <c r="N234" s="25">
        <f t="shared" si="23"/>
        <v>89</v>
      </c>
      <c r="O234" s="24">
        <v>3005</v>
      </c>
      <c r="P234" s="23">
        <f t="shared" si="24"/>
        <v>275</v>
      </c>
      <c r="Q234" s="26">
        <v>3725</v>
      </c>
      <c r="R234" s="23">
        <f t="shared" si="25"/>
        <v>673</v>
      </c>
      <c r="S234" s="27" t="s">
        <v>18</v>
      </c>
      <c r="T234" s="19" t="s">
        <v>261</v>
      </c>
    </row>
    <row r="235" spans="1:20" ht="37.5" customHeight="1" x14ac:dyDescent="0.25">
      <c r="A235" s="19" t="s">
        <v>262</v>
      </c>
      <c r="B235">
        <f t="shared" si="26"/>
        <v>7308</v>
      </c>
      <c r="C235">
        <v>2000</v>
      </c>
      <c r="D235">
        <v>5308</v>
      </c>
      <c r="E235">
        <v>8195</v>
      </c>
      <c r="F235">
        <f t="shared" si="21"/>
        <v>488</v>
      </c>
      <c r="G235" s="20">
        <f t="shared" si="27"/>
        <v>230</v>
      </c>
      <c r="H235" s="21">
        <v>99624010073</v>
      </c>
      <c r="I235" s="22">
        <v>251</v>
      </c>
      <c r="J235" s="23"/>
      <c r="K235" s="24">
        <f>M235+O235</f>
        <v>6820</v>
      </c>
      <c r="L235" s="23">
        <f t="shared" si="22"/>
        <v>488</v>
      </c>
      <c r="M235" s="24">
        <v>1853</v>
      </c>
      <c r="N235" s="25">
        <f t="shared" si="23"/>
        <v>147</v>
      </c>
      <c r="O235" s="24">
        <v>4967</v>
      </c>
      <c r="P235" s="23">
        <f t="shared" si="24"/>
        <v>341</v>
      </c>
      <c r="Q235" s="26">
        <v>7332</v>
      </c>
      <c r="R235" s="23">
        <f t="shared" si="25"/>
        <v>863</v>
      </c>
      <c r="S235" s="27" t="s">
        <v>18</v>
      </c>
      <c r="T235" s="19" t="s">
        <v>262</v>
      </c>
    </row>
    <row r="236" spans="1:20" ht="37.5" customHeight="1" x14ac:dyDescent="0.25">
      <c r="A236" s="19" t="s">
        <v>263</v>
      </c>
      <c r="B236">
        <f t="shared" si="26"/>
        <v>2258</v>
      </c>
      <c r="C236">
        <v>610</v>
      </c>
      <c r="D236">
        <v>1648</v>
      </c>
      <c r="E236">
        <v>2086</v>
      </c>
      <c r="F236">
        <f t="shared" si="21"/>
        <v>575</v>
      </c>
      <c r="G236" s="20">
        <f t="shared" si="27"/>
        <v>231</v>
      </c>
      <c r="H236" s="21">
        <v>99624050139</v>
      </c>
      <c r="I236" s="22">
        <v>252</v>
      </c>
      <c r="J236" s="23"/>
      <c r="K236" s="24">
        <f>M236+O236</f>
        <v>1683</v>
      </c>
      <c r="L236" s="23">
        <f t="shared" si="22"/>
        <v>575</v>
      </c>
      <c r="M236" s="24">
        <v>450</v>
      </c>
      <c r="N236" s="25">
        <f t="shared" si="23"/>
        <v>160</v>
      </c>
      <c r="O236" s="24">
        <v>1233</v>
      </c>
      <c r="P236" s="23">
        <f t="shared" si="24"/>
        <v>415</v>
      </c>
      <c r="Q236" s="26">
        <v>1507</v>
      </c>
      <c r="R236" s="23">
        <f t="shared" si="25"/>
        <v>579</v>
      </c>
      <c r="S236" s="27" t="s">
        <v>18</v>
      </c>
      <c r="T236" s="19" t="s">
        <v>263</v>
      </c>
    </row>
    <row r="237" spans="1:20" ht="37.5" customHeight="1" x14ac:dyDescent="0.25">
      <c r="A237" s="19" t="s">
        <v>264</v>
      </c>
      <c r="B237">
        <f t="shared" si="26"/>
        <v>5390</v>
      </c>
      <c r="C237">
        <v>1009</v>
      </c>
      <c r="D237">
        <v>4381</v>
      </c>
      <c r="F237">
        <f t="shared" si="21"/>
        <v>97</v>
      </c>
      <c r="G237" s="20">
        <f t="shared" si="27"/>
        <v>232</v>
      </c>
      <c r="H237" s="21">
        <v>66622040585</v>
      </c>
      <c r="I237" s="22">
        <v>254</v>
      </c>
      <c r="J237" s="23"/>
      <c r="K237" s="24">
        <v>5293</v>
      </c>
      <c r="L237" s="23">
        <f t="shared" si="22"/>
        <v>97</v>
      </c>
      <c r="M237" s="24">
        <v>996</v>
      </c>
      <c r="N237" s="25">
        <f t="shared" si="23"/>
        <v>13</v>
      </c>
      <c r="O237" s="24">
        <v>4297</v>
      </c>
      <c r="P237" s="23">
        <f t="shared" si="24"/>
        <v>84</v>
      </c>
      <c r="Q237" s="26"/>
      <c r="R237" s="23">
        <f t="shared" si="25"/>
        <v>0</v>
      </c>
      <c r="S237" s="27" t="s">
        <v>18</v>
      </c>
      <c r="T237" s="19" t="s">
        <v>264</v>
      </c>
    </row>
    <row r="238" spans="1:20" ht="37.5" customHeight="1" x14ac:dyDescent="0.25">
      <c r="A238" s="19" t="s">
        <v>265</v>
      </c>
      <c r="B238">
        <f t="shared" si="26"/>
        <v>68729</v>
      </c>
      <c r="C238">
        <v>15729</v>
      </c>
      <c r="D238">
        <v>53000</v>
      </c>
      <c r="F238">
        <f t="shared" si="21"/>
        <v>584</v>
      </c>
      <c r="G238" s="20">
        <f t="shared" si="27"/>
        <v>233</v>
      </c>
      <c r="H238" s="21">
        <v>66601102618</v>
      </c>
      <c r="I238" s="22">
        <v>255</v>
      </c>
      <c r="J238" s="23"/>
      <c r="K238" s="24">
        <v>68145</v>
      </c>
      <c r="L238" s="23">
        <f t="shared" si="22"/>
        <v>584</v>
      </c>
      <c r="M238" s="24">
        <v>15624</v>
      </c>
      <c r="N238" s="25">
        <f t="shared" si="23"/>
        <v>105</v>
      </c>
      <c r="O238" s="24">
        <v>52521</v>
      </c>
      <c r="P238" s="23">
        <f t="shared" si="24"/>
        <v>479</v>
      </c>
      <c r="Q238" s="26"/>
      <c r="R238" s="23">
        <f t="shared" si="25"/>
        <v>0</v>
      </c>
      <c r="S238" s="27" t="s">
        <v>18</v>
      </c>
      <c r="T238" s="19" t="s">
        <v>265</v>
      </c>
    </row>
    <row r="239" spans="1:20" ht="37.5" customHeight="1" x14ac:dyDescent="0.25">
      <c r="A239" s="19" t="s">
        <v>266</v>
      </c>
      <c r="B239">
        <f t="shared" si="26"/>
        <v>6966</v>
      </c>
      <c r="C239">
        <v>1266</v>
      </c>
      <c r="D239">
        <v>5700</v>
      </c>
      <c r="E239">
        <v>4982</v>
      </c>
      <c r="F239">
        <f t="shared" si="21"/>
        <v>482</v>
      </c>
      <c r="G239" s="20">
        <f t="shared" si="27"/>
        <v>234</v>
      </c>
      <c r="H239" s="21">
        <v>99624030080</v>
      </c>
      <c r="I239" s="22">
        <v>256</v>
      </c>
      <c r="J239" s="23"/>
      <c r="K239" s="24">
        <f>M239+O239</f>
        <v>6484</v>
      </c>
      <c r="L239" s="23">
        <f t="shared" si="22"/>
        <v>482</v>
      </c>
      <c r="M239" s="24">
        <v>1172</v>
      </c>
      <c r="N239" s="25">
        <f t="shared" si="23"/>
        <v>94</v>
      </c>
      <c r="O239" s="24">
        <v>5312</v>
      </c>
      <c r="P239" s="23">
        <f t="shared" si="24"/>
        <v>388</v>
      </c>
      <c r="Q239" s="26">
        <v>4030</v>
      </c>
      <c r="R239" s="23">
        <f t="shared" si="25"/>
        <v>952</v>
      </c>
      <c r="S239" s="27" t="s">
        <v>18</v>
      </c>
      <c r="T239" s="19" t="s">
        <v>266</v>
      </c>
    </row>
    <row r="240" spans="1:20" ht="37.5" customHeight="1" x14ac:dyDescent="0.25">
      <c r="A240" s="19" t="s">
        <v>267</v>
      </c>
      <c r="B240">
        <f t="shared" si="26"/>
        <v>1723</v>
      </c>
      <c r="C240">
        <v>482</v>
      </c>
      <c r="D240">
        <v>1241</v>
      </c>
      <c r="E240">
        <v>2472</v>
      </c>
      <c r="F240">
        <f t="shared" si="21"/>
        <v>320</v>
      </c>
      <c r="G240" s="20">
        <f t="shared" si="27"/>
        <v>235</v>
      </c>
      <c r="H240" s="21">
        <v>99624040345</v>
      </c>
      <c r="I240" s="22">
        <v>257</v>
      </c>
      <c r="J240" s="23"/>
      <c r="K240" s="24">
        <f>M240+O240</f>
        <v>1403</v>
      </c>
      <c r="L240" s="23">
        <f t="shared" si="22"/>
        <v>320</v>
      </c>
      <c r="M240" s="24">
        <v>393</v>
      </c>
      <c r="N240" s="25">
        <f t="shared" si="23"/>
        <v>89</v>
      </c>
      <c r="O240" s="24">
        <v>1010</v>
      </c>
      <c r="P240" s="23">
        <f t="shared" si="24"/>
        <v>231</v>
      </c>
      <c r="Q240" s="26">
        <v>1891</v>
      </c>
      <c r="R240" s="23">
        <f t="shared" si="25"/>
        <v>581</v>
      </c>
      <c r="S240" s="27" t="s">
        <v>18</v>
      </c>
      <c r="T240" s="19" t="s">
        <v>267</v>
      </c>
    </row>
    <row r="241" spans="1:20" ht="37.5" customHeight="1" x14ac:dyDescent="0.25">
      <c r="A241" s="19" t="s">
        <v>268</v>
      </c>
      <c r="B241">
        <f t="shared" si="26"/>
        <v>802</v>
      </c>
      <c r="C241">
        <v>253</v>
      </c>
      <c r="D241">
        <v>549</v>
      </c>
      <c r="E241">
        <v>2546</v>
      </c>
      <c r="F241">
        <f t="shared" si="21"/>
        <v>240</v>
      </c>
      <c r="G241" s="20">
        <f t="shared" si="27"/>
        <v>236</v>
      </c>
      <c r="H241" s="21">
        <v>99624050107</v>
      </c>
      <c r="I241" s="22">
        <v>258</v>
      </c>
      <c r="J241" s="23"/>
      <c r="K241" s="24">
        <f>M241+O241</f>
        <v>562</v>
      </c>
      <c r="L241" s="23">
        <f t="shared" si="22"/>
        <v>240</v>
      </c>
      <c r="M241" s="24">
        <v>193</v>
      </c>
      <c r="N241" s="25">
        <f t="shared" si="23"/>
        <v>60</v>
      </c>
      <c r="O241" s="24">
        <v>369</v>
      </c>
      <c r="P241" s="23">
        <f t="shared" si="24"/>
        <v>180</v>
      </c>
      <c r="Q241" s="26">
        <v>1836</v>
      </c>
      <c r="R241" s="23">
        <f t="shared" si="25"/>
        <v>710</v>
      </c>
      <c r="S241" s="27" t="s">
        <v>18</v>
      </c>
      <c r="T241" s="19" t="s">
        <v>268</v>
      </c>
    </row>
    <row r="242" spans="1:20" ht="37.5" customHeight="1" x14ac:dyDescent="0.25">
      <c r="A242" s="19" t="s">
        <v>269</v>
      </c>
      <c r="B242">
        <f t="shared" si="26"/>
        <v>19480</v>
      </c>
      <c r="C242">
        <v>3300</v>
      </c>
      <c r="D242">
        <v>16180</v>
      </c>
      <c r="F242">
        <f t="shared" si="21"/>
        <v>495</v>
      </c>
      <c r="G242" s="20">
        <f t="shared" si="27"/>
        <v>237</v>
      </c>
      <c r="H242" s="21">
        <v>66622040455</v>
      </c>
      <c r="I242" s="22">
        <v>259</v>
      </c>
      <c r="J242" s="23"/>
      <c r="K242" s="24">
        <v>18985</v>
      </c>
      <c r="L242" s="23">
        <f t="shared" si="22"/>
        <v>495</v>
      </c>
      <c r="M242" s="24">
        <v>3221</v>
      </c>
      <c r="N242" s="25">
        <f t="shared" si="23"/>
        <v>79</v>
      </c>
      <c r="O242" s="24">
        <v>15764</v>
      </c>
      <c r="P242" s="23">
        <f t="shared" si="24"/>
        <v>416</v>
      </c>
      <c r="Q242" s="26"/>
      <c r="R242" s="23">
        <f t="shared" si="25"/>
        <v>0</v>
      </c>
      <c r="S242" s="27" t="s">
        <v>18</v>
      </c>
      <c r="T242" s="19" t="s">
        <v>269</v>
      </c>
    </row>
    <row r="243" spans="1:20" ht="37.5" customHeight="1" x14ac:dyDescent="0.25">
      <c r="A243" s="19" t="s">
        <v>270</v>
      </c>
      <c r="B243">
        <f t="shared" si="26"/>
        <v>44995</v>
      </c>
      <c r="C243">
        <v>10180</v>
      </c>
      <c r="D243">
        <v>34815</v>
      </c>
      <c r="F243">
        <f t="shared" si="21"/>
        <v>152</v>
      </c>
      <c r="G243" s="20">
        <f t="shared" si="27"/>
        <v>238</v>
      </c>
      <c r="H243" s="21">
        <v>10020144</v>
      </c>
      <c r="I243" s="22">
        <v>260</v>
      </c>
      <c r="J243" s="23"/>
      <c r="K243" s="24">
        <v>44843</v>
      </c>
      <c r="L243" s="23">
        <f t="shared" si="22"/>
        <v>152</v>
      </c>
      <c r="M243" s="24">
        <v>10156</v>
      </c>
      <c r="N243" s="25">
        <f t="shared" si="23"/>
        <v>24</v>
      </c>
      <c r="O243" s="24">
        <v>34687</v>
      </c>
      <c r="P243" s="23">
        <f t="shared" si="24"/>
        <v>128</v>
      </c>
      <c r="Q243" s="26"/>
      <c r="R243" s="23">
        <f t="shared" si="25"/>
        <v>0</v>
      </c>
      <c r="S243" s="27" t="s">
        <v>18</v>
      </c>
      <c r="T243" s="19" t="s">
        <v>270</v>
      </c>
    </row>
    <row r="244" spans="1:20" ht="37.5" customHeight="1" x14ac:dyDescent="0.25">
      <c r="A244" s="19" t="s">
        <v>271</v>
      </c>
      <c r="B244">
        <f t="shared" si="26"/>
        <v>43286</v>
      </c>
      <c r="C244">
        <v>6517</v>
      </c>
      <c r="D244">
        <v>36769</v>
      </c>
      <c r="F244">
        <f t="shared" si="21"/>
        <v>194</v>
      </c>
      <c r="G244" s="20">
        <f t="shared" si="27"/>
        <v>239</v>
      </c>
      <c r="H244" s="21">
        <v>23012110222</v>
      </c>
      <c r="I244" s="22">
        <v>261</v>
      </c>
      <c r="J244" s="23"/>
      <c r="K244" s="24">
        <v>43092</v>
      </c>
      <c r="L244" s="23">
        <f t="shared" si="22"/>
        <v>194</v>
      </c>
      <c r="M244" s="24">
        <v>6486</v>
      </c>
      <c r="N244" s="25">
        <f t="shared" si="23"/>
        <v>31</v>
      </c>
      <c r="O244" s="24">
        <v>36606</v>
      </c>
      <c r="P244" s="23">
        <f t="shared" si="24"/>
        <v>163</v>
      </c>
      <c r="Q244" s="26"/>
      <c r="R244" s="23">
        <f t="shared" si="25"/>
        <v>0</v>
      </c>
      <c r="S244" s="27" t="s">
        <v>18</v>
      </c>
      <c r="T244" s="19" t="s">
        <v>271</v>
      </c>
    </row>
    <row r="245" spans="1:20" ht="37.5" customHeight="1" x14ac:dyDescent="0.25">
      <c r="A245" s="19" t="s">
        <v>272</v>
      </c>
      <c r="B245">
        <f t="shared" si="26"/>
        <v>95418</v>
      </c>
      <c r="C245">
        <v>17628</v>
      </c>
      <c r="D245">
        <v>77790</v>
      </c>
      <c r="F245">
        <f t="shared" si="21"/>
        <v>730</v>
      </c>
      <c r="G245" s="20">
        <f t="shared" si="27"/>
        <v>240</v>
      </c>
      <c r="H245" s="21">
        <v>23014010040</v>
      </c>
      <c r="I245" s="22">
        <v>262</v>
      </c>
      <c r="J245" s="23"/>
      <c r="K245" s="24">
        <v>94688</v>
      </c>
      <c r="L245" s="23">
        <f t="shared" si="22"/>
        <v>730</v>
      </c>
      <c r="M245" s="24">
        <v>17482</v>
      </c>
      <c r="N245" s="25">
        <f t="shared" si="23"/>
        <v>146</v>
      </c>
      <c r="O245" s="24">
        <v>77206</v>
      </c>
      <c r="P245" s="23">
        <f t="shared" si="24"/>
        <v>584</v>
      </c>
      <c r="Q245" s="26"/>
      <c r="R245" s="23">
        <f t="shared" si="25"/>
        <v>0</v>
      </c>
      <c r="S245" s="27" t="s">
        <v>18</v>
      </c>
      <c r="T245" s="19" t="s">
        <v>272</v>
      </c>
    </row>
    <row r="246" spans="1:20" ht="37.5" customHeight="1" x14ac:dyDescent="0.25">
      <c r="A246" s="19" t="s">
        <v>273</v>
      </c>
      <c r="B246">
        <f t="shared" si="26"/>
        <v>1496</v>
      </c>
      <c r="C246">
        <v>421</v>
      </c>
      <c r="D246">
        <v>1075</v>
      </c>
      <c r="E246">
        <v>3646</v>
      </c>
      <c r="F246">
        <f t="shared" si="21"/>
        <v>139</v>
      </c>
      <c r="G246" s="20">
        <f t="shared" si="27"/>
        <v>241</v>
      </c>
      <c r="H246" s="21">
        <v>99624030317</v>
      </c>
      <c r="I246" s="22">
        <v>263</v>
      </c>
      <c r="J246" s="23"/>
      <c r="K246" s="24">
        <f>M246+O246</f>
        <v>1357</v>
      </c>
      <c r="L246" s="23">
        <f t="shared" si="22"/>
        <v>139</v>
      </c>
      <c r="M246" s="24">
        <v>383</v>
      </c>
      <c r="N246" s="25">
        <f t="shared" si="23"/>
        <v>38</v>
      </c>
      <c r="O246" s="24">
        <v>974</v>
      </c>
      <c r="P246" s="23">
        <f t="shared" si="24"/>
        <v>101</v>
      </c>
      <c r="Q246" s="26">
        <v>2931</v>
      </c>
      <c r="R246" s="23">
        <f t="shared" si="25"/>
        <v>715</v>
      </c>
      <c r="S246" s="27" t="s">
        <v>18</v>
      </c>
      <c r="T246" s="19" t="s">
        <v>273</v>
      </c>
    </row>
    <row r="247" spans="1:20" ht="37.5" customHeight="1" x14ac:dyDescent="0.25">
      <c r="A247" s="19" t="s">
        <v>274</v>
      </c>
      <c r="B247">
        <f t="shared" si="26"/>
        <v>33275</v>
      </c>
      <c r="C247">
        <v>5477</v>
      </c>
      <c r="D247">
        <v>27798</v>
      </c>
      <c r="F247">
        <f t="shared" si="21"/>
        <v>284</v>
      </c>
      <c r="G247" s="20">
        <f t="shared" si="27"/>
        <v>242</v>
      </c>
      <c r="H247" s="21">
        <v>66617010068</v>
      </c>
      <c r="I247" s="22">
        <v>264</v>
      </c>
      <c r="J247" s="23"/>
      <c r="K247" s="24">
        <v>32991</v>
      </c>
      <c r="L247" s="23">
        <f t="shared" si="22"/>
        <v>284</v>
      </c>
      <c r="M247" s="24">
        <v>5431</v>
      </c>
      <c r="N247" s="25">
        <f t="shared" si="23"/>
        <v>46</v>
      </c>
      <c r="O247" s="24">
        <v>27560</v>
      </c>
      <c r="P247" s="23">
        <f t="shared" si="24"/>
        <v>238</v>
      </c>
      <c r="Q247" s="26"/>
      <c r="R247" s="23">
        <f t="shared" si="25"/>
        <v>0</v>
      </c>
      <c r="S247" s="27" t="s">
        <v>18</v>
      </c>
      <c r="T247" s="19" t="s">
        <v>274</v>
      </c>
    </row>
    <row r="248" spans="1:20" ht="37.5" customHeight="1" x14ac:dyDescent="0.25">
      <c r="A248" s="19" t="s">
        <v>275</v>
      </c>
      <c r="B248">
        <f t="shared" si="26"/>
        <v>44396</v>
      </c>
      <c r="C248">
        <v>7302</v>
      </c>
      <c r="D248">
        <v>37094</v>
      </c>
      <c r="F248">
        <f t="shared" si="21"/>
        <v>606</v>
      </c>
      <c r="G248" s="20">
        <f t="shared" si="27"/>
        <v>243</v>
      </c>
      <c r="H248" s="21">
        <v>66617020102</v>
      </c>
      <c r="I248" s="22">
        <v>265</v>
      </c>
      <c r="J248" s="23"/>
      <c r="K248" s="24">
        <v>43790</v>
      </c>
      <c r="L248" s="23">
        <f t="shared" si="22"/>
        <v>606</v>
      </c>
      <c r="M248" s="24">
        <v>7199</v>
      </c>
      <c r="N248" s="25">
        <f t="shared" si="23"/>
        <v>103</v>
      </c>
      <c r="O248" s="24">
        <v>36591</v>
      </c>
      <c r="P248" s="23">
        <f t="shared" si="24"/>
        <v>503</v>
      </c>
      <c r="Q248" s="26"/>
      <c r="R248" s="23">
        <f t="shared" si="25"/>
        <v>0</v>
      </c>
      <c r="S248" s="27" t="s">
        <v>18</v>
      </c>
      <c r="T248" s="19" t="s">
        <v>275</v>
      </c>
    </row>
    <row r="249" spans="1:20" ht="37.5" customHeight="1" x14ac:dyDescent="0.25">
      <c r="A249" s="19" t="s">
        <v>276</v>
      </c>
      <c r="B249">
        <f t="shared" si="26"/>
        <v>42065</v>
      </c>
      <c r="C249">
        <v>7832</v>
      </c>
      <c r="D249">
        <v>34233</v>
      </c>
      <c r="F249">
        <f t="shared" si="21"/>
        <v>276</v>
      </c>
      <c r="G249" s="20">
        <f t="shared" si="27"/>
        <v>244</v>
      </c>
      <c r="H249" s="21">
        <v>66617010299</v>
      </c>
      <c r="I249" s="22">
        <v>267</v>
      </c>
      <c r="J249" s="23"/>
      <c r="K249" s="24">
        <v>41789</v>
      </c>
      <c r="L249" s="23">
        <f t="shared" si="22"/>
        <v>276</v>
      </c>
      <c r="M249" s="24">
        <v>7789</v>
      </c>
      <c r="N249" s="25">
        <f t="shared" si="23"/>
        <v>43</v>
      </c>
      <c r="O249" s="24">
        <v>34000</v>
      </c>
      <c r="P249" s="23">
        <f t="shared" si="24"/>
        <v>233</v>
      </c>
      <c r="Q249" s="26"/>
      <c r="R249" s="23">
        <f t="shared" si="25"/>
        <v>0</v>
      </c>
      <c r="S249" s="27" t="s">
        <v>18</v>
      </c>
      <c r="T249" s="19" t="s">
        <v>276</v>
      </c>
    </row>
    <row r="250" spans="1:20" ht="37.5" customHeight="1" x14ac:dyDescent="0.25">
      <c r="A250" s="19" t="s">
        <v>277</v>
      </c>
      <c r="B250">
        <f t="shared" si="26"/>
        <v>9409</v>
      </c>
      <c r="C250">
        <v>1732</v>
      </c>
      <c r="D250">
        <v>7677</v>
      </c>
      <c r="F250">
        <f t="shared" si="21"/>
        <v>176</v>
      </c>
      <c r="G250" s="20">
        <f t="shared" si="27"/>
        <v>245</v>
      </c>
      <c r="H250" s="21">
        <v>66621040432</v>
      </c>
      <c r="I250" s="22">
        <v>268</v>
      </c>
      <c r="J250" s="23"/>
      <c r="K250" s="24">
        <v>9233</v>
      </c>
      <c r="L250" s="23">
        <f t="shared" si="22"/>
        <v>176</v>
      </c>
      <c r="M250" s="24">
        <v>1699</v>
      </c>
      <c r="N250" s="25">
        <f t="shared" si="23"/>
        <v>33</v>
      </c>
      <c r="O250" s="24">
        <v>7534</v>
      </c>
      <c r="P250" s="23">
        <f t="shared" si="24"/>
        <v>143</v>
      </c>
      <c r="Q250" s="26"/>
      <c r="R250" s="23">
        <f t="shared" si="25"/>
        <v>0</v>
      </c>
      <c r="S250" s="27" t="s">
        <v>18</v>
      </c>
      <c r="T250" s="19" t="s">
        <v>277</v>
      </c>
    </row>
    <row r="251" spans="1:20" ht="37.5" customHeight="1" x14ac:dyDescent="0.25">
      <c r="A251" s="19" t="s">
        <v>278</v>
      </c>
      <c r="B251">
        <f t="shared" si="26"/>
        <v>68293</v>
      </c>
      <c r="C251">
        <v>10322</v>
      </c>
      <c r="D251">
        <v>57971</v>
      </c>
      <c r="F251">
        <f t="shared" si="21"/>
        <v>705</v>
      </c>
      <c r="G251" s="20">
        <f t="shared" si="27"/>
        <v>246</v>
      </c>
      <c r="H251" s="21">
        <v>66601102458</v>
      </c>
      <c r="I251" s="22">
        <v>269</v>
      </c>
      <c r="J251" s="23"/>
      <c r="K251" s="24">
        <v>67588</v>
      </c>
      <c r="L251" s="23">
        <f t="shared" si="22"/>
        <v>705</v>
      </c>
      <c r="M251" s="24">
        <v>10200</v>
      </c>
      <c r="N251" s="25">
        <f t="shared" si="23"/>
        <v>122</v>
      </c>
      <c r="O251" s="24">
        <v>57388</v>
      </c>
      <c r="P251" s="23">
        <f t="shared" si="24"/>
        <v>583</v>
      </c>
      <c r="Q251" s="26"/>
      <c r="R251" s="23">
        <f t="shared" si="25"/>
        <v>0</v>
      </c>
      <c r="S251" s="27" t="s">
        <v>18</v>
      </c>
      <c r="T251" s="19" t="s">
        <v>278</v>
      </c>
    </row>
    <row r="252" spans="1:20" ht="37.5" customHeight="1" x14ac:dyDescent="0.25">
      <c r="A252" s="19" t="s">
        <v>279</v>
      </c>
      <c r="B252">
        <f t="shared" si="26"/>
        <v>81384</v>
      </c>
      <c r="C252">
        <v>13859</v>
      </c>
      <c r="D252">
        <v>67525</v>
      </c>
      <c r="F252">
        <f t="shared" si="21"/>
        <v>711</v>
      </c>
      <c r="G252" s="20">
        <f t="shared" si="27"/>
        <v>247</v>
      </c>
      <c r="H252" s="21">
        <v>66616020081</v>
      </c>
      <c r="I252" s="22">
        <v>270</v>
      </c>
      <c r="J252" s="23"/>
      <c r="K252" s="24">
        <v>80673</v>
      </c>
      <c r="L252" s="23">
        <f t="shared" si="22"/>
        <v>711</v>
      </c>
      <c r="M252" s="24">
        <v>13731</v>
      </c>
      <c r="N252" s="25">
        <f t="shared" si="23"/>
        <v>128</v>
      </c>
      <c r="O252" s="24">
        <v>66942</v>
      </c>
      <c r="P252" s="23">
        <f t="shared" si="24"/>
        <v>583</v>
      </c>
      <c r="Q252" s="26"/>
      <c r="R252" s="23">
        <f t="shared" si="25"/>
        <v>0</v>
      </c>
      <c r="S252" s="27" t="s">
        <v>18</v>
      </c>
      <c r="T252" s="19" t="s">
        <v>279</v>
      </c>
    </row>
    <row r="253" spans="1:20" ht="37.5" customHeight="1" x14ac:dyDescent="0.25">
      <c r="A253" s="19" t="s">
        <v>280</v>
      </c>
      <c r="B253">
        <f t="shared" si="26"/>
        <v>36788</v>
      </c>
      <c r="C253">
        <v>7034</v>
      </c>
      <c r="D253">
        <v>29754</v>
      </c>
      <c r="F253">
        <f t="shared" si="21"/>
        <v>197</v>
      </c>
      <c r="G253" s="20">
        <f t="shared" si="27"/>
        <v>248</v>
      </c>
      <c r="H253" s="21">
        <v>23015010391</v>
      </c>
      <c r="I253" s="22">
        <v>271</v>
      </c>
      <c r="J253" s="23"/>
      <c r="K253" s="24">
        <v>36591</v>
      </c>
      <c r="L253" s="23">
        <f t="shared" si="22"/>
        <v>197</v>
      </c>
      <c r="M253" s="24">
        <v>6997</v>
      </c>
      <c r="N253" s="25">
        <f t="shared" si="23"/>
        <v>37</v>
      </c>
      <c r="O253" s="24">
        <v>29594</v>
      </c>
      <c r="P253" s="23">
        <f t="shared" si="24"/>
        <v>160</v>
      </c>
      <c r="Q253" s="26"/>
      <c r="R253" s="23">
        <f t="shared" si="25"/>
        <v>0</v>
      </c>
      <c r="S253" s="27" t="s">
        <v>18</v>
      </c>
      <c r="T253" s="19" t="s">
        <v>280</v>
      </c>
    </row>
    <row r="254" spans="1:20" ht="37.5" customHeight="1" x14ac:dyDescent="0.25">
      <c r="A254" s="19" t="s">
        <v>281</v>
      </c>
      <c r="B254">
        <f t="shared" si="26"/>
        <v>6218</v>
      </c>
      <c r="C254">
        <v>1529</v>
      </c>
      <c r="D254">
        <v>4689</v>
      </c>
      <c r="E254">
        <v>6794</v>
      </c>
      <c r="F254">
        <f t="shared" si="21"/>
        <v>379</v>
      </c>
      <c r="G254" s="20">
        <f t="shared" si="27"/>
        <v>249</v>
      </c>
      <c r="H254" s="21">
        <v>99624020042</v>
      </c>
      <c r="I254" s="22">
        <v>273</v>
      </c>
      <c r="J254" s="23"/>
      <c r="K254" s="24">
        <f>M254+O254</f>
        <v>5839</v>
      </c>
      <c r="L254" s="23">
        <f t="shared" si="22"/>
        <v>379</v>
      </c>
      <c r="M254" s="24">
        <v>1427</v>
      </c>
      <c r="N254" s="25">
        <f t="shared" si="23"/>
        <v>102</v>
      </c>
      <c r="O254" s="24">
        <v>4412</v>
      </c>
      <c r="P254" s="23">
        <f t="shared" si="24"/>
        <v>277</v>
      </c>
      <c r="Q254" s="26">
        <v>5921</v>
      </c>
      <c r="R254" s="23">
        <f t="shared" si="25"/>
        <v>873</v>
      </c>
      <c r="S254" s="27" t="s">
        <v>18</v>
      </c>
      <c r="T254" s="19" t="s">
        <v>281</v>
      </c>
    </row>
    <row r="255" spans="1:20" ht="37.5" customHeight="1" x14ac:dyDescent="0.25">
      <c r="A255" s="19" t="s">
        <v>282</v>
      </c>
      <c r="B255">
        <f t="shared" si="26"/>
        <v>49353</v>
      </c>
      <c r="C255">
        <v>6328</v>
      </c>
      <c r="D255">
        <v>43025</v>
      </c>
      <c r="F255">
        <f t="shared" si="21"/>
        <v>238</v>
      </c>
      <c r="G255" s="20">
        <f t="shared" si="27"/>
        <v>250</v>
      </c>
      <c r="H255" s="21">
        <v>23015010044</v>
      </c>
      <c r="I255" s="22">
        <v>274</v>
      </c>
      <c r="J255" s="23"/>
      <c r="K255" s="24">
        <v>49115</v>
      </c>
      <c r="L255" s="23">
        <f t="shared" si="22"/>
        <v>238</v>
      </c>
      <c r="M255" s="24"/>
      <c r="N255" s="25">
        <f t="shared" si="23"/>
        <v>6328</v>
      </c>
      <c r="O255" s="24"/>
      <c r="P255" s="23">
        <f t="shared" si="24"/>
        <v>43025</v>
      </c>
      <c r="Q255" s="26"/>
      <c r="R255" s="23">
        <f t="shared" si="25"/>
        <v>0</v>
      </c>
      <c r="S255" s="27" t="s">
        <v>18</v>
      </c>
      <c r="T255" s="19" t="s">
        <v>282</v>
      </c>
    </row>
    <row r="256" spans="1:20" ht="37.5" customHeight="1" x14ac:dyDescent="0.25">
      <c r="A256" s="19" t="s">
        <v>283</v>
      </c>
      <c r="B256">
        <f t="shared" si="26"/>
        <v>50151</v>
      </c>
      <c r="C256">
        <v>7354</v>
      </c>
      <c r="D256">
        <v>42797</v>
      </c>
      <c r="F256">
        <f t="shared" si="21"/>
        <v>492</v>
      </c>
      <c r="G256" s="20">
        <f t="shared" si="27"/>
        <v>251</v>
      </c>
      <c r="H256" s="21">
        <v>66616020079</v>
      </c>
      <c r="I256" s="22">
        <v>275</v>
      </c>
      <c r="J256" s="23"/>
      <c r="K256" s="24">
        <v>49659</v>
      </c>
      <c r="L256" s="23">
        <f t="shared" si="22"/>
        <v>492</v>
      </c>
      <c r="M256" s="24">
        <v>7256</v>
      </c>
      <c r="N256" s="25">
        <f t="shared" si="23"/>
        <v>98</v>
      </c>
      <c r="O256" s="24">
        <v>42403</v>
      </c>
      <c r="P256" s="23">
        <f t="shared" si="24"/>
        <v>394</v>
      </c>
      <c r="Q256" s="26"/>
      <c r="R256" s="23">
        <f t="shared" si="25"/>
        <v>0</v>
      </c>
      <c r="S256" s="27" t="s">
        <v>18</v>
      </c>
      <c r="T256" s="19" t="s">
        <v>283</v>
      </c>
    </row>
    <row r="257" spans="1:20" ht="37.5" customHeight="1" x14ac:dyDescent="0.25">
      <c r="A257" s="19" t="s">
        <v>284</v>
      </c>
      <c r="B257">
        <f t="shared" si="26"/>
        <v>7814</v>
      </c>
      <c r="C257">
        <v>1827</v>
      </c>
      <c r="D257">
        <v>5987</v>
      </c>
      <c r="E257">
        <v>20843</v>
      </c>
      <c r="F257">
        <f t="shared" si="21"/>
        <v>340</v>
      </c>
      <c r="G257" s="20">
        <f t="shared" si="27"/>
        <v>252</v>
      </c>
      <c r="H257" s="21">
        <v>99423020040</v>
      </c>
      <c r="I257" s="22">
        <v>276</v>
      </c>
      <c r="J257" s="23"/>
      <c r="K257" s="24">
        <f>M257+O257</f>
        <v>7474</v>
      </c>
      <c r="L257" s="23">
        <f t="shared" si="22"/>
        <v>340</v>
      </c>
      <c r="M257" s="24">
        <v>1720</v>
      </c>
      <c r="N257" s="25">
        <f t="shared" si="23"/>
        <v>107</v>
      </c>
      <c r="O257" s="24">
        <v>5754</v>
      </c>
      <c r="P257" s="23">
        <f t="shared" si="24"/>
        <v>233</v>
      </c>
      <c r="Q257" s="26">
        <v>19745</v>
      </c>
      <c r="R257" s="23">
        <f t="shared" si="25"/>
        <v>1098</v>
      </c>
      <c r="S257" s="27" t="s">
        <v>18</v>
      </c>
      <c r="T257" s="19" t="s">
        <v>284</v>
      </c>
    </row>
    <row r="258" spans="1:20" ht="37.5" customHeight="1" x14ac:dyDescent="0.25">
      <c r="A258" s="19" t="s">
        <v>285</v>
      </c>
      <c r="B258">
        <f t="shared" si="26"/>
        <v>5515</v>
      </c>
      <c r="C258">
        <v>1620</v>
      </c>
      <c r="D258">
        <v>3895</v>
      </c>
      <c r="E258">
        <v>9084</v>
      </c>
      <c r="F258">
        <f t="shared" si="21"/>
        <v>318</v>
      </c>
      <c r="G258" s="20">
        <f t="shared" si="27"/>
        <v>253</v>
      </c>
      <c r="H258" s="21">
        <v>99623080529</v>
      </c>
      <c r="I258" s="22">
        <v>277</v>
      </c>
      <c r="J258" s="23"/>
      <c r="K258" s="24">
        <f>M258+O258</f>
        <v>5197</v>
      </c>
      <c r="L258" s="23">
        <f t="shared" si="22"/>
        <v>318</v>
      </c>
      <c r="M258" s="24">
        <v>1523</v>
      </c>
      <c r="N258" s="25">
        <f t="shared" si="23"/>
        <v>97</v>
      </c>
      <c r="O258" s="24">
        <v>3674</v>
      </c>
      <c r="P258" s="23">
        <f t="shared" si="24"/>
        <v>221</v>
      </c>
      <c r="Q258" s="26">
        <v>8181</v>
      </c>
      <c r="R258" s="23">
        <f t="shared" si="25"/>
        <v>903</v>
      </c>
      <c r="S258" s="27" t="s">
        <v>18</v>
      </c>
      <c r="T258" s="19" t="s">
        <v>285</v>
      </c>
    </row>
    <row r="259" spans="1:20" ht="37.5" customHeight="1" x14ac:dyDescent="0.25">
      <c r="A259" s="19" t="s">
        <v>286</v>
      </c>
      <c r="B259">
        <f t="shared" si="26"/>
        <v>58062</v>
      </c>
      <c r="C259">
        <v>9217</v>
      </c>
      <c r="D259">
        <v>48845</v>
      </c>
      <c r="F259">
        <f t="shared" si="21"/>
        <v>548</v>
      </c>
      <c r="G259" s="20">
        <f t="shared" si="27"/>
        <v>254</v>
      </c>
      <c r="H259" s="21">
        <v>23014060106</v>
      </c>
      <c r="I259" s="22">
        <v>278</v>
      </c>
      <c r="J259" s="23"/>
      <c r="K259" s="24">
        <v>57514</v>
      </c>
      <c r="L259" s="23">
        <f t="shared" si="22"/>
        <v>548</v>
      </c>
      <c r="M259" s="24">
        <v>9150</v>
      </c>
      <c r="N259" s="25">
        <f t="shared" si="23"/>
        <v>67</v>
      </c>
      <c r="O259" s="24">
        <v>48364</v>
      </c>
      <c r="P259" s="23">
        <f t="shared" si="24"/>
        <v>481</v>
      </c>
      <c r="Q259" s="26"/>
      <c r="R259" s="23">
        <f t="shared" si="25"/>
        <v>0</v>
      </c>
      <c r="S259" s="27" t="s">
        <v>18</v>
      </c>
      <c r="T259" s="19" t="s">
        <v>286</v>
      </c>
    </row>
    <row r="260" spans="1:20" ht="37.5" customHeight="1" x14ac:dyDescent="0.25">
      <c r="A260" s="19" t="s">
        <v>287</v>
      </c>
      <c r="B260">
        <f t="shared" si="26"/>
        <v>13746</v>
      </c>
      <c r="C260">
        <v>1620</v>
      </c>
      <c r="D260">
        <v>12126</v>
      </c>
      <c r="F260">
        <f t="shared" si="21"/>
        <v>382</v>
      </c>
      <c r="G260" s="20">
        <f t="shared" si="27"/>
        <v>255</v>
      </c>
      <c r="H260" s="21">
        <v>66616031216</v>
      </c>
      <c r="I260" s="22">
        <v>279</v>
      </c>
      <c r="J260" s="23"/>
      <c r="K260" s="24">
        <v>13364</v>
      </c>
      <c r="L260" s="23">
        <f t="shared" si="22"/>
        <v>382</v>
      </c>
      <c r="M260" s="24">
        <v>1625</v>
      </c>
      <c r="N260" s="25">
        <f t="shared" si="23"/>
        <v>-5</v>
      </c>
      <c r="O260" s="24">
        <v>11739</v>
      </c>
      <c r="P260" s="23">
        <f t="shared" si="24"/>
        <v>387</v>
      </c>
      <c r="Q260" s="26"/>
      <c r="R260" s="23">
        <f t="shared" si="25"/>
        <v>0</v>
      </c>
      <c r="S260" s="27" t="s">
        <v>18</v>
      </c>
      <c r="T260" s="19" t="s">
        <v>287</v>
      </c>
    </row>
    <row r="261" spans="1:20" ht="37.5" customHeight="1" x14ac:dyDescent="0.25">
      <c r="A261" s="19" t="s">
        <v>288</v>
      </c>
      <c r="B261">
        <f t="shared" si="26"/>
        <v>47475</v>
      </c>
      <c r="C261">
        <v>8796</v>
      </c>
      <c r="D261">
        <v>38679</v>
      </c>
      <c r="F261">
        <f t="shared" si="21"/>
        <v>618</v>
      </c>
      <c r="G261" s="20">
        <f t="shared" si="27"/>
        <v>256</v>
      </c>
      <c r="H261" s="21">
        <v>23015010675</v>
      </c>
      <c r="I261" s="22">
        <v>280</v>
      </c>
      <c r="J261" s="23"/>
      <c r="K261" s="24">
        <v>46857</v>
      </c>
      <c r="L261" s="23">
        <f t="shared" si="22"/>
        <v>618</v>
      </c>
      <c r="M261" s="24"/>
      <c r="N261" s="25">
        <f t="shared" si="23"/>
        <v>8796</v>
      </c>
      <c r="O261" s="24"/>
      <c r="P261" s="23">
        <f t="shared" si="24"/>
        <v>38679</v>
      </c>
      <c r="Q261" s="26"/>
      <c r="R261" s="23">
        <f t="shared" si="25"/>
        <v>0</v>
      </c>
      <c r="S261" s="27" t="s">
        <v>18</v>
      </c>
      <c r="T261" s="19" t="s">
        <v>288</v>
      </c>
    </row>
    <row r="262" spans="1:20" ht="37.5" customHeight="1" x14ac:dyDescent="0.25">
      <c r="A262" s="19" t="s">
        <v>289</v>
      </c>
      <c r="B262">
        <f t="shared" si="26"/>
        <v>1932</v>
      </c>
      <c r="C262">
        <v>291</v>
      </c>
      <c r="D262">
        <v>1641</v>
      </c>
      <c r="F262">
        <f t="shared" ref="F262:F291" si="28">L262</f>
        <v>21</v>
      </c>
      <c r="G262" s="20">
        <f t="shared" si="27"/>
        <v>257</v>
      </c>
      <c r="H262" s="21">
        <v>66621070202</v>
      </c>
      <c r="I262" s="22">
        <v>281</v>
      </c>
      <c r="J262" s="23"/>
      <c r="K262" s="24">
        <v>1911</v>
      </c>
      <c r="L262" s="23">
        <f t="shared" ref="L262:L291" si="29">B262-K262</f>
        <v>21</v>
      </c>
      <c r="M262" s="24">
        <v>287</v>
      </c>
      <c r="N262" s="25">
        <f t="shared" ref="N262:N291" si="30">C262-M262</f>
        <v>4</v>
      </c>
      <c r="O262" s="24">
        <v>1624</v>
      </c>
      <c r="P262" s="23">
        <f t="shared" ref="P262:P291" si="31">D262-O262</f>
        <v>17</v>
      </c>
      <c r="Q262" s="26"/>
      <c r="R262" s="23">
        <f t="shared" ref="R262:R291" si="32">E262-Q262</f>
        <v>0</v>
      </c>
      <c r="S262" s="27" t="s">
        <v>18</v>
      </c>
      <c r="T262" s="19" t="s">
        <v>289</v>
      </c>
    </row>
    <row r="263" spans="1:20" ht="37.5" customHeight="1" x14ac:dyDescent="0.25">
      <c r="A263" s="19" t="s">
        <v>290</v>
      </c>
      <c r="B263">
        <f t="shared" ref="B263:B291" si="33">C263+D263</f>
        <v>50913</v>
      </c>
      <c r="C263">
        <v>9313</v>
      </c>
      <c r="D263">
        <v>41600</v>
      </c>
      <c r="F263">
        <f t="shared" si="28"/>
        <v>567</v>
      </c>
      <c r="G263" s="20">
        <f t="shared" si="27"/>
        <v>258</v>
      </c>
      <c r="H263" s="21">
        <v>88819020006</v>
      </c>
      <c r="I263" s="22">
        <v>282</v>
      </c>
      <c r="J263" s="23"/>
      <c r="K263" s="24">
        <v>50346</v>
      </c>
      <c r="L263" s="23">
        <f t="shared" si="29"/>
        <v>567</v>
      </c>
      <c r="M263" s="24">
        <v>9219</v>
      </c>
      <c r="N263" s="25">
        <f t="shared" si="30"/>
        <v>94</v>
      </c>
      <c r="O263" s="24">
        <v>41127</v>
      </c>
      <c r="P263" s="23">
        <f t="shared" si="31"/>
        <v>473</v>
      </c>
      <c r="Q263" s="26"/>
      <c r="R263" s="23">
        <f t="shared" si="32"/>
        <v>0</v>
      </c>
      <c r="S263" s="27" t="s">
        <v>18</v>
      </c>
      <c r="T263" s="19" t="s">
        <v>290</v>
      </c>
    </row>
    <row r="264" spans="1:20" ht="37.5" customHeight="1" x14ac:dyDescent="0.25">
      <c r="A264" s="19" t="s">
        <v>291</v>
      </c>
      <c r="B264">
        <f t="shared" si="33"/>
        <v>31037</v>
      </c>
      <c r="C264">
        <v>5543</v>
      </c>
      <c r="D264">
        <v>25494</v>
      </c>
      <c r="F264">
        <f t="shared" si="28"/>
        <v>15</v>
      </c>
      <c r="G264" s="20">
        <f t="shared" ref="G264:G291" si="34">G263+1</f>
        <v>259</v>
      </c>
      <c r="H264" s="21">
        <v>88818020334</v>
      </c>
      <c r="I264" s="22">
        <v>284</v>
      </c>
      <c r="J264" s="23"/>
      <c r="K264" s="24">
        <v>31022</v>
      </c>
      <c r="L264" s="23">
        <f t="shared" si="29"/>
        <v>15</v>
      </c>
      <c r="M264" s="24">
        <v>5539</v>
      </c>
      <c r="N264" s="25">
        <f t="shared" si="30"/>
        <v>4</v>
      </c>
      <c r="O264" s="24">
        <v>25483</v>
      </c>
      <c r="P264" s="23">
        <f t="shared" si="31"/>
        <v>11</v>
      </c>
      <c r="Q264" s="26"/>
      <c r="R264" s="23">
        <f t="shared" si="32"/>
        <v>0</v>
      </c>
      <c r="S264" s="27" t="s">
        <v>18</v>
      </c>
      <c r="T264" s="19" t="s">
        <v>291</v>
      </c>
    </row>
    <row r="265" spans="1:20" ht="37.5" customHeight="1" x14ac:dyDescent="0.25">
      <c r="A265" s="19" t="s">
        <v>292</v>
      </c>
      <c r="B265">
        <f t="shared" si="33"/>
        <v>4361</v>
      </c>
      <c r="C265">
        <v>863</v>
      </c>
      <c r="D265">
        <v>3498</v>
      </c>
      <c r="F265">
        <f t="shared" si="28"/>
        <v>23</v>
      </c>
      <c r="G265" s="20">
        <f t="shared" si="34"/>
        <v>260</v>
      </c>
      <c r="H265" s="21">
        <v>66621040316</v>
      </c>
      <c r="I265" s="22">
        <v>285</v>
      </c>
      <c r="J265" s="23"/>
      <c r="K265" s="24">
        <v>4338</v>
      </c>
      <c r="L265" s="23">
        <f t="shared" si="29"/>
        <v>23</v>
      </c>
      <c r="M265" s="24">
        <v>861</v>
      </c>
      <c r="N265" s="25">
        <f t="shared" si="30"/>
        <v>2</v>
      </c>
      <c r="O265" s="24">
        <v>3477</v>
      </c>
      <c r="P265" s="23">
        <f t="shared" si="31"/>
        <v>21</v>
      </c>
      <c r="Q265" s="26"/>
      <c r="R265" s="23">
        <f t="shared" si="32"/>
        <v>0</v>
      </c>
      <c r="S265" s="27" t="s">
        <v>18</v>
      </c>
      <c r="T265" s="19" t="s">
        <v>292</v>
      </c>
    </row>
    <row r="266" spans="1:20" ht="37.5" customHeight="1" x14ac:dyDescent="0.25">
      <c r="A266" s="19" t="s">
        <v>293</v>
      </c>
      <c r="B266">
        <f t="shared" si="33"/>
        <v>18198</v>
      </c>
      <c r="C266">
        <v>2912</v>
      </c>
      <c r="D266">
        <v>15286</v>
      </c>
      <c r="F266">
        <f t="shared" si="28"/>
        <v>247</v>
      </c>
      <c r="G266" s="20">
        <f t="shared" si="34"/>
        <v>261</v>
      </c>
      <c r="H266" s="21">
        <v>66616020288</v>
      </c>
      <c r="I266" s="22">
        <v>287</v>
      </c>
      <c r="J266" s="23"/>
      <c r="K266" s="24">
        <v>17951</v>
      </c>
      <c r="L266" s="23">
        <f t="shared" si="29"/>
        <v>247</v>
      </c>
      <c r="M266" s="24">
        <v>2867</v>
      </c>
      <c r="N266" s="25">
        <f t="shared" si="30"/>
        <v>45</v>
      </c>
      <c r="O266" s="24">
        <v>15084</v>
      </c>
      <c r="P266" s="23">
        <f t="shared" si="31"/>
        <v>202</v>
      </c>
      <c r="Q266" s="26"/>
      <c r="R266" s="23">
        <f t="shared" si="32"/>
        <v>0</v>
      </c>
      <c r="S266" s="27" t="s">
        <v>18</v>
      </c>
      <c r="T266" s="19" t="s">
        <v>293</v>
      </c>
    </row>
    <row r="267" spans="1:20" ht="37.5" customHeight="1" x14ac:dyDescent="0.25">
      <c r="A267" s="19" t="s">
        <v>294</v>
      </c>
      <c r="B267">
        <f t="shared" si="33"/>
        <v>37999</v>
      </c>
      <c r="C267">
        <v>6254</v>
      </c>
      <c r="D267">
        <v>31745</v>
      </c>
      <c r="F267">
        <f t="shared" si="28"/>
        <v>437</v>
      </c>
      <c r="G267" s="20">
        <f t="shared" si="34"/>
        <v>262</v>
      </c>
      <c r="H267" s="21">
        <v>23015010231</v>
      </c>
      <c r="I267" s="22">
        <v>288</v>
      </c>
      <c r="J267" s="23"/>
      <c r="K267" s="24">
        <v>37562</v>
      </c>
      <c r="L267" s="23">
        <f t="shared" si="29"/>
        <v>437</v>
      </c>
      <c r="M267" s="24">
        <v>6178</v>
      </c>
      <c r="N267" s="25">
        <f t="shared" si="30"/>
        <v>76</v>
      </c>
      <c r="O267" s="24">
        <v>31384</v>
      </c>
      <c r="P267" s="23">
        <f t="shared" si="31"/>
        <v>361</v>
      </c>
      <c r="Q267" s="26"/>
      <c r="R267" s="23">
        <f t="shared" si="32"/>
        <v>0</v>
      </c>
      <c r="S267" s="27" t="s">
        <v>18</v>
      </c>
      <c r="T267" s="19" t="s">
        <v>294</v>
      </c>
    </row>
    <row r="268" spans="1:20" ht="37.5" customHeight="1" x14ac:dyDescent="0.25">
      <c r="A268" s="19" t="s">
        <v>295</v>
      </c>
      <c r="B268">
        <f t="shared" si="33"/>
        <v>10705</v>
      </c>
      <c r="C268">
        <v>2949</v>
      </c>
      <c r="D268">
        <v>7756</v>
      </c>
      <c r="E268">
        <v>12506</v>
      </c>
      <c r="F268">
        <f t="shared" si="28"/>
        <v>555</v>
      </c>
      <c r="G268" s="20">
        <f t="shared" si="34"/>
        <v>263</v>
      </c>
      <c r="H268" s="21">
        <v>99723070098</v>
      </c>
      <c r="I268" s="22">
        <v>289</v>
      </c>
      <c r="J268" s="23"/>
      <c r="K268" s="24">
        <f>M268+O268</f>
        <v>10150</v>
      </c>
      <c r="L268" s="23">
        <f t="shared" si="29"/>
        <v>555</v>
      </c>
      <c r="M268" s="24">
        <v>2780</v>
      </c>
      <c r="N268" s="25">
        <f t="shared" si="30"/>
        <v>169</v>
      </c>
      <c r="O268" s="24">
        <v>7370</v>
      </c>
      <c r="P268" s="23">
        <f t="shared" si="31"/>
        <v>386</v>
      </c>
      <c r="Q268" s="26">
        <v>11588</v>
      </c>
      <c r="R268" s="23">
        <f t="shared" si="32"/>
        <v>918</v>
      </c>
      <c r="S268" s="27" t="s">
        <v>18</v>
      </c>
      <c r="T268" s="19" t="s">
        <v>295</v>
      </c>
    </row>
    <row r="269" spans="1:20" ht="37.5" customHeight="1" x14ac:dyDescent="0.25">
      <c r="A269" s="19" t="s">
        <v>296</v>
      </c>
      <c r="B269">
        <f t="shared" si="33"/>
        <v>12706</v>
      </c>
      <c r="C269">
        <v>2311</v>
      </c>
      <c r="D269">
        <v>10395</v>
      </c>
      <c r="F269">
        <f t="shared" si="28"/>
        <v>195</v>
      </c>
      <c r="G269" s="20">
        <f t="shared" si="34"/>
        <v>264</v>
      </c>
      <c r="H269" s="21">
        <v>88820050222</v>
      </c>
      <c r="I269" s="22">
        <v>290</v>
      </c>
      <c r="J269" s="23"/>
      <c r="K269" s="24">
        <v>12511</v>
      </c>
      <c r="L269" s="23">
        <f t="shared" si="29"/>
        <v>195</v>
      </c>
      <c r="M269" s="24">
        <v>2278</v>
      </c>
      <c r="N269" s="25">
        <f t="shared" si="30"/>
        <v>33</v>
      </c>
      <c r="O269" s="24">
        <v>10233</v>
      </c>
      <c r="P269" s="23">
        <f t="shared" si="31"/>
        <v>162</v>
      </c>
      <c r="Q269" s="26"/>
      <c r="R269" s="23">
        <f t="shared" si="32"/>
        <v>0</v>
      </c>
      <c r="S269" s="27" t="s">
        <v>18</v>
      </c>
      <c r="T269" s="19" t="s">
        <v>296</v>
      </c>
    </row>
    <row r="270" spans="1:20" ht="37.5" customHeight="1" x14ac:dyDescent="0.25">
      <c r="A270" s="19" t="s">
        <v>297</v>
      </c>
      <c r="B270">
        <f t="shared" si="33"/>
        <v>5835</v>
      </c>
      <c r="C270">
        <v>1597</v>
      </c>
      <c r="D270">
        <v>4238</v>
      </c>
      <c r="E270">
        <v>8619</v>
      </c>
      <c r="F270">
        <f t="shared" si="28"/>
        <v>337</v>
      </c>
      <c r="G270" s="20">
        <f t="shared" si="34"/>
        <v>265</v>
      </c>
      <c r="H270" s="21">
        <v>99624010246</v>
      </c>
      <c r="I270" s="22">
        <v>291</v>
      </c>
      <c r="J270" s="23"/>
      <c r="K270" s="24">
        <f>M270+O270</f>
        <v>5498</v>
      </c>
      <c r="L270" s="23">
        <f t="shared" si="29"/>
        <v>337</v>
      </c>
      <c r="M270" s="24">
        <v>1495</v>
      </c>
      <c r="N270" s="25">
        <f t="shared" si="30"/>
        <v>102</v>
      </c>
      <c r="O270" s="24">
        <v>4003</v>
      </c>
      <c r="P270" s="23">
        <f t="shared" si="31"/>
        <v>235</v>
      </c>
      <c r="Q270" s="26">
        <v>7821</v>
      </c>
      <c r="R270" s="23">
        <f t="shared" si="32"/>
        <v>798</v>
      </c>
      <c r="S270" s="27" t="s">
        <v>18</v>
      </c>
      <c r="T270" s="19" t="s">
        <v>297</v>
      </c>
    </row>
    <row r="271" spans="1:20" ht="37.5" customHeight="1" x14ac:dyDescent="0.25">
      <c r="A271" s="19" t="s">
        <v>298</v>
      </c>
      <c r="B271">
        <f t="shared" si="33"/>
        <v>102073</v>
      </c>
      <c r="C271">
        <v>16929</v>
      </c>
      <c r="D271">
        <v>85144</v>
      </c>
      <c r="F271">
        <f t="shared" si="28"/>
        <v>371</v>
      </c>
      <c r="G271" s="20">
        <f t="shared" si="34"/>
        <v>266</v>
      </c>
      <c r="H271" s="21">
        <v>66616031074</v>
      </c>
      <c r="I271" s="22">
        <v>292</v>
      </c>
      <c r="J271" s="23"/>
      <c r="K271" s="24">
        <v>101702</v>
      </c>
      <c r="L271" s="23">
        <f t="shared" si="29"/>
        <v>371</v>
      </c>
      <c r="M271" s="24">
        <v>16864</v>
      </c>
      <c r="N271" s="25">
        <f t="shared" si="30"/>
        <v>65</v>
      </c>
      <c r="O271" s="24">
        <v>84838</v>
      </c>
      <c r="P271" s="23">
        <f t="shared" si="31"/>
        <v>306</v>
      </c>
      <c r="Q271" s="26"/>
      <c r="R271" s="23">
        <f t="shared" si="32"/>
        <v>0</v>
      </c>
      <c r="S271" s="27" t="s">
        <v>18</v>
      </c>
      <c r="T271" s="19" t="s">
        <v>298</v>
      </c>
    </row>
    <row r="272" spans="1:20" ht="37.5" customHeight="1" x14ac:dyDescent="0.25">
      <c r="A272" s="19" t="s">
        <v>299</v>
      </c>
      <c r="B272">
        <f t="shared" si="33"/>
        <v>264</v>
      </c>
      <c r="C272">
        <v>61</v>
      </c>
      <c r="D272">
        <v>203</v>
      </c>
      <c r="E272">
        <v>1817</v>
      </c>
      <c r="F272">
        <f t="shared" si="28"/>
        <v>179</v>
      </c>
      <c r="G272" s="20">
        <f t="shared" si="34"/>
        <v>267</v>
      </c>
      <c r="H272" s="21">
        <v>99625010116</v>
      </c>
      <c r="I272" s="22">
        <v>293</v>
      </c>
      <c r="J272" s="23"/>
      <c r="K272" s="24">
        <f>M272+O272</f>
        <v>85</v>
      </c>
      <c r="L272" s="23">
        <f t="shared" si="29"/>
        <v>179</v>
      </c>
      <c r="M272" s="24">
        <v>25</v>
      </c>
      <c r="N272" s="25">
        <f t="shared" si="30"/>
        <v>36</v>
      </c>
      <c r="O272" s="24">
        <v>60</v>
      </c>
      <c r="P272" s="23">
        <f t="shared" si="31"/>
        <v>143</v>
      </c>
      <c r="Q272" s="26">
        <v>795</v>
      </c>
      <c r="R272" s="23">
        <f t="shared" si="32"/>
        <v>1022</v>
      </c>
      <c r="S272" s="27" t="s">
        <v>18</v>
      </c>
      <c r="T272" s="19" t="s">
        <v>299</v>
      </c>
    </row>
    <row r="273" spans="1:20" ht="37.5" customHeight="1" x14ac:dyDescent="0.25">
      <c r="A273" s="19" t="s">
        <v>300</v>
      </c>
      <c r="B273">
        <f t="shared" si="33"/>
        <v>9450</v>
      </c>
      <c r="C273">
        <v>2512</v>
      </c>
      <c r="D273">
        <v>6938</v>
      </c>
      <c r="E273">
        <v>15208</v>
      </c>
      <c r="F273">
        <f t="shared" si="28"/>
        <v>423</v>
      </c>
      <c r="G273" s="20">
        <f t="shared" si="34"/>
        <v>268</v>
      </c>
      <c r="H273" s="21">
        <v>99723070010</v>
      </c>
      <c r="I273" s="22">
        <v>294</v>
      </c>
      <c r="J273" s="23"/>
      <c r="K273" s="24">
        <f>M273+O273</f>
        <v>9027</v>
      </c>
      <c r="L273" s="23">
        <f t="shared" si="29"/>
        <v>423</v>
      </c>
      <c r="M273" s="24">
        <v>2411</v>
      </c>
      <c r="N273" s="25">
        <f t="shared" si="30"/>
        <v>101</v>
      </c>
      <c r="O273" s="24">
        <v>6616</v>
      </c>
      <c r="P273" s="23">
        <f t="shared" si="31"/>
        <v>322</v>
      </c>
      <c r="Q273" s="26">
        <v>14125</v>
      </c>
      <c r="R273" s="23">
        <f t="shared" si="32"/>
        <v>1083</v>
      </c>
      <c r="S273" s="27" t="s">
        <v>18</v>
      </c>
      <c r="T273" s="19" t="s">
        <v>300</v>
      </c>
    </row>
    <row r="274" spans="1:20" ht="37.5" customHeight="1" x14ac:dyDescent="0.25">
      <c r="A274" s="19" t="s">
        <v>301</v>
      </c>
      <c r="B274">
        <f t="shared" si="33"/>
        <v>6482</v>
      </c>
      <c r="C274">
        <v>1495</v>
      </c>
      <c r="D274">
        <v>4987</v>
      </c>
      <c r="E274">
        <v>6661</v>
      </c>
      <c r="F274">
        <f t="shared" si="28"/>
        <v>421</v>
      </c>
      <c r="G274" s="20">
        <f t="shared" si="34"/>
        <v>269</v>
      </c>
      <c r="H274" s="21">
        <v>99622010026</v>
      </c>
      <c r="I274" s="22">
        <v>295</v>
      </c>
      <c r="J274" s="23"/>
      <c r="K274" s="24">
        <f>M274+O274</f>
        <v>6061</v>
      </c>
      <c r="L274" s="23">
        <f t="shared" si="29"/>
        <v>421</v>
      </c>
      <c r="M274" s="24">
        <v>1423</v>
      </c>
      <c r="N274" s="25">
        <f t="shared" si="30"/>
        <v>72</v>
      </c>
      <c r="O274" s="24">
        <v>4638</v>
      </c>
      <c r="P274" s="23">
        <f t="shared" si="31"/>
        <v>349</v>
      </c>
      <c r="Q274" s="26">
        <v>6005</v>
      </c>
      <c r="R274" s="23">
        <f t="shared" si="32"/>
        <v>656</v>
      </c>
      <c r="S274" s="27" t="s">
        <v>18</v>
      </c>
      <c r="T274" s="19" t="s">
        <v>301</v>
      </c>
    </row>
    <row r="275" spans="1:20" ht="37.5" customHeight="1" x14ac:dyDescent="0.25">
      <c r="A275" s="19" t="s">
        <v>302</v>
      </c>
      <c r="B275">
        <f t="shared" si="33"/>
        <v>61064</v>
      </c>
      <c r="C275">
        <v>11355</v>
      </c>
      <c r="D275">
        <v>49709</v>
      </c>
      <c r="F275">
        <f t="shared" si="28"/>
        <v>528</v>
      </c>
      <c r="G275" s="20">
        <f t="shared" si="34"/>
        <v>270</v>
      </c>
      <c r="H275" s="21">
        <v>88819020472</v>
      </c>
      <c r="I275" s="22">
        <v>296</v>
      </c>
      <c r="J275" s="23"/>
      <c r="K275" s="24">
        <v>60536</v>
      </c>
      <c r="L275" s="23">
        <f t="shared" si="29"/>
        <v>528</v>
      </c>
      <c r="M275" s="24">
        <v>11264</v>
      </c>
      <c r="N275" s="25">
        <f t="shared" si="30"/>
        <v>91</v>
      </c>
      <c r="O275" s="24">
        <v>49272</v>
      </c>
      <c r="P275" s="23">
        <f t="shared" si="31"/>
        <v>437</v>
      </c>
      <c r="Q275" s="26"/>
      <c r="R275" s="23">
        <f t="shared" si="32"/>
        <v>0</v>
      </c>
      <c r="S275" s="27" t="s">
        <v>18</v>
      </c>
      <c r="T275" s="19" t="s">
        <v>302</v>
      </c>
    </row>
    <row r="276" spans="1:20" ht="37.5" customHeight="1" x14ac:dyDescent="0.25">
      <c r="A276" s="19" t="s">
        <v>303</v>
      </c>
      <c r="B276">
        <f t="shared" si="33"/>
        <v>3135</v>
      </c>
      <c r="C276">
        <v>489</v>
      </c>
      <c r="D276">
        <v>2646</v>
      </c>
      <c r="F276">
        <f t="shared" si="28"/>
        <v>330</v>
      </c>
      <c r="G276" s="20">
        <f t="shared" si="34"/>
        <v>271</v>
      </c>
      <c r="H276" s="21">
        <v>66622040634</v>
      </c>
      <c r="I276" s="22">
        <v>297</v>
      </c>
      <c r="J276" s="23"/>
      <c r="K276" s="24">
        <v>2805</v>
      </c>
      <c r="L276" s="23">
        <f t="shared" si="29"/>
        <v>330</v>
      </c>
      <c r="M276" s="24">
        <v>435</v>
      </c>
      <c r="N276" s="25">
        <f t="shared" si="30"/>
        <v>54</v>
      </c>
      <c r="O276" s="24">
        <v>2370</v>
      </c>
      <c r="P276" s="23">
        <f t="shared" si="31"/>
        <v>276</v>
      </c>
      <c r="Q276" s="26"/>
      <c r="R276" s="23">
        <f t="shared" si="32"/>
        <v>0</v>
      </c>
      <c r="S276" s="27" t="s">
        <v>18</v>
      </c>
      <c r="T276" s="19" t="s">
        <v>303</v>
      </c>
    </row>
    <row r="277" spans="1:20" ht="37.5" customHeight="1" x14ac:dyDescent="0.25">
      <c r="A277" s="19" t="s">
        <v>304</v>
      </c>
      <c r="B277">
        <f t="shared" si="33"/>
        <v>48385</v>
      </c>
      <c r="C277">
        <v>7792</v>
      </c>
      <c r="D277">
        <v>40593</v>
      </c>
      <c r="F277">
        <f t="shared" si="28"/>
        <v>2</v>
      </c>
      <c r="G277" s="20">
        <f t="shared" si="34"/>
        <v>272</v>
      </c>
      <c r="H277" s="21">
        <v>23014010395</v>
      </c>
      <c r="I277" s="22">
        <v>298</v>
      </c>
      <c r="J277" s="23"/>
      <c r="K277" s="24">
        <v>48383</v>
      </c>
      <c r="L277" s="23">
        <f t="shared" si="29"/>
        <v>2</v>
      </c>
      <c r="M277" s="24">
        <v>7791</v>
      </c>
      <c r="N277" s="25">
        <f t="shared" si="30"/>
        <v>1</v>
      </c>
      <c r="O277" s="24">
        <v>40592</v>
      </c>
      <c r="P277" s="23">
        <f t="shared" si="31"/>
        <v>1</v>
      </c>
      <c r="Q277" s="26"/>
      <c r="R277" s="23">
        <f t="shared" si="32"/>
        <v>0</v>
      </c>
      <c r="S277" s="27" t="s">
        <v>18</v>
      </c>
      <c r="T277" s="19" t="s">
        <v>304</v>
      </c>
    </row>
    <row r="278" spans="1:20" ht="37.5" customHeight="1" x14ac:dyDescent="0.25">
      <c r="A278" s="19" t="s">
        <v>305</v>
      </c>
      <c r="B278">
        <f t="shared" si="33"/>
        <v>4272</v>
      </c>
      <c r="C278">
        <v>818</v>
      </c>
      <c r="D278">
        <v>3454</v>
      </c>
      <c r="F278">
        <f t="shared" si="28"/>
        <v>94</v>
      </c>
      <c r="G278" s="20">
        <f t="shared" si="34"/>
        <v>273</v>
      </c>
      <c r="H278" s="21">
        <v>66621090228</v>
      </c>
      <c r="I278" s="22">
        <v>299</v>
      </c>
      <c r="J278" s="23"/>
      <c r="K278" s="24">
        <v>4178</v>
      </c>
      <c r="L278" s="23">
        <f t="shared" si="29"/>
        <v>94</v>
      </c>
      <c r="M278" s="24">
        <v>798</v>
      </c>
      <c r="N278" s="25">
        <f t="shared" si="30"/>
        <v>20</v>
      </c>
      <c r="O278" s="24">
        <v>3380</v>
      </c>
      <c r="P278" s="23">
        <f t="shared" si="31"/>
        <v>74</v>
      </c>
      <c r="Q278" s="26"/>
      <c r="R278" s="23">
        <f t="shared" si="32"/>
        <v>0</v>
      </c>
      <c r="S278" s="27" t="s">
        <v>18</v>
      </c>
      <c r="T278" s="19" t="s">
        <v>305</v>
      </c>
    </row>
    <row r="279" spans="1:20" ht="37.5" customHeight="1" x14ac:dyDescent="0.25">
      <c r="A279" s="19" t="s">
        <v>306</v>
      </c>
      <c r="B279">
        <f t="shared" si="33"/>
        <v>61879</v>
      </c>
      <c r="C279">
        <v>11144</v>
      </c>
      <c r="D279">
        <v>50735</v>
      </c>
      <c r="F279">
        <f t="shared" si="28"/>
        <v>219</v>
      </c>
      <c r="G279" s="20">
        <f t="shared" si="34"/>
        <v>274</v>
      </c>
      <c r="H279" s="21">
        <v>23013010114</v>
      </c>
      <c r="I279" s="22">
        <v>300</v>
      </c>
      <c r="J279" s="23"/>
      <c r="K279" s="24">
        <v>61660</v>
      </c>
      <c r="L279" s="23">
        <f t="shared" si="29"/>
        <v>219</v>
      </c>
      <c r="M279" s="24">
        <v>11109</v>
      </c>
      <c r="N279" s="25">
        <f t="shared" si="30"/>
        <v>35</v>
      </c>
      <c r="O279" s="24">
        <v>50551</v>
      </c>
      <c r="P279" s="23">
        <f t="shared" si="31"/>
        <v>184</v>
      </c>
      <c r="Q279" s="26"/>
      <c r="R279" s="23">
        <f t="shared" si="32"/>
        <v>0</v>
      </c>
      <c r="S279" s="27" t="s">
        <v>18</v>
      </c>
      <c r="T279" s="19" t="s">
        <v>306</v>
      </c>
    </row>
    <row r="280" spans="1:20" ht="37.5" customHeight="1" x14ac:dyDescent="0.25">
      <c r="A280" s="19" t="s">
        <v>307</v>
      </c>
      <c r="B280">
        <f t="shared" si="33"/>
        <v>29135</v>
      </c>
      <c r="C280">
        <v>4868</v>
      </c>
      <c r="D280">
        <v>24267</v>
      </c>
      <c r="F280">
        <f t="shared" si="28"/>
        <v>341</v>
      </c>
      <c r="G280" s="20">
        <f t="shared" si="34"/>
        <v>275</v>
      </c>
      <c r="H280" s="21">
        <v>88820020264</v>
      </c>
      <c r="I280" s="22">
        <v>301</v>
      </c>
      <c r="J280" s="23"/>
      <c r="K280" s="24">
        <v>28794</v>
      </c>
      <c r="L280" s="23">
        <f t="shared" si="29"/>
        <v>341</v>
      </c>
      <c r="M280" s="24">
        <v>4801</v>
      </c>
      <c r="N280" s="25">
        <f t="shared" si="30"/>
        <v>67</v>
      </c>
      <c r="O280" s="24">
        <v>23993</v>
      </c>
      <c r="P280" s="23">
        <f t="shared" si="31"/>
        <v>274</v>
      </c>
      <c r="Q280" s="26"/>
      <c r="R280" s="23">
        <f t="shared" si="32"/>
        <v>0</v>
      </c>
      <c r="S280" s="27" t="s">
        <v>18</v>
      </c>
      <c r="T280" s="19" t="s">
        <v>307</v>
      </c>
    </row>
    <row r="281" spans="1:20" ht="37.5" customHeight="1" x14ac:dyDescent="0.25">
      <c r="A281" s="19" t="s">
        <v>308</v>
      </c>
      <c r="B281">
        <f t="shared" si="33"/>
        <v>29990</v>
      </c>
      <c r="C281">
        <v>4815</v>
      </c>
      <c r="D281">
        <v>25175</v>
      </c>
      <c r="F281">
        <f t="shared" si="28"/>
        <v>276</v>
      </c>
      <c r="G281" s="20">
        <f t="shared" si="34"/>
        <v>276</v>
      </c>
      <c r="H281" s="21">
        <v>88820020133</v>
      </c>
      <c r="I281" s="22">
        <v>302</v>
      </c>
      <c r="J281" s="23"/>
      <c r="K281" s="24">
        <v>29714</v>
      </c>
      <c r="L281" s="23">
        <f t="shared" si="29"/>
        <v>276</v>
      </c>
      <c r="M281" s="24">
        <v>4764</v>
      </c>
      <c r="N281" s="25">
        <f t="shared" si="30"/>
        <v>51</v>
      </c>
      <c r="O281" s="24">
        <v>24950</v>
      </c>
      <c r="P281" s="23">
        <f t="shared" si="31"/>
        <v>225</v>
      </c>
      <c r="Q281" s="26"/>
      <c r="R281" s="23">
        <f t="shared" si="32"/>
        <v>0</v>
      </c>
      <c r="S281" s="27" t="s">
        <v>18</v>
      </c>
      <c r="T281" s="19" t="s">
        <v>308</v>
      </c>
    </row>
    <row r="282" spans="1:20" ht="37.5" customHeight="1" x14ac:dyDescent="0.25">
      <c r="A282" s="19" t="s">
        <v>309</v>
      </c>
      <c r="B282">
        <f t="shared" si="33"/>
        <v>23943</v>
      </c>
      <c r="C282">
        <v>4701</v>
      </c>
      <c r="D282">
        <v>19242</v>
      </c>
      <c r="F282">
        <f t="shared" si="28"/>
        <v>135</v>
      </c>
      <c r="G282" s="20">
        <f t="shared" si="34"/>
        <v>277</v>
      </c>
      <c r="H282" s="21">
        <v>66617020065</v>
      </c>
      <c r="I282" s="22">
        <v>303</v>
      </c>
      <c r="J282" s="23"/>
      <c r="K282" s="24">
        <v>23808</v>
      </c>
      <c r="L282" s="23">
        <f t="shared" si="29"/>
        <v>135</v>
      </c>
      <c r="M282" s="24">
        <v>4659</v>
      </c>
      <c r="N282" s="25">
        <f t="shared" si="30"/>
        <v>42</v>
      </c>
      <c r="O282" s="24">
        <v>19149</v>
      </c>
      <c r="P282" s="23">
        <f t="shared" si="31"/>
        <v>93</v>
      </c>
      <c r="Q282" s="26"/>
      <c r="R282" s="23">
        <f t="shared" si="32"/>
        <v>0</v>
      </c>
      <c r="S282" s="27" t="s">
        <v>18</v>
      </c>
      <c r="T282" s="19" t="s">
        <v>309</v>
      </c>
    </row>
    <row r="283" spans="1:20" ht="37.5" customHeight="1" x14ac:dyDescent="0.25">
      <c r="A283" s="19" t="s">
        <v>310</v>
      </c>
      <c r="B283">
        <f t="shared" si="33"/>
        <v>59597</v>
      </c>
      <c r="C283">
        <v>10608</v>
      </c>
      <c r="D283">
        <v>48989</v>
      </c>
      <c r="F283">
        <f t="shared" si="28"/>
        <v>484</v>
      </c>
      <c r="G283" s="20">
        <f t="shared" si="34"/>
        <v>278</v>
      </c>
      <c r="H283" s="21">
        <v>23012110119</v>
      </c>
      <c r="I283" s="22">
        <v>304</v>
      </c>
      <c r="J283" s="23"/>
      <c r="K283" s="24">
        <v>59113</v>
      </c>
      <c r="L283" s="23">
        <f t="shared" si="29"/>
        <v>484</v>
      </c>
      <c r="M283" s="24">
        <v>10516</v>
      </c>
      <c r="N283" s="25">
        <f t="shared" si="30"/>
        <v>92</v>
      </c>
      <c r="O283" s="24">
        <v>48597</v>
      </c>
      <c r="P283" s="23">
        <f t="shared" si="31"/>
        <v>392</v>
      </c>
      <c r="Q283" s="26"/>
      <c r="R283" s="23">
        <f t="shared" si="32"/>
        <v>0</v>
      </c>
      <c r="S283" s="27" t="s">
        <v>18</v>
      </c>
      <c r="T283" s="19" t="s">
        <v>310</v>
      </c>
    </row>
    <row r="284" spans="1:20" ht="37.5" customHeight="1" x14ac:dyDescent="0.25">
      <c r="A284" s="19" t="s">
        <v>311</v>
      </c>
      <c r="B284">
        <f t="shared" si="33"/>
        <v>33162</v>
      </c>
      <c r="C284">
        <v>5899</v>
      </c>
      <c r="D284">
        <v>27263</v>
      </c>
      <c r="F284">
        <f t="shared" si="28"/>
        <v>181</v>
      </c>
      <c r="G284" s="20">
        <f t="shared" si="34"/>
        <v>279</v>
      </c>
      <c r="H284" s="21">
        <v>23013010185</v>
      </c>
      <c r="I284" s="22">
        <v>305</v>
      </c>
      <c r="J284" s="23"/>
      <c r="K284" s="24">
        <v>32981</v>
      </c>
      <c r="L284" s="23">
        <f t="shared" si="29"/>
        <v>181</v>
      </c>
      <c r="M284" s="24">
        <v>5873</v>
      </c>
      <c r="N284" s="25">
        <f t="shared" si="30"/>
        <v>26</v>
      </c>
      <c r="O284" s="24">
        <v>27108</v>
      </c>
      <c r="P284" s="23">
        <f t="shared" si="31"/>
        <v>155</v>
      </c>
      <c r="Q284" s="26"/>
      <c r="R284" s="23">
        <f t="shared" si="32"/>
        <v>0</v>
      </c>
      <c r="S284" s="27" t="s">
        <v>18</v>
      </c>
      <c r="T284" s="19" t="s">
        <v>311</v>
      </c>
    </row>
    <row r="285" spans="1:20" ht="37.5" customHeight="1" x14ac:dyDescent="0.25">
      <c r="A285" s="19" t="s">
        <v>312</v>
      </c>
      <c r="B285">
        <f t="shared" si="33"/>
        <v>36163</v>
      </c>
      <c r="C285">
        <v>6913</v>
      </c>
      <c r="D285">
        <v>29250</v>
      </c>
      <c r="F285">
        <f t="shared" si="28"/>
        <v>493</v>
      </c>
      <c r="G285" s="20">
        <f t="shared" si="34"/>
        <v>280</v>
      </c>
      <c r="H285" s="21">
        <v>88819050219</v>
      </c>
      <c r="I285" s="22">
        <v>306</v>
      </c>
      <c r="J285" s="23"/>
      <c r="K285" s="24">
        <v>35670</v>
      </c>
      <c r="L285" s="23">
        <f t="shared" si="29"/>
        <v>493</v>
      </c>
      <c r="M285" s="24">
        <v>6815</v>
      </c>
      <c r="N285" s="25">
        <f t="shared" si="30"/>
        <v>98</v>
      </c>
      <c r="O285" s="24">
        <v>28855</v>
      </c>
      <c r="P285" s="23">
        <f t="shared" si="31"/>
        <v>395</v>
      </c>
      <c r="Q285" s="26"/>
      <c r="R285" s="23">
        <f t="shared" si="32"/>
        <v>0</v>
      </c>
      <c r="S285" s="27" t="s">
        <v>18</v>
      </c>
      <c r="T285" s="19" t="s">
        <v>312</v>
      </c>
    </row>
    <row r="286" spans="1:20" ht="37.5" customHeight="1" x14ac:dyDescent="0.25">
      <c r="A286" s="19" t="s">
        <v>313</v>
      </c>
      <c r="B286">
        <f t="shared" si="33"/>
        <v>69557</v>
      </c>
      <c r="C286">
        <v>10077</v>
      </c>
      <c r="D286">
        <v>59480</v>
      </c>
      <c r="F286">
        <f t="shared" si="28"/>
        <v>69</v>
      </c>
      <c r="G286" s="20">
        <f t="shared" si="34"/>
        <v>281</v>
      </c>
      <c r="H286" s="21">
        <v>23012110257</v>
      </c>
      <c r="I286" s="22">
        <v>307</v>
      </c>
      <c r="J286" s="23"/>
      <c r="K286" s="24">
        <v>69488</v>
      </c>
      <c r="L286" s="23">
        <f t="shared" si="29"/>
        <v>69</v>
      </c>
      <c r="M286" s="24">
        <v>10066</v>
      </c>
      <c r="N286" s="25">
        <f t="shared" si="30"/>
        <v>11</v>
      </c>
      <c r="O286" s="24">
        <v>59422</v>
      </c>
      <c r="P286" s="23">
        <f t="shared" si="31"/>
        <v>58</v>
      </c>
      <c r="Q286" s="26"/>
      <c r="R286" s="23">
        <f t="shared" si="32"/>
        <v>0</v>
      </c>
      <c r="S286" s="27" t="s">
        <v>18</v>
      </c>
      <c r="T286" s="19" t="s">
        <v>313</v>
      </c>
    </row>
    <row r="287" spans="1:20" ht="37.5" customHeight="1" x14ac:dyDescent="0.25">
      <c r="A287" s="19" t="s">
        <v>314</v>
      </c>
      <c r="B287">
        <f t="shared" si="33"/>
        <v>1623</v>
      </c>
      <c r="C287">
        <v>193</v>
      </c>
      <c r="D287">
        <v>1430</v>
      </c>
      <c r="F287">
        <f t="shared" si="28"/>
        <v>90</v>
      </c>
      <c r="G287" s="20">
        <f t="shared" si="34"/>
        <v>282</v>
      </c>
      <c r="H287" s="21">
        <v>66622050197</v>
      </c>
      <c r="I287" s="22">
        <v>308</v>
      </c>
      <c r="J287" s="23"/>
      <c r="K287" s="24">
        <v>1533</v>
      </c>
      <c r="L287" s="23">
        <f t="shared" si="29"/>
        <v>90</v>
      </c>
      <c r="M287" s="24">
        <v>189</v>
      </c>
      <c r="N287" s="25">
        <f t="shared" si="30"/>
        <v>4</v>
      </c>
      <c r="O287" s="24">
        <v>1344</v>
      </c>
      <c r="P287" s="23">
        <f t="shared" si="31"/>
        <v>86</v>
      </c>
      <c r="Q287" s="26"/>
      <c r="R287" s="23">
        <f t="shared" si="32"/>
        <v>0</v>
      </c>
      <c r="S287" s="27" t="s">
        <v>18</v>
      </c>
      <c r="T287" s="19" t="s">
        <v>314</v>
      </c>
    </row>
    <row r="288" spans="1:20" ht="37.5" customHeight="1" x14ac:dyDescent="0.25">
      <c r="A288" s="19" t="s">
        <v>315</v>
      </c>
      <c r="B288">
        <f t="shared" si="33"/>
        <v>40189</v>
      </c>
      <c r="C288">
        <v>6697</v>
      </c>
      <c r="D288">
        <v>33492</v>
      </c>
      <c r="F288">
        <f t="shared" si="28"/>
        <v>337</v>
      </c>
      <c r="G288" s="20">
        <f t="shared" si="34"/>
        <v>283</v>
      </c>
      <c r="H288" s="21">
        <v>23015101073</v>
      </c>
      <c r="I288" s="22">
        <v>309</v>
      </c>
      <c r="J288" s="23"/>
      <c r="K288" s="24">
        <v>39852</v>
      </c>
      <c r="L288" s="23">
        <f t="shared" si="29"/>
        <v>337</v>
      </c>
      <c r="M288" s="24">
        <v>6642</v>
      </c>
      <c r="N288" s="25">
        <f t="shared" si="30"/>
        <v>55</v>
      </c>
      <c r="O288" s="24">
        <v>33210</v>
      </c>
      <c r="P288" s="23">
        <f t="shared" si="31"/>
        <v>282</v>
      </c>
      <c r="Q288" s="26"/>
      <c r="R288" s="23">
        <f t="shared" si="32"/>
        <v>0</v>
      </c>
      <c r="S288" s="27" t="s">
        <v>18</v>
      </c>
      <c r="T288" s="19" t="s">
        <v>315</v>
      </c>
    </row>
    <row r="289" spans="1:20" ht="37.5" customHeight="1" x14ac:dyDescent="0.25">
      <c r="A289" s="19" t="s">
        <v>316</v>
      </c>
      <c r="B289">
        <f t="shared" si="33"/>
        <v>119061</v>
      </c>
      <c r="C289">
        <v>26964</v>
      </c>
      <c r="D289">
        <v>92097</v>
      </c>
      <c r="F289">
        <f t="shared" si="28"/>
        <v>280</v>
      </c>
      <c r="G289" s="20">
        <f t="shared" si="34"/>
        <v>284</v>
      </c>
      <c r="H289" s="21">
        <v>23012060111</v>
      </c>
      <c r="I289" s="22" t="s">
        <v>317</v>
      </c>
      <c r="J289" s="23"/>
      <c r="K289" s="24">
        <v>118781</v>
      </c>
      <c r="L289" s="23">
        <f t="shared" si="29"/>
        <v>280</v>
      </c>
      <c r="M289" s="24">
        <v>26964</v>
      </c>
      <c r="N289" s="25">
        <f t="shared" si="30"/>
        <v>0</v>
      </c>
      <c r="O289" s="24">
        <v>91817</v>
      </c>
      <c r="P289" s="23">
        <f t="shared" si="31"/>
        <v>280</v>
      </c>
      <c r="Q289" s="26"/>
      <c r="R289" s="23">
        <f t="shared" si="32"/>
        <v>0</v>
      </c>
      <c r="S289" s="27" t="s">
        <v>318</v>
      </c>
      <c r="T289" s="19" t="s">
        <v>316</v>
      </c>
    </row>
    <row r="290" spans="1:20" ht="37.5" customHeight="1" x14ac:dyDescent="0.25">
      <c r="A290" s="19" t="s">
        <v>319</v>
      </c>
      <c r="B290">
        <f t="shared" si="33"/>
        <v>69009</v>
      </c>
      <c r="C290">
        <v>22718</v>
      </c>
      <c r="D290">
        <v>46291</v>
      </c>
      <c r="F290">
        <f t="shared" si="28"/>
        <v>424</v>
      </c>
      <c r="G290" s="20">
        <f t="shared" si="34"/>
        <v>285</v>
      </c>
      <c r="H290" s="21">
        <v>23010050026</v>
      </c>
      <c r="I290" s="22" t="s">
        <v>320</v>
      </c>
      <c r="J290" s="23"/>
      <c r="K290" s="24">
        <v>68585</v>
      </c>
      <c r="L290" s="23">
        <f t="shared" si="29"/>
        <v>424</v>
      </c>
      <c r="M290" s="24">
        <v>22628</v>
      </c>
      <c r="N290" s="25">
        <f t="shared" si="30"/>
        <v>90</v>
      </c>
      <c r="O290" s="24">
        <v>45957</v>
      </c>
      <c r="P290" s="23">
        <f t="shared" si="31"/>
        <v>334</v>
      </c>
      <c r="Q290" s="26"/>
      <c r="R290" s="23">
        <f t="shared" si="32"/>
        <v>0</v>
      </c>
      <c r="S290" s="27" t="s">
        <v>318</v>
      </c>
      <c r="T290" s="19" t="s">
        <v>319</v>
      </c>
    </row>
    <row r="291" spans="1:20" ht="37.5" customHeight="1" x14ac:dyDescent="0.25">
      <c r="A291" s="19" t="s">
        <v>321</v>
      </c>
      <c r="B291">
        <f t="shared" si="33"/>
        <v>121596</v>
      </c>
      <c r="C291">
        <v>38353</v>
      </c>
      <c r="D291">
        <v>83243</v>
      </c>
      <c r="F291">
        <f t="shared" si="28"/>
        <v>1255</v>
      </c>
      <c r="G291" s="20">
        <f t="shared" si="34"/>
        <v>286</v>
      </c>
      <c r="H291" s="21">
        <v>88818030362</v>
      </c>
      <c r="I291" s="22" t="s">
        <v>322</v>
      </c>
      <c r="J291" s="23"/>
      <c r="K291" s="24">
        <v>120341</v>
      </c>
      <c r="L291" s="23">
        <f t="shared" si="29"/>
        <v>1255</v>
      </c>
      <c r="M291" s="24">
        <v>37982</v>
      </c>
      <c r="N291" s="25">
        <f t="shared" si="30"/>
        <v>371</v>
      </c>
      <c r="O291" s="24">
        <v>82359</v>
      </c>
      <c r="P291" s="23">
        <f t="shared" si="31"/>
        <v>884</v>
      </c>
      <c r="Q291" s="26"/>
      <c r="R291" s="23">
        <f t="shared" si="32"/>
        <v>0</v>
      </c>
      <c r="S291" s="27" t="s">
        <v>318</v>
      </c>
      <c r="T291" s="19" t="s">
        <v>321</v>
      </c>
    </row>
    <row r="292" spans="1:20" ht="37.5" customHeight="1" x14ac:dyDescent="0.25">
      <c r="A292" s="19"/>
      <c r="G292" s="20"/>
      <c r="H292" s="21"/>
      <c r="I292" s="22"/>
      <c r="J292" s="23"/>
      <c r="K292" s="24"/>
      <c r="L292" s="23"/>
      <c r="M292" s="24"/>
      <c r="N292" s="25"/>
      <c r="O292" s="24"/>
      <c r="P292" s="23"/>
      <c r="Q292" s="26"/>
      <c r="R292" s="23"/>
      <c r="S292" s="27"/>
      <c r="T292" s="19"/>
    </row>
    <row r="293" spans="1:20" ht="33.75" customHeight="1" x14ac:dyDescent="0.25">
      <c r="L293" s="33"/>
    </row>
    <row r="294" spans="1:20" ht="33.75" customHeight="1" x14ac:dyDescent="0.25">
      <c r="L294" s="33"/>
    </row>
    <row r="295" spans="1:20" ht="33.75" customHeight="1" x14ac:dyDescent="0.25">
      <c r="L295" s="33"/>
    </row>
    <row r="296" spans="1:20" ht="33.75" customHeight="1" x14ac:dyDescent="0.25">
      <c r="L296" s="33"/>
    </row>
    <row r="297" spans="1:20" ht="33.75" customHeight="1" x14ac:dyDescent="0.25">
      <c r="L297" s="33"/>
    </row>
    <row r="298" spans="1:20" ht="33.75" customHeight="1" x14ac:dyDescent="0.25">
      <c r="L298" s="33"/>
    </row>
    <row r="299" spans="1:20" ht="33.75" customHeight="1" x14ac:dyDescent="0.25">
      <c r="L299" s="33"/>
    </row>
    <row r="300" spans="1:20" ht="33.75" customHeight="1" x14ac:dyDescent="0.25">
      <c r="L300" s="33"/>
    </row>
    <row r="301" spans="1:20" ht="33.75" customHeight="1" x14ac:dyDescent="0.25">
      <c r="L301" s="33"/>
    </row>
    <row r="302" spans="1:20" ht="33.75" customHeight="1" x14ac:dyDescent="0.25">
      <c r="L302" s="33"/>
    </row>
    <row r="303" spans="1:20" ht="33.75" customHeight="1" x14ac:dyDescent="0.25">
      <c r="L303" s="33"/>
    </row>
    <row r="304" spans="1:20" ht="33.75" customHeight="1" x14ac:dyDescent="0.25">
      <c r="L304" s="33"/>
    </row>
    <row r="305" spans="12:12" ht="33.75" customHeight="1" x14ac:dyDescent="0.25">
      <c r="L305" s="33"/>
    </row>
    <row r="306" spans="12:12" ht="33.75" customHeight="1" x14ac:dyDescent="0.25">
      <c r="L306" s="33"/>
    </row>
    <row r="307" spans="12:12" ht="33.75" customHeight="1" x14ac:dyDescent="0.25">
      <c r="L307" s="33"/>
    </row>
    <row r="308" spans="12:12" ht="33.75" customHeight="1" x14ac:dyDescent="0.25">
      <c r="L308" s="33"/>
    </row>
    <row r="309" spans="12:12" ht="33.75" customHeight="1" x14ac:dyDescent="0.25">
      <c r="L309" s="33"/>
    </row>
    <row r="310" spans="12:12" ht="33.75" customHeight="1" x14ac:dyDescent="0.25">
      <c r="L310" s="33"/>
    </row>
    <row r="311" spans="12:12" ht="33.75" customHeight="1" x14ac:dyDescent="0.25">
      <c r="L311" s="33"/>
    </row>
    <row r="312" spans="12:12" ht="33.75" customHeight="1" x14ac:dyDescent="0.25">
      <c r="L312" s="33"/>
    </row>
    <row r="313" spans="12:12" ht="33.75" customHeight="1" x14ac:dyDescent="0.25">
      <c r="L313" s="33"/>
    </row>
    <row r="314" spans="12:12" ht="33.75" customHeight="1" x14ac:dyDescent="0.25">
      <c r="L314" s="33"/>
    </row>
    <row r="315" spans="12:12" ht="33.75" customHeight="1" x14ac:dyDescent="0.25">
      <c r="L315" s="33"/>
    </row>
    <row r="316" spans="12:12" ht="33.75" customHeight="1" x14ac:dyDescent="0.25">
      <c r="L316" s="33"/>
    </row>
    <row r="317" spans="12:12" ht="33.75" customHeight="1" x14ac:dyDescent="0.25">
      <c r="L317" s="33"/>
    </row>
    <row r="318" spans="12:12" ht="33.75" customHeight="1" x14ac:dyDescent="0.25">
      <c r="L318" s="33"/>
    </row>
    <row r="319" spans="12:12" ht="33.75" customHeight="1" x14ac:dyDescent="0.25">
      <c r="L319" s="33"/>
    </row>
    <row r="320" spans="12:12" ht="33.75" customHeight="1" x14ac:dyDescent="0.25">
      <c r="L320" s="33"/>
    </row>
    <row r="321" spans="12:12" ht="33.75" customHeight="1" x14ac:dyDescent="0.25">
      <c r="L321" s="33"/>
    </row>
    <row r="322" spans="12:12" ht="33.75" customHeight="1" x14ac:dyDescent="0.25">
      <c r="L322" s="33"/>
    </row>
    <row r="323" spans="12:12" ht="33.75" customHeight="1" x14ac:dyDescent="0.25">
      <c r="L323" s="33"/>
    </row>
    <row r="324" spans="12:12" ht="33.75" customHeight="1" x14ac:dyDescent="0.25">
      <c r="L324" s="33"/>
    </row>
    <row r="325" spans="12:12" ht="33.75" customHeight="1" x14ac:dyDescent="0.25">
      <c r="L325" s="33"/>
    </row>
    <row r="326" spans="12:12" ht="33.75" customHeight="1" x14ac:dyDescent="0.25">
      <c r="L326" s="33"/>
    </row>
    <row r="327" spans="12:12" ht="33.75" customHeight="1" x14ac:dyDescent="0.25">
      <c r="L327" s="33"/>
    </row>
    <row r="328" spans="12:12" ht="33.75" customHeight="1" x14ac:dyDescent="0.25">
      <c r="L328" s="33"/>
    </row>
    <row r="329" spans="12:12" ht="33.75" customHeight="1" x14ac:dyDescent="0.25">
      <c r="L329" s="33"/>
    </row>
    <row r="330" spans="12:12" ht="33.75" customHeight="1" x14ac:dyDescent="0.25">
      <c r="L330" s="33"/>
    </row>
    <row r="331" spans="12:12" ht="33.75" customHeight="1" x14ac:dyDescent="0.25">
      <c r="L331" s="33"/>
    </row>
    <row r="332" spans="12:12" ht="33.75" customHeight="1" x14ac:dyDescent="0.25">
      <c r="L332" s="33"/>
    </row>
    <row r="333" spans="12:12" ht="33.75" customHeight="1" x14ac:dyDescent="0.25">
      <c r="L333" s="33"/>
    </row>
    <row r="334" spans="12:12" ht="33.75" customHeight="1" x14ac:dyDescent="0.25">
      <c r="L334" s="33"/>
    </row>
    <row r="335" spans="12:12" ht="33.75" customHeight="1" x14ac:dyDescent="0.25">
      <c r="L335" s="33"/>
    </row>
    <row r="336" spans="12:12" ht="33.75" customHeight="1" x14ac:dyDescent="0.25">
      <c r="L336" s="33"/>
    </row>
    <row r="337" spans="12:12" ht="33.75" customHeight="1" x14ac:dyDescent="0.25">
      <c r="L337" s="33"/>
    </row>
    <row r="338" spans="12:12" ht="33.75" customHeight="1" x14ac:dyDescent="0.25">
      <c r="L338" s="33"/>
    </row>
    <row r="339" spans="12:12" ht="33.75" customHeight="1" x14ac:dyDescent="0.25">
      <c r="L339" s="33"/>
    </row>
    <row r="340" spans="12:12" ht="33.75" customHeight="1" x14ac:dyDescent="0.25">
      <c r="L340" s="33"/>
    </row>
    <row r="341" spans="12:12" ht="33.75" customHeight="1" x14ac:dyDescent="0.25">
      <c r="L341" s="33"/>
    </row>
    <row r="342" spans="12:12" ht="33.75" customHeight="1" x14ac:dyDescent="0.25">
      <c r="L342" s="33"/>
    </row>
    <row r="343" spans="12:12" ht="33.75" customHeight="1" x14ac:dyDescent="0.25">
      <c r="L343" s="33"/>
    </row>
    <row r="344" spans="12:12" ht="33.75" customHeight="1" x14ac:dyDescent="0.25">
      <c r="L344" s="33"/>
    </row>
    <row r="345" spans="12:12" ht="33.75" customHeight="1" x14ac:dyDescent="0.25">
      <c r="L345" s="33"/>
    </row>
    <row r="346" spans="12:12" ht="33.75" customHeight="1" x14ac:dyDescent="0.25">
      <c r="L346" s="33"/>
    </row>
    <row r="347" spans="12:12" ht="33.75" customHeight="1" x14ac:dyDescent="0.25">
      <c r="L347" s="33"/>
    </row>
    <row r="348" spans="12:12" ht="33.75" customHeight="1" x14ac:dyDescent="0.25">
      <c r="L348" s="33"/>
    </row>
    <row r="349" spans="12:12" ht="33.75" customHeight="1" x14ac:dyDescent="0.25">
      <c r="L349" s="33"/>
    </row>
    <row r="350" spans="12:12" ht="33.75" customHeight="1" x14ac:dyDescent="0.25">
      <c r="L350" s="33"/>
    </row>
    <row r="351" spans="12:12" ht="33.75" customHeight="1" x14ac:dyDescent="0.25">
      <c r="L351" s="33"/>
    </row>
    <row r="352" spans="12:12" ht="33.75" customHeight="1" x14ac:dyDescent="0.25">
      <c r="L352" s="33"/>
    </row>
    <row r="353" spans="12:12" ht="33.75" customHeight="1" x14ac:dyDescent="0.25">
      <c r="L353" s="33"/>
    </row>
    <row r="354" spans="12:12" ht="33.75" customHeight="1" x14ac:dyDescent="0.25">
      <c r="L354" s="33"/>
    </row>
    <row r="355" spans="12:12" ht="33.75" customHeight="1" x14ac:dyDescent="0.25">
      <c r="L355" s="33"/>
    </row>
    <row r="356" spans="12:12" ht="33.75" customHeight="1" x14ac:dyDescent="0.25">
      <c r="L356" s="33"/>
    </row>
    <row r="357" spans="12:12" ht="33.75" customHeight="1" x14ac:dyDescent="0.25">
      <c r="L357" s="33"/>
    </row>
    <row r="358" spans="12:12" ht="33.75" customHeight="1" x14ac:dyDescent="0.25">
      <c r="L358" s="33"/>
    </row>
    <row r="359" spans="12:12" ht="33.75" customHeight="1" x14ac:dyDescent="0.25">
      <c r="L359" s="33"/>
    </row>
    <row r="360" spans="12:12" ht="33.75" customHeight="1" x14ac:dyDescent="0.25">
      <c r="L360" s="33"/>
    </row>
    <row r="361" spans="12:12" ht="33.75" customHeight="1" x14ac:dyDescent="0.25">
      <c r="L361" s="33"/>
    </row>
    <row r="362" spans="12:12" ht="33.75" customHeight="1" x14ac:dyDescent="0.25">
      <c r="L362" s="33"/>
    </row>
    <row r="363" spans="12:12" ht="33.75" customHeight="1" x14ac:dyDescent="0.25">
      <c r="L363" s="33"/>
    </row>
    <row r="364" spans="12:12" ht="33.75" customHeight="1" x14ac:dyDescent="0.25">
      <c r="L364" s="33"/>
    </row>
    <row r="365" spans="12:12" ht="33.75" customHeight="1" x14ac:dyDescent="0.25">
      <c r="L365" s="33"/>
    </row>
    <row r="366" spans="12:12" ht="33.75" customHeight="1" x14ac:dyDescent="0.25">
      <c r="L366" s="33"/>
    </row>
    <row r="367" spans="12:12" ht="33.75" customHeight="1" x14ac:dyDescent="0.25">
      <c r="L367" s="33"/>
    </row>
    <row r="368" spans="12:12" ht="33.75" customHeight="1" x14ac:dyDescent="0.25">
      <c r="L368" s="33"/>
    </row>
    <row r="369" spans="12:12" ht="33.75" customHeight="1" x14ac:dyDescent="0.25">
      <c r="L369" s="33"/>
    </row>
    <row r="370" spans="12:12" ht="33.75" customHeight="1" x14ac:dyDescent="0.25">
      <c r="L370" s="33"/>
    </row>
    <row r="371" spans="12:12" ht="33.75" customHeight="1" x14ac:dyDescent="0.25">
      <c r="L371" s="33"/>
    </row>
    <row r="372" spans="12:12" ht="33.75" customHeight="1" x14ac:dyDescent="0.25">
      <c r="L372" s="33"/>
    </row>
    <row r="373" spans="12:12" ht="33.75" customHeight="1" x14ac:dyDescent="0.25">
      <c r="L373" s="33"/>
    </row>
    <row r="374" spans="12:12" ht="33.75" customHeight="1" x14ac:dyDescent="0.25">
      <c r="L374" s="33"/>
    </row>
    <row r="375" spans="12:12" ht="33.75" customHeight="1" x14ac:dyDescent="0.25">
      <c r="L375" s="33"/>
    </row>
    <row r="376" spans="12:12" ht="33.75" customHeight="1" x14ac:dyDescent="0.25">
      <c r="L376" s="33"/>
    </row>
    <row r="377" spans="12:12" ht="33.75" customHeight="1" x14ac:dyDescent="0.25">
      <c r="L377" s="33"/>
    </row>
    <row r="378" spans="12:12" ht="33.75" customHeight="1" x14ac:dyDescent="0.25">
      <c r="L378" s="33"/>
    </row>
    <row r="379" spans="12:12" ht="33.75" customHeight="1" x14ac:dyDescent="0.25">
      <c r="L379" s="33"/>
    </row>
    <row r="380" spans="12:12" ht="33.75" customHeight="1" x14ac:dyDescent="0.25">
      <c r="L380" s="33"/>
    </row>
    <row r="381" spans="12:12" ht="33.75" customHeight="1" x14ac:dyDescent="0.25">
      <c r="L381" s="33"/>
    </row>
    <row r="382" spans="12:12" ht="33.75" customHeight="1" x14ac:dyDescent="0.25">
      <c r="L382" s="33"/>
    </row>
    <row r="383" spans="12:12" ht="33.75" customHeight="1" x14ac:dyDescent="0.25">
      <c r="L383" s="33"/>
    </row>
    <row r="384" spans="12:12" ht="33.75" customHeight="1" x14ac:dyDescent="0.25">
      <c r="L384" s="33"/>
    </row>
    <row r="385" spans="12:12" ht="33.75" customHeight="1" x14ac:dyDescent="0.25">
      <c r="L385" s="33"/>
    </row>
    <row r="386" spans="12:12" ht="33.75" customHeight="1" x14ac:dyDescent="0.25">
      <c r="L386" s="33"/>
    </row>
    <row r="387" spans="12:12" ht="33.75" customHeight="1" x14ac:dyDescent="0.25">
      <c r="L387" s="33"/>
    </row>
    <row r="388" spans="12:12" ht="33.75" customHeight="1" x14ac:dyDescent="0.25">
      <c r="L388" s="33"/>
    </row>
    <row r="389" spans="12:12" ht="33.75" customHeight="1" x14ac:dyDescent="0.25">
      <c r="L389" s="33"/>
    </row>
    <row r="390" spans="12:12" ht="33.75" customHeight="1" x14ac:dyDescent="0.25">
      <c r="L390" s="33"/>
    </row>
    <row r="391" spans="12:12" ht="33.75" customHeight="1" x14ac:dyDescent="0.25">
      <c r="L391" s="33"/>
    </row>
    <row r="392" spans="12:12" ht="33.75" customHeight="1" x14ac:dyDescent="0.25">
      <c r="L392" s="33"/>
    </row>
    <row r="393" spans="12:12" ht="33.75" customHeight="1" x14ac:dyDescent="0.25">
      <c r="L393" s="33"/>
    </row>
    <row r="394" spans="12:12" ht="33.75" customHeight="1" x14ac:dyDescent="0.25">
      <c r="L394" s="33"/>
    </row>
    <row r="395" spans="12:12" ht="33.75" customHeight="1" x14ac:dyDescent="0.25">
      <c r="L395" s="33"/>
    </row>
    <row r="396" spans="12:12" ht="33.75" customHeight="1" x14ac:dyDescent="0.25">
      <c r="L396" s="33"/>
    </row>
    <row r="397" spans="12:12" ht="33.75" customHeight="1" x14ac:dyDescent="0.25">
      <c r="L397" s="33"/>
    </row>
    <row r="398" spans="12:12" ht="33.75" customHeight="1" x14ac:dyDescent="0.25">
      <c r="L398" s="33"/>
    </row>
    <row r="399" spans="12:12" ht="33.75" customHeight="1" x14ac:dyDescent="0.25">
      <c r="L399" s="33"/>
    </row>
    <row r="400" spans="12:12" ht="33.75" customHeight="1" x14ac:dyDescent="0.25">
      <c r="L400" s="33"/>
    </row>
    <row r="401" spans="12:12" ht="33.75" customHeight="1" x14ac:dyDescent="0.25">
      <c r="L401" s="33"/>
    </row>
    <row r="402" spans="12:12" ht="33.75" customHeight="1" x14ac:dyDescent="0.25">
      <c r="L402" s="33"/>
    </row>
    <row r="403" spans="12:12" ht="33.75" customHeight="1" x14ac:dyDescent="0.25">
      <c r="L403" s="33"/>
    </row>
    <row r="404" spans="12:12" ht="33.75" customHeight="1" x14ac:dyDescent="0.25">
      <c r="L404" s="33"/>
    </row>
    <row r="405" spans="12:12" ht="33.75" customHeight="1" x14ac:dyDescent="0.25">
      <c r="L405" s="33"/>
    </row>
    <row r="406" spans="12:12" ht="33.75" customHeight="1" x14ac:dyDescent="0.25">
      <c r="L406" s="33"/>
    </row>
    <row r="407" spans="12:12" ht="33.75" customHeight="1" x14ac:dyDescent="0.25">
      <c r="L407" s="33"/>
    </row>
    <row r="408" spans="12:12" ht="33.75" customHeight="1" x14ac:dyDescent="0.25">
      <c r="L408" s="33"/>
    </row>
    <row r="409" spans="12:12" ht="33.75" customHeight="1" x14ac:dyDescent="0.25">
      <c r="L409" s="33"/>
    </row>
    <row r="410" spans="12:12" ht="33.75" customHeight="1" x14ac:dyDescent="0.25">
      <c r="L410" s="33"/>
    </row>
    <row r="411" spans="12:12" ht="33.75" customHeight="1" x14ac:dyDescent="0.25">
      <c r="L411" s="33"/>
    </row>
    <row r="412" spans="12:12" ht="33.75" customHeight="1" x14ac:dyDescent="0.25">
      <c r="L412" s="33"/>
    </row>
    <row r="413" spans="12:12" ht="33.75" customHeight="1" x14ac:dyDescent="0.25">
      <c r="L413" s="33"/>
    </row>
    <row r="414" spans="12:12" ht="33.75" customHeight="1" x14ac:dyDescent="0.25">
      <c r="L414" s="33"/>
    </row>
    <row r="415" spans="12:12" ht="33.75" customHeight="1" x14ac:dyDescent="0.25">
      <c r="L415" s="33"/>
    </row>
    <row r="416" spans="12:12" ht="33.75" customHeight="1" x14ac:dyDescent="0.25">
      <c r="L416" s="33"/>
    </row>
    <row r="417" spans="12:12" ht="33.75" customHeight="1" x14ac:dyDescent="0.25">
      <c r="L417" s="33"/>
    </row>
    <row r="418" spans="12:12" ht="33.75" customHeight="1" x14ac:dyDescent="0.25">
      <c r="L418" s="33"/>
    </row>
    <row r="419" spans="12:12" ht="33.75" customHeight="1" x14ac:dyDescent="0.25">
      <c r="L419" s="33"/>
    </row>
    <row r="420" spans="12:12" ht="33.75" customHeight="1" x14ac:dyDescent="0.25">
      <c r="L420" s="33"/>
    </row>
    <row r="421" spans="12:12" ht="33.75" customHeight="1" x14ac:dyDescent="0.25">
      <c r="L421" s="33"/>
    </row>
    <row r="422" spans="12:12" ht="33.75" customHeight="1" x14ac:dyDescent="0.25">
      <c r="L422" s="33"/>
    </row>
    <row r="423" spans="12:12" ht="33.75" customHeight="1" x14ac:dyDescent="0.25">
      <c r="L423" s="33"/>
    </row>
    <row r="424" spans="12:12" ht="33.75" customHeight="1" x14ac:dyDescent="0.25">
      <c r="L424" s="33"/>
    </row>
    <row r="425" spans="12:12" ht="33.75" customHeight="1" x14ac:dyDescent="0.25">
      <c r="L425" s="33"/>
    </row>
    <row r="426" spans="12:12" ht="33.75" customHeight="1" x14ac:dyDescent="0.25">
      <c r="L426" s="33"/>
    </row>
    <row r="427" spans="12:12" ht="33.75" customHeight="1" x14ac:dyDescent="0.25">
      <c r="L427" s="33"/>
    </row>
    <row r="428" spans="12:12" ht="33.75" customHeight="1" x14ac:dyDescent="0.25">
      <c r="L428" s="33"/>
    </row>
    <row r="429" spans="12:12" ht="33.75" customHeight="1" x14ac:dyDescent="0.25">
      <c r="L429" s="33"/>
    </row>
    <row r="430" spans="12:12" ht="33.75" customHeight="1" x14ac:dyDescent="0.25">
      <c r="L430" s="33"/>
    </row>
    <row r="431" spans="12:12" ht="33.75" customHeight="1" x14ac:dyDescent="0.25">
      <c r="L431" s="33"/>
    </row>
    <row r="432" spans="12:12" ht="33.75" customHeight="1" x14ac:dyDescent="0.25">
      <c r="L432" s="33"/>
    </row>
    <row r="433" spans="12:12" ht="33.75" customHeight="1" x14ac:dyDescent="0.25">
      <c r="L433" s="33"/>
    </row>
    <row r="434" spans="12:12" ht="33.75" customHeight="1" x14ac:dyDescent="0.25">
      <c r="L434" s="33"/>
    </row>
    <row r="435" spans="12:12" ht="33.75" customHeight="1" x14ac:dyDescent="0.25">
      <c r="L435" s="33"/>
    </row>
    <row r="436" spans="12:12" ht="33.75" customHeight="1" x14ac:dyDescent="0.25">
      <c r="L436" s="33"/>
    </row>
    <row r="437" spans="12:12" ht="33.75" customHeight="1" x14ac:dyDescent="0.25">
      <c r="L437" s="33"/>
    </row>
    <row r="438" spans="12:12" ht="33.75" customHeight="1" x14ac:dyDescent="0.25">
      <c r="L438" s="33"/>
    </row>
    <row r="439" spans="12:12" ht="33.75" customHeight="1" x14ac:dyDescent="0.25">
      <c r="L439" s="33"/>
    </row>
    <row r="440" spans="12:12" ht="33.75" customHeight="1" x14ac:dyDescent="0.25">
      <c r="L440" s="33"/>
    </row>
    <row r="441" spans="12:12" ht="33.75" customHeight="1" x14ac:dyDescent="0.25">
      <c r="L441" s="33"/>
    </row>
    <row r="442" spans="12:12" ht="33.75" customHeight="1" x14ac:dyDescent="0.25">
      <c r="L442" s="33"/>
    </row>
    <row r="443" spans="12:12" ht="33.75" customHeight="1" x14ac:dyDescent="0.25">
      <c r="L443" s="33"/>
    </row>
    <row r="444" spans="12:12" ht="33.75" customHeight="1" x14ac:dyDescent="0.25">
      <c r="L444" s="33"/>
    </row>
    <row r="445" spans="12:12" ht="33.75" customHeight="1" x14ac:dyDescent="0.25">
      <c r="L445" s="33"/>
    </row>
    <row r="446" spans="12:12" ht="33.75" customHeight="1" x14ac:dyDescent="0.25">
      <c r="L446" s="33"/>
    </row>
    <row r="447" spans="12:12" ht="33.75" customHeight="1" x14ac:dyDescent="0.25">
      <c r="L447" s="33"/>
    </row>
    <row r="448" spans="12:12" ht="33.75" customHeight="1" x14ac:dyDescent="0.25">
      <c r="L448" s="33"/>
    </row>
    <row r="449" spans="12:12" ht="33.75" customHeight="1" x14ac:dyDescent="0.25">
      <c r="L449" s="33"/>
    </row>
    <row r="450" spans="12:12" ht="33.75" customHeight="1" x14ac:dyDescent="0.25">
      <c r="L450" s="33"/>
    </row>
    <row r="451" spans="12:12" ht="33.75" customHeight="1" x14ac:dyDescent="0.25">
      <c r="L451" s="33"/>
    </row>
    <row r="452" spans="12:12" ht="33.75" customHeight="1" x14ac:dyDescent="0.25">
      <c r="L452" s="33"/>
    </row>
    <row r="453" spans="12:12" ht="33.75" customHeight="1" x14ac:dyDescent="0.25">
      <c r="L453" s="33"/>
    </row>
    <row r="454" spans="12:12" ht="33.75" customHeight="1" x14ac:dyDescent="0.25">
      <c r="L454" s="33"/>
    </row>
    <row r="455" spans="12:12" ht="33.75" customHeight="1" x14ac:dyDescent="0.25">
      <c r="L455" s="33"/>
    </row>
    <row r="456" spans="12:12" ht="33.75" customHeight="1" x14ac:dyDescent="0.25">
      <c r="L456" s="33"/>
    </row>
    <row r="457" spans="12:12" ht="33.75" customHeight="1" x14ac:dyDescent="0.25">
      <c r="L457" s="33"/>
    </row>
    <row r="458" spans="12:12" ht="33.75" customHeight="1" x14ac:dyDescent="0.25">
      <c r="L458" s="33"/>
    </row>
    <row r="459" spans="12:12" ht="33.75" customHeight="1" x14ac:dyDescent="0.25">
      <c r="L459" s="33"/>
    </row>
    <row r="460" spans="12:12" ht="33.75" customHeight="1" x14ac:dyDescent="0.25">
      <c r="L460" s="33"/>
    </row>
    <row r="461" spans="12:12" ht="33.75" customHeight="1" x14ac:dyDescent="0.25">
      <c r="L461" s="33"/>
    </row>
    <row r="462" spans="12:12" ht="33.75" customHeight="1" x14ac:dyDescent="0.25">
      <c r="L462" s="33"/>
    </row>
    <row r="463" spans="12:12" ht="33.75" customHeight="1" x14ac:dyDescent="0.25">
      <c r="L463" s="33"/>
    </row>
    <row r="464" spans="12:12" ht="33.75" customHeight="1" x14ac:dyDescent="0.25">
      <c r="L464" s="33"/>
    </row>
    <row r="465" spans="12:12" ht="33.75" customHeight="1" x14ac:dyDescent="0.25">
      <c r="L465" s="33"/>
    </row>
    <row r="466" spans="12:12" ht="33.75" customHeight="1" x14ac:dyDescent="0.25">
      <c r="L466" s="33"/>
    </row>
    <row r="467" spans="12:12" ht="33.75" customHeight="1" x14ac:dyDescent="0.25">
      <c r="L467" s="33"/>
    </row>
    <row r="468" spans="12:12" ht="33.75" customHeight="1" x14ac:dyDescent="0.25">
      <c r="L468" s="33"/>
    </row>
    <row r="469" spans="12:12" ht="33.75" customHeight="1" x14ac:dyDescent="0.25">
      <c r="L469" s="33"/>
    </row>
    <row r="470" spans="12:12" ht="33.75" customHeight="1" x14ac:dyDescent="0.25">
      <c r="L470" s="33"/>
    </row>
    <row r="471" spans="12:12" ht="33.75" customHeight="1" x14ac:dyDescent="0.25">
      <c r="L471" s="33"/>
    </row>
    <row r="472" spans="12:12" ht="33.75" customHeight="1" x14ac:dyDescent="0.25">
      <c r="L472" s="33"/>
    </row>
    <row r="473" spans="12:12" ht="33.75" customHeight="1" x14ac:dyDescent="0.25">
      <c r="L473" s="33"/>
    </row>
    <row r="474" spans="12:12" ht="33.75" customHeight="1" x14ac:dyDescent="0.25">
      <c r="L474" s="33"/>
    </row>
    <row r="475" spans="12:12" ht="33.75" customHeight="1" x14ac:dyDescent="0.25">
      <c r="L475" s="33"/>
    </row>
    <row r="476" spans="12:12" ht="33.75" customHeight="1" x14ac:dyDescent="0.25">
      <c r="L476" s="33"/>
    </row>
    <row r="477" spans="12:12" ht="33.75" customHeight="1" x14ac:dyDescent="0.25">
      <c r="L477" s="33"/>
    </row>
    <row r="478" spans="12:12" ht="33.75" customHeight="1" x14ac:dyDescent="0.25">
      <c r="L478" s="33"/>
    </row>
    <row r="479" spans="12:12" ht="33.75" customHeight="1" x14ac:dyDescent="0.25">
      <c r="L479" s="33"/>
    </row>
    <row r="480" spans="12:12" ht="33.75" customHeight="1" x14ac:dyDescent="0.25">
      <c r="L480" s="33"/>
    </row>
    <row r="481" spans="12:12" ht="33.75" customHeight="1" x14ac:dyDescent="0.25">
      <c r="L481" s="33"/>
    </row>
    <row r="482" spans="12:12" ht="33.75" customHeight="1" x14ac:dyDescent="0.25">
      <c r="L482" s="33"/>
    </row>
    <row r="483" spans="12:12" ht="33.75" customHeight="1" x14ac:dyDescent="0.25">
      <c r="L483" s="33"/>
    </row>
    <row r="484" spans="12:12" ht="33.75" customHeight="1" x14ac:dyDescent="0.25">
      <c r="L484" s="33"/>
    </row>
    <row r="485" spans="12:12" ht="33.75" customHeight="1" x14ac:dyDescent="0.25">
      <c r="L485" s="33"/>
    </row>
    <row r="486" spans="12:12" ht="33.75" customHeight="1" x14ac:dyDescent="0.25">
      <c r="L486" s="33"/>
    </row>
    <row r="487" spans="12:12" ht="33.75" customHeight="1" x14ac:dyDescent="0.25">
      <c r="L487" s="33"/>
    </row>
    <row r="488" spans="12:12" ht="33.75" customHeight="1" x14ac:dyDescent="0.25">
      <c r="L488" s="33"/>
    </row>
    <row r="489" spans="12:12" ht="33.75" customHeight="1" x14ac:dyDescent="0.25">
      <c r="L489" s="33"/>
    </row>
    <row r="490" spans="12:12" ht="33.75" customHeight="1" x14ac:dyDescent="0.25">
      <c r="L490" s="33"/>
    </row>
    <row r="491" spans="12:12" ht="33.75" customHeight="1" x14ac:dyDescent="0.25">
      <c r="L491" s="33"/>
    </row>
    <row r="492" spans="12:12" ht="33.75" customHeight="1" x14ac:dyDescent="0.25">
      <c r="L492" s="33"/>
    </row>
    <row r="493" spans="12:12" ht="33.75" customHeight="1" x14ac:dyDescent="0.25"/>
    <row r="494" spans="12:12" ht="33.75" customHeight="1" x14ac:dyDescent="0.25"/>
    <row r="495" spans="12:12" ht="33.75" customHeight="1" x14ac:dyDescent="0.25"/>
    <row r="496" spans="12:12" ht="33.75" customHeight="1" x14ac:dyDescent="0.25"/>
    <row r="497" ht="33.75" customHeight="1" x14ac:dyDescent="0.25"/>
    <row r="498" ht="33.75" customHeight="1" x14ac:dyDescent="0.25"/>
    <row r="499" ht="33.75" customHeight="1" x14ac:dyDescent="0.25"/>
    <row r="500" ht="33.75" customHeight="1" x14ac:dyDescent="0.25"/>
    <row r="501" ht="33.75" customHeight="1" x14ac:dyDescent="0.25"/>
    <row r="502" ht="33.75" customHeight="1" x14ac:dyDescent="0.25"/>
    <row r="503" ht="33.75" customHeight="1" x14ac:dyDescent="0.25"/>
    <row r="504" ht="33.75" customHeight="1" x14ac:dyDescent="0.25"/>
    <row r="505" ht="33.75" customHeight="1" x14ac:dyDescent="0.25"/>
    <row r="506" ht="33.75" customHeight="1" x14ac:dyDescent="0.25"/>
    <row r="507" ht="33.75" customHeight="1" x14ac:dyDescent="0.25"/>
    <row r="508" ht="33.75" customHeight="1" x14ac:dyDescent="0.25"/>
    <row r="509" ht="33.75" customHeight="1" x14ac:dyDescent="0.25"/>
    <row r="510" ht="33.75" customHeight="1" x14ac:dyDescent="0.25"/>
    <row r="511" ht="33.75" customHeight="1" x14ac:dyDescent="0.25"/>
    <row r="512" ht="33.75" customHeight="1" x14ac:dyDescent="0.25"/>
    <row r="513" ht="33.75" customHeight="1" x14ac:dyDescent="0.25"/>
    <row r="514" ht="33.75" customHeight="1" x14ac:dyDescent="0.25"/>
    <row r="515" ht="33.75" customHeight="1" x14ac:dyDescent="0.25"/>
    <row r="516" ht="33.75" customHeight="1" x14ac:dyDescent="0.25"/>
    <row r="517" ht="33.75" customHeight="1" x14ac:dyDescent="0.25"/>
    <row r="518" ht="33.75" customHeight="1" x14ac:dyDescent="0.25"/>
    <row r="519" ht="33.75" customHeight="1" x14ac:dyDescent="0.25"/>
    <row r="520" ht="33.75" customHeight="1" x14ac:dyDescent="0.25"/>
    <row r="521" ht="33.75" customHeight="1" x14ac:dyDescent="0.25"/>
    <row r="522" ht="33.75" customHeight="1" x14ac:dyDescent="0.25"/>
    <row r="523" ht="33.75" customHeight="1" x14ac:dyDescent="0.25"/>
    <row r="524" ht="33.75" customHeight="1" x14ac:dyDescent="0.25"/>
    <row r="525" ht="33.75" customHeight="1" x14ac:dyDescent="0.25"/>
    <row r="526" ht="33.75" customHeight="1" x14ac:dyDescent="0.25"/>
    <row r="527" ht="33.75" customHeight="1" x14ac:dyDescent="0.25"/>
    <row r="528" ht="33.75" customHeight="1" x14ac:dyDescent="0.25"/>
    <row r="529" ht="33.75" customHeight="1" x14ac:dyDescent="0.25"/>
    <row r="530" ht="33.75" customHeight="1" x14ac:dyDescent="0.25"/>
    <row r="531" ht="33.75" customHeight="1" x14ac:dyDescent="0.25"/>
    <row r="532" ht="33.75" customHeight="1" x14ac:dyDescent="0.25"/>
    <row r="533" ht="33.75" customHeight="1" x14ac:dyDescent="0.25"/>
    <row r="534" ht="33.75" customHeight="1" x14ac:dyDescent="0.25"/>
    <row r="535" ht="33.75" customHeight="1" x14ac:dyDescent="0.25"/>
    <row r="536" ht="33.75" customHeight="1" x14ac:dyDescent="0.25"/>
    <row r="537" ht="33.75" customHeight="1" x14ac:dyDescent="0.25"/>
    <row r="538" ht="33.75" customHeight="1" x14ac:dyDescent="0.25"/>
    <row r="539" ht="33.75" customHeight="1" x14ac:dyDescent="0.25"/>
    <row r="540" ht="33.75" customHeight="1" x14ac:dyDescent="0.25"/>
    <row r="541" ht="33.75" customHeight="1" x14ac:dyDescent="0.25"/>
    <row r="542" ht="33.75" customHeight="1" x14ac:dyDescent="0.25"/>
    <row r="543" ht="33.75" customHeight="1" x14ac:dyDescent="0.25"/>
    <row r="544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spans="25:26" ht="33.75" customHeight="1" x14ac:dyDescent="0.25">
      <c r="Y1009" s="30"/>
      <c r="Z1009" s="31"/>
    </row>
    <row r="1010" spans="25:26" ht="33.75" customHeight="1" x14ac:dyDescent="0.25"/>
    <row r="1011" spans="25:26" ht="33.75" customHeight="1" x14ac:dyDescent="0.25"/>
    <row r="1012" spans="25:26" ht="33.75" customHeight="1" x14ac:dyDescent="0.25"/>
    <row r="1013" spans="25:26" ht="33.75" customHeight="1" x14ac:dyDescent="0.25"/>
    <row r="1014" spans="25:26" ht="33.75" customHeight="1" x14ac:dyDescent="0.25"/>
    <row r="1015" spans="25:26" ht="33.75" customHeight="1" x14ac:dyDescent="0.25"/>
    <row r="1016" spans="25:26" ht="33.75" customHeight="1" x14ac:dyDescent="0.25"/>
    <row r="1017" spans="25:26" ht="33.75" customHeight="1" x14ac:dyDescent="0.25"/>
    <row r="1018" spans="25:26" ht="33.75" customHeight="1" x14ac:dyDescent="0.25"/>
    <row r="1019" spans="25:26" ht="33.75" customHeight="1" x14ac:dyDescent="0.25"/>
    <row r="1020" spans="25:26" ht="33.75" customHeight="1" x14ac:dyDescent="0.25"/>
    <row r="1021" spans="25:26" ht="33.75" customHeight="1" x14ac:dyDescent="0.25"/>
    <row r="1022" spans="25:26" ht="33.75" customHeight="1" x14ac:dyDescent="0.25"/>
    <row r="1023" spans="25:26" ht="33.75" customHeight="1" x14ac:dyDescent="0.25"/>
    <row r="1024" spans="25:26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292">
    <cfRule type="beginsWith" dxfId="21" priority="18" operator="beginsWith" text="99">
      <formula>LEFT(H292,LEN("99"))="99"</formula>
    </cfRule>
  </conditionalFormatting>
  <conditionalFormatting sqref="H292">
    <cfRule type="beginsWith" dxfId="20" priority="19" operator="beginsWith" text="99">
      <formula>LEFT(H292,2)="99"</formula>
    </cfRule>
    <cfRule type="containsText" dxfId="19" priority="20" operator="containsText" text="rem">
      <formula>NOT(ISERROR(SEARCH("rem",H292)))</formula>
    </cfRule>
    <cfRule type="duplicateValues" dxfId="18" priority="21"/>
  </conditionalFormatting>
  <conditionalFormatting sqref="T292">
    <cfRule type="duplicateValues" dxfId="17" priority="22"/>
  </conditionalFormatting>
  <conditionalFormatting sqref="H6 H8:H291">
    <cfRule type="beginsWith" dxfId="16" priority="13" operator="beginsWith" text="99">
      <formula>LEFT(H6,LEN("99"))="99"</formula>
    </cfRule>
  </conditionalFormatting>
  <conditionalFormatting sqref="H6 H8:H291">
    <cfRule type="beginsWith" dxfId="15" priority="14" operator="beginsWith" text="99">
      <formula>LEFT(H6,2)="99"</formula>
    </cfRule>
    <cfRule type="containsText" dxfId="14" priority="15" operator="containsText" text="rem">
      <formula>NOT(ISERROR(SEARCH("rem",H6)))</formula>
    </cfRule>
    <cfRule type="duplicateValues" dxfId="13" priority="16"/>
  </conditionalFormatting>
  <conditionalFormatting sqref="T6 T8:T291">
    <cfRule type="duplicateValues" dxfId="12" priority="17"/>
  </conditionalFormatting>
  <conditionalFormatting sqref="A292">
    <cfRule type="duplicateValues" dxfId="11" priority="12"/>
  </conditionalFormatting>
  <conditionalFormatting sqref="A6 A8:A291">
    <cfRule type="duplicateValues" dxfId="10" priority="11"/>
  </conditionalFormatting>
  <conditionalFormatting sqref="H7">
    <cfRule type="beginsWith" dxfId="9" priority="6" operator="beginsWith" text="99">
      <formula>LEFT(H7,LEN("99"))="99"</formula>
    </cfRule>
  </conditionalFormatting>
  <conditionalFormatting sqref="H7">
    <cfRule type="beginsWith" dxfId="8" priority="7" operator="beginsWith" text="99">
      <formula>LEFT(H7,2)="99"</formula>
    </cfRule>
    <cfRule type="containsText" dxfId="7" priority="8" operator="containsText" text="rem">
      <formula>NOT(ISERROR(SEARCH("rem",H7)))</formula>
    </cfRule>
    <cfRule type="duplicateValues" dxfId="6" priority="9"/>
  </conditionalFormatting>
  <conditionalFormatting sqref="T7">
    <cfRule type="duplicateValues" dxfId="5" priority="10"/>
  </conditionalFormatting>
  <conditionalFormatting sqref="A7">
    <cfRule type="duplicateValues" dxfId="4" priority="5"/>
  </conditionalFormatting>
  <conditionalFormatting sqref="F6:F291">
    <cfRule type="cellIs" dxfId="3" priority="3" operator="lessThan">
      <formula>0</formula>
    </cfRule>
    <cfRule type="cellIs" dxfId="2" priority="4" operator="greaterThan">
      <formula>2000</formula>
    </cfRule>
  </conditionalFormatting>
  <conditionalFormatting sqref="L6:L291 N6:N291 P6:P291 R6:R291">
    <cfRule type="cellIs" dxfId="1" priority="2" operator="lessThan">
      <formula>0</formula>
    </cfRule>
  </conditionalFormatting>
  <conditionalFormatting sqref="L6:L291 R6:R291">
    <cfRule type="cellIs" dxfId="0" priority="1" operator="greaterThan">
      <formula>2000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rowBreaks count="1" manualBreakCount="1">
    <brk id="176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Usman</vt:lpstr>
      <vt:lpstr>Usman!Print_Area</vt:lpstr>
      <vt:lpstr>Usman!Print_Titles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2025-04-22T04:42:36Z</dcterms:created>
  <dcterms:modified xsi:type="dcterms:W3CDTF">2025-04-23T04:20:25Z</dcterms:modified>
</cp:coreProperties>
</file>