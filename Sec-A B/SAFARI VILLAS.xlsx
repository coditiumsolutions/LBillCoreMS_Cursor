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MSBT\Sec-A B\"/>
    </mc:Choice>
  </mc:AlternateContent>
  <bookViews>
    <workbookView xWindow="0" yWindow="0" windowWidth="24000" windowHeight="9735"/>
  </bookViews>
  <sheets>
    <sheet name="Safari Villas" sheetId="1" r:id="rId1"/>
  </sheets>
  <definedNames>
    <definedName name="_xlnm.Print_Area" localSheetId="0">'Safari Villas'!$A$1:$T$1111</definedName>
    <definedName name="_xlnm.Print_Titles" localSheetId="0">'Safari Villas'!#REF!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06" i="1" l="1"/>
  <c r="D1029" i="1"/>
  <c r="B1018" i="1"/>
  <c r="B820" i="1"/>
  <c r="B563" i="1"/>
  <c r="D416" i="1"/>
  <c r="B377" i="1"/>
  <c r="C283" i="1"/>
  <c r="B66" i="1" l="1"/>
  <c r="R1111" i="1" l="1"/>
  <c r="P1111" i="1"/>
  <c r="N1111" i="1"/>
  <c r="B1111" i="1"/>
  <c r="L1111" i="1" s="1"/>
  <c r="F1111" i="1" s="1"/>
  <c r="R1110" i="1"/>
  <c r="P1110" i="1"/>
  <c r="N1110" i="1"/>
  <c r="B1110" i="1"/>
  <c r="L1110" i="1" s="1"/>
  <c r="F1110" i="1" s="1"/>
  <c r="R1109" i="1"/>
  <c r="P1109" i="1"/>
  <c r="N1109" i="1"/>
  <c r="L1109" i="1"/>
  <c r="F1109" i="1" s="1"/>
  <c r="R1108" i="1"/>
  <c r="P1108" i="1"/>
  <c r="N1108" i="1"/>
  <c r="B1108" i="1"/>
  <c r="L1108" i="1" s="1"/>
  <c r="F1108" i="1" s="1"/>
  <c r="R1107" i="1"/>
  <c r="P1107" i="1"/>
  <c r="N1107" i="1"/>
  <c r="L1107" i="1"/>
  <c r="F1107" i="1" s="1"/>
  <c r="B1107" i="1"/>
  <c r="R1106" i="1"/>
  <c r="P1106" i="1"/>
  <c r="N1106" i="1"/>
  <c r="L1106" i="1"/>
  <c r="F1106" i="1" s="1"/>
  <c r="R1105" i="1"/>
  <c r="P1105" i="1"/>
  <c r="N1105" i="1"/>
  <c r="L1105" i="1"/>
  <c r="F1105" i="1" s="1"/>
  <c r="R1104" i="1"/>
  <c r="P1104" i="1"/>
  <c r="N1104" i="1"/>
  <c r="L1104" i="1"/>
  <c r="F1104" i="1" s="1"/>
  <c r="R1103" i="1"/>
  <c r="P1103" i="1"/>
  <c r="N1103" i="1"/>
  <c r="B1103" i="1"/>
  <c r="L1103" i="1" s="1"/>
  <c r="F1103" i="1" s="1"/>
  <c r="R1102" i="1"/>
  <c r="P1102" i="1"/>
  <c r="N1102" i="1"/>
  <c r="B1102" i="1"/>
  <c r="L1102" i="1" s="1"/>
  <c r="F1102" i="1" s="1"/>
  <c r="R1101" i="1"/>
  <c r="P1101" i="1"/>
  <c r="N1101" i="1"/>
  <c r="L1101" i="1"/>
  <c r="F1101" i="1" s="1"/>
  <c r="R1100" i="1"/>
  <c r="P1100" i="1"/>
  <c r="N1100" i="1"/>
  <c r="L1100" i="1"/>
  <c r="F1100" i="1" s="1"/>
  <c r="R1099" i="1"/>
  <c r="P1099" i="1"/>
  <c r="N1099" i="1"/>
  <c r="B1099" i="1"/>
  <c r="L1099" i="1" s="1"/>
  <c r="F1099" i="1" s="1"/>
  <c r="R1098" i="1"/>
  <c r="P1098" i="1"/>
  <c r="N1098" i="1"/>
  <c r="L1098" i="1"/>
  <c r="F1098" i="1" s="1"/>
  <c r="R1097" i="1"/>
  <c r="P1097" i="1"/>
  <c r="N1097" i="1"/>
  <c r="B1097" i="1"/>
  <c r="L1097" i="1" s="1"/>
  <c r="F1097" i="1" s="1"/>
  <c r="R1096" i="1"/>
  <c r="P1096" i="1"/>
  <c r="N1096" i="1"/>
  <c r="B1096" i="1"/>
  <c r="L1096" i="1" s="1"/>
  <c r="F1096" i="1" s="1"/>
  <c r="R1095" i="1"/>
  <c r="P1095" i="1"/>
  <c r="N1095" i="1"/>
  <c r="B1095" i="1"/>
  <c r="L1095" i="1" s="1"/>
  <c r="F1095" i="1" s="1"/>
  <c r="R1094" i="1"/>
  <c r="P1094" i="1"/>
  <c r="N1094" i="1"/>
  <c r="B1094" i="1"/>
  <c r="L1094" i="1" s="1"/>
  <c r="F1094" i="1" s="1"/>
  <c r="R1093" i="1"/>
  <c r="P1093" i="1"/>
  <c r="N1093" i="1"/>
  <c r="B1093" i="1"/>
  <c r="L1093" i="1" s="1"/>
  <c r="F1093" i="1" s="1"/>
  <c r="R1092" i="1"/>
  <c r="P1092" i="1"/>
  <c r="N1092" i="1"/>
  <c r="B1092" i="1"/>
  <c r="L1092" i="1" s="1"/>
  <c r="F1092" i="1" s="1"/>
  <c r="R1091" i="1"/>
  <c r="P1091" i="1"/>
  <c r="N1091" i="1"/>
  <c r="L1091" i="1"/>
  <c r="F1091" i="1" s="1"/>
  <c r="B1091" i="1"/>
  <c r="R1090" i="1"/>
  <c r="P1090" i="1"/>
  <c r="N1090" i="1"/>
  <c r="B1090" i="1"/>
  <c r="L1090" i="1" s="1"/>
  <c r="F1090" i="1" s="1"/>
  <c r="R1089" i="1"/>
  <c r="P1089" i="1"/>
  <c r="N1089" i="1"/>
  <c r="L1089" i="1"/>
  <c r="F1089" i="1" s="1"/>
  <c r="R1088" i="1"/>
  <c r="P1088" i="1"/>
  <c r="N1088" i="1"/>
  <c r="B1088" i="1"/>
  <c r="L1088" i="1" s="1"/>
  <c r="F1088" i="1" s="1"/>
  <c r="R1087" i="1"/>
  <c r="P1087" i="1"/>
  <c r="N1087" i="1"/>
  <c r="B1087" i="1"/>
  <c r="L1087" i="1" s="1"/>
  <c r="F1087" i="1" s="1"/>
  <c r="R1086" i="1"/>
  <c r="P1086" i="1"/>
  <c r="N1086" i="1"/>
  <c r="B1086" i="1"/>
  <c r="L1086" i="1" s="1"/>
  <c r="F1086" i="1" s="1"/>
  <c r="R1085" i="1"/>
  <c r="P1085" i="1"/>
  <c r="N1085" i="1"/>
  <c r="B1085" i="1"/>
  <c r="L1085" i="1" s="1"/>
  <c r="F1085" i="1" s="1"/>
  <c r="R1084" i="1"/>
  <c r="P1084" i="1"/>
  <c r="N1084" i="1"/>
  <c r="B1084" i="1"/>
  <c r="L1084" i="1" s="1"/>
  <c r="F1084" i="1" s="1"/>
  <c r="R1083" i="1"/>
  <c r="P1083" i="1"/>
  <c r="N1083" i="1"/>
  <c r="B1083" i="1"/>
  <c r="L1083" i="1" s="1"/>
  <c r="F1083" i="1" s="1"/>
  <c r="R1082" i="1"/>
  <c r="P1082" i="1"/>
  <c r="N1082" i="1"/>
  <c r="B1082" i="1"/>
  <c r="L1082" i="1" s="1"/>
  <c r="F1082" i="1" s="1"/>
  <c r="R1081" i="1"/>
  <c r="P1081" i="1"/>
  <c r="N1081" i="1"/>
  <c r="L1081" i="1"/>
  <c r="F1081" i="1" s="1"/>
  <c r="R1080" i="1"/>
  <c r="P1080" i="1"/>
  <c r="N1080" i="1"/>
  <c r="B1080" i="1"/>
  <c r="L1080" i="1" s="1"/>
  <c r="F1080" i="1" s="1"/>
  <c r="R1079" i="1"/>
  <c r="P1079" i="1"/>
  <c r="N1079" i="1"/>
  <c r="B1079" i="1"/>
  <c r="L1079" i="1" s="1"/>
  <c r="F1079" i="1" s="1"/>
  <c r="R1078" i="1"/>
  <c r="P1078" i="1"/>
  <c r="N1078" i="1"/>
  <c r="B1078" i="1"/>
  <c r="L1078" i="1" s="1"/>
  <c r="F1078" i="1" s="1"/>
  <c r="R1077" i="1"/>
  <c r="P1077" i="1"/>
  <c r="N1077" i="1"/>
  <c r="B1077" i="1"/>
  <c r="L1077" i="1" s="1"/>
  <c r="F1077" i="1" s="1"/>
  <c r="R1076" i="1"/>
  <c r="P1076" i="1"/>
  <c r="N1076" i="1"/>
  <c r="B1076" i="1"/>
  <c r="L1076" i="1" s="1"/>
  <c r="F1076" i="1" s="1"/>
  <c r="R1075" i="1"/>
  <c r="P1075" i="1"/>
  <c r="N1075" i="1"/>
  <c r="B1075" i="1"/>
  <c r="L1075" i="1" s="1"/>
  <c r="F1075" i="1" s="1"/>
  <c r="R1074" i="1"/>
  <c r="P1074" i="1"/>
  <c r="N1074" i="1"/>
  <c r="B1074" i="1"/>
  <c r="L1074" i="1" s="1"/>
  <c r="F1074" i="1" s="1"/>
  <c r="R1073" i="1"/>
  <c r="P1073" i="1"/>
  <c r="N1073" i="1"/>
  <c r="B1073" i="1"/>
  <c r="L1073" i="1" s="1"/>
  <c r="F1073" i="1" s="1"/>
  <c r="R1072" i="1"/>
  <c r="P1072" i="1"/>
  <c r="N1072" i="1"/>
  <c r="B1072" i="1"/>
  <c r="L1072" i="1" s="1"/>
  <c r="F1072" i="1" s="1"/>
  <c r="R1071" i="1"/>
  <c r="P1071" i="1"/>
  <c r="N1071" i="1"/>
  <c r="B1071" i="1"/>
  <c r="L1071" i="1" s="1"/>
  <c r="F1071" i="1" s="1"/>
  <c r="R1070" i="1"/>
  <c r="P1070" i="1"/>
  <c r="N1070" i="1"/>
  <c r="B1070" i="1"/>
  <c r="L1070" i="1" s="1"/>
  <c r="F1070" i="1" s="1"/>
  <c r="R1069" i="1"/>
  <c r="P1069" i="1"/>
  <c r="N1069" i="1"/>
  <c r="B1069" i="1"/>
  <c r="L1069" i="1" s="1"/>
  <c r="F1069" i="1" s="1"/>
  <c r="R1068" i="1"/>
  <c r="P1068" i="1"/>
  <c r="N1068" i="1"/>
  <c r="B1068" i="1"/>
  <c r="L1068" i="1" s="1"/>
  <c r="F1068" i="1" s="1"/>
  <c r="R1067" i="1"/>
  <c r="P1067" i="1"/>
  <c r="N1067" i="1"/>
  <c r="B1067" i="1"/>
  <c r="L1067" i="1" s="1"/>
  <c r="F1067" i="1" s="1"/>
  <c r="R1066" i="1"/>
  <c r="P1066" i="1"/>
  <c r="N1066" i="1"/>
  <c r="B1066" i="1"/>
  <c r="L1066" i="1" s="1"/>
  <c r="F1066" i="1" s="1"/>
  <c r="R1065" i="1"/>
  <c r="P1065" i="1"/>
  <c r="N1065" i="1"/>
  <c r="B1065" i="1"/>
  <c r="L1065" i="1" s="1"/>
  <c r="F1065" i="1" s="1"/>
  <c r="R1064" i="1"/>
  <c r="P1064" i="1"/>
  <c r="N1064" i="1"/>
  <c r="B1064" i="1"/>
  <c r="L1064" i="1" s="1"/>
  <c r="F1064" i="1" s="1"/>
  <c r="R1063" i="1"/>
  <c r="P1063" i="1"/>
  <c r="N1063" i="1"/>
  <c r="B1063" i="1"/>
  <c r="L1063" i="1" s="1"/>
  <c r="F1063" i="1" s="1"/>
  <c r="R1062" i="1"/>
  <c r="P1062" i="1"/>
  <c r="N1062" i="1"/>
  <c r="B1062" i="1"/>
  <c r="L1062" i="1" s="1"/>
  <c r="F1062" i="1" s="1"/>
  <c r="R1061" i="1"/>
  <c r="P1061" i="1"/>
  <c r="N1061" i="1"/>
  <c r="L1061" i="1"/>
  <c r="F1061" i="1" s="1"/>
  <c r="B1061" i="1"/>
  <c r="R1060" i="1"/>
  <c r="P1060" i="1"/>
  <c r="N1060" i="1"/>
  <c r="B1060" i="1"/>
  <c r="L1060" i="1" s="1"/>
  <c r="F1060" i="1" s="1"/>
  <c r="R1059" i="1"/>
  <c r="P1059" i="1"/>
  <c r="N1059" i="1"/>
  <c r="B1059" i="1"/>
  <c r="L1059" i="1" s="1"/>
  <c r="F1059" i="1" s="1"/>
  <c r="R1058" i="1"/>
  <c r="P1058" i="1"/>
  <c r="N1058" i="1"/>
  <c r="B1058" i="1"/>
  <c r="L1058" i="1" s="1"/>
  <c r="F1058" i="1" s="1"/>
  <c r="R1057" i="1"/>
  <c r="P1057" i="1"/>
  <c r="N1057" i="1"/>
  <c r="B1057" i="1"/>
  <c r="L1057" i="1" s="1"/>
  <c r="F1057" i="1" s="1"/>
  <c r="R1056" i="1"/>
  <c r="P1056" i="1"/>
  <c r="N1056" i="1"/>
  <c r="B1056" i="1"/>
  <c r="L1056" i="1" s="1"/>
  <c r="F1056" i="1" s="1"/>
  <c r="R1055" i="1"/>
  <c r="P1055" i="1"/>
  <c r="N1055" i="1"/>
  <c r="B1055" i="1"/>
  <c r="L1055" i="1" s="1"/>
  <c r="F1055" i="1" s="1"/>
  <c r="R1054" i="1"/>
  <c r="P1054" i="1"/>
  <c r="N1054" i="1"/>
  <c r="B1054" i="1"/>
  <c r="L1054" i="1" s="1"/>
  <c r="F1054" i="1" s="1"/>
  <c r="R1053" i="1"/>
  <c r="P1053" i="1"/>
  <c r="N1053" i="1"/>
  <c r="B1053" i="1"/>
  <c r="L1053" i="1" s="1"/>
  <c r="F1053" i="1" s="1"/>
  <c r="R1052" i="1"/>
  <c r="P1052" i="1"/>
  <c r="N1052" i="1"/>
  <c r="K1052" i="1"/>
  <c r="B1052" i="1"/>
  <c r="R1051" i="1"/>
  <c r="P1051" i="1"/>
  <c r="N1051" i="1"/>
  <c r="B1051" i="1"/>
  <c r="L1051" i="1" s="1"/>
  <c r="F1051" i="1" s="1"/>
  <c r="R1050" i="1"/>
  <c r="P1050" i="1"/>
  <c r="N1050" i="1"/>
  <c r="B1050" i="1"/>
  <c r="L1050" i="1" s="1"/>
  <c r="F1050" i="1" s="1"/>
  <c r="R1049" i="1"/>
  <c r="P1049" i="1"/>
  <c r="N1049" i="1"/>
  <c r="B1049" i="1"/>
  <c r="L1049" i="1" s="1"/>
  <c r="F1049" i="1" s="1"/>
  <c r="R1048" i="1"/>
  <c r="P1048" i="1"/>
  <c r="N1048" i="1"/>
  <c r="B1048" i="1"/>
  <c r="R1047" i="1"/>
  <c r="P1047" i="1"/>
  <c r="N1047" i="1"/>
  <c r="B1047" i="1"/>
  <c r="L1047" i="1" s="1"/>
  <c r="F1047" i="1" s="1"/>
  <c r="R1046" i="1"/>
  <c r="P1046" i="1"/>
  <c r="N1046" i="1"/>
  <c r="B1046" i="1"/>
  <c r="L1046" i="1" s="1"/>
  <c r="F1046" i="1" s="1"/>
  <c r="R1045" i="1"/>
  <c r="P1045" i="1"/>
  <c r="N1045" i="1"/>
  <c r="B1045" i="1"/>
  <c r="L1045" i="1" s="1"/>
  <c r="F1045" i="1" s="1"/>
  <c r="R1044" i="1"/>
  <c r="P1044" i="1"/>
  <c r="N1044" i="1"/>
  <c r="B1044" i="1"/>
  <c r="L1044" i="1" s="1"/>
  <c r="F1044" i="1" s="1"/>
  <c r="R1043" i="1"/>
  <c r="P1043" i="1"/>
  <c r="N1043" i="1"/>
  <c r="B1043" i="1"/>
  <c r="L1043" i="1" s="1"/>
  <c r="F1043" i="1" s="1"/>
  <c r="R1042" i="1"/>
  <c r="P1042" i="1"/>
  <c r="N1042" i="1"/>
  <c r="B1042" i="1"/>
  <c r="L1042" i="1" s="1"/>
  <c r="F1042" i="1" s="1"/>
  <c r="R1041" i="1"/>
  <c r="P1041" i="1"/>
  <c r="N1041" i="1"/>
  <c r="K1041" i="1"/>
  <c r="L1041" i="1" s="1"/>
  <c r="F1041" i="1" s="1"/>
  <c r="B1041" i="1"/>
  <c r="R1040" i="1"/>
  <c r="P1040" i="1"/>
  <c r="N1040" i="1"/>
  <c r="B1040" i="1"/>
  <c r="L1040" i="1" s="1"/>
  <c r="F1040" i="1" s="1"/>
  <c r="R1039" i="1"/>
  <c r="P1039" i="1"/>
  <c r="N1039" i="1"/>
  <c r="K1039" i="1"/>
  <c r="B1039" i="1"/>
  <c r="R1038" i="1"/>
  <c r="P1038" i="1"/>
  <c r="N1038" i="1"/>
  <c r="B1038" i="1"/>
  <c r="L1038" i="1" s="1"/>
  <c r="F1038" i="1" s="1"/>
  <c r="R1037" i="1"/>
  <c r="P1037" i="1"/>
  <c r="N1037" i="1"/>
  <c r="B1037" i="1"/>
  <c r="L1037" i="1" s="1"/>
  <c r="F1037" i="1" s="1"/>
  <c r="R1036" i="1"/>
  <c r="P1036" i="1"/>
  <c r="N1036" i="1"/>
  <c r="B1036" i="1"/>
  <c r="L1036" i="1" s="1"/>
  <c r="F1036" i="1" s="1"/>
  <c r="R1035" i="1"/>
  <c r="P1035" i="1"/>
  <c r="N1035" i="1"/>
  <c r="B1035" i="1"/>
  <c r="L1035" i="1" s="1"/>
  <c r="F1035" i="1" s="1"/>
  <c r="R1034" i="1"/>
  <c r="P1034" i="1"/>
  <c r="N1034" i="1"/>
  <c r="B1034" i="1"/>
  <c r="L1034" i="1" s="1"/>
  <c r="F1034" i="1" s="1"/>
  <c r="R1033" i="1"/>
  <c r="P1033" i="1"/>
  <c r="N1033" i="1"/>
  <c r="B1033" i="1"/>
  <c r="L1033" i="1" s="1"/>
  <c r="F1033" i="1" s="1"/>
  <c r="R1032" i="1"/>
  <c r="P1032" i="1"/>
  <c r="N1032" i="1"/>
  <c r="B1032" i="1"/>
  <c r="L1032" i="1" s="1"/>
  <c r="F1032" i="1" s="1"/>
  <c r="R1031" i="1"/>
  <c r="P1031" i="1"/>
  <c r="N1031" i="1"/>
  <c r="B1031" i="1"/>
  <c r="L1031" i="1" s="1"/>
  <c r="F1031" i="1" s="1"/>
  <c r="R1030" i="1"/>
  <c r="P1030" i="1"/>
  <c r="N1030" i="1"/>
  <c r="B1030" i="1"/>
  <c r="L1030" i="1" s="1"/>
  <c r="F1030" i="1" s="1"/>
  <c r="R1029" i="1"/>
  <c r="P1029" i="1"/>
  <c r="N1029" i="1"/>
  <c r="L1029" i="1"/>
  <c r="F1029" i="1" s="1"/>
  <c r="R1028" i="1"/>
  <c r="P1028" i="1"/>
  <c r="N1028" i="1"/>
  <c r="B1028" i="1"/>
  <c r="L1028" i="1" s="1"/>
  <c r="F1028" i="1" s="1"/>
  <c r="R1027" i="1"/>
  <c r="P1027" i="1"/>
  <c r="N1027" i="1"/>
  <c r="L1027" i="1"/>
  <c r="F1027" i="1" s="1"/>
  <c r="B1027" i="1"/>
  <c r="R1026" i="1"/>
  <c r="P1026" i="1"/>
  <c r="N1026" i="1"/>
  <c r="B1026" i="1"/>
  <c r="L1026" i="1" s="1"/>
  <c r="F1026" i="1" s="1"/>
  <c r="R1025" i="1"/>
  <c r="P1025" i="1"/>
  <c r="N1025" i="1"/>
  <c r="K1025" i="1"/>
  <c r="B1025" i="1"/>
  <c r="L1025" i="1" s="1"/>
  <c r="F1025" i="1" s="1"/>
  <c r="R1024" i="1"/>
  <c r="P1024" i="1"/>
  <c r="N1024" i="1"/>
  <c r="B1024" i="1"/>
  <c r="L1024" i="1" s="1"/>
  <c r="F1024" i="1" s="1"/>
  <c r="R1023" i="1"/>
  <c r="P1023" i="1"/>
  <c r="N1023" i="1"/>
  <c r="K1023" i="1"/>
  <c r="B1023" i="1"/>
  <c r="R1022" i="1"/>
  <c r="P1022" i="1"/>
  <c r="N1022" i="1"/>
  <c r="B1022" i="1"/>
  <c r="L1022" i="1" s="1"/>
  <c r="F1022" i="1" s="1"/>
  <c r="R1021" i="1"/>
  <c r="P1021" i="1"/>
  <c r="N1021" i="1"/>
  <c r="B1021" i="1"/>
  <c r="L1021" i="1" s="1"/>
  <c r="F1021" i="1" s="1"/>
  <c r="R1020" i="1"/>
  <c r="P1020" i="1"/>
  <c r="N1020" i="1"/>
  <c r="B1020" i="1"/>
  <c r="L1020" i="1" s="1"/>
  <c r="F1020" i="1" s="1"/>
  <c r="R1019" i="1"/>
  <c r="P1019" i="1"/>
  <c r="N1019" i="1"/>
  <c r="B1019" i="1"/>
  <c r="L1019" i="1" s="1"/>
  <c r="F1019" i="1" s="1"/>
  <c r="R1018" i="1"/>
  <c r="P1018" i="1"/>
  <c r="N1018" i="1"/>
  <c r="L1018" i="1"/>
  <c r="F1018" i="1" s="1"/>
  <c r="R1017" i="1"/>
  <c r="P1017" i="1"/>
  <c r="N1017" i="1"/>
  <c r="B1017" i="1"/>
  <c r="L1017" i="1" s="1"/>
  <c r="F1017" i="1" s="1"/>
  <c r="R1016" i="1"/>
  <c r="P1016" i="1"/>
  <c r="N1016" i="1"/>
  <c r="B1016" i="1"/>
  <c r="L1016" i="1" s="1"/>
  <c r="F1016" i="1" s="1"/>
  <c r="R1015" i="1"/>
  <c r="P1015" i="1"/>
  <c r="N1015" i="1"/>
  <c r="B1015" i="1"/>
  <c r="L1015" i="1" s="1"/>
  <c r="F1015" i="1" s="1"/>
  <c r="R1014" i="1"/>
  <c r="P1014" i="1"/>
  <c r="N1014" i="1"/>
  <c r="B1014" i="1"/>
  <c r="L1014" i="1" s="1"/>
  <c r="F1014" i="1" s="1"/>
  <c r="R1013" i="1"/>
  <c r="P1013" i="1"/>
  <c r="N1013" i="1"/>
  <c r="B1013" i="1"/>
  <c r="L1013" i="1" s="1"/>
  <c r="F1013" i="1" s="1"/>
  <c r="R1012" i="1"/>
  <c r="P1012" i="1"/>
  <c r="N1012" i="1"/>
  <c r="B1012" i="1"/>
  <c r="L1012" i="1" s="1"/>
  <c r="F1012" i="1" s="1"/>
  <c r="R1011" i="1"/>
  <c r="P1011" i="1"/>
  <c r="N1011" i="1"/>
  <c r="B1011" i="1"/>
  <c r="L1011" i="1" s="1"/>
  <c r="F1011" i="1" s="1"/>
  <c r="R1010" i="1"/>
  <c r="P1010" i="1"/>
  <c r="N1010" i="1"/>
  <c r="B1010" i="1"/>
  <c r="L1010" i="1" s="1"/>
  <c r="F1010" i="1" s="1"/>
  <c r="R1009" i="1"/>
  <c r="P1009" i="1"/>
  <c r="N1009" i="1"/>
  <c r="B1009" i="1"/>
  <c r="L1009" i="1" s="1"/>
  <c r="F1009" i="1" s="1"/>
  <c r="R1008" i="1"/>
  <c r="P1008" i="1"/>
  <c r="N1008" i="1"/>
  <c r="B1008" i="1"/>
  <c r="L1008" i="1" s="1"/>
  <c r="F1008" i="1" s="1"/>
  <c r="R1007" i="1"/>
  <c r="P1007" i="1"/>
  <c r="N1007" i="1"/>
  <c r="B1007" i="1"/>
  <c r="L1007" i="1" s="1"/>
  <c r="F1007" i="1" s="1"/>
  <c r="R1006" i="1"/>
  <c r="P1006" i="1"/>
  <c r="N1006" i="1"/>
  <c r="B1006" i="1"/>
  <c r="L1006" i="1" s="1"/>
  <c r="F1006" i="1" s="1"/>
  <c r="R1005" i="1"/>
  <c r="P1005" i="1"/>
  <c r="N1005" i="1"/>
  <c r="B1005" i="1"/>
  <c r="L1005" i="1" s="1"/>
  <c r="F1005" i="1" s="1"/>
  <c r="R1004" i="1"/>
  <c r="P1004" i="1"/>
  <c r="N1004" i="1"/>
  <c r="B1004" i="1"/>
  <c r="L1004" i="1" s="1"/>
  <c r="F1004" i="1" s="1"/>
  <c r="R1003" i="1"/>
  <c r="P1003" i="1"/>
  <c r="N1003" i="1"/>
  <c r="B1003" i="1"/>
  <c r="L1003" i="1" s="1"/>
  <c r="F1003" i="1" s="1"/>
  <c r="R1002" i="1"/>
  <c r="P1002" i="1"/>
  <c r="N1002" i="1"/>
  <c r="B1002" i="1"/>
  <c r="L1002" i="1" s="1"/>
  <c r="F1002" i="1" s="1"/>
  <c r="R1001" i="1"/>
  <c r="P1001" i="1"/>
  <c r="N1001" i="1"/>
  <c r="B1001" i="1"/>
  <c r="L1001" i="1" s="1"/>
  <c r="F1001" i="1" s="1"/>
  <c r="R1000" i="1"/>
  <c r="P1000" i="1"/>
  <c r="N1000" i="1"/>
  <c r="B1000" i="1"/>
  <c r="L1000" i="1" s="1"/>
  <c r="F1000" i="1" s="1"/>
  <c r="R999" i="1"/>
  <c r="P999" i="1"/>
  <c r="N999" i="1"/>
  <c r="L999" i="1"/>
  <c r="F999" i="1" s="1"/>
  <c r="B999" i="1"/>
  <c r="R998" i="1"/>
  <c r="P998" i="1"/>
  <c r="N998" i="1"/>
  <c r="B998" i="1"/>
  <c r="L998" i="1" s="1"/>
  <c r="F998" i="1" s="1"/>
  <c r="R997" i="1"/>
  <c r="P997" i="1"/>
  <c r="N997" i="1"/>
  <c r="B997" i="1"/>
  <c r="L997" i="1" s="1"/>
  <c r="F997" i="1" s="1"/>
  <c r="R996" i="1"/>
  <c r="P996" i="1"/>
  <c r="N996" i="1"/>
  <c r="B996" i="1"/>
  <c r="L996" i="1" s="1"/>
  <c r="F996" i="1" s="1"/>
  <c r="R995" i="1"/>
  <c r="P995" i="1"/>
  <c r="N995" i="1"/>
  <c r="B995" i="1"/>
  <c r="L995" i="1" s="1"/>
  <c r="F995" i="1" s="1"/>
  <c r="R994" i="1"/>
  <c r="P994" i="1"/>
  <c r="N994" i="1"/>
  <c r="B994" i="1"/>
  <c r="L994" i="1" s="1"/>
  <c r="F994" i="1" s="1"/>
  <c r="R993" i="1"/>
  <c r="P993" i="1"/>
  <c r="N993" i="1"/>
  <c r="B993" i="1"/>
  <c r="L993" i="1" s="1"/>
  <c r="F993" i="1" s="1"/>
  <c r="R992" i="1"/>
  <c r="P992" i="1"/>
  <c r="N992" i="1"/>
  <c r="B992" i="1"/>
  <c r="L992" i="1" s="1"/>
  <c r="F992" i="1" s="1"/>
  <c r="R991" i="1"/>
  <c r="P991" i="1"/>
  <c r="N991" i="1"/>
  <c r="B991" i="1"/>
  <c r="L991" i="1" s="1"/>
  <c r="F991" i="1" s="1"/>
  <c r="R990" i="1"/>
  <c r="P990" i="1"/>
  <c r="N990" i="1"/>
  <c r="B990" i="1"/>
  <c r="L990" i="1" s="1"/>
  <c r="F990" i="1" s="1"/>
  <c r="R989" i="1"/>
  <c r="P989" i="1"/>
  <c r="N989" i="1"/>
  <c r="B989" i="1"/>
  <c r="L989" i="1" s="1"/>
  <c r="F989" i="1" s="1"/>
  <c r="R988" i="1"/>
  <c r="P988" i="1"/>
  <c r="N988" i="1"/>
  <c r="B988" i="1"/>
  <c r="L988" i="1" s="1"/>
  <c r="F988" i="1" s="1"/>
  <c r="R987" i="1"/>
  <c r="P987" i="1"/>
  <c r="N987" i="1"/>
  <c r="B987" i="1"/>
  <c r="L987" i="1" s="1"/>
  <c r="F987" i="1" s="1"/>
  <c r="R986" i="1"/>
  <c r="P986" i="1"/>
  <c r="N986" i="1"/>
  <c r="B986" i="1"/>
  <c r="L986" i="1" s="1"/>
  <c r="F986" i="1" s="1"/>
  <c r="R985" i="1"/>
  <c r="P985" i="1"/>
  <c r="N985" i="1"/>
  <c r="B985" i="1"/>
  <c r="L985" i="1" s="1"/>
  <c r="F985" i="1" s="1"/>
  <c r="R984" i="1"/>
  <c r="P984" i="1"/>
  <c r="N984" i="1"/>
  <c r="B984" i="1"/>
  <c r="L984" i="1" s="1"/>
  <c r="F984" i="1" s="1"/>
  <c r="R983" i="1"/>
  <c r="P983" i="1"/>
  <c r="N983" i="1"/>
  <c r="B983" i="1"/>
  <c r="L983" i="1" s="1"/>
  <c r="F983" i="1" s="1"/>
  <c r="R982" i="1"/>
  <c r="P982" i="1"/>
  <c r="N982" i="1"/>
  <c r="B982" i="1"/>
  <c r="L982" i="1" s="1"/>
  <c r="F982" i="1" s="1"/>
  <c r="R981" i="1"/>
  <c r="P981" i="1"/>
  <c r="N981" i="1"/>
  <c r="B981" i="1"/>
  <c r="L981" i="1" s="1"/>
  <c r="F981" i="1" s="1"/>
  <c r="R980" i="1"/>
  <c r="P980" i="1"/>
  <c r="N980" i="1"/>
  <c r="B980" i="1"/>
  <c r="L980" i="1" s="1"/>
  <c r="F980" i="1" s="1"/>
  <c r="R979" i="1"/>
  <c r="P979" i="1"/>
  <c r="N979" i="1"/>
  <c r="K979" i="1"/>
  <c r="B979" i="1"/>
  <c r="R978" i="1"/>
  <c r="P978" i="1"/>
  <c r="N978" i="1"/>
  <c r="B978" i="1"/>
  <c r="L978" i="1" s="1"/>
  <c r="F978" i="1" s="1"/>
  <c r="R977" i="1"/>
  <c r="P977" i="1"/>
  <c r="N977" i="1"/>
  <c r="B977" i="1"/>
  <c r="L977" i="1" s="1"/>
  <c r="F977" i="1" s="1"/>
  <c r="R976" i="1"/>
  <c r="P976" i="1"/>
  <c r="N976" i="1"/>
  <c r="B976" i="1"/>
  <c r="L976" i="1" s="1"/>
  <c r="F976" i="1" s="1"/>
  <c r="R975" i="1"/>
  <c r="P975" i="1"/>
  <c r="N975" i="1"/>
  <c r="B975" i="1"/>
  <c r="L975" i="1" s="1"/>
  <c r="F975" i="1" s="1"/>
  <c r="R974" i="1"/>
  <c r="P974" i="1"/>
  <c r="N974" i="1"/>
  <c r="B974" i="1"/>
  <c r="L974" i="1" s="1"/>
  <c r="F974" i="1" s="1"/>
  <c r="R973" i="1"/>
  <c r="P973" i="1"/>
  <c r="N973" i="1"/>
  <c r="B973" i="1"/>
  <c r="L973" i="1" s="1"/>
  <c r="F973" i="1" s="1"/>
  <c r="R972" i="1"/>
  <c r="P972" i="1"/>
  <c r="N972" i="1"/>
  <c r="B972" i="1"/>
  <c r="L972" i="1" s="1"/>
  <c r="F972" i="1" s="1"/>
  <c r="R971" i="1"/>
  <c r="P971" i="1"/>
  <c r="N971" i="1"/>
  <c r="B971" i="1"/>
  <c r="L971" i="1" s="1"/>
  <c r="F971" i="1" s="1"/>
  <c r="R970" i="1"/>
  <c r="P970" i="1"/>
  <c r="N970" i="1"/>
  <c r="B970" i="1"/>
  <c r="L970" i="1" s="1"/>
  <c r="F970" i="1" s="1"/>
  <c r="R969" i="1"/>
  <c r="P969" i="1"/>
  <c r="N969" i="1"/>
  <c r="B969" i="1"/>
  <c r="L969" i="1" s="1"/>
  <c r="F969" i="1" s="1"/>
  <c r="R968" i="1"/>
  <c r="P968" i="1"/>
  <c r="N968" i="1"/>
  <c r="B968" i="1"/>
  <c r="L968" i="1" s="1"/>
  <c r="F968" i="1" s="1"/>
  <c r="R967" i="1"/>
  <c r="P967" i="1"/>
  <c r="N967" i="1"/>
  <c r="B967" i="1"/>
  <c r="L967" i="1" s="1"/>
  <c r="F967" i="1" s="1"/>
  <c r="R966" i="1"/>
  <c r="P966" i="1"/>
  <c r="N966" i="1"/>
  <c r="B966" i="1"/>
  <c r="L966" i="1" s="1"/>
  <c r="F966" i="1" s="1"/>
  <c r="R965" i="1"/>
  <c r="P965" i="1"/>
  <c r="N965" i="1"/>
  <c r="B965" i="1"/>
  <c r="L965" i="1" s="1"/>
  <c r="F965" i="1" s="1"/>
  <c r="R964" i="1"/>
  <c r="P964" i="1"/>
  <c r="N964" i="1"/>
  <c r="B964" i="1"/>
  <c r="L964" i="1" s="1"/>
  <c r="F964" i="1" s="1"/>
  <c r="R963" i="1"/>
  <c r="P963" i="1"/>
  <c r="N963" i="1"/>
  <c r="B963" i="1"/>
  <c r="L963" i="1" s="1"/>
  <c r="F963" i="1" s="1"/>
  <c r="R962" i="1"/>
  <c r="P962" i="1"/>
  <c r="N962" i="1"/>
  <c r="B962" i="1"/>
  <c r="L962" i="1" s="1"/>
  <c r="F962" i="1" s="1"/>
  <c r="R961" i="1"/>
  <c r="P961" i="1"/>
  <c r="N961" i="1"/>
  <c r="B961" i="1"/>
  <c r="L961" i="1" s="1"/>
  <c r="F961" i="1" s="1"/>
  <c r="R960" i="1"/>
  <c r="P960" i="1"/>
  <c r="N960" i="1"/>
  <c r="B960" i="1"/>
  <c r="L960" i="1" s="1"/>
  <c r="F960" i="1" s="1"/>
  <c r="R959" i="1"/>
  <c r="P959" i="1"/>
  <c r="N959" i="1"/>
  <c r="B959" i="1"/>
  <c r="L959" i="1" s="1"/>
  <c r="F959" i="1" s="1"/>
  <c r="R958" i="1"/>
  <c r="P958" i="1"/>
  <c r="N958" i="1"/>
  <c r="B958" i="1"/>
  <c r="L958" i="1" s="1"/>
  <c r="F958" i="1" s="1"/>
  <c r="R957" i="1"/>
  <c r="P957" i="1"/>
  <c r="N957" i="1"/>
  <c r="B957" i="1"/>
  <c r="L957" i="1" s="1"/>
  <c r="F957" i="1" s="1"/>
  <c r="R956" i="1"/>
  <c r="P956" i="1"/>
  <c r="N956" i="1"/>
  <c r="L956" i="1"/>
  <c r="F956" i="1" s="1"/>
  <c r="B956" i="1"/>
  <c r="R955" i="1"/>
  <c r="P955" i="1"/>
  <c r="N955" i="1"/>
  <c r="B955" i="1"/>
  <c r="L955" i="1" s="1"/>
  <c r="F955" i="1" s="1"/>
  <c r="R954" i="1"/>
  <c r="P954" i="1"/>
  <c r="N954" i="1"/>
  <c r="B954" i="1"/>
  <c r="L954" i="1" s="1"/>
  <c r="F954" i="1" s="1"/>
  <c r="R953" i="1"/>
  <c r="P953" i="1"/>
  <c r="N953" i="1"/>
  <c r="B953" i="1"/>
  <c r="L953" i="1" s="1"/>
  <c r="F953" i="1" s="1"/>
  <c r="R952" i="1"/>
  <c r="P952" i="1"/>
  <c r="N952" i="1"/>
  <c r="B952" i="1"/>
  <c r="L952" i="1" s="1"/>
  <c r="F952" i="1" s="1"/>
  <c r="R951" i="1"/>
  <c r="P951" i="1"/>
  <c r="N951" i="1"/>
  <c r="B951" i="1"/>
  <c r="L951" i="1" s="1"/>
  <c r="F951" i="1" s="1"/>
  <c r="R950" i="1"/>
  <c r="P950" i="1"/>
  <c r="N950" i="1"/>
  <c r="B950" i="1"/>
  <c r="L950" i="1" s="1"/>
  <c r="F950" i="1" s="1"/>
  <c r="R949" i="1"/>
  <c r="P949" i="1"/>
  <c r="N949" i="1"/>
  <c r="B949" i="1"/>
  <c r="L949" i="1" s="1"/>
  <c r="F949" i="1" s="1"/>
  <c r="R948" i="1"/>
  <c r="P948" i="1"/>
  <c r="N948" i="1"/>
  <c r="B948" i="1"/>
  <c r="L948" i="1" s="1"/>
  <c r="F948" i="1" s="1"/>
  <c r="R947" i="1"/>
  <c r="P947" i="1"/>
  <c r="N947" i="1"/>
  <c r="B947" i="1"/>
  <c r="L947" i="1" s="1"/>
  <c r="F947" i="1" s="1"/>
  <c r="R946" i="1"/>
  <c r="P946" i="1"/>
  <c r="N946" i="1"/>
  <c r="B946" i="1"/>
  <c r="L946" i="1" s="1"/>
  <c r="F946" i="1" s="1"/>
  <c r="R945" i="1"/>
  <c r="P945" i="1"/>
  <c r="N945" i="1"/>
  <c r="B945" i="1"/>
  <c r="L945" i="1" s="1"/>
  <c r="F945" i="1" s="1"/>
  <c r="R944" i="1"/>
  <c r="P944" i="1"/>
  <c r="N944" i="1"/>
  <c r="B944" i="1"/>
  <c r="L944" i="1" s="1"/>
  <c r="F944" i="1" s="1"/>
  <c r="R943" i="1"/>
  <c r="P943" i="1"/>
  <c r="N943" i="1"/>
  <c r="B943" i="1"/>
  <c r="L943" i="1" s="1"/>
  <c r="F943" i="1" s="1"/>
  <c r="R942" i="1"/>
  <c r="P942" i="1"/>
  <c r="N942" i="1"/>
  <c r="B942" i="1"/>
  <c r="L942" i="1" s="1"/>
  <c r="F942" i="1" s="1"/>
  <c r="R941" i="1"/>
  <c r="P941" i="1"/>
  <c r="N941" i="1"/>
  <c r="B941" i="1"/>
  <c r="L941" i="1" s="1"/>
  <c r="F941" i="1" s="1"/>
  <c r="R940" i="1"/>
  <c r="P940" i="1"/>
  <c r="N940" i="1"/>
  <c r="B940" i="1"/>
  <c r="L940" i="1" s="1"/>
  <c r="F940" i="1" s="1"/>
  <c r="R939" i="1"/>
  <c r="P939" i="1"/>
  <c r="N939" i="1"/>
  <c r="B939" i="1"/>
  <c r="L939" i="1" s="1"/>
  <c r="F939" i="1" s="1"/>
  <c r="R938" i="1"/>
  <c r="P938" i="1"/>
  <c r="N938" i="1"/>
  <c r="B938" i="1"/>
  <c r="L938" i="1" s="1"/>
  <c r="F938" i="1" s="1"/>
  <c r="R937" i="1"/>
  <c r="P937" i="1"/>
  <c r="N937" i="1"/>
  <c r="B937" i="1"/>
  <c r="L937" i="1" s="1"/>
  <c r="F937" i="1" s="1"/>
  <c r="R936" i="1"/>
  <c r="P936" i="1"/>
  <c r="N936" i="1"/>
  <c r="B936" i="1"/>
  <c r="L936" i="1" s="1"/>
  <c r="F936" i="1" s="1"/>
  <c r="R935" i="1"/>
  <c r="P935" i="1"/>
  <c r="N935" i="1"/>
  <c r="B935" i="1"/>
  <c r="L935" i="1" s="1"/>
  <c r="F935" i="1" s="1"/>
  <c r="R934" i="1"/>
  <c r="P934" i="1"/>
  <c r="N934" i="1"/>
  <c r="B934" i="1"/>
  <c r="L934" i="1" s="1"/>
  <c r="F934" i="1" s="1"/>
  <c r="R933" i="1"/>
  <c r="P933" i="1"/>
  <c r="N933" i="1"/>
  <c r="B933" i="1"/>
  <c r="L933" i="1" s="1"/>
  <c r="F933" i="1" s="1"/>
  <c r="R932" i="1"/>
  <c r="P932" i="1"/>
  <c r="N932" i="1"/>
  <c r="B932" i="1"/>
  <c r="L932" i="1" s="1"/>
  <c r="F932" i="1" s="1"/>
  <c r="R931" i="1"/>
  <c r="P931" i="1"/>
  <c r="N931" i="1"/>
  <c r="B931" i="1"/>
  <c r="L931" i="1" s="1"/>
  <c r="F931" i="1" s="1"/>
  <c r="R930" i="1"/>
  <c r="P930" i="1"/>
  <c r="N930" i="1"/>
  <c r="L930" i="1"/>
  <c r="F930" i="1" s="1"/>
  <c r="B930" i="1"/>
  <c r="R929" i="1"/>
  <c r="P929" i="1"/>
  <c r="N929" i="1"/>
  <c r="B929" i="1"/>
  <c r="L929" i="1" s="1"/>
  <c r="F929" i="1" s="1"/>
  <c r="R928" i="1"/>
  <c r="P928" i="1"/>
  <c r="N928" i="1"/>
  <c r="B928" i="1"/>
  <c r="L928" i="1" s="1"/>
  <c r="F928" i="1" s="1"/>
  <c r="R927" i="1"/>
  <c r="P927" i="1"/>
  <c r="N927" i="1"/>
  <c r="B927" i="1"/>
  <c r="L927" i="1" s="1"/>
  <c r="F927" i="1" s="1"/>
  <c r="R926" i="1"/>
  <c r="P926" i="1"/>
  <c r="N926" i="1"/>
  <c r="B926" i="1"/>
  <c r="L926" i="1" s="1"/>
  <c r="F926" i="1" s="1"/>
  <c r="R925" i="1"/>
  <c r="P925" i="1"/>
  <c r="N925" i="1"/>
  <c r="B925" i="1"/>
  <c r="L925" i="1" s="1"/>
  <c r="F925" i="1" s="1"/>
  <c r="R924" i="1"/>
  <c r="P924" i="1"/>
  <c r="N924" i="1"/>
  <c r="B924" i="1"/>
  <c r="L924" i="1" s="1"/>
  <c r="F924" i="1" s="1"/>
  <c r="R923" i="1"/>
  <c r="P923" i="1"/>
  <c r="N923" i="1"/>
  <c r="B923" i="1"/>
  <c r="L923" i="1" s="1"/>
  <c r="F923" i="1" s="1"/>
  <c r="R922" i="1"/>
  <c r="P922" i="1"/>
  <c r="N922" i="1"/>
  <c r="K922" i="1"/>
  <c r="B922" i="1"/>
  <c r="R921" i="1"/>
  <c r="P921" i="1"/>
  <c r="N921" i="1"/>
  <c r="B921" i="1"/>
  <c r="L921" i="1" s="1"/>
  <c r="F921" i="1" s="1"/>
  <c r="R920" i="1"/>
  <c r="P920" i="1"/>
  <c r="N920" i="1"/>
  <c r="B920" i="1"/>
  <c r="L920" i="1" s="1"/>
  <c r="F920" i="1" s="1"/>
  <c r="R919" i="1"/>
  <c r="P919" i="1"/>
  <c r="N919" i="1"/>
  <c r="B919" i="1"/>
  <c r="L919" i="1" s="1"/>
  <c r="F919" i="1" s="1"/>
  <c r="R918" i="1"/>
  <c r="P918" i="1"/>
  <c r="N918" i="1"/>
  <c r="B918" i="1"/>
  <c r="L918" i="1" s="1"/>
  <c r="F918" i="1" s="1"/>
  <c r="R917" i="1"/>
  <c r="P917" i="1"/>
  <c r="N917" i="1"/>
  <c r="B917" i="1"/>
  <c r="L917" i="1" s="1"/>
  <c r="F917" i="1" s="1"/>
  <c r="R916" i="1"/>
  <c r="P916" i="1"/>
  <c r="N916" i="1"/>
  <c r="K916" i="1"/>
  <c r="B916" i="1"/>
  <c r="R915" i="1"/>
  <c r="P915" i="1"/>
  <c r="N915" i="1"/>
  <c r="B915" i="1"/>
  <c r="L915" i="1" s="1"/>
  <c r="F915" i="1" s="1"/>
  <c r="R914" i="1"/>
  <c r="P914" i="1"/>
  <c r="N914" i="1"/>
  <c r="B914" i="1"/>
  <c r="L914" i="1" s="1"/>
  <c r="F914" i="1" s="1"/>
  <c r="R913" i="1"/>
  <c r="P913" i="1"/>
  <c r="N913" i="1"/>
  <c r="B913" i="1"/>
  <c r="L913" i="1" s="1"/>
  <c r="F913" i="1" s="1"/>
  <c r="R912" i="1"/>
  <c r="P912" i="1"/>
  <c r="N912" i="1"/>
  <c r="B912" i="1"/>
  <c r="L912" i="1" s="1"/>
  <c r="F912" i="1" s="1"/>
  <c r="R911" i="1"/>
  <c r="P911" i="1"/>
  <c r="N911" i="1"/>
  <c r="B911" i="1"/>
  <c r="L911" i="1" s="1"/>
  <c r="F911" i="1" s="1"/>
  <c r="R910" i="1"/>
  <c r="P910" i="1"/>
  <c r="N910" i="1"/>
  <c r="L910" i="1"/>
  <c r="F910" i="1" s="1"/>
  <c r="B910" i="1"/>
  <c r="R909" i="1"/>
  <c r="P909" i="1"/>
  <c r="N909" i="1"/>
  <c r="B909" i="1"/>
  <c r="L909" i="1" s="1"/>
  <c r="F909" i="1" s="1"/>
  <c r="R908" i="1"/>
  <c r="P908" i="1"/>
  <c r="N908" i="1"/>
  <c r="B908" i="1"/>
  <c r="L908" i="1" s="1"/>
  <c r="F908" i="1" s="1"/>
  <c r="R907" i="1"/>
  <c r="P907" i="1"/>
  <c r="N907" i="1"/>
  <c r="B907" i="1"/>
  <c r="L907" i="1" s="1"/>
  <c r="F907" i="1" s="1"/>
  <c r="R906" i="1"/>
  <c r="P906" i="1"/>
  <c r="N906" i="1"/>
  <c r="B906" i="1"/>
  <c r="L906" i="1" s="1"/>
  <c r="F906" i="1" s="1"/>
  <c r="R905" i="1"/>
  <c r="P905" i="1"/>
  <c r="N905" i="1"/>
  <c r="B905" i="1"/>
  <c r="L905" i="1" s="1"/>
  <c r="F905" i="1" s="1"/>
  <c r="R904" i="1"/>
  <c r="P904" i="1"/>
  <c r="N904" i="1"/>
  <c r="B904" i="1"/>
  <c r="L904" i="1" s="1"/>
  <c r="F904" i="1" s="1"/>
  <c r="R903" i="1"/>
  <c r="P903" i="1"/>
  <c r="N903" i="1"/>
  <c r="B903" i="1"/>
  <c r="L903" i="1" s="1"/>
  <c r="F903" i="1" s="1"/>
  <c r="R902" i="1"/>
  <c r="P902" i="1"/>
  <c r="N902" i="1"/>
  <c r="B902" i="1"/>
  <c r="L902" i="1" s="1"/>
  <c r="F902" i="1" s="1"/>
  <c r="R901" i="1"/>
  <c r="P901" i="1"/>
  <c r="N901" i="1"/>
  <c r="B901" i="1"/>
  <c r="L901" i="1" s="1"/>
  <c r="F901" i="1" s="1"/>
  <c r="R900" i="1"/>
  <c r="P900" i="1"/>
  <c r="N900" i="1"/>
  <c r="L900" i="1"/>
  <c r="F900" i="1" s="1"/>
  <c r="B900" i="1"/>
  <c r="R899" i="1"/>
  <c r="P899" i="1"/>
  <c r="N899" i="1"/>
  <c r="B899" i="1"/>
  <c r="L899" i="1" s="1"/>
  <c r="F899" i="1" s="1"/>
  <c r="R898" i="1"/>
  <c r="P898" i="1"/>
  <c r="N898" i="1"/>
  <c r="B898" i="1"/>
  <c r="L898" i="1" s="1"/>
  <c r="F898" i="1" s="1"/>
  <c r="R897" i="1"/>
  <c r="P897" i="1"/>
  <c r="N897" i="1"/>
  <c r="B897" i="1"/>
  <c r="L897" i="1" s="1"/>
  <c r="F897" i="1" s="1"/>
  <c r="R896" i="1"/>
  <c r="P896" i="1"/>
  <c r="N896" i="1"/>
  <c r="B896" i="1"/>
  <c r="L896" i="1" s="1"/>
  <c r="F896" i="1" s="1"/>
  <c r="R895" i="1"/>
  <c r="P895" i="1"/>
  <c r="N895" i="1"/>
  <c r="B895" i="1"/>
  <c r="L895" i="1" s="1"/>
  <c r="F895" i="1" s="1"/>
  <c r="R894" i="1"/>
  <c r="P894" i="1"/>
  <c r="N894" i="1"/>
  <c r="L894" i="1"/>
  <c r="F894" i="1" s="1"/>
  <c r="B894" i="1"/>
  <c r="R893" i="1"/>
  <c r="P893" i="1"/>
  <c r="N893" i="1"/>
  <c r="B893" i="1"/>
  <c r="L893" i="1" s="1"/>
  <c r="F893" i="1" s="1"/>
  <c r="R892" i="1"/>
  <c r="P892" i="1"/>
  <c r="N892" i="1"/>
  <c r="B892" i="1"/>
  <c r="L892" i="1" s="1"/>
  <c r="F892" i="1" s="1"/>
  <c r="R891" i="1"/>
  <c r="P891" i="1"/>
  <c r="N891" i="1"/>
  <c r="B891" i="1"/>
  <c r="L891" i="1" s="1"/>
  <c r="F891" i="1" s="1"/>
  <c r="R890" i="1"/>
  <c r="P890" i="1"/>
  <c r="N890" i="1"/>
  <c r="B890" i="1"/>
  <c r="L890" i="1" s="1"/>
  <c r="F890" i="1" s="1"/>
  <c r="R889" i="1"/>
  <c r="P889" i="1"/>
  <c r="N889" i="1"/>
  <c r="L889" i="1"/>
  <c r="F889" i="1" s="1"/>
  <c r="R888" i="1"/>
  <c r="P888" i="1"/>
  <c r="N888" i="1"/>
  <c r="B888" i="1"/>
  <c r="L888" i="1" s="1"/>
  <c r="F888" i="1" s="1"/>
  <c r="R887" i="1"/>
  <c r="P887" i="1"/>
  <c r="N887" i="1"/>
  <c r="B887" i="1"/>
  <c r="L887" i="1" s="1"/>
  <c r="F887" i="1" s="1"/>
  <c r="R886" i="1"/>
  <c r="P886" i="1"/>
  <c r="N886" i="1"/>
  <c r="B886" i="1"/>
  <c r="L886" i="1" s="1"/>
  <c r="F886" i="1" s="1"/>
  <c r="R885" i="1"/>
  <c r="P885" i="1"/>
  <c r="N885" i="1"/>
  <c r="B885" i="1"/>
  <c r="L885" i="1" s="1"/>
  <c r="F885" i="1" s="1"/>
  <c r="R884" i="1"/>
  <c r="P884" i="1"/>
  <c r="N884" i="1"/>
  <c r="K884" i="1"/>
  <c r="B884" i="1"/>
  <c r="L884" i="1" s="1"/>
  <c r="F884" i="1" s="1"/>
  <c r="R883" i="1"/>
  <c r="P883" i="1"/>
  <c r="N883" i="1"/>
  <c r="K883" i="1"/>
  <c r="B883" i="1"/>
  <c r="R882" i="1"/>
  <c r="P882" i="1"/>
  <c r="N882" i="1"/>
  <c r="B882" i="1"/>
  <c r="L882" i="1" s="1"/>
  <c r="F882" i="1" s="1"/>
  <c r="R881" i="1"/>
  <c r="P881" i="1"/>
  <c r="N881" i="1"/>
  <c r="B881" i="1"/>
  <c r="L881" i="1" s="1"/>
  <c r="F881" i="1" s="1"/>
  <c r="R880" i="1"/>
  <c r="P880" i="1"/>
  <c r="N880" i="1"/>
  <c r="B880" i="1"/>
  <c r="L880" i="1" s="1"/>
  <c r="F880" i="1" s="1"/>
  <c r="R879" i="1"/>
  <c r="P879" i="1"/>
  <c r="N879" i="1"/>
  <c r="B879" i="1"/>
  <c r="L879" i="1" s="1"/>
  <c r="F879" i="1" s="1"/>
  <c r="R878" i="1"/>
  <c r="P878" i="1"/>
  <c r="N878" i="1"/>
  <c r="B878" i="1"/>
  <c r="L878" i="1" s="1"/>
  <c r="F878" i="1" s="1"/>
  <c r="R877" i="1"/>
  <c r="P877" i="1"/>
  <c r="N877" i="1"/>
  <c r="B877" i="1"/>
  <c r="L877" i="1" s="1"/>
  <c r="F877" i="1" s="1"/>
  <c r="R876" i="1"/>
  <c r="P876" i="1"/>
  <c r="N876" i="1"/>
  <c r="B876" i="1"/>
  <c r="L876" i="1" s="1"/>
  <c r="F876" i="1" s="1"/>
  <c r="R875" i="1"/>
  <c r="P875" i="1"/>
  <c r="N875" i="1"/>
  <c r="B875" i="1"/>
  <c r="L875" i="1" s="1"/>
  <c r="F875" i="1" s="1"/>
  <c r="R874" i="1"/>
  <c r="P874" i="1"/>
  <c r="N874" i="1"/>
  <c r="B874" i="1"/>
  <c r="L874" i="1" s="1"/>
  <c r="F874" i="1" s="1"/>
  <c r="R873" i="1"/>
  <c r="P873" i="1"/>
  <c r="N873" i="1"/>
  <c r="B873" i="1"/>
  <c r="L873" i="1" s="1"/>
  <c r="F873" i="1" s="1"/>
  <c r="R872" i="1"/>
  <c r="P872" i="1"/>
  <c r="N872" i="1"/>
  <c r="B872" i="1"/>
  <c r="L872" i="1" s="1"/>
  <c r="F872" i="1" s="1"/>
  <c r="R871" i="1"/>
  <c r="P871" i="1"/>
  <c r="N871" i="1"/>
  <c r="B871" i="1"/>
  <c r="L871" i="1" s="1"/>
  <c r="F871" i="1" s="1"/>
  <c r="R870" i="1"/>
  <c r="P870" i="1"/>
  <c r="N870" i="1"/>
  <c r="B870" i="1"/>
  <c r="L870" i="1" s="1"/>
  <c r="F870" i="1" s="1"/>
  <c r="R869" i="1"/>
  <c r="P869" i="1"/>
  <c r="N869" i="1"/>
  <c r="B869" i="1"/>
  <c r="L869" i="1" s="1"/>
  <c r="F869" i="1" s="1"/>
  <c r="R868" i="1"/>
  <c r="P868" i="1"/>
  <c r="N868" i="1"/>
  <c r="B868" i="1"/>
  <c r="L868" i="1" s="1"/>
  <c r="F868" i="1" s="1"/>
  <c r="R867" i="1"/>
  <c r="P867" i="1"/>
  <c r="N867" i="1"/>
  <c r="L867" i="1"/>
  <c r="F867" i="1" s="1"/>
  <c r="B867" i="1"/>
  <c r="R866" i="1"/>
  <c r="P866" i="1"/>
  <c r="N866" i="1"/>
  <c r="B866" i="1"/>
  <c r="L866" i="1" s="1"/>
  <c r="F866" i="1" s="1"/>
  <c r="R865" i="1"/>
  <c r="P865" i="1"/>
  <c r="N865" i="1"/>
  <c r="B865" i="1"/>
  <c r="L865" i="1" s="1"/>
  <c r="F865" i="1" s="1"/>
  <c r="R864" i="1"/>
  <c r="P864" i="1"/>
  <c r="N864" i="1"/>
  <c r="B864" i="1"/>
  <c r="L864" i="1" s="1"/>
  <c r="F864" i="1" s="1"/>
  <c r="R863" i="1"/>
  <c r="P863" i="1"/>
  <c r="N863" i="1"/>
  <c r="B863" i="1"/>
  <c r="L863" i="1" s="1"/>
  <c r="F863" i="1" s="1"/>
  <c r="R862" i="1"/>
  <c r="P862" i="1"/>
  <c r="N862" i="1"/>
  <c r="B862" i="1"/>
  <c r="L862" i="1" s="1"/>
  <c r="F862" i="1" s="1"/>
  <c r="R861" i="1"/>
  <c r="P861" i="1"/>
  <c r="N861" i="1"/>
  <c r="B861" i="1"/>
  <c r="L861" i="1" s="1"/>
  <c r="F861" i="1" s="1"/>
  <c r="R860" i="1"/>
  <c r="P860" i="1"/>
  <c r="N860" i="1"/>
  <c r="K860" i="1"/>
  <c r="B860" i="1"/>
  <c r="R859" i="1"/>
  <c r="P859" i="1"/>
  <c r="N859" i="1"/>
  <c r="B859" i="1"/>
  <c r="L859" i="1" s="1"/>
  <c r="F859" i="1" s="1"/>
  <c r="R858" i="1"/>
  <c r="P858" i="1"/>
  <c r="N858" i="1"/>
  <c r="B858" i="1"/>
  <c r="L858" i="1" s="1"/>
  <c r="F858" i="1" s="1"/>
  <c r="R857" i="1"/>
  <c r="P857" i="1"/>
  <c r="N857" i="1"/>
  <c r="K857" i="1"/>
  <c r="B857" i="1"/>
  <c r="R856" i="1"/>
  <c r="P856" i="1"/>
  <c r="N856" i="1"/>
  <c r="K856" i="1"/>
  <c r="B856" i="1"/>
  <c r="R855" i="1"/>
  <c r="P855" i="1"/>
  <c r="N855" i="1"/>
  <c r="K855" i="1"/>
  <c r="B855" i="1"/>
  <c r="R854" i="1"/>
  <c r="P854" i="1"/>
  <c r="N854" i="1"/>
  <c r="B854" i="1"/>
  <c r="L854" i="1" s="1"/>
  <c r="F854" i="1" s="1"/>
  <c r="R853" i="1"/>
  <c r="P853" i="1"/>
  <c r="N853" i="1"/>
  <c r="K853" i="1"/>
  <c r="B853" i="1"/>
  <c r="L853" i="1" s="1"/>
  <c r="F853" i="1" s="1"/>
  <c r="R852" i="1"/>
  <c r="P852" i="1"/>
  <c r="N852" i="1"/>
  <c r="B852" i="1"/>
  <c r="L852" i="1" s="1"/>
  <c r="F852" i="1" s="1"/>
  <c r="R851" i="1"/>
  <c r="P851" i="1"/>
  <c r="N851" i="1"/>
  <c r="B851" i="1"/>
  <c r="L851" i="1" s="1"/>
  <c r="F851" i="1" s="1"/>
  <c r="R850" i="1"/>
  <c r="P850" i="1"/>
  <c r="N850" i="1"/>
  <c r="K850" i="1"/>
  <c r="B850" i="1"/>
  <c r="R849" i="1"/>
  <c r="P849" i="1"/>
  <c r="N849" i="1"/>
  <c r="K849" i="1"/>
  <c r="B849" i="1"/>
  <c r="R848" i="1"/>
  <c r="P848" i="1"/>
  <c r="N848" i="1"/>
  <c r="B848" i="1"/>
  <c r="L848" i="1" s="1"/>
  <c r="F848" i="1" s="1"/>
  <c r="R847" i="1"/>
  <c r="P847" i="1"/>
  <c r="N847" i="1"/>
  <c r="B847" i="1"/>
  <c r="L847" i="1" s="1"/>
  <c r="F847" i="1" s="1"/>
  <c r="R846" i="1"/>
  <c r="P846" i="1"/>
  <c r="N846" i="1"/>
  <c r="B846" i="1"/>
  <c r="L846" i="1" s="1"/>
  <c r="F846" i="1" s="1"/>
  <c r="R845" i="1"/>
  <c r="P845" i="1"/>
  <c r="N845" i="1"/>
  <c r="B845" i="1"/>
  <c r="L845" i="1" s="1"/>
  <c r="F845" i="1" s="1"/>
  <c r="R844" i="1"/>
  <c r="P844" i="1"/>
  <c r="N844" i="1"/>
  <c r="B844" i="1"/>
  <c r="L844" i="1" s="1"/>
  <c r="F844" i="1" s="1"/>
  <c r="R843" i="1"/>
  <c r="P843" i="1"/>
  <c r="N843" i="1"/>
  <c r="K843" i="1"/>
  <c r="B843" i="1"/>
  <c r="R842" i="1"/>
  <c r="P842" i="1"/>
  <c r="N842" i="1"/>
  <c r="K842" i="1"/>
  <c r="B842" i="1"/>
  <c r="R841" i="1"/>
  <c r="P841" i="1"/>
  <c r="N841" i="1"/>
  <c r="B841" i="1"/>
  <c r="L841" i="1" s="1"/>
  <c r="F841" i="1" s="1"/>
  <c r="R840" i="1"/>
  <c r="P840" i="1"/>
  <c r="N840" i="1"/>
  <c r="B840" i="1"/>
  <c r="L840" i="1" s="1"/>
  <c r="F840" i="1" s="1"/>
  <c r="R839" i="1"/>
  <c r="P839" i="1"/>
  <c r="N839" i="1"/>
  <c r="B839" i="1"/>
  <c r="L839" i="1" s="1"/>
  <c r="F839" i="1" s="1"/>
  <c r="R838" i="1"/>
  <c r="P838" i="1"/>
  <c r="N838" i="1"/>
  <c r="K838" i="1"/>
  <c r="B838" i="1"/>
  <c r="R837" i="1"/>
  <c r="P837" i="1"/>
  <c r="N837" i="1"/>
  <c r="B837" i="1"/>
  <c r="L837" i="1" s="1"/>
  <c r="F837" i="1" s="1"/>
  <c r="R836" i="1"/>
  <c r="P836" i="1"/>
  <c r="N836" i="1"/>
  <c r="B836" i="1"/>
  <c r="L836" i="1" s="1"/>
  <c r="F836" i="1" s="1"/>
  <c r="R835" i="1"/>
  <c r="P835" i="1"/>
  <c r="N835" i="1"/>
  <c r="B835" i="1"/>
  <c r="L835" i="1" s="1"/>
  <c r="F835" i="1" s="1"/>
  <c r="R834" i="1"/>
  <c r="P834" i="1"/>
  <c r="N834" i="1"/>
  <c r="B834" i="1"/>
  <c r="L834" i="1" s="1"/>
  <c r="F834" i="1" s="1"/>
  <c r="R833" i="1"/>
  <c r="P833" i="1"/>
  <c r="N833" i="1"/>
  <c r="B833" i="1"/>
  <c r="L833" i="1" s="1"/>
  <c r="F833" i="1" s="1"/>
  <c r="R832" i="1"/>
  <c r="P832" i="1"/>
  <c r="N832" i="1"/>
  <c r="K832" i="1"/>
  <c r="B832" i="1"/>
  <c r="R831" i="1"/>
  <c r="P831" i="1"/>
  <c r="N831" i="1"/>
  <c r="B831" i="1"/>
  <c r="L831" i="1" s="1"/>
  <c r="F831" i="1" s="1"/>
  <c r="R830" i="1"/>
  <c r="P830" i="1"/>
  <c r="N830" i="1"/>
  <c r="B830" i="1"/>
  <c r="L830" i="1" s="1"/>
  <c r="F830" i="1" s="1"/>
  <c r="R829" i="1"/>
  <c r="P829" i="1"/>
  <c r="N829" i="1"/>
  <c r="B829" i="1"/>
  <c r="L829" i="1" s="1"/>
  <c r="F829" i="1" s="1"/>
  <c r="R828" i="1"/>
  <c r="P828" i="1"/>
  <c r="N828" i="1"/>
  <c r="L828" i="1"/>
  <c r="F828" i="1" s="1"/>
  <c r="B828" i="1"/>
  <c r="R827" i="1"/>
  <c r="P827" i="1"/>
  <c r="N827" i="1"/>
  <c r="B827" i="1"/>
  <c r="L827" i="1" s="1"/>
  <c r="F827" i="1" s="1"/>
  <c r="R826" i="1"/>
  <c r="P826" i="1"/>
  <c r="N826" i="1"/>
  <c r="B826" i="1"/>
  <c r="L826" i="1" s="1"/>
  <c r="F826" i="1" s="1"/>
  <c r="R825" i="1"/>
  <c r="P825" i="1"/>
  <c r="N825" i="1"/>
  <c r="B825" i="1"/>
  <c r="L825" i="1" s="1"/>
  <c r="F825" i="1" s="1"/>
  <c r="R824" i="1"/>
  <c r="P824" i="1"/>
  <c r="N824" i="1"/>
  <c r="B824" i="1"/>
  <c r="L824" i="1" s="1"/>
  <c r="F824" i="1" s="1"/>
  <c r="R823" i="1"/>
  <c r="P823" i="1"/>
  <c r="N823" i="1"/>
  <c r="B823" i="1"/>
  <c r="L823" i="1" s="1"/>
  <c r="F823" i="1" s="1"/>
  <c r="R822" i="1"/>
  <c r="P822" i="1"/>
  <c r="N822" i="1"/>
  <c r="K822" i="1"/>
  <c r="B822" i="1"/>
  <c r="R821" i="1"/>
  <c r="P821" i="1"/>
  <c r="N821" i="1"/>
  <c r="B821" i="1"/>
  <c r="L821" i="1" s="1"/>
  <c r="F821" i="1" s="1"/>
  <c r="R820" i="1"/>
  <c r="P820" i="1"/>
  <c r="N820" i="1"/>
  <c r="L820" i="1"/>
  <c r="F820" i="1" s="1"/>
  <c r="R819" i="1"/>
  <c r="P819" i="1"/>
  <c r="N819" i="1"/>
  <c r="K819" i="1"/>
  <c r="B819" i="1"/>
  <c r="R818" i="1"/>
  <c r="P818" i="1"/>
  <c r="N818" i="1"/>
  <c r="B818" i="1"/>
  <c r="L818" i="1" s="1"/>
  <c r="F818" i="1" s="1"/>
  <c r="R817" i="1"/>
  <c r="P817" i="1"/>
  <c r="N817" i="1"/>
  <c r="B817" i="1"/>
  <c r="L817" i="1" s="1"/>
  <c r="F817" i="1" s="1"/>
  <c r="R816" i="1"/>
  <c r="P816" i="1"/>
  <c r="N816" i="1"/>
  <c r="B816" i="1"/>
  <c r="L816" i="1" s="1"/>
  <c r="F816" i="1" s="1"/>
  <c r="R815" i="1"/>
  <c r="P815" i="1"/>
  <c r="N815" i="1"/>
  <c r="B815" i="1"/>
  <c r="L815" i="1" s="1"/>
  <c r="F815" i="1" s="1"/>
  <c r="R814" i="1"/>
  <c r="P814" i="1"/>
  <c r="N814" i="1"/>
  <c r="B814" i="1"/>
  <c r="L814" i="1" s="1"/>
  <c r="F814" i="1" s="1"/>
  <c r="R813" i="1"/>
  <c r="P813" i="1"/>
  <c r="N813" i="1"/>
  <c r="K813" i="1"/>
  <c r="B813" i="1"/>
  <c r="R812" i="1"/>
  <c r="P812" i="1"/>
  <c r="N812" i="1"/>
  <c r="K812" i="1"/>
  <c r="B812" i="1"/>
  <c r="R811" i="1"/>
  <c r="P811" i="1"/>
  <c r="N811" i="1"/>
  <c r="K811" i="1"/>
  <c r="B811" i="1"/>
  <c r="R810" i="1"/>
  <c r="P810" i="1"/>
  <c r="N810" i="1"/>
  <c r="K810" i="1"/>
  <c r="B810" i="1"/>
  <c r="R809" i="1"/>
  <c r="P809" i="1"/>
  <c r="N809" i="1"/>
  <c r="B809" i="1"/>
  <c r="L809" i="1" s="1"/>
  <c r="F809" i="1" s="1"/>
  <c r="R808" i="1"/>
  <c r="P808" i="1"/>
  <c r="N808" i="1"/>
  <c r="B808" i="1"/>
  <c r="L808" i="1" s="1"/>
  <c r="F808" i="1" s="1"/>
  <c r="R807" i="1"/>
  <c r="P807" i="1"/>
  <c r="N807" i="1"/>
  <c r="K807" i="1"/>
  <c r="B807" i="1"/>
  <c r="R806" i="1"/>
  <c r="P806" i="1"/>
  <c r="N806" i="1"/>
  <c r="B806" i="1"/>
  <c r="L806" i="1" s="1"/>
  <c r="F806" i="1" s="1"/>
  <c r="R805" i="1"/>
  <c r="P805" i="1"/>
  <c r="N805" i="1"/>
  <c r="B805" i="1"/>
  <c r="L805" i="1" s="1"/>
  <c r="F805" i="1" s="1"/>
  <c r="R804" i="1"/>
  <c r="P804" i="1"/>
  <c r="N804" i="1"/>
  <c r="B804" i="1"/>
  <c r="L804" i="1" s="1"/>
  <c r="F804" i="1" s="1"/>
  <c r="R803" i="1"/>
  <c r="P803" i="1"/>
  <c r="N803" i="1"/>
  <c r="B803" i="1"/>
  <c r="R802" i="1"/>
  <c r="P802" i="1"/>
  <c r="N802" i="1"/>
  <c r="B802" i="1"/>
  <c r="L802" i="1" s="1"/>
  <c r="F802" i="1" s="1"/>
  <c r="R801" i="1"/>
  <c r="P801" i="1"/>
  <c r="N801" i="1"/>
  <c r="B801" i="1"/>
  <c r="L801" i="1" s="1"/>
  <c r="F801" i="1" s="1"/>
  <c r="R800" i="1"/>
  <c r="P800" i="1"/>
  <c r="N800" i="1"/>
  <c r="K800" i="1"/>
  <c r="B800" i="1"/>
  <c r="R799" i="1"/>
  <c r="P799" i="1"/>
  <c r="N799" i="1"/>
  <c r="B799" i="1"/>
  <c r="L799" i="1" s="1"/>
  <c r="F799" i="1" s="1"/>
  <c r="R798" i="1"/>
  <c r="P798" i="1"/>
  <c r="N798" i="1"/>
  <c r="B798" i="1"/>
  <c r="L798" i="1" s="1"/>
  <c r="F798" i="1" s="1"/>
  <c r="R797" i="1"/>
  <c r="P797" i="1"/>
  <c r="N797" i="1"/>
  <c r="B797" i="1"/>
  <c r="L797" i="1" s="1"/>
  <c r="F797" i="1" s="1"/>
  <c r="R796" i="1"/>
  <c r="P796" i="1"/>
  <c r="N796" i="1"/>
  <c r="K796" i="1"/>
  <c r="L796" i="1" s="1"/>
  <c r="F796" i="1" s="1"/>
  <c r="B796" i="1"/>
  <c r="R795" i="1"/>
  <c r="P795" i="1"/>
  <c r="N795" i="1"/>
  <c r="B795" i="1"/>
  <c r="L795" i="1" s="1"/>
  <c r="F795" i="1" s="1"/>
  <c r="R794" i="1"/>
  <c r="P794" i="1"/>
  <c r="N794" i="1"/>
  <c r="K794" i="1"/>
  <c r="B794" i="1"/>
  <c r="L794" i="1" s="1"/>
  <c r="F794" i="1" s="1"/>
  <c r="R793" i="1"/>
  <c r="P793" i="1"/>
  <c r="N793" i="1"/>
  <c r="B793" i="1"/>
  <c r="L793" i="1" s="1"/>
  <c r="F793" i="1" s="1"/>
  <c r="R792" i="1"/>
  <c r="P792" i="1"/>
  <c r="N792" i="1"/>
  <c r="B792" i="1"/>
  <c r="L792" i="1" s="1"/>
  <c r="F792" i="1" s="1"/>
  <c r="R791" i="1"/>
  <c r="P791" i="1"/>
  <c r="N791" i="1"/>
  <c r="K791" i="1"/>
  <c r="B791" i="1"/>
  <c r="R790" i="1"/>
  <c r="P790" i="1"/>
  <c r="N790" i="1"/>
  <c r="B790" i="1"/>
  <c r="L790" i="1" s="1"/>
  <c r="F790" i="1" s="1"/>
  <c r="R789" i="1"/>
  <c r="P789" i="1"/>
  <c r="N789" i="1"/>
  <c r="B789" i="1"/>
  <c r="L789" i="1" s="1"/>
  <c r="F789" i="1" s="1"/>
  <c r="R788" i="1"/>
  <c r="P788" i="1"/>
  <c r="N788" i="1"/>
  <c r="K788" i="1"/>
  <c r="B788" i="1"/>
  <c r="L788" i="1" s="1"/>
  <c r="F788" i="1" s="1"/>
  <c r="R787" i="1"/>
  <c r="P787" i="1"/>
  <c r="N787" i="1"/>
  <c r="B787" i="1"/>
  <c r="L787" i="1" s="1"/>
  <c r="F787" i="1" s="1"/>
  <c r="R786" i="1"/>
  <c r="P786" i="1"/>
  <c r="N786" i="1"/>
  <c r="B786" i="1"/>
  <c r="L786" i="1" s="1"/>
  <c r="F786" i="1" s="1"/>
  <c r="R785" i="1"/>
  <c r="P785" i="1"/>
  <c r="N785" i="1"/>
  <c r="L785" i="1"/>
  <c r="F785" i="1" s="1"/>
  <c r="B785" i="1"/>
  <c r="R784" i="1"/>
  <c r="P784" i="1"/>
  <c r="N784" i="1"/>
  <c r="B784" i="1"/>
  <c r="L784" i="1" s="1"/>
  <c r="F784" i="1" s="1"/>
  <c r="R783" i="1"/>
  <c r="P783" i="1"/>
  <c r="N783" i="1"/>
  <c r="B783" i="1"/>
  <c r="L783" i="1" s="1"/>
  <c r="F783" i="1" s="1"/>
  <c r="R782" i="1"/>
  <c r="P782" i="1"/>
  <c r="N782" i="1"/>
  <c r="B782" i="1"/>
  <c r="L782" i="1" s="1"/>
  <c r="F782" i="1" s="1"/>
  <c r="R781" i="1"/>
  <c r="P781" i="1"/>
  <c r="N781" i="1"/>
  <c r="B781" i="1"/>
  <c r="L781" i="1" s="1"/>
  <c r="F781" i="1" s="1"/>
  <c r="R780" i="1"/>
  <c r="P780" i="1"/>
  <c r="N780" i="1"/>
  <c r="B780" i="1"/>
  <c r="L780" i="1" s="1"/>
  <c r="F780" i="1" s="1"/>
  <c r="R779" i="1"/>
  <c r="P779" i="1"/>
  <c r="N779" i="1"/>
  <c r="B779" i="1"/>
  <c r="L779" i="1" s="1"/>
  <c r="F779" i="1" s="1"/>
  <c r="R778" i="1"/>
  <c r="P778" i="1"/>
  <c r="N778" i="1"/>
  <c r="B778" i="1"/>
  <c r="L778" i="1" s="1"/>
  <c r="F778" i="1" s="1"/>
  <c r="R777" i="1"/>
  <c r="P777" i="1"/>
  <c r="N777" i="1"/>
  <c r="B777" i="1"/>
  <c r="L777" i="1" s="1"/>
  <c r="F777" i="1" s="1"/>
  <c r="R776" i="1"/>
  <c r="P776" i="1"/>
  <c r="N776" i="1"/>
  <c r="B776" i="1"/>
  <c r="L776" i="1" s="1"/>
  <c r="F776" i="1" s="1"/>
  <c r="R775" i="1"/>
  <c r="P775" i="1"/>
  <c r="N775" i="1"/>
  <c r="B775" i="1"/>
  <c r="L775" i="1" s="1"/>
  <c r="F775" i="1" s="1"/>
  <c r="R774" i="1"/>
  <c r="P774" i="1"/>
  <c r="N774" i="1"/>
  <c r="B774" i="1"/>
  <c r="L774" i="1" s="1"/>
  <c r="F774" i="1" s="1"/>
  <c r="R773" i="1"/>
  <c r="P773" i="1"/>
  <c r="N773" i="1"/>
  <c r="B773" i="1"/>
  <c r="L773" i="1" s="1"/>
  <c r="F773" i="1" s="1"/>
  <c r="R772" i="1"/>
  <c r="P772" i="1"/>
  <c r="N772" i="1"/>
  <c r="B772" i="1"/>
  <c r="L772" i="1" s="1"/>
  <c r="F772" i="1" s="1"/>
  <c r="R771" i="1"/>
  <c r="P771" i="1"/>
  <c r="N771" i="1"/>
  <c r="K771" i="1"/>
  <c r="B771" i="1"/>
  <c r="R770" i="1"/>
  <c r="P770" i="1"/>
  <c r="N770" i="1"/>
  <c r="B770" i="1"/>
  <c r="L770" i="1" s="1"/>
  <c r="F770" i="1" s="1"/>
  <c r="R769" i="1"/>
  <c r="P769" i="1"/>
  <c r="N769" i="1"/>
  <c r="B769" i="1"/>
  <c r="L769" i="1" s="1"/>
  <c r="F769" i="1" s="1"/>
  <c r="R768" i="1"/>
  <c r="P768" i="1"/>
  <c r="N768" i="1"/>
  <c r="L768" i="1"/>
  <c r="F768" i="1" s="1"/>
  <c r="B768" i="1"/>
  <c r="R767" i="1"/>
  <c r="P767" i="1"/>
  <c r="N767" i="1"/>
  <c r="K767" i="1"/>
  <c r="B767" i="1"/>
  <c r="L767" i="1" s="1"/>
  <c r="F767" i="1" s="1"/>
  <c r="R766" i="1"/>
  <c r="P766" i="1"/>
  <c r="N766" i="1"/>
  <c r="K766" i="1"/>
  <c r="B766" i="1"/>
  <c r="R765" i="1"/>
  <c r="P765" i="1"/>
  <c r="N765" i="1"/>
  <c r="B765" i="1"/>
  <c r="L765" i="1" s="1"/>
  <c r="F765" i="1" s="1"/>
  <c r="R764" i="1"/>
  <c r="P764" i="1"/>
  <c r="N764" i="1"/>
  <c r="K764" i="1"/>
  <c r="B764" i="1"/>
  <c r="R763" i="1"/>
  <c r="P763" i="1"/>
  <c r="N763" i="1"/>
  <c r="B763" i="1"/>
  <c r="L763" i="1" s="1"/>
  <c r="F763" i="1" s="1"/>
  <c r="R762" i="1"/>
  <c r="P762" i="1"/>
  <c r="N762" i="1"/>
  <c r="B762" i="1"/>
  <c r="L762" i="1" s="1"/>
  <c r="F762" i="1" s="1"/>
  <c r="R761" i="1"/>
  <c r="P761" i="1"/>
  <c r="N761" i="1"/>
  <c r="L761" i="1"/>
  <c r="F761" i="1" s="1"/>
  <c r="B761" i="1"/>
  <c r="R760" i="1"/>
  <c r="P760" i="1"/>
  <c r="N760" i="1"/>
  <c r="B760" i="1"/>
  <c r="L760" i="1" s="1"/>
  <c r="F760" i="1" s="1"/>
  <c r="R759" i="1"/>
  <c r="P759" i="1"/>
  <c r="N759" i="1"/>
  <c r="B759" i="1"/>
  <c r="L759" i="1" s="1"/>
  <c r="F759" i="1" s="1"/>
  <c r="R758" i="1"/>
  <c r="P758" i="1"/>
  <c r="N758" i="1"/>
  <c r="B758" i="1"/>
  <c r="L758" i="1" s="1"/>
  <c r="F758" i="1" s="1"/>
  <c r="R757" i="1"/>
  <c r="P757" i="1"/>
  <c r="N757" i="1"/>
  <c r="B757" i="1"/>
  <c r="L757" i="1" s="1"/>
  <c r="F757" i="1" s="1"/>
  <c r="R756" i="1"/>
  <c r="P756" i="1"/>
  <c r="N756" i="1"/>
  <c r="B756" i="1"/>
  <c r="L756" i="1" s="1"/>
  <c r="F756" i="1" s="1"/>
  <c r="R755" i="1"/>
  <c r="P755" i="1"/>
  <c r="N755" i="1"/>
  <c r="B755" i="1"/>
  <c r="L755" i="1" s="1"/>
  <c r="F755" i="1" s="1"/>
  <c r="R754" i="1"/>
  <c r="P754" i="1"/>
  <c r="N754" i="1"/>
  <c r="K754" i="1"/>
  <c r="B754" i="1"/>
  <c r="R753" i="1"/>
  <c r="P753" i="1"/>
  <c r="N753" i="1"/>
  <c r="B753" i="1"/>
  <c r="L753" i="1" s="1"/>
  <c r="F753" i="1" s="1"/>
  <c r="R752" i="1"/>
  <c r="P752" i="1"/>
  <c r="N752" i="1"/>
  <c r="B752" i="1"/>
  <c r="L752" i="1" s="1"/>
  <c r="F752" i="1" s="1"/>
  <c r="R751" i="1"/>
  <c r="P751" i="1"/>
  <c r="N751" i="1"/>
  <c r="B751" i="1"/>
  <c r="L751" i="1" s="1"/>
  <c r="F751" i="1" s="1"/>
  <c r="R750" i="1"/>
  <c r="P750" i="1"/>
  <c r="N750" i="1"/>
  <c r="B750" i="1"/>
  <c r="L750" i="1" s="1"/>
  <c r="F750" i="1" s="1"/>
  <c r="R749" i="1"/>
  <c r="P749" i="1"/>
  <c r="N749" i="1"/>
  <c r="B749" i="1"/>
  <c r="L749" i="1" s="1"/>
  <c r="F749" i="1" s="1"/>
  <c r="R748" i="1"/>
  <c r="P748" i="1"/>
  <c r="N748" i="1"/>
  <c r="B748" i="1"/>
  <c r="L748" i="1" s="1"/>
  <c r="F748" i="1" s="1"/>
  <c r="R747" i="1"/>
  <c r="P747" i="1"/>
  <c r="N747" i="1"/>
  <c r="B747" i="1"/>
  <c r="L747" i="1" s="1"/>
  <c r="F747" i="1" s="1"/>
  <c r="R746" i="1"/>
  <c r="P746" i="1"/>
  <c r="N746" i="1"/>
  <c r="B746" i="1"/>
  <c r="L746" i="1" s="1"/>
  <c r="F746" i="1" s="1"/>
  <c r="R745" i="1"/>
  <c r="P745" i="1"/>
  <c r="N745" i="1"/>
  <c r="B745" i="1"/>
  <c r="L745" i="1" s="1"/>
  <c r="F745" i="1" s="1"/>
  <c r="R744" i="1"/>
  <c r="P744" i="1"/>
  <c r="N744" i="1"/>
  <c r="B744" i="1"/>
  <c r="L744" i="1" s="1"/>
  <c r="F744" i="1" s="1"/>
  <c r="R743" i="1"/>
  <c r="P743" i="1"/>
  <c r="N743" i="1"/>
  <c r="B743" i="1"/>
  <c r="L743" i="1" s="1"/>
  <c r="F743" i="1" s="1"/>
  <c r="R742" i="1"/>
  <c r="P742" i="1"/>
  <c r="N742" i="1"/>
  <c r="B742" i="1"/>
  <c r="L742" i="1" s="1"/>
  <c r="F742" i="1" s="1"/>
  <c r="R741" i="1"/>
  <c r="P741" i="1"/>
  <c r="N741" i="1"/>
  <c r="B741" i="1"/>
  <c r="L741" i="1" s="1"/>
  <c r="F741" i="1" s="1"/>
  <c r="R740" i="1"/>
  <c r="P740" i="1"/>
  <c r="N740" i="1"/>
  <c r="B740" i="1"/>
  <c r="L740" i="1" s="1"/>
  <c r="F740" i="1" s="1"/>
  <c r="R739" i="1"/>
  <c r="P739" i="1"/>
  <c r="N739" i="1"/>
  <c r="B739" i="1"/>
  <c r="L739" i="1" s="1"/>
  <c r="F739" i="1" s="1"/>
  <c r="R738" i="1"/>
  <c r="P738" i="1"/>
  <c r="N738" i="1"/>
  <c r="B738" i="1"/>
  <c r="L738" i="1" s="1"/>
  <c r="F738" i="1" s="1"/>
  <c r="R737" i="1"/>
  <c r="P737" i="1"/>
  <c r="N737" i="1"/>
  <c r="B737" i="1"/>
  <c r="L737" i="1" s="1"/>
  <c r="F737" i="1" s="1"/>
  <c r="R736" i="1"/>
  <c r="P736" i="1"/>
  <c r="N736" i="1"/>
  <c r="K736" i="1"/>
  <c r="B736" i="1"/>
  <c r="R735" i="1"/>
  <c r="P735" i="1"/>
  <c r="N735" i="1"/>
  <c r="B735" i="1"/>
  <c r="L735" i="1" s="1"/>
  <c r="F735" i="1" s="1"/>
  <c r="R734" i="1"/>
  <c r="P734" i="1"/>
  <c r="N734" i="1"/>
  <c r="B734" i="1"/>
  <c r="L734" i="1" s="1"/>
  <c r="F734" i="1" s="1"/>
  <c r="R733" i="1"/>
  <c r="P733" i="1"/>
  <c r="N733" i="1"/>
  <c r="B733" i="1"/>
  <c r="L733" i="1" s="1"/>
  <c r="F733" i="1" s="1"/>
  <c r="R732" i="1"/>
  <c r="P732" i="1"/>
  <c r="N732" i="1"/>
  <c r="K732" i="1"/>
  <c r="B732" i="1"/>
  <c r="R731" i="1"/>
  <c r="P731" i="1"/>
  <c r="N731" i="1"/>
  <c r="B731" i="1"/>
  <c r="L731" i="1" s="1"/>
  <c r="F731" i="1" s="1"/>
  <c r="R730" i="1"/>
  <c r="P730" i="1"/>
  <c r="N730" i="1"/>
  <c r="B730" i="1"/>
  <c r="L730" i="1" s="1"/>
  <c r="F730" i="1" s="1"/>
  <c r="R729" i="1"/>
  <c r="P729" i="1"/>
  <c r="N729" i="1"/>
  <c r="K729" i="1"/>
  <c r="B729" i="1"/>
  <c r="L729" i="1" s="1"/>
  <c r="F729" i="1" s="1"/>
  <c r="R728" i="1"/>
  <c r="P728" i="1"/>
  <c r="N728" i="1"/>
  <c r="B728" i="1"/>
  <c r="L728" i="1" s="1"/>
  <c r="F728" i="1" s="1"/>
  <c r="R727" i="1"/>
  <c r="P727" i="1"/>
  <c r="N727" i="1"/>
  <c r="B727" i="1"/>
  <c r="L727" i="1" s="1"/>
  <c r="F727" i="1" s="1"/>
  <c r="R726" i="1"/>
  <c r="P726" i="1"/>
  <c r="N726" i="1"/>
  <c r="B726" i="1"/>
  <c r="L726" i="1" s="1"/>
  <c r="F726" i="1" s="1"/>
  <c r="R725" i="1"/>
  <c r="P725" i="1"/>
  <c r="N725" i="1"/>
  <c r="B725" i="1"/>
  <c r="L725" i="1" s="1"/>
  <c r="F725" i="1" s="1"/>
  <c r="R724" i="1"/>
  <c r="P724" i="1"/>
  <c r="N724" i="1"/>
  <c r="B724" i="1"/>
  <c r="L724" i="1" s="1"/>
  <c r="F724" i="1" s="1"/>
  <c r="R723" i="1"/>
  <c r="P723" i="1"/>
  <c r="N723" i="1"/>
  <c r="B723" i="1"/>
  <c r="L723" i="1" s="1"/>
  <c r="F723" i="1" s="1"/>
  <c r="R722" i="1"/>
  <c r="P722" i="1"/>
  <c r="N722" i="1"/>
  <c r="B722" i="1"/>
  <c r="L722" i="1" s="1"/>
  <c r="F722" i="1" s="1"/>
  <c r="R721" i="1"/>
  <c r="P721" i="1"/>
  <c r="N721" i="1"/>
  <c r="B721" i="1"/>
  <c r="L721" i="1" s="1"/>
  <c r="F721" i="1" s="1"/>
  <c r="R720" i="1"/>
  <c r="P720" i="1"/>
  <c r="N720" i="1"/>
  <c r="K720" i="1"/>
  <c r="B720" i="1"/>
  <c r="R719" i="1"/>
  <c r="P719" i="1"/>
  <c r="N719" i="1"/>
  <c r="B719" i="1"/>
  <c r="L719" i="1" s="1"/>
  <c r="F719" i="1" s="1"/>
  <c r="R718" i="1"/>
  <c r="P718" i="1"/>
  <c r="N718" i="1"/>
  <c r="B718" i="1"/>
  <c r="L718" i="1" s="1"/>
  <c r="F718" i="1" s="1"/>
  <c r="R717" i="1"/>
  <c r="P717" i="1"/>
  <c r="N717" i="1"/>
  <c r="B717" i="1"/>
  <c r="L717" i="1" s="1"/>
  <c r="F717" i="1" s="1"/>
  <c r="R716" i="1"/>
  <c r="P716" i="1"/>
  <c r="N716" i="1"/>
  <c r="L716" i="1"/>
  <c r="F716" i="1" s="1"/>
  <c r="B716" i="1"/>
  <c r="R715" i="1"/>
  <c r="P715" i="1"/>
  <c r="N715" i="1"/>
  <c r="B715" i="1"/>
  <c r="L715" i="1" s="1"/>
  <c r="F715" i="1" s="1"/>
  <c r="R714" i="1"/>
  <c r="P714" i="1"/>
  <c r="N714" i="1"/>
  <c r="B714" i="1"/>
  <c r="L714" i="1" s="1"/>
  <c r="F714" i="1" s="1"/>
  <c r="R713" i="1"/>
  <c r="P713" i="1"/>
  <c r="N713" i="1"/>
  <c r="B713" i="1"/>
  <c r="L713" i="1" s="1"/>
  <c r="F713" i="1" s="1"/>
  <c r="R712" i="1"/>
  <c r="P712" i="1"/>
  <c r="N712" i="1"/>
  <c r="B712" i="1"/>
  <c r="L712" i="1" s="1"/>
  <c r="F712" i="1" s="1"/>
  <c r="R711" i="1"/>
  <c r="P711" i="1"/>
  <c r="N711" i="1"/>
  <c r="B711" i="1"/>
  <c r="L711" i="1" s="1"/>
  <c r="F711" i="1" s="1"/>
  <c r="R710" i="1"/>
  <c r="P710" i="1"/>
  <c r="N710" i="1"/>
  <c r="K710" i="1"/>
  <c r="B710" i="1"/>
  <c r="L710" i="1" s="1"/>
  <c r="F710" i="1" s="1"/>
  <c r="R709" i="1"/>
  <c r="P709" i="1"/>
  <c r="N709" i="1"/>
  <c r="B709" i="1"/>
  <c r="L709" i="1" s="1"/>
  <c r="F709" i="1" s="1"/>
  <c r="R708" i="1"/>
  <c r="P708" i="1"/>
  <c r="N708" i="1"/>
  <c r="B708" i="1"/>
  <c r="L708" i="1" s="1"/>
  <c r="F708" i="1" s="1"/>
  <c r="R707" i="1"/>
  <c r="P707" i="1"/>
  <c r="N707" i="1"/>
  <c r="K707" i="1"/>
  <c r="B707" i="1"/>
  <c r="R706" i="1"/>
  <c r="P706" i="1"/>
  <c r="N706" i="1"/>
  <c r="B706" i="1"/>
  <c r="L706" i="1" s="1"/>
  <c r="F706" i="1" s="1"/>
  <c r="R705" i="1"/>
  <c r="P705" i="1"/>
  <c r="N705" i="1"/>
  <c r="B705" i="1"/>
  <c r="L705" i="1" s="1"/>
  <c r="F705" i="1" s="1"/>
  <c r="R704" i="1"/>
  <c r="P704" i="1"/>
  <c r="N704" i="1"/>
  <c r="B704" i="1"/>
  <c r="L704" i="1" s="1"/>
  <c r="F704" i="1" s="1"/>
  <c r="R703" i="1"/>
  <c r="P703" i="1"/>
  <c r="N703" i="1"/>
  <c r="B703" i="1"/>
  <c r="L703" i="1" s="1"/>
  <c r="F703" i="1" s="1"/>
  <c r="R702" i="1"/>
  <c r="P702" i="1"/>
  <c r="N702" i="1"/>
  <c r="B702" i="1"/>
  <c r="L702" i="1" s="1"/>
  <c r="F702" i="1" s="1"/>
  <c r="R701" i="1"/>
  <c r="P701" i="1"/>
  <c r="N701" i="1"/>
  <c r="B701" i="1"/>
  <c r="L701" i="1" s="1"/>
  <c r="F701" i="1" s="1"/>
  <c r="R700" i="1"/>
  <c r="P700" i="1"/>
  <c r="N700" i="1"/>
  <c r="B700" i="1"/>
  <c r="L700" i="1" s="1"/>
  <c r="F700" i="1" s="1"/>
  <c r="R699" i="1"/>
  <c r="P699" i="1"/>
  <c r="N699" i="1"/>
  <c r="B699" i="1"/>
  <c r="L699" i="1" s="1"/>
  <c r="F699" i="1" s="1"/>
  <c r="R698" i="1"/>
  <c r="P698" i="1"/>
  <c r="N698" i="1"/>
  <c r="K698" i="1"/>
  <c r="B698" i="1"/>
  <c r="R697" i="1"/>
  <c r="P697" i="1"/>
  <c r="N697" i="1"/>
  <c r="B697" i="1"/>
  <c r="L697" i="1" s="1"/>
  <c r="F697" i="1" s="1"/>
  <c r="R696" i="1"/>
  <c r="P696" i="1"/>
  <c r="N696" i="1"/>
  <c r="B696" i="1"/>
  <c r="L696" i="1" s="1"/>
  <c r="F696" i="1" s="1"/>
  <c r="R695" i="1"/>
  <c r="P695" i="1"/>
  <c r="N695" i="1"/>
  <c r="B695" i="1"/>
  <c r="L695" i="1" s="1"/>
  <c r="F695" i="1" s="1"/>
  <c r="R694" i="1"/>
  <c r="P694" i="1"/>
  <c r="N694" i="1"/>
  <c r="B694" i="1"/>
  <c r="L694" i="1" s="1"/>
  <c r="F694" i="1" s="1"/>
  <c r="R693" i="1"/>
  <c r="P693" i="1"/>
  <c r="N693" i="1"/>
  <c r="B693" i="1"/>
  <c r="L693" i="1" s="1"/>
  <c r="F693" i="1" s="1"/>
  <c r="R692" i="1"/>
  <c r="P692" i="1"/>
  <c r="N692" i="1"/>
  <c r="B692" i="1"/>
  <c r="L692" i="1" s="1"/>
  <c r="F692" i="1" s="1"/>
  <c r="R691" i="1"/>
  <c r="P691" i="1"/>
  <c r="N691" i="1"/>
  <c r="B691" i="1"/>
  <c r="L691" i="1" s="1"/>
  <c r="F691" i="1" s="1"/>
  <c r="R690" i="1"/>
  <c r="P690" i="1"/>
  <c r="N690" i="1"/>
  <c r="B690" i="1"/>
  <c r="L690" i="1" s="1"/>
  <c r="F690" i="1" s="1"/>
  <c r="R689" i="1"/>
  <c r="P689" i="1"/>
  <c r="N689" i="1"/>
  <c r="B689" i="1"/>
  <c r="L689" i="1" s="1"/>
  <c r="F689" i="1" s="1"/>
  <c r="R688" i="1"/>
  <c r="P688" i="1"/>
  <c r="N688" i="1"/>
  <c r="B688" i="1"/>
  <c r="L688" i="1" s="1"/>
  <c r="F688" i="1" s="1"/>
  <c r="R687" i="1"/>
  <c r="P687" i="1"/>
  <c r="N687" i="1"/>
  <c r="B687" i="1"/>
  <c r="L687" i="1" s="1"/>
  <c r="F687" i="1" s="1"/>
  <c r="R686" i="1"/>
  <c r="P686" i="1"/>
  <c r="N686" i="1"/>
  <c r="B686" i="1"/>
  <c r="L686" i="1" s="1"/>
  <c r="F686" i="1" s="1"/>
  <c r="R685" i="1"/>
  <c r="P685" i="1"/>
  <c r="N685" i="1"/>
  <c r="B685" i="1"/>
  <c r="L685" i="1" s="1"/>
  <c r="F685" i="1" s="1"/>
  <c r="R684" i="1"/>
  <c r="P684" i="1"/>
  <c r="N684" i="1"/>
  <c r="B684" i="1"/>
  <c r="L684" i="1" s="1"/>
  <c r="F684" i="1" s="1"/>
  <c r="R683" i="1"/>
  <c r="P683" i="1"/>
  <c r="N683" i="1"/>
  <c r="B683" i="1"/>
  <c r="L683" i="1" s="1"/>
  <c r="F683" i="1" s="1"/>
  <c r="R682" i="1"/>
  <c r="P682" i="1"/>
  <c r="N682" i="1"/>
  <c r="B682" i="1"/>
  <c r="L682" i="1" s="1"/>
  <c r="F682" i="1" s="1"/>
  <c r="R681" i="1"/>
  <c r="P681" i="1"/>
  <c r="N681" i="1"/>
  <c r="B681" i="1"/>
  <c r="L681" i="1" s="1"/>
  <c r="F681" i="1" s="1"/>
  <c r="R680" i="1"/>
  <c r="P680" i="1"/>
  <c r="N680" i="1"/>
  <c r="B680" i="1"/>
  <c r="L680" i="1" s="1"/>
  <c r="F680" i="1" s="1"/>
  <c r="R679" i="1"/>
  <c r="P679" i="1"/>
  <c r="N679" i="1"/>
  <c r="B679" i="1"/>
  <c r="L679" i="1" s="1"/>
  <c r="F679" i="1" s="1"/>
  <c r="R678" i="1"/>
  <c r="P678" i="1"/>
  <c r="N678" i="1"/>
  <c r="B678" i="1"/>
  <c r="L678" i="1" s="1"/>
  <c r="F678" i="1" s="1"/>
  <c r="R677" i="1"/>
  <c r="P677" i="1"/>
  <c r="N677" i="1"/>
  <c r="B677" i="1"/>
  <c r="L677" i="1" s="1"/>
  <c r="F677" i="1" s="1"/>
  <c r="R676" i="1"/>
  <c r="P676" i="1"/>
  <c r="N676" i="1"/>
  <c r="B676" i="1"/>
  <c r="L676" i="1" s="1"/>
  <c r="F676" i="1" s="1"/>
  <c r="R675" i="1"/>
  <c r="P675" i="1"/>
  <c r="N675" i="1"/>
  <c r="B675" i="1"/>
  <c r="L675" i="1" s="1"/>
  <c r="F675" i="1" s="1"/>
  <c r="R674" i="1"/>
  <c r="P674" i="1"/>
  <c r="N674" i="1"/>
  <c r="B674" i="1"/>
  <c r="L674" i="1" s="1"/>
  <c r="F674" i="1" s="1"/>
  <c r="R673" i="1"/>
  <c r="P673" i="1"/>
  <c r="N673" i="1"/>
  <c r="B673" i="1"/>
  <c r="L673" i="1" s="1"/>
  <c r="F673" i="1" s="1"/>
  <c r="R672" i="1"/>
  <c r="P672" i="1"/>
  <c r="N672" i="1"/>
  <c r="B672" i="1"/>
  <c r="L672" i="1" s="1"/>
  <c r="F672" i="1" s="1"/>
  <c r="R671" i="1"/>
  <c r="P671" i="1"/>
  <c r="N671" i="1"/>
  <c r="B671" i="1"/>
  <c r="L671" i="1" s="1"/>
  <c r="F671" i="1" s="1"/>
  <c r="R670" i="1"/>
  <c r="P670" i="1"/>
  <c r="N670" i="1"/>
  <c r="B670" i="1"/>
  <c r="L670" i="1" s="1"/>
  <c r="F670" i="1" s="1"/>
  <c r="R669" i="1"/>
  <c r="P669" i="1"/>
  <c r="N669" i="1"/>
  <c r="B669" i="1"/>
  <c r="L669" i="1" s="1"/>
  <c r="F669" i="1" s="1"/>
  <c r="R668" i="1"/>
  <c r="P668" i="1"/>
  <c r="N668" i="1"/>
  <c r="K668" i="1"/>
  <c r="B668" i="1"/>
  <c r="R667" i="1"/>
  <c r="P667" i="1"/>
  <c r="N667" i="1"/>
  <c r="K667" i="1"/>
  <c r="B667" i="1"/>
  <c r="R666" i="1"/>
  <c r="P666" i="1"/>
  <c r="N666" i="1"/>
  <c r="B666" i="1"/>
  <c r="L666" i="1" s="1"/>
  <c r="F666" i="1" s="1"/>
  <c r="R665" i="1"/>
  <c r="P665" i="1"/>
  <c r="N665" i="1"/>
  <c r="B665" i="1"/>
  <c r="L665" i="1" s="1"/>
  <c r="F665" i="1" s="1"/>
  <c r="R664" i="1"/>
  <c r="P664" i="1"/>
  <c r="N664" i="1"/>
  <c r="B664" i="1"/>
  <c r="L664" i="1" s="1"/>
  <c r="F664" i="1" s="1"/>
  <c r="R663" i="1"/>
  <c r="P663" i="1"/>
  <c r="N663" i="1"/>
  <c r="B663" i="1"/>
  <c r="L663" i="1" s="1"/>
  <c r="F663" i="1" s="1"/>
  <c r="R662" i="1"/>
  <c r="P662" i="1"/>
  <c r="N662" i="1"/>
  <c r="B662" i="1"/>
  <c r="L662" i="1" s="1"/>
  <c r="F662" i="1" s="1"/>
  <c r="R661" i="1"/>
  <c r="P661" i="1"/>
  <c r="N661" i="1"/>
  <c r="B661" i="1"/>
  <c r="L661" i="1" s="1"/>
  <c r="F661" i="1" s="1"/>
  <c r="R660" i="1"/>
  <c r="P660" i="1"/>
  <c r="N660" i="1"/>
  <c r="B660" i="1"/>
  <c r="L660" i="1" s="1"/>
  <c r="F660" i="1" s="1"/>
  <c r="R659" i="1"/>
  <c r="P659" i="1"/>
  <c r="N659" i="1"/>
  <c r="B659" i="1"/>
  <c r="L659" i="1" s="1"/>
  <c r="F659" i="1" s="1"/>
  <c r="R658" i="1"/>
  <c r="P658" i="1"/>
  <c r="N658" i="1"/>
  <c r="B658" i="1"/>
  <c r="L658" i="1" s="1"/>
  <c r="F658" i="1" s="1"/>
  <c r="R657" i="1"/>
  <c r="P657" i="1"/>
  <c r="N657" i="1"/>
  <c r="B657" i="1"/>
  <c r="L657" i="1" s="1"/>
  <c r="F657" i="1" s="1"/>
  <c r="R656" i="1"/>
  <c r="P656" i="1"/>
  <c r="N656" i="1"/>
  <c r="B656" i="1"/>
  <c r="L656" i="1" s="1"/>
  <c r="F656" i="1" s="1"/>
  <c r="R655" i="1"/>
  <c r="P655" i="1"/>
  <c r="N655" i="1"/>
  <c r="B655" i="1"/>
  <c r="L655" i="1" s="1"/>
  <c r="F655" i="1" s="1"/>
  <c r="R654" i="1"/>
  <c r="P654" i="1"/>
  <c r="N654" i="1"/>
  <c r="B654" i="1"/>
  <c r="L654" i="1" s="1"/>
  <c r="F654" i="1" s="1"/>
  <c r="R653" i="1"/>
  <c r="P653" i="1"/>
  <c r="N653" i="1"/>
  <c r="B653" i="1"/>
  <c r="L653" i="1" s="1"/>
  <c r="F653" i="1" s="1"/>
  <c r="R652" i="1"/>
  <c r="P652" i="1"/>
  <c r="N652" i="1"/>
  <c r="B652" i="1"/>
  <c r="L652" i="1" s="1"/>
  <c r="F652" i="1" s="1"/>
  <c r="R651" i="1"/>
  <c r="P651" i="1"/>
  <c r="N651" i="1"/>
  <c r="B651" i="1"/>
  <c r="L651" i="1" s="1"/>
  <c r="F651" i="1" s="1"/>
  <c r="R650" i="1"/>
  <c r="P650" i="1"/>
  <c r="N650" i="1"/>
  <c r="B650" i="1"/>
  <c r="L650" i="1" s="1"/>
  <c r="F650" i="1" s="1"/>
  <c r="R649" i="1"/>
  <c r="P649" i="1"/>
  <c r="N649" i="1"/>
  <c r="B649" i="1"/>
  <c r="L649" i="1" s="1"/>
  <c r="F649" i="1" s="1"/>
  <c r="R648" i="1"/>
  <c r="P648" i="1"/>
  <c r="N648" i="1"/>
  <c r="B648" i="1"/>
  <c r="L648" i="1" s="1"/>
  <c r="F648" i="1" s="1"/>
  <c r="R647" i="1"/>
  <c r="P647" i="1"/>
  <c r="N647" i="1"/>
  <c r="B647" i="1"/>
  <c r="R646" i="1"/>
  <c r="P646" i="1"/>
  <c r="N646" i="1"/>
  <c r="B646" i="1"/>
  <c r="L646" i="1" s="1"/>
  <c r="F646" i="1" s="1"/>
  <c r="R645" i="1"/>
  <c r="P645" i="1"/>
  <c r="N645" i="1"/>
  <c r="B645" i="1"/>
  <c r="L645" i="1" s="1"/>
  <c r="F645" i="1" s="1"/>
  <c r="R644" i="1"/>
  <c r="P644" i="1"/>
  <c r="N644" i="1"/>
  <c r="B644" i="1"/>
  <c r="L644" i="1" s="1"/>
  <c r="F644" i="1" s="1"/>
  <c r="R643" i="1"/>
  <c r="P643" i="1"/>
  <c r="N643" i="1"/>
  <c r="B643" i="1"/>
  <c r="L643" i="1" s="1"/>
  <c r="F643" i="1" s="1"/>
  <c r="R642" i="1"/>
  <c r="P642" i="1"/>
  <c r="N642" i="1"/>
  <c r="B642" i="1"/>
  <c r="L642" i="1" s="1"/>
  <c r="F642" i="1" s="1"/>
  <c r="R641" i="1"/>
  <c r="P641" i="1"/>
  <c r="N641" i="1"/>
  <c r="B641" i="1"/>
  <c r="L641" i="1" s="1"/>
  <c r="F641" i="1" s="1"/>
  <c r="R640" i="1"/>
  <c r="P640" i="1"/>
  <c r="N640" i="1"/>
  <c r="B640" i="1"/>
  <c r="L640" i="1" s="1"/>
  <c r="F640" i="1" s="1"/>
  <c r="R639" i="1"/>
  <c r="P639" i="1"/>
  <c r="N639" i="1"/>
  <c r="K639" i="1"/>
  <c r="B639" i="1"/>
  <c r="R638" i="1"/>
  <c r="P638" i="1"/>
  <c r="N638" i="1"/>
  <c r="B638" i="1"/>
  <c r="L638" i="1" s="1"/>
  <c r="F638" i="1" s="1"/>
  <c r="R637" i="1"/>
  <c r="P637" i="1"/>
  <c r="N637" i="1"/>
  <c r="B637" i="1"/>
  <c r="L637" i="1" s="1"/>
  <c r="F637" i="1" s="1"/>
  <c r="R636" i="1"/>
  <c r="P636" i="1"/>
  <c r="N636" i="1"/>
  <c r="B636" i="1"/>
  <c r="L636" i="1" s="1"/>
  <c r="F636" i="1" s="1"/>
  <c r="R635" i="1"/>
  <c r="P635" i="1"/>
  <c r="N635" i="1"/>
  <c r="B635" i="1"/>
  <c r="L635" i="1" s="1"/>
  <c r="F635" i="1" s="1"/>
  <c r="R634" i="1"/>
  <c r="P634" i="1"/>
  <c r="N634" i="1"/>
  <c r="B634" i="1"/>
  <c r="L634" i="1" s="1"/>
  <c r="F634" i="1" s="1"/>
  <c r="R633" i="1"/>
  <c r="P633" i="1"/>
  <c r="N633" i="1"/>
  <c r="B633" i="1"/>
  <c r="L633" i="1" s="1"/>
  <c r="F633" i="1" s="1"/>
  <c r="R632" i="1"/>
  <c r="P632" i="1"/>
  <c r="N632" i="1"/>
  <c r="B632" i="1"/>
  <c r="L632" i="1" s="1"/>
  <c r="F632" i="1" s="1"/>
  <c r="R631" i="1"/>
  <c r="P631" i="1"/>
  <c r="N631" i="1"/>
  <c r="B631" i="1"/>
  <c r="L631" i="1" s="1"/>
  <c r="F631" i="1" s="1"/>
  <c r="R630" i="1"/>
  <c r="P630" i="1"/>
  <c r="N630" i="1"/>
  <c r="K630" i="1"/>
  <c r="B630" i="1"/>
  <c r="R629" i="1"/>
  <c r="P629" i="1"/>
  <c r="N629" i="1"/>
  <c r="B629" i="1"/>
  <c r="L629" i="1" s="1"/>
  <c r="F629" i="1" s="1"/>
  <c r="R628" i="1"/>
  <c r="P628" i="1"/>
  <c r="N628" i="1"/>
  <c r="B628" i="1"/>
  <c r="L628" i="1" s="1"/>
  <c r="F628" i="1" s="1"/>
  <c r="R627" i="1"/>
  <c r="P627" i="1"/>
  <c r="N627" i="1"/>
  <c r="B627" i="1"/>
  <c r="L627" i="1" s="1"/>
  <c r="F627" i="1" s="1"/>
  <c r="R626" i="1"/>
  <c r="P626" i="1"/>
  <c r="N626" i="1"/>
  <c r="B626" i="1"/>
  <c r="L626" i="1" s="1"/>
  <c r="F626" i="1" s="1"/>
  <c r="R625" i="1"/>
  <c r="P625" i="1"/>
  <c r="N625" i="1"/>
  <c r="B625" i="1"/>
  <c r="L625" i="1" s="1"/>
  <c r="F625" i="1" s="1"/>
  <c r="R624" i="1"/>
  <c r="P624" i="1"/>
  <c r="N624" i="1"/>
  <c r="B624" i="1"/>
  <c r="L624" i="1" s="1"/>
  <c r="F624" i="1" s="1"/>
  <c r="R623" i="1"/>
  <c r="P623" i="1"/>
  <c r="N623" i="1"/>
  <c r="B623" i="1"/>
  <c r="L623" i="1" s="1"/>
  <c r="F623" i="1" s="1"/>
  <c r="R622" i="1"/>
  <c r="P622" i="1"/>
  <c r="N622" i="1"/>
  <c r="B622" i="1"/>
  <c r="L622" i="1" s="1"/>
  <c r="F622" i="1" s="1"/>
  <c r="R621" i="1"/>
  <c r="P621" i="1"/>
  <c r="N621" i="1"/>
  <c r="B621" i="1"/>
  <c r="R620" i="1"/>
  <c r="P620" i="1"/>
  <c r="N620" i="1"/>
  <c r="B620" i="1"/>
  <c r="R619" i="1"/>
  <c r="P619" i="1"/>
  <c r="N619" i="1"/>
  <c r="B619" i="1"/>
  <c r="L619" i="1" s="1"/>
  <c r="F619" i="1" s="1"/>
  <c r="R618" i="1"/>
  <c r="P618" i="1"/>
  <c r="N618" i="1"/>
  <c r="B618" i="1"/>
  <c r="L618" i="1" s="1"/>
  <c r="F618" i="1" s="1"/>
  <c r="R617" i="1"/>
  <c r="P617" i="1"/>
  <c r="N617" i="1"/>
  <c r="B617" i="1"/>
  <c r="L617" i="1" s="1"/>
  <c r="F617" i="1" s="1"/>
  <c r="R616" i="1"/>
  <c r="P616" i="1"/>
  <c r="N616" i="1"/>
  <c r="B616" i="1"/>
  <c r="L616" i="1" s="1"/>
  <c r="F616" i="1" s="1"/>
  <c r="R615" i="1"/>
  <c r="P615" i="1"/>
  <c r="N615" i="1"/>
  <c r="B615" i="1"/>
  <c r="L615" i="1" s="1"/>
  <c r="F615" i="1" s="1"/>
  <c r="R614" i="1"/>
  <c r="P614" i="1"/>
  <c r="N614" i="1"/>
  <c r="B614" i="1"/>
  <c r="L614" i="1" s="1"/>
  <c r="F614" i="1" s="1"/>
  <c r="R613" i="1"/>
  <c r="P613" i="1"/>
  <c r="N613" i="1"/>
  <c r="B613" i="1"/>
  <c r="L613" i="1" s="1"/>
  <c r="F613" i="1" s="1"/>
  <c r="R612" i="1"/>
  <c r="P612" i="1"/>
  <c r="N612" i="1"/>
  <c r="K612" i="1"/>
  <c r="B612" i="1"/>
  <c r="R611" i="1"/>
  <c r="P611" i="1"/>
  <c r="N611" i="1"/>
  <c r="B611" i="1"/>
  <c r="L611" i="1" s="1"/>
  <c r="F611" i="1" s="1"/>
  <c r="R610" i="1"/>
  <c r="P610" i="1"/>
  <c r="N610" i="1"/>
  <c r="K610" i="1"/>
  <c r="B610" i="1"/>
  <c r="R609" i="1"/>
  <c r="P609" i="1"/>
  <c r="N609" i="1"/>
  <c r="B609" i="1"/>
  <c r="L609" i="1" s="1"/>
  <c r="F609" i="1" s="1"/>
  <c r="R608" i="1"/>
  <c r="P608" i="1"/>
  <c r="N608" i="1"/>
  <c r="B608" i="1"/>
  <c r="L608" i="1" s="1"/>
  <c r="F608" i="1" s="1"/>
  <c r="R607" i="1"/>
  <c r="P607" i="1"/>
  <c r="N607" i="1"/>
  <c r="B607" i="1"/>
  <c r="L607" i="1" s="1"/>
  <c r="F607" i="1" s="1"/>
  <c r="R606" i="1"/>
  <c r="P606" i="1"/>
  <c r="N606" i="1"/>
  <c r="B606" i="1"/>
  <c r="L606" i="1" s="1"/>
  <c r="F606" i="1" s="1"/>
  <c r="R605" i="1"/>
  <c r="P605" i="1"/>
  <c r="N605" i="1"/>
  <c r="B605" i="1"/>
  <c r="L605" i="1" s="1"/>
  <c r="F605" i="1" s="1"/>
  <c r="R604" i="1"/>
  <c r="P604" i="1"/>
  <c r="N604" i="1"/>
  <c r="K604" i="1"/>
  <c r="B604" i="1"/>
  <c r="R603" i="1"/>
  <c r="P603" i="1"/>
  <c r="N603" i="1"/>
  <c r="B603" i="1"/>
  <c r="L603" i="1" s="1"/>
  <c r="F603" i="1" s="1"/>
  <c r="R602" i="1"/>
  <c r="P602" i="1"/>
  <c r="N602" i="1"/>
  <c r="B602" i="1"/>
  <c r="L602" i="1" s="1"/>
  <c r="F602" i="1" s="1"/>
  <c r="R601" i="1"/>
  <c r="P601" i="1"/>
  <c r="N601" i="1"/>
  <c r="B601" i="1"/>
  <c r="L601" i="1" s="1"/>
  <c r="F601" i="1" s="1"/>
  <c r="R600" i="1"/>
  <c r="P600" i="1"/>
  <c r="N600" i="1"/>
  <c r="B600" i="1"/>
  <c r="L600" i="1" s="1"/>
  <c r="F600" i="1" s="1"/>
  <c r="R599" i="1"/>
  <c r="P599" i="1"/>
  <c r="N599" i="1"/>
  <c r="L599" i="1"/>
  <c r="F599" i="1" s="1"/>
  <c r="R598" i="1"/>
  <c r="P598" i="1"/>
  <c r="N598" i="1"/>
  <c r="K598" i="1"/>
  <c r="B598" i="1"/>
  <c r="R597" i="1"/>
  <c r="P597" i="1"/>
  <c r="N597" i="1"/>
  <c r="B597" i="1"/>
  <c r="L597" i="1" s="1"/>
  <c r="F597" i="1" s="1"/>
  <c r="R596" i="1"/>
  <c r="P596" i="1"/>
  <c r="N596" i="1"/>
  <c r="B596" i="1"/>
  <c r="L596" i="1" s="1"/>
  <c r="F596" i="1" s="1"/>
  <c r="R595" i="1"/>
  <c r="P595" i="1"/>
  <c r="N595" i="1"/>
  <c r="B595" i="1"/>
  <c r="L595" i="1" s="1"/>
  <c r="F595" i="1" s="1"/>
  <c r="R594" i="1"/>
  <c r="P594" i="1"/>
  <c r="N594" i="1"/>
  <c r="B594" i="1"/>
  <c r="L594" i="1" s="1"/>
  <c r="F594" i="1" s="1"/>
  <c r="R593" i="1"/>
  <c r="P593" i="1"/>
  <c r="N593" i="1"/>
  <c r="B593" i="1"/>
  <c r="L593" i="1" s="1"/>
  <c r="F593" i="1" s="1"/>
  <c r="R592" i="1"/>
  <c r="P592" i="1"/>
  <c r="N592" i="1"/>
  <c r="B592" i="1"/>
  <c r="L592" i="1" s="1"/>
  <c r="F592" i="1" s="1"/>
  <c r="R591" i="1"/>
  <c r="P591" i="1"/>
  <c r="N591" i="1"/>
  <c r="B591" i="1"/>
  <c r="L591" i="1" s="1"/>
  <c r="F591" i="1" s="1"/>
  <c r="R590" i="1"/>
  <c r="P590" i="1"/>
  <c r="N590" i="1"/>
  <c r="B590" i="1"/>
  <c r="L590" i="1" s="1"/>
  <c r="F590" i="1" s="1"/>
  <c r="R589" i="1"/>
  <c r="P589" i="1"/>
  <c r="N589" i="1"/>
  <c r="K589" i="1"/>
  <c r="B589" i="1"/>
  <c r="L589" i="1" s="1"/>
  <c r="F589" i="1" s="1"/>
  <c r="R588" i="1"/>
  <c r="P588" i="1"/>
  <c r="N588" i="1"/>
  <c r="B588" i="1"/>
  <c r="L588" i="1" s="1"/>
  <c r="F588" i="1" s="1"/>
  <c r="R587" i="1"/>
  <c r="P587" i="1"/>
  <c r="N587" i="1"/>
  <c r="B587" i="1"/>
  <c r="L587" i="1" s="1"/>
  <c r="F587" i="1" s="1"/>
  <c r="R586" i="1"/>
  <c r="P586" i="1"/>
  <c r="N586" i="1"/>
  <c r="B586" i="1"/>
  <c r="L586" i="1" s="1"/>
  <c r="F586" i="1" s="1"/>
  <c r="R585" i="1"/>
  <c r="P585" i="1"/>
  <c r="N585" i="1"/>
  <c r="B585" i="1"/>
  <c r="L585" i="1" s="1"/>
  <c r="F585" i="1" s="1"/>
  <c r="R584" i="1"/>
  <c r="P584" i="1"/>
  <c r="N584" i="1"/>
  <c r="B584" i="1"/>
  <c r="L584" i="1" s="1"/>
  <c r="F584" i="1" s="1"/>
  <c r="R583" i="1"/>
  <c r="P583" i="1"/>
  <c r="N583" i="1"/>
  <c r="B583" i="1"/>
  <c r="L583" i="1" s="1"/>
  <c r="F583" i="1" s="1"/>
  <c r="R582" i="1"/>
  <c r="P582" i="1"/>
  <c r="N582" i="1"/>
  <c r="B582" i="1"/>
  <c r="L582" i="1" s="1"/>
  <c r="F582" i="1" s="1"/>
  <c r="R581" i="1"/>
  <c r="P581" i="1"/>
  <c r="N581" i="1"/>
  <c r="B581" i="1"/>
  <c r="L581" i="1" s="1"/>
  <c r="F581" i="1" s="1"/>
  <c r="R580" i="1"/>
  <c r="P580" i="1"/>
  <c r="N580" i="1"/>
  <c r="B580" i="1"/>
  <c r="L580" i="1" s="1"/>
  <c r="F580" i="1" s="1"/>
  <c r="R579" i="1"/>
  <c r="P579" i="1"/>
  <c r="N579" i="1"/>
  <c r="L579" i="1"/>
  <c r="F579" i="1" s="1"/>
  <c r="R578" i="1"/>
  <c r="P578" i="1"/>
  <c r="N578" i="1"/>
  <c r="B578" i="1"/>
  <c r="L578" i="1" s="1"/>
  <c r="F578" i="1" s="1"/>
  <c r="R577" i="1"/>
  <c r="P577" i="1"/>
  <c r="N577" i="1"/>
  <c r="B577" i="1"/>
  <c r="L577" i="1" s="1"/>
  <c r="F577" i="1" s="1"/>
  <c r="R576" i="1"/>
  <c r="P576" i="1"/>
  <c r="N576" i="1"/>
  <c r="K576" i="1"/>
  <c r="B576" i="1"/>
  <c r="R575" i="1"/>
  <c r="P575" i="1"/>
  <c r="N575" i="1"/>
  <c r="B575" i="1"/>
  <c r="L575" i="1" s="1"/>
  <c r="F575" i="1" s="1"/>
  <c r="R574" i="1"/>
  <c r="P574" i="1"/>
  <c r="N574" i="1"/>
  <c r="K574" i="1"/>
  <c r="B574" i="1"/>
  <c r="R573" i="1"/>
  <c r="P573" i="1"/>
  <c r="N573" i="1"/>
  <c r="K573" i="1"/>
  <c r="B573" i="1"/>
  <c r="R572" i="1"/>
  <c r="P572" i="1"/>
  <c r="N572" i="1"/>
  <c r="B572" i="1"/>
  <c r="L572" i="1" s="1"/>
  <c r="F572" i="1" s="1"/>
  <c r="R571" i="1"/>
  <c r="P571" i="1"/>
  <c r="N571" i="1"/>
  <c r="B571" i="1"/>
  <c r="L571" i="1" s="1"/>
  <c r="F571" i="1" s="1"/>
  <c r="R570" i="1"/>
  <c r="P570" i="1"/>
  <c r="N570" i="1"/>
  <c r="B570" i="1"/>
  <c r="L570" i="1" s="1"/>
  <c r="F570" i="1" s="1"/>
  <c r="R569" i="1"/>
  <c r="P569" i="1"/>
  <c r="N569" i="1"/>
  <c r="B569" i="1"/>
  <c r="L569" i="1" s="1"/>
  <c r="F569" i="1" s="1"/>
  <c r="R568" i="1"/>
  <c r="P568" i="1"/>
  <c r="N568" i="1"/>
  <c r="B568" i="1"/>
  <c r="L568" i="1" s="1"/>
  <c r="F568" i="1" s="1"/>
  <c r="R567" i="1"/>
  <c r="P567" i="1"/>
  <c r="N567" i="1"/>
  <c r="B567" i="1"/>
  <c r="L567" i="1" s="1"/>
  <c r="F567" i="1" s="1"/>
  <c r="R566" i="1"/>
  <c r="P566" i="1"/>
  <c r="N566" i="1"/>
  <c r="B566" i="1"/>
  <c r="L566" i="1" s="1"/>
  <c r="F566" i="1" s="1"/>
  <c r="R565" i="1"/>
  <c r="P565" i="1"/>
  <c r="N565" i="1"/>
  <c r="B565" i="1"/>
  <c r="L565" i="1" s="1"/>
  <c r="F565" i="1" s="1"/>
  <c r="R564" i="1"/>
  <c r="P564" i="1"/>
  <c r="N564" i="1"/>
  <c r="B564" i="1"/>
  <c r="L564" i="1" s="1"/>
  <c r="F564" i="1" s="1"/>
  <c r="R563" i="1"/>
  <c r="P563" i="1"/>
  <c r="N563" i="1"/>
  <c r="L563" i="1"/>
  <c r="F563" i="1" s="1"/>
  <c r="R562" i="1"/>
  <c r="P562" i="1"/>
  <c r="N562" i="1"/>
  <c r="B562" i="1"/>
  <c r="L562" i="1" s="1"/>
  <c r="F562" i="1" s="1"/>
  <c r="R561" i="1"/>
  <c r="P561" i="1"/>
  <c r="N561" i="1"/>
  <c r="B561" i="1"/>
  <c r="L561" i="1" s="1"/>
  <c r="F561" i="1" s="1"/>
  <c r="R560" i="1"/>
  <c r="P560" i="1"/>
  <c r="N560" i="1"/>
  <c r="B560" i="1"/>
  <c r="L560" i="1" s="1"/>
  <c r="F560" i="1" s="1"/>
  <c r="R559" i="1"/>
  <c r="P559" i="1"/>
  <c r="N559" i="1"/>
  <c r="B559" i="1"/>
  <c r="L559" i="1" s="1"/>
  <c r="F559" i="1" s="1"/>
  <c r="R558" i="1"/>
  <c r="P558" i="1"/>
  <c r="N558" i="1"/>
  <c r="B558" i="1"/>
  <c r="L558" i="1" s="1"/>
  <c r="F558" i="1" s="1"/>
  <c r="R557" i="1"/>
  <c r="P557" i="1"/>
  <c r="N557" i="1"/>
  <c r="K557" i="1"/>
  <c r="B557" i="1"/>
  <c r="R556" i="1"/>
  <c r="P556" i="1"/>
  <c r="N556" i="1"/>
  <c r="B556" i="1"/>
  <c r="L556" i="1" s="1"/>
  <c r="F556" i="1" s="1"/>
  <c r="R555" i="1"/>
  <c r="P555" i="1"/>
  <c r="N555" i="1"/>
  <c r="B555" i="1"/>
  <c r="L555" i="1" s="1"/>
  <c r="F555" i="1" s="1"/>
  <c r="R554" i="1"/>
  <c r="P554" i="1"/>
  <c r="N554" i="1"/>
  <c r="K554" i="1"/>
  <c r="B554" i="1"/>
  <c r="R553" i="1"/>
  <c r="P553" i="1"/>
  <c r="N553" i="1"/>
  <c r="B553" i="1"/>
  <c r="L553" i="1" s="1"/>
  <c r="F553" i="1" s="1"/>
  <c r="R552" i="1"/>
  <c r="P552" i="1"/>
  <c r="N552" i="1"/>
  <c r="B552" i="1"/>
  <c r="L552" i="1" s="1"/>
  <c r="F552" i="1" s="1"/>
  <c r="R551" i="1"/>
  <c r="P551" i="1"/>
  <c r="N551" i="1"/>
  <c r="B551" i="1"/>
  <c r="L551" i="1" s="1"/>
  <c r="F551" i="1" s="1"/>
  <c r="R550" i="1"/>
  <c r="P550" i="1"/>
  <c r="N550" i="1"/>
  <c r="B550" i="1"/>
  <c r="L550" i="1" s="1"/>
  <c r="F550" i="1" s="1"/>
  <c r="R549" i="1"/>
  <c r="P549" i="1"/>
  <c r="N549" i="1"/>
  <c r="K549" i="1"/>
  <c r="B549" i="1"/>
  <c r="R548" i="1"/>
  <c r="P548" i="1"/>
  <c r="N548" i="1"/>
  <c r="B548" i="1"/>
  <c r="L548" i="1" s="1"/>
  <c r="F548" i="1" s="1"/>
  <c r="R547" i="1"/>
  <c r="P547" i="1"/>
  <c r="N547" i="1"/>
  <c r="K547" i="1"/>
  <c r="B547" i="1"/>
  <c r="R546" i="1"/>
  <c r="P546" i="1"/>
  <c r="N546" i="1"/>
  <c r="B546" i="1"/>
  <c r="L546" i="1" s="1"/>
  <c r="F546" i="1" s="1"/>
  <c r="R545" i="1"/>
  <c r="P545" i="1"/>
  <c r="N545" i="1"/>
  <c r="B545" i="1"/>
  <c r="L545" i="1" s="1"/>
  <c r="F545" i="1" s="1"/>
  <c r="R544" i="1"/>
  <c r="P544" i="1"/>
  <c r="N544" i="1"/>
  <c r="B544" i="1"/>
  <c r="L544" i="1" s="1"/>
  <c r="F544" i="1" s="1"/>
  <c r="R543" i="1"/>
  <c r="P543" i="1"/>
  <c r="N543" i="1"/>
  <c r="B543" i="1"/>
  <c r="L543" i="1" s="1"/>
  <c r="F543" i="1" s="1"/>
  <c r="R542" i="1"/>
  <c r="P542" i="1"/>
  <c r="N542" i="1"/>
  <c r="K542" i="1"/>
  <c r="B542" i="1"/>
  <c r="R541" i="1"/>
  <c r="P541" i="1"/>
  <c r="N541" i="1"/>
  <c r="K541" i="1"/>
  <c r="B541" i="1"/>
  <c r="L541" i="1" s="1"/>
  <c r="F541" i="1" s="1"/>
  <c r="R540" i="1"/>
  <c r="P540" i="1"/>
  <c r="N540" i="1"/>
  <c r="B540" i="1"/>
  <c r="L540" i="1" s="1"/>
  <c r="F540" i="1" s="1"/>
  <c r="R539" i="1"/>
  <c r="P539" i="1"/>
  <c r="N539" i="1"/>
  <c r="B539" i="1"/>
  <c r="L539" i="1" s="1"/>
  <c r="F539" i="1" s="1"/>
  <c r="R538" i="1"/>
  <c r="P538" i="1"/>
  <c r="N538" i="1"/>
  <c r="B538" i="1"/>
  <c r="L538" i="1" s="1"/>
  <c r="F538" i="1" s="1"/>
  <c r="R537" i="1"/>
  <c r="P537" i="1"/>
  <c r="N537" i="1"/>
  <c r="B537" i="1"/>
  <c r="L537" i="1" s="1"/>
  <c r="F537" i="1" s="1"/>
  <c r="R536" i="1"/>
  <c r="P536" i="1"/>
  <c r="N536" i="1"/>
  <c r="B536" i="1"/>
  <c r="L536" i="1" s="1"/>
  <c r="F536" i="1" s="1"/>
  <c r="R535" i="1"/>
  <c r="P535" i="1"/>
  <c r="N535" i="1"/>
  <c r="B535" i="1"/>
  <c r="L535" i="1" s="1"/>
  <c r="F535" i="1" s="1"/>
  <c r="R534" i="1"/>
  <c r="P534" i="1"/>
  <c r="N534" i="1"/>
  <c r="B534" i="1"/>
  <c r="L534" i="1" s="1"/>
  <c r="F534" i="1" s="1"/>
  <c r="R533" i="1"/>
  <c r="P533" i="1"/>
  <c r="N533" i="1"/>
  <c r="B533" i="1"/>
  <c r="L533" i="1" s="1"/>
  <c r="F533" i="1" s="1"/>
  <c r="R532" i="1"/>
  <c r="P532" i="1"/>
  <c r="N532" i="1"/>
  <c r="B532" i="1"/>
  <c r="L532" i="1" s="1"/>
  <c r="F532" i="1" s="1"/>
  <c r="R531" i="1"/>
  <c r="P531" i="1"/>
  <c r="N531" i="1"/>
  <c r="B531" i="1"/>
  <c r="L531" i="1" s="1"/>
  <c r="F531" i="1" s="1"/>
  <c r="R530" i="1"/>
  <c r="P530" i="1"/>
  <c r="N530" i="1"/>
  <c r="B530" i="1"/>
  <c r="L530" i="1" s="1"/>
  <c r="F530" i="1" s="1"/>
  <c r="R529" i="1"/>
  <c r="P529" i="1"/>
  <c r="N529" i="1"/>
  <c r="B529" i="1"/>
  <c r="L529" i="1" s="1"/>
  <c r="F529" i="1" s="1"/>
  <c r="R528" i="1"/>
  <c r="P528" i="1"/>
  <c r="N528" i="1"/>
  <c r="B528" i="1"/>
  <c r="L528" i="1" s="1"/>
  <c r="F528" i="1" s="1"/>
  <c r="R527" i="1"/>
  <c r="P527" i="1"/>
  <c r="N527" i="1"/>
  <c r="B527" i="1"/>
  <c r="L527" i="1" s="1"/>
  <c r="F527" i="1" s="1"/>
  <c r="R526" i="1"/>
  <c r="P526" i="1"/>
  <c r="N526" i="1"/>
  <c r="B526" i="1"/>
  <c r="L526" i="1" s="1"/>
  <c r="F526" i="1" s="1"/>
  <c r="R525" i="1"/>
  <c r="P525" i="1"/>
  <c r="N525" i="1"/>
  <c r="B525" i="1"/>
  <c r="L525" i="1" s="1"/>
  <c r="F525" i="1" s="1"/>
  <c r="R524" i="1"/>
  <c r="P524" i="1"/>
  <c r="N524" i="1"/>
  <c r="B524" i="1"/>
  <c r="L524" i="1" s="1"/>
  <c r="F524" i="1" s="1"/>
  <c r="R523" i="1"/>
  <c r="P523" i="1"/>
  <c r="N523" i="1"/>
  <c r="B523" i="1"/>
  <c r="L523" i="1" s="1"/>
  <c r="F523" i="1" s="1"/>
  <c r="R522" i="1"/>
  <c r="P522" i="1"/>
  <c r="N522" i="1"/>
  <c r="B522" i="1"/>
  <c r="L522" i="1" s="1"/>
  <c r="F522" i="1" s="1"/>
  <c r="R521" i="1"/>
  <c r="P521" i="1"/>
  <c r="N521" i="1"/>
  <c r="B521" i="1"/>
  <c r="L521" i="1" s="1"/>
  <c r="F521" i="1" s="1"/>
  <c r="R520" i="1"/>
  <c r="P520" i="1"/>
  <c r="N520" i="1"/>
  <c r="B520" i="1"/>
  <c r="L520" i="1" s="1"/>
  <c r="F520" i="1" s="1"/>
  <c r="R519" i="1"/>
  <c r="P519" i="1"/>
  <c r="N519" i="1"/>
  <c r="B519" i="1"/>
  <c r="L519" i="1" s="1"/>
  <c r="F519" i="1" s="1"/>
  <c r="R518" i="1"/>
  <c r="P518" i="1"/>
  <c r="N518" i="1"/>
  <c r="B518" i="1"/>
  <c r="L518" i="1" s="1"/>
  <c r="F518" i="1" s="1"/>
  <c r="R517" i="1"/>
  <c r="P517" i="1"/>
  <c r="N517" i="1"/>
  <c r="B517" i="1"/>
  <c r="L517" i="1" s="1"/>
  <c r="F517" i="1" s="1"/>
  <c r="R516" i="1"/>
  <c r="P516" i="1"/>
  <c r="N516" i="1"/>
  <c r="B516" i="1"/>
  <c r="L516" i="1" s="1"/>
  <c r="F516" i="1" s="1"/>
  <c r="R515" i="1"/>
  <c r="P515" i="1"/>
  <c r="N515" i="1"/>
  <c r="B515" i="1"/>
  <c r="L515" i="1" s="1"/>
  <c r="F515" i="1" s="1"/>
  <c r="R514" i="1"/>
  <c r="P514" i="1"/>
  <c r="N514" i="1"/>
  <c r="B514" i="1"/>
  <c r="L514" i="1" s="1"/>
  <c r="F514" i="1" s="1"/>
  <c r="R513" i="1"/>
  <c r="P513" i="1"/>
  <c r="N513" i="1"/>
  <c r="B513" i="1"/>
  <c r="L513" i="1" s="1"/>
  <c r="F513" i="1" s="1"/>
  <c r="R512" i="1"/>
  <c r="P512" i="1"/>
  <c r="N512" i="1"/>
  <c r="B512" i="1"/>
  <c r="L512" i="1" s="1"/>
  <c r="F512" i="1" s="1"/>
  <c r="R511" i="1"/>
  <c r="P511" i="1"/>
  <c r="N511" i="1"/>
  <c r="B511" i="1"/>
  <c r="L511" i="1" s="1"/>
  <c r="F511" i="1" s="1"/>
  <c r="R510" i="1"/>
  <c r="P510" i="1"/>
  <c r="N510" i="1"/>
  <c r="B510" i="1"/>
  <c r="L510" i="1" s="1"/>
  <c r="F510" i="1" s="1"/>
  <c r="R509" i="1"/>
  <c r="P509" i="1"/>
  <c r="N509" i="1"/>
  <c r="B509" i="1"/>
  <c r="L509" i="1" s="1"/>
  <c r="F509" i="1" s="1"/>
  <c r="R508" i="1"/>
  <c r="P508" i="1"/>
  <c r="N508" i="1"/>
  <c r="B508" i="1"/>
  <c r="L508" i="1" s="1"/>
  <c r="F508" i="1" s="1"/>
  <c r="R507" i="1"/>
  <c r="P507" i="1"/>
  <c r="N507" i="1"/>
  <c r="B507" i="1"/>
  <c r="L507" i="1" s="1"/>
  <c r="F507" i="1" s="1"/>
  <c r="R506" i="1"/>
  <c r="P506" i="1"/>
  <c r="N506" i="1"/>
  <c r="B506" i="1"/>
  <c r="L506" i="1" s="1"/>
  <c r="F506" i="1" s="1"/>
  <c r="R505" i="1"/>
  <c r="P505" i="1"/>
  <c r="N505" i="1"/>
  <c r="B505" i="1"/>
  <c r="L505" i="1" s="1"/>
  <c r="F505" i="1" s="1"/>
  <c r="R504" i="1"/>
  <c r="P504" i="1"/>
  <c r="N504" i="1"/>
  <c r="K504" i="1"/>
  <c r="B504" i="1"/>
  <c r="R503" i="1"/>
  <c r="P503" i="1"/>
  <c r="N503" i="1"/>
  <c r="B503" i="1"/>
  <c r="L503" i="1" s="1"/>
  <c r="F503" i="1" s="1"/>
  <c r="R502" i="1"/>
  <c r="P502" i="1"/>
  <c r="N502" i="1"/>
  <c r="B502" i="1"/>
  <c r="L502" i="1" s="1"/>
  <c r="F502" i="1" s="1"/>
  <c r="R501" i="1"/>
  <c r="P501" i="1"/>
  <c r="N501" i="1"/>
  <c r="B501" i="1"/>
  <c r="L501" i="1" s="1"/>
  <c r="F501" i="1" s="1"/>
  <c r="R500" i="1"/>
  <c r="P500" i="1"/>
  <c r="N500" i="1"/>
  <c r="B500" i="1"/>
  <c r="L500" i="1" s="1"/>
  <c r="F500" i="1" s="1"/>
  <c r="R499" i="1"/>
  <c r="P499" i="1"/>
  <c r="N499" i="1"/>
  <c r="B499" i="1"/>
  <c r="L499" i="1" s="1"/>
  <c r="F499" i="1" s="1"/>
  <c r="R498" i="1"/>
  <c r="P498" i="1"/>
  <c r="N498" i="1"/>
  <c r="B498" i="1"/>
  <c r="L498" i="1" s="1"/>
  <c r="F498" i="1" s="1"/>
  <c r="R497" i="1"/>
  <c r="P497" i="1"/>
  <c r="N497" i="1"/>
  <c r="B497" i="1"/>
  <c r="L497" i="1" s="1"/>
  <c r="F497" i="1" s="1"/>
  <c r="R496" i="1"/>
  <c r="P496" i="1"/>
  <c r="N496" i="1"/>
  <c r="B496" i="1"/>
  <c r="L496" i="1" s="1"/>
  <c r="F496" i="1" s="1"/>
  <c r="R495" i="1"/>
  <c r="P495" i="1"/>
  <c r="N495" i="1"/>
  <c r="B495" i="1"/>
  <c r="L495" i="1" s="1"/>
  <c r="F495" i="1" s="1"/>
  <c r="R494" i="1"/>
  <c r="P494" i="1"/>
  <c r="N494" i="1"/>
  <c r="B494" i="1"/>
  <c r="L494" i="1" s="1"/>
  <c r="F494" i="1" s="1"/>
  <c r="R493" i="1"/>
  <c r="P493" i="1"/>
  <c r="N493" i="1"/>
  <c r="B493" i="1"/>
  <c r="L493" i="1" s="1"/>
  <c r="F493" i="1" s="1"/>
  <c r="R492" i="1"/>
  <c r="P492" i="1"/>
  <c r="N492" i="1"/>
  <c r="B492" i="1"/>
  <c r="L492" i="1" s="1"/>
  <c r="F492" i="1" s="1"/>
  <c r="R491" i="1"/>
  <c r="P491" i="1"/>
  <c r="N491" i="1"/>
  <c r="B491" i="1"/>
  <c r="L491" i="1" s="1"/>
  <c r="F491" i="1" s="1"/>
  <c r="R490" i="1"/>
  <c r="P490" i="1"/>
  <c r="N490" i="1"/>
  <c r="B490" i="1"/>
  <c r="L490" i="1" s="1"/>
  <c r="F490" i="1" s="1"/>
  <c r="R489" i="1"/>
  <c r="P489" i="1"/>
  <c r="N489" i="1"/>
  <c r="B489" i="1"/>
  <c r="L489" i="1" s="1"/>
  <c r="F489" i="1" s="1"/>
  <c r="R488" i="1"/>
  <c r="P488" i="1"/>
  <c r="N488" i="1"/>
  <c r="K488" i="1"/>
  <c r="B488" i="1"/>
  <c r="R487" i="1"/>
  <c r="P487" i="1"/>
  <c r="N487" i="1"/>
  <c r="K487" i="1"/>
  <c r="B487" i="1"/>
  <c r="L487" i="1" s="1"/>
  <c r="F487" i="1" s="1"/>
  <c r="R486" i="1"/>
  <c r="P486" i="1"/>
  <c r="N486" i="1"/>
  <c r="B486" i="1"/>
  <c r="L486" i="1" s="1"/>
  <c r="F486" i="1" s="1"/>
  <c r="R485" i="1"/>
  <c r="P485" i="1"/>
  <c r="N485" i="1"/>
  <c r="B485" i="1"/>
  <c r="L485" i="1" s="1"/>
  <c r="F485" i="1" s="1"/>
  <c r="R484" i="1"/>
  <c r="P484" i="1"/>
  <c r="N484" i="1"/>
  <c r="B484" i="1"/>
  <c r="L484" i="1" s="1"/>
  <c r="F484" i="1" s="1"/>
  <c r="R483" i="1"/>
  <c r="P483" i="1"/>
  <c r="N483" i="1"/>
  <c r="B483" i="1"/>
  <c r="L483" i="1" s="1"/>
  <c r="F483" i="1" s="1"/>
  <c r="R482" i="1"/>
  <c r="P482" i="1"/>
  <c r="N482" i="1"/>
  <c r="B482" i="1"/>
  <c r="L482" i="1" s="1"/>
  <c r="F482" i="1" s="1"/>
  <c r="R481" i="1"/>
  <c r="P481" i="1"/>
  <c r="N481" i="1"/>
  <c r="B481" i="1"/>
  <c r="L481" i="1" s="1"/>
  <c r="F481" i="1" s="1"/>
  <c r="R480" i="1"/>
  <c r="P480" i="1"/>
  <c r="N480" i="1"/>
  <c r="B480" i="1"/>
  <c r="L480" i="1" s="1"/>
  <c r="F480" i="1" s="1"/>
  <c r="R479" i="1"/>
  <c r="P479" i="1"/>
  <c r="N479" i="1"/>
  <c r="B479" i="1"/>
  <c r="L479" i="1" s="1"/>
  <c r="F479" i="1" s="1"/>
  <c r="R478" i="1"/>
  <c r="P478" i="1"/>
  <c r="N478" i="1"/>
  <c r="B478" i="1"/>
  <c r="L478" i="1" s="1"/>
  <c r="F478" i="1" s="1"/>
  <c r="R477" i="1"/>
  <c r="P477" i="1"/>
  <c r="N477" i="1"/>
  <c r="B477" i="1"/>
  <c r="L477" i="1" s="1"/>
  <c r="F477" i="1" s="1"/>
  <c r="R476" i="1"/>
  <c r="P476" i="1"/>
  <c r="N476" i="1"/>
  <c r="K476" i="1"/>
  <c r="L476" i="1" s="1"/>
  <c r="F476" i="1" s="1"/>
  <c r="B476" i="1"/>
  <c r="R475" i="1"/>
  <c r="P475" i="1"/>
  <c r="N475" i="1"/>
  <c r="B475" i="1"/>
  <c r="L475" i="1" s="1"/>
  <c r="F475" i="1" s="1"/>
  <c r="R474" i="1"/>
  <c r="P474" i="1"/>
  <c r="N474" i="1"/>
  <c r="B474" i="1"/>
  <c r="L474" i="1" s="1"/>
  <c r="F474" i="1" s="1"/>
  <c r="R473" i="1"/>
  <c r="P473" i="1"/>
  <c r="N473" i="1"/>
  <c r="B473" i="1"/>
  <c r="L473" i="1" s="1"/>
  <c r="F473" i="1" s="1"/>
  <c r="R472" i="1"/>
  <c r="P472" i="1"/>
  <c r="N472" i="1"/>
  <c r="B472" i="1"/>
  <c r="L472" i="1" s="1"/>
  <c r="F472" i="1" s="1"/>
  <c r="R471" i="1"/>
  <c r="P471" i="1"/>
  <c r="N471" i="1"/>
  <c r="B471" i="1"/>
  <c r="L471" i="1" s="1"/>
  <c r="F471" i="1" s="1"/>
  <c r="R470" i="1"/>
  <c r="P470" i="1"/>
  <c r="N470" i="1"/>
  <c r="B470" i="1"/>
  <c r="L470" i="1" s="1"/>
  <c r="F470" i="1" s="1"/>
  <c r="R469" i="1"/>
  <c r="P469" i="1"/>
  <c r="N469" i="1"/>
  <c r="B469" i="1"/>
  <c r="L469" i="1" s="1"/>
  <c r="F469" i="1" s="1"/>
  <c r="R468" i="1"/>
  <c r="P468" i="1"/>
  <c r="N468" i="1"/>
  <c r="K468" i="1"/>
  <c r="B468" i="1"/>
  <c r="R467" i="1"/>
  <c r="P467" i="1"/>
  <c r="N467" i="1"/>
  <c r="B467" i="1"/>
  <c r="L467" i="1" s="1"/>
  <c r="F467" i="1" s="1"/>
  <c r="R466" i="1"/>
  <c r="P466" i="1"/>
  <c r="N466" i="1"/>
  <c r="B466" i="1"/>
  <c r="L466" i="1" s="1"/>
  <c r="F466" i="1" s="1"/>
  <c r="R465" i="1"/>
  <c r="P465" i="1"/>
  <c r="N465" i="1"/>
  <c r="B465" i="1"/>
  <c r="L465" i="1" s="1"/>
  <c r="F465" i="1" s="1"/>
  <c r="R464" i="1"/>
  <c r="P464" i="1"/>
  <c r="N464" i="1"/>
  <c r="B464" i="1"/>
  <c r="L464" i="1" s="1"/>
  <c r="F464" i="1" s="1"/>
  <c r="R463" i="1"/>
  <c r="P463" i="1"/>
  <c r="N463" i="1"/>
  <c r="B463" i="1"/>
  <c r="L463" i="1" s="1"/>
  <c r="F463" i="1" s="1"/>
  <c r="R462" i="1"/>
  <c r="P462" i="1"/>
  <c r="N462" i="1"/>
  <c r="K462" i="1"/>
  <c r="B462" i="1"/>
  <c r="R461" i="1"/>
  <c r="P461" i="1"/>
  <c r="N461" i="1"/>
  <c r="B461" i="1"/>
  <c r="L461" i="1" s="1"/>
  <c r="F461" i="1" s="1"/>
  <c r="R460" i="1"/>
  <c r="P460" i="1"/>
  <c r="N460" i="1"/>
  <c r="B460" i="1"/>
  <c r="L460" i="1" s="1"/>
  <c r="F460" i="1" s="1"/>
  <c r="R459" i="1"/>
  <c r="P459" i="1"/>
  <c r="N459" i="1"/>
  <c r="B459" i="1"/>
  <c r="L459" i="1" s="1"/>
  <c r="F459" i="1" s="1"/>
  <c r="R458" i="1"/>
  <c r="P458" i="1"/>
  <c r="N458" i="1"/>
  <c r="L458" i="1"/>
  <c r="F458" i="1" s="1"/>
  <c r="R457" i="1"/>
  <c r="P457" i="1"/>
  <c r="N457" i="1"/>
  <c r="B457" i="1"/>
  <c r="L457" i="1" s="1"/>
  <c r="F457" i="1" s="1"/>
  <c r="R456" i="1"/>
  <c r="P456" i="1"/>
  <c r="N456" i="1"/>
  <c r="B456" i="1"/>
  <c r="L456" i="1" s="1"/>
  <c r="F456" i="1" s="1"/>
  <c r="R455" i="1"/>
  <c r="P455" i="1"/>
  <c r="N455" i="1"/>
  <c r="B455" i="1"/>
  <c r="L455" i="1" s="1"/>
  <c r="F455" i="1" s="1"/>
  <c r="R454" i="1"/>
  <c r="P454" i="1"/>
  <c r="N454" i="1"/>
  <c r="B454" i="1"/>
  <c r="L454" i="1" s="1"/>
  <c r="F454" i="1" s="1"/>
  <c r="R453" i="1"/>
  <c r="P453" i="1"/>
  <c r="N453" i="1"/>
  <c r="B453" i="1"/>
  <c r="L453" i="1" s="1"/>
  <c r="F453" i="1" s="1"/>
  <c r="R452" i="1"/>
  <c r="P452" i="1"/>
  <c r="N452" i="1"/>
  <c r="K452" i="1"/>
  <c r="B452" i="1"/>
  <c r="R451" i="1"/>
  <c r="P451" i="1"/>
  <c r="N451" i="1"/>
  <c r="B451" i="1"/>
  <c r="L451" i="1" s="1"/>
  <c r="F451" i="1" s="1"/>
  <c r="R450" i="1"/>
  <c r="P450" i="1"/>
  <c r="N450" i="1"/>
  <c r="B450" i="1"/>
  <c r="L450" i="1" s="1"/>
  <c r="F450" i="1" s="1"/>
  <c r="R449" i="1"/>
  <c r="P449" i="1"/>
  <c r="N449" i="1"/>
  <c r="B449" i="1"/>
  <c r="L449" i="1" s="1"/>
  <c r="F449" i="1" s="1"/>
  <c r="R448" i="1"/>
  <c r="P448" i="1"/>
  <c r="N448" i="1"/>
  <c r="B448" i="1"/>
  <c r="L448" i="1" s="1"/>
  <c r="F448" i="1" s="1"/>
  <c r="R447" i="1"/>
  <c r="P447" i="1"/>
  <c r="N447" i="1"/>
  <c r="L447" i="1"/>
  <c r="F447" i="1" s="1"/>
  <c r="R446" i="1"/>
  <c r="P446" i="1"/>
  <c r="N446" i="1"/>
  <c r="B446" i="1"/>
  <c r="L446" i="1" s="1"/>
  <c r="F446" i="1" s="1"/>
  <c r="R445" i="1"/>
  <c r="P445" i="1"/>
  <c r="N445" i="1"/>
  <c r="B445" i="1"/>
  <c r="L445" i="1" s="1"/>
  <c r="F445" i="1" s="1"/>
  <c r="R444" i="1"/>
  <c r="P444" i="1"/>
  <c r="N444" i="1"/>
  <c r="B444" i="1"/>
  <c r="L444" i="1" s="1"/>
  <c r="F444" i="1" s="1"/>
  <c r="R443" i="1"/>
  <c r="P443" i="1"/>
  <c r="N443" i="1"/>
  <c r="B443" i="1"/>
  <c r="L443" i="1" s="1"/>
  <c r="F443" i="1" s="1"/>
  <c r="R442" i="1"/>
  <c r="P442" i="1"/>
  <c r="N442" i="1"/>
  <c r="F442" i="1"/>
  <c r="B442" i="1"/>
  <c r="L442" i="1" s="1"/>
  <c r="R441" i="1"/>
  <c r="P441" i="1"/>
  <c r="N441" i="1"/>
  <c r="B441" i="1"/>
  <c r="L441" i="1" s="1"/>
  <c r="F441" i="1" s="1"/>
  <c r="R440" i="1"/>
  <c r="P440" i="1"/>
  <c r="N440" i="1"/>
  <c r="B440" i="1"/>
  <c r="L440" i="1" s="1"/>
  <c r="F440" i="1" s="1"/>
  <c r="R439" i="1"/>
  <c r="P439" i="1"/>
  <c r="N439" i="1"/>
  <c r="B439" i="1"/>
  <c r="L439" i="1" s="1"/>
  <c r="F439" i="1" s="1"/>
  <c r="R438" i="1"/>
  <c r="P438" i="1"/>
  <c r="N438" i="1"/>
  <c r="B438" i="1"/>
  <c r="L438" i="1" s="1"/>
  <c r="F438" i="1" s="1"/>
  <c r="R437" i="1"/>
  <c r="P437" i="1"/>
  <c r="N437" i="1"/>
  <c r="B437" i="1"/>
  <c r="L437" i="1" s="1"/>
  <c r="F437" i="1" s="1"/>
  <c r="R436" i="1"/>
  <c r="P436" i="1"/>
  <c r="N436" i="1"/>
  <c r="B436" i="1"/>
  <c r="L436" i="1" s="1"/>
  <c r="F436" i="1" s="1"/>
  <c r="R435" i="1"/>
  <c r="P435" i="1"/>
  <c r="N435" i="1"/>
  <c r="B435" i="1"/>
  <c r="L435" i="1" s="1"/>
  <c r="F435" i="1" s="1"/>
  <c r="R434" i="1"/>
  <c r="P434" i="1"/>
  <c r="N434" i="1"/>
  <c r="K434" i="1"/>
  <c r="B434" i="1"/>
  <c r="R433" i="1"/>
  <c r="P433" i="1"/>
  <c r="N433" i="1"/>
  <c r="B433" i="1"/>
  <c r="L433" i="1" s="1"/>
  <c r="F433" i="1" s="1"/>
  <c r="R432" i="1"/>
  <c r="P432" i="1"/>
  <c r="N432" i="1"/>
  <c r="K432" i="1"/>
  <c r="B432" i="1"/>
  <c r="L432" i="1" s="1"/>
  <c r="F432" i="1" s="1"/>
  <c r="R431" i="1"/>
  <c r="P431" i="1"/>
  <c r="N431" i="1"/>
  <c r="B431" i="1"/>
  <c r="L431" i="1" s="1"/>
  <c r="F431" i="1" s="1"/>
  <c r="R430" i="1"/>
  <c r="P430" i="1"/>
  <c r="N430" i="1"/>
  <c r="B430" i="1"/>
  <c r="L430" i="1" s="1"/>
  <c r="F430" i="1" s="1"/>
  <c r="R429" i="1"/>
  <c r="P429" i="1"/>
  <c r="N429" i="1"/>
  <c r="B429" i="1"/>
  <c r="L429" i="1" s="1"/>
  <c r="F429" i="1" s="1"/>
  <c r="R428" i="1"/>
  <c r="P428" i="1"/>
  <c r="N428" i="1"/>
  <c r="K428" i="1"/>
  <c r="B428" i="1"/>
  <c r="R427" i="1"/>
  <c r="P427" i="1"/>
  <c r="N427" i="1"/>
  <c r="B427" i="1"/>
  <c r="L427" i="1" s="1"/>
  <c r="F427" i="1" s="1"/>
  <c r="R426" i="1"/>
  <c r="P426" i="1"/>
  <c r="N426" i="1"/>
  <c r="B426" i="1"/>
  <c r="L426" i="1" s="1"/>
  <c r="F426" i="1" s="1"/>
  <c r="R425" i="1"/>
  <c r="P425" i="1"/>
  <c r="N425" i="1"/>
  <c r="B425" i="1"/>
  <c r="L425" i="1" s="1"/>
  <c r="F425" i="1" s="1"/>
  <c r="R424" i="1"/>
  <c r="P424" i="1"/>
  <c r="N424" i="1"/>
  <c r="B424" i="1"/>
  <c r="L424" i="1" s="1"/>
  <c r="F424" i="1" s="1"/>
  <c r="R423" i="1"/>
  <c r="P423" i="1"/>
  <c r="N423" i="1"/>
  <c r="B423" i="1"/>
  <c r="L423" i="1" s="1"/>
  <c r="F423" i="1" s="1"/>
  <c r="R422" i="1"/>
  <c r="P422" i="1"/>
  <c r="N422" i="1"/>
  <c r="B422" i="1"/>
  <c r="L422" i="1" s="1"/>
  <c r="F422" i="1" s="1"/>
  <c r="R421" i="1"/>
  <c r="P421" i="1"/>
  <c r="N421" i="1"/>
  <c r="B421" i="1"/>
  <c r="L421" i="1" s="1"/>
  <c r="F421" i="1" s="1"/>
  <c r="R420" i="1"/>
  <c r="P420" i="1"/>
  <c r="N420" i="1"/>
  <c r="K420" i="1"/>
  <c r="B420" i="1"/>
  <c r="R419" i="1"/>
  <c r="P419" i="1"/>
  <c r="N419" i="1"/>
  <c r="B419" i="1"/>
  <c r="L419" i="1" s="1"/>
  <c r="F419" i="1" s="1"/>
  <c r="R418" i="1"/>
  <c r="P418" i="1"/>
  <c r="N418" i="1"/>
  <c r="B418" i="1"/>
  <c r="L418" i="1" s="1"/>
  <c r="F418" i="1" s="1"/>
  <c r="R417" i="1"/>
  <c r="P417" i="1"/>
  <c r="N417" i="1"/>
  <c r="B417" i="1"/>
  <c r="L417" i="1" s="1"/>
  <c r="F417" i="1" s="1"/>
  <c r="R416" i="1"/>
  <c r="P416" i="1"/>
  <c r="N416" i="1"/>
  <c r="L416" i="1"/>
  <c r="F416" i="1" s="1"/>
  <c r="R415" i="1"/>
  <c r="P415" i="1"/>
  <c r="N415" i="1"/>
  <c r="B415" i="1"/>
  <c r="L415" i="1" s="1"/>
  <c r="F415" i="1" s="1"/>
  <c r="R414" i="1"/>
  <c r="P414" i="1"/>
  <c r="N414" i="1"/>
  <c r="B414" i="1"/>
  <c r="L414" i="1" s="1"/>
  <c r="F414" i="1" s="1"/>
  <c r="R413" i="1"/>
  <c r="P413" i="1"/>
  <c r="N413" i="1"/>
  <c r="B413" i="1"/>
  <c r="L413" i="1" s="1"/>
  <c r="F413" i="1" s="1"/>
  <c r="R412" i="1"/>
  <c r="P412" i="1"/>
  <c r="N412" i="1"/>
  <c r="K412" i="1"/>
  <c r="B412" i="1"/>
  <c r="R411" i="1"/>
  <c r="P411" i="1"/>
  <c r="N411" i="1"/>
  <c r="B411" i="1"/>
  <c r="L411" i="1" s="1"/>
  <c r="F411" i="1" s="1"/>
  <c r="R410" i="1"/>
  <c r="P410" i="1"/>
  <c r="N410" i="1"/>
  <c r="B410" i="1"/>
  <c r="L410" i="1" s="1"/>
  <c r="F410" i="1" s="1"/>
  <c r="R409" i="1"/>
  <c r="P409" i="1"/>
  <c r="N409" i="1"/>
  <c r="B409" i="1"/>
  <c r="L409" i="1" s="1"/>
  <c r="F409" i="1" s="1"/>
  <c r="R408" i="1"/>
  <c r="P408" i="1"/>
  <c r="N408" i="1"/>
  <c r="B408" i="1"/>
  <c r="L408" i="1" s="1"/>
  <c r="F408" i="1" s="1"/>
  <c r="R407" i="1"/>
  <c r="P407" i="1"/>
  <c r="N407" i="1"/>
  <c r="B407" i="1"/>
  <c r="L407" i="1" s="1"/>
  <c r="F407" i="1" s="1"/>
  <c r="R406" i="1"/>
  <c r="P406" i="1"/>
  <c r="N406" i="1"/>
  <c r="B406" i="1"/>
  <c r="L406" i="1" s="1"/>
  <c r="F406" i="1" s="1"/>
  <c r="R405" i="1"/>
  <c r="P405" i="1"/>
  <c r="N405" i="1"/>
  <c r="B405" i="1"/>
  <c r="L405" i="1" s="1"/>
  <c r="F405" i="1" s="1"/>
  <c r="R404" i="1"/>
  <c r="P404" i="1"/>
  <c r="N404" i="1"/>
  <c r="B404" i="1"/>
  <c r="L404" i="1" s="1"/>
  <c r="F404" i="1" s="1"/>
  <c r="R403" i="1"/>
  <c r="P403" i="1"/>
  <c r="N403" i="1"/>
  <c r="B403" i="1"/>
  <c r="L403" i="1" s="1"/>
  <c r="F403" i="1" s="1"/>
  <c r="R402" i="1"/>
  <c r="P402" i="1"/>
  <c r="N402" i="1"/>
  <c r="B402" i="1"/>
  <c r="L402" i="1" s="1"/>
  <c r="F402" i="1" s="1"/>
  <c r="R401" i="1"/>
  <c r="P401" i="1"/>
  <c r="N401" i="1"/>
  <c r="B401" i="1"/>
  <c r="L401" i="1" s="1"/>
  <c r="F401" i="1" s="1"/>
  <c r="R400" i="1"/>
  <c r="P400" i="1"/>
  <c r="N400" i="1"/>
  <c r="B400" i="1"/>
  <c r="L400" i="1" s="1"/>
  <c r="F400" i="1" s="1"/>
  <c r="R399" i="1"/>
  <c r="P399" i="1"/>
  <c r="N399" i="1"/>
  <c r="B399" i="1"/>
  <c r="L399" i="1" s="1"/>
  <c r="F399" i="1" s="1"/>
  <c r="R398" i="1"/>
  <c r="P398" i="1"/>
  <c r="N398" i="1"/>
  <c r="B398" i="1"/>
  <c r="L398" i="1" s="1"/>
  <c r="F398" i="1" s="1"/>
  <c r="R397" i="1"/>
  <c r="P397" i="1"/>
  <c r="N397" i="1"/>
  <c r="B397" i="1"/>
  <c r="L397" i="1" s="1"/>
  <c r="F397" i="1" s="1"/>
  <c r="R396" i="1"/>
  <c r="P396" i="1"/>
  <c r="N396" i="1"/>
  <c r="B396" i="1"/>
  <c r="L396" i="1" s="1"/>
  <c r="F396" i="1" s="1"/>
  <c r="R395" i="1"/>
  <c r="P395" i="1"/>
  <c r="N395" i="1"/>
  <c r="K395" i="1"/>
  <c r="B395" i="1"/>
  <c r="R394" i="1"/>
  <c r="P394" i="1"/>
  <c r="N394" i="1"/>
  <c r="B394" i="1"/>
  <c r="L394" i="1" s="1"/>
  <c r="F394" i="1" s="1"/>
  <c r="R393" i="1"/>
  <c r="P393" i="1"/>
  <c r="N393" i="1"/>
  <c r="B393" i="1"/>
  <c r="L393" i="1" s="1"/>
  <c r="F393" i="1" s="1"/>
  <c r="R392" i="1"/>
  <c r="P392" i="1"/>
  <c r="N392" i="1"/>
  <c r="B392" i="1"/>
  <c r="L392" i="1" s="1"/>
  <c r="F392" i="1" s="1"/>
  <c r="R391" i="1"/>
  <c r="P391" i="1"/>
  <c r="N391" i="1"/>
  <c r="K391" i="1"/>
  <c r="B391" i="1"/>
  <c r="R390" i="1"/>
  <c r="P390" i="1"/>
  <c r="N390" i="1"/>
  <c r="B390" i="1"/>
  <c r="L390" i="1" s="1"/>
  <c r="F390" i="1" s="1"/>
  <c r="R389" i="1"/>
  <c r="P389" i="1"/>
  <c r="N389" i="1"/>
  <c r="K389" i="1"/>
  <c r="B389" i="1"/>
  <c r="R388" i="1"/>
  <c r="P388" i="1"/>
  <c r="N388" i="1"/>
  <c r="B388" i="1"/>
  <c r="L388" i="1" s="1"/>
  <c r="F388" i="1" s="1"/>
  <c r="R387" i="1"/>
  <c r="P387" i="1"/>
  <c r="N387" i="1"/>
  <c r="B387" i="1"/>
  <c r="L387" i="1" s="1"/>
  <c r="F387" i="1" s="1"/>
  <c r="R386" i="1"/>
  <c r="P386" i="1"/>
  <c r="N386" i="1"/>
  <c r="B386" i="1"/>
  <c r="L386" i="1" s="1"/>
  <c r="F386" i="1" s="1"/>
  <c r="R385" i="1"/>
  <c r="P385" i="1"/>
  <c r="N385" i="1"/>
  <c r="B385" i="1"/>
  <c r="L385" i="1" s="1"/>
  <c r="F385" i="1" s="1"/>
  <c r="R384" i="1"/>
  <c r="P384" i="1"/>
  <c r="N384" i="1"/>
  <c r="B384" i="1"/>
  <c r="L384" i="1" s="1"/>
  <c r="F384" i="1" s="1"/>
  <c r="R383" i="1"/>
  <c r="P383" i="1"/>
  <c r="N383" i="1"/>
  <c r="B383" i="1"/>
  <c r="L383" i="1" s="1"/>
  <c r="F383" i="1" s="1"/>
  <c r="R382" i="1"/>
  <c r="P382" i="1"/>
  <c r="N382" i="1"/>
  <c r="B382" i="1"/>
  <c r="L382" i="1" s="1"/>
  <c r="F382" i="1" s="1"/>
  <c r="R381" i="1"/>
  <c r="P381" i="1"/>
  <c r="N381" i="1"/>
  <c r="B381" i="1"/>
  <c r="L381" i="1" s="1"/>
  <c r="F381" i="1" s="1"/>
  <c r="R380" i="1"/>
  <c r="P380" i="1"/>
  <c r="N380" i="1"/>
  <c r="B380" i="1"/>
  <c r="L380" i="1" s="1"/>
  <c r="F380" i="1" s="1"/>
  <c r="R379" i="1"/>
  <c r="P379" i="1"/>
  <c r="N379" i="1"/>
  <c r="B379" i="1"/>
  <c r="L379" i="1" s="1"/>
  <c r="F379" i="1" s="1"/>
  <c r="R378" i="1"/>
  <c r="P378" i="1"/>
  <c r="N378" i="1"/>
  <c r="B378" i="1"/>
  <c r="L378" i="1" s="1"/>
  <c r="F378" i="1" s="1"/>
  <c r="R377" i="1"/>
  <c r="P377" i="1"/>
  <c r="N377" i="1"/>
  <c r="L377" i="1"/>
  <c r="F377" i="1" s="1"/>
  <c r="R376" i="1"/>
  <c r="P376" i="1"/>
  <c r="N376" i="1"/>
  <c r="B376" i="1"/>
  <c r="L376" i="1" s="1"/>
  <c r="F376" i="1" s="1"/>
  <c r="R375" i="1"/>
  <c r="P375" i="1"/>
  <c r="N375" i="1"/>
  <c r="B375" i="1"/>
  <c r="L375" i="1" s="1"/>
  <c r="F375" i="1" s="1"/>
  <c r="R374" i="1"/>
  <c r="P374" i="1"/>
  <c r="N374" i="1"/>
  <c r="B374" i="1"/>
  <c r="L374" i="1" s="1"/>
  <c r="F374" i="1" s="1"/>
  <c r="R373" i="1"/>
  <c r="P373" i="1"/>
  <c r="N373" i="1"/>
  <c r="B373" i="1"/>
  <c r="L373" i="1" s="1"/>
  <c r="F373" i="1" s="1"/>
  <c r="R372" i="1"/>
  <c r="P372" i="1"/>
  <c r="N372" i="1"/>
  <c r="B372" i="1"/>
  <c r="L372" i="1" s="1"/>
  <c r="F372" i="1" s="1"/>
  <c r="R371" i="1"/>
  <c r="P371" i="1"/>
  <c r="N371" i="1"/>
  <c r="B371" i="1"/>
  <c r="L371" i="1" s="1"/>
  <c r="F371" i="1" s="1"/>
  <c r="R370" i="1"/>
  <c r="P370" i="1"/>
  <c r="N370" i="1"/>
  <c r="B370" i="1"/>
  <c r="L370" i="1" s="1"/>
  <c r="F370" i="1" s="1"/>
  <c r="R369" i="1"/>
  <c r="P369" i="1"/>
  <c r="N369" i="1"/>
  <c r="B369" i="1"/>
  <c r="L369" i="1" s="1"/>
  <c r="F369" i="1" s="1"/>
  <c r="R368" i="1"/>
  <c r="P368" i="1"/>
  <c r="N368" i="1"/>
  <c r="B368" i="1"/>
  <c r="L368" i="1" s="1"/>
  <c r="F368" i="1" s="1"/>
  <c r="R367" i="1"/>
  <c r="P367" i="1"/>
  <c r="N367" i="1"/>
  <c r="B367" i="1"/>
  <c r="L367" i="1" s="1"/>
  <c r="F367" i="1" s="1"/>
  <c r="R366" i="1"/>
  <c r="P366" i="1"/>
  <c r="N366" i="1"/>
  <c r="K366" i="1"/>
  <c r="B366" i="1"/>
  <c r="R365" i="1"/>
  <c r="P365" i="1"/>
  <c r="N365" i="1"/>
  <c r="B365" i="1"/>
  <c r="L365" i="1" s="1"/>
  <c r="F365" i="1" s="1"/>
  <c r="R364" i="1"/>
  <c r="P364" i="1"/>
  <c r="N364" i="1"/>
  <c r="B364" i="1"/>
  <c r="L364" i="1" s="1"/>
  <c r="F364" i="1" s="1"/>
  <c r="R363" i="1"/>
  <c r="P363" i="1"/>
  <c r="N363" i="1"/>
  <c r="B363" i="1"/>
  <c r="L363" i="1" s="1"/>
  <c r="F363" i="1" s="1"/>
  <c r="R362" i="1"/>
  <c r="P362" i="1"/>
  <c r="N362" i="1"/>
  <c r="K362" i="1"/>
  <c r="B362" i="1"/>
  <c r="R361" i="1"/>
  <c r="P361" i="1"/>
  <c r="N361" i="1"/>
  <c r="B361" i="1"/>
  <c r="L361" i="1" s="1"/>
  <c r="F361" i="1" s="1"/>
  <c r="R360" i="1"/>
  <c r="P360" i="1"/>
  <c r="N360" i="1"/>
  <c r="B360" i="1"/>
  <c r="L360" i="1" s="1"/>
  <c r="F360" i="1" s="1"/>
  <c r="R359" i="1"/>
  <c r="P359" i="1"/>
  <c r="N359" i="1"/>
  <c r="B359" i="1"/>
  <c r="L359" i="1" s="1"/>
  <c r="F359" i="1" s="1"/>
  <c r="R358" i="1"/>
  <c r="P358" i="1"/>
  <c r="N358" i="1"/>
  <c r="B358" i="1"/>
  <c r="L358" i="1" s="1"/>
  <c r="F358" i="1" s="1"/>
  <c r="R357" i="1"/>
  <c r="P357" i="1"/>
  <c r="N357" i="1"/>
  <c r="B357" i="1"/>
  <c r="L357" i="1" s="1"/>
  <c r="F357" i="1" s="1"/>
  <c r="R356" i="1"/>
  <c r="P356" i="1"/>
  <c r="N356" i="1"/>
  <c r="B356" i="1"/>
  <c r="L356" i="1" s="1"/>
  <c r="F356" i="1" s="1"/>
  <c r="R355" i="1"/>
  <c r="P355" i="1"/>
  <c r="N355" i="1"/>
  <c r="B355" i="1"/>
  <c r="L355" i="1" s="1"/>
  <c r="F355" i="1" s="1"/>
  <c r="R354" i="1"/>
  <c r="P354" i="1"/>
  <c r="N354" i="1"/>
  <c r="B354" i="1"/>
  <c r="L354" i="1" s="1"/>
  <c r="F354" i="1" s="1"/>
  <c r="R353" i="1"/>
  <c r="P353" i="1"/>
  <c r="N353" i="1"/>
  <c r="K353" i="1"/>
  <c r="B353" i="1"/>
  <c r="L353" i="1" s="1"/>
  <c r="F353" i="1" s="1"/>
  <c r="R352" i="1"/>
  <c r="P352" i="1"/>
  <c r="N352" i="1"/>
  <c r="L352" i="1"/>
  <c r="F352" i="1" s="1"/>
  <c r="R351" i="1"/>
  <c r="P351" i="1"/>
  <c r="N351" i="1"/>
  <c r="K351" i="1"/>
  <c r="B351" i="1"/>
  <c r="R350" i="1"/>
  <c r="P350" i="1"/>
  <c r="N350" i="1"/>
  <c r="B350" i="1"/>
  <c r="L350" i="1" s="1"/>
  <c r="F350" i="1" s="1"/>
  <c r="R349" i="1"/>
  <c r="P349" i="1"/>
  <c r="N349" i="1"/>
  <c r="B349" i="1"/>
  <c r="L349" i="1" s="1"/>
  <c r="F349" i="1" s="1"/>
  <c r="R348" i="1"/>
  <c r="P348" i="1"/>
  <c r="N348" i="1"/>
  <c r="B348" i="1"/>
  <c r="L348" i="1" s="1"/>
  <c r="F348" i="1" s="1"/>
  <c r="R347" i="1"/>
  <c r="P347" i="1"/>
  <c r="N347" i="1"/>
  <c r="B347" i="1"/>
  <c r="L347" i="1" s="1"/>
  <c r="F347" i="1" s="1"/>
  <c r="R346" i="1"/>
  <c r="P346" i="1"/>
  <c r="N346" i="1"/>
  <c r="B346" i="1"/>
  <c r="L346" i="1" s="1"/>
  <c r="F346" i="1" s="1"/>
  <c r="R345" i="1"/>
  <c r="P345" i="1"/>
  <c r="N345" i="1"/>
  <c r="B345" i="1"/>
  <c r="L345" i="1" s="1"/>
  <c r="F345" i="1" s="1"/>
  <c r="R344" i="1"/>
  <c r="P344" i="1"/>
  <c r="N344" i="1"/>
  <c r="B344" i="1"/>
  <c r="L344" i="1" s="1"/>
  <c r="F344" i="1" s="1"/>
  <c r="R343" i="1"/>
  <c r="P343" i="1"/>
  <c r="N343" i="1"/>
  <c r="B343" i="1"/>
  <c r="L343" i="1" s="1"/>
  <c r="F343" i="1" s="1"/>
  <c r="R342" i="1"/>
  <c r="P342" i="1"/>
  <c r="N342" i="1"/>
  <c r="B342" i="1"/>
  <c r="L342" i="1" s="1"/>
  <c r="F342" i="1" s="1"/>
  <c r="R341" i="1"/>
  <c r="P341" i="1"/>
  <c r="N341" i="1"/>
  <c r="B341" i="1"/>
  <c r="L341" i="1" s="1"/>
  <c r="F341" i="1" s="1"/>
  <c r="R340" i="1"/>
  <c r="P340" i="1"/>
  <c r="N340" i="1"/>
  <c r="K340" i="1"/>
  <c r="B340" i="1"/>
  <c r="R339" i="1"/>
  <c r="P339" i="1"/>
  <c r="N339" i="1"/>
  <c r="B339" i="1"/>
  <c r="L339" i="1" s="1"/>
  <c r="F339" i="1" s="1"/>
  <c r="R338" i="1"/>
  <c r="P338" i="1"/>
  <c r="N338" i="1"/>
  <c r="B338" i="1"/>
  <c r="L338" i="1" s="1"/>
  <c r="F338" i="1" s="1"/>
  <c r="R337" i="1"/>
  <c r="P337" i="1"/>
  <c r="N337" i="1"/>
  <c r="B337" i="1"/>
  <c r="L337" i="1" s="1"/>
  <c r="F337" i="1" s="1"/>
  <c r="R336" i="1"/>
  <c r="P336" i="1"/>
  <c r="N336" i="1"/>
  <c r="B336" i="1"/>
  <c r="L336" i="1" s="1"/>
  <c r="F336" i="1" s="1"/>
  <c r="R335" i="1"/>
  <c r="P335" i="1"/>
  <c r="N335" i="1"/>
  <c r="B335" i="1"/>
  <c r="L335" i="1" s="1"/>
  <c r="F335" i="1" s="1"/>
  <c r="R334" i="1"/>
  <c r="P334" i="1"/>
  <c r="N334" i="1"/>
  <c r="B334" i="1"/>
  <c r="L334" i="1" s="1"/>
  <c r="F334" i="1" s="1"/>
  <c r="R333" i="1"/>
  <c r="P333" i="1"/>
  <c r="N333" i="1"/>
  <c r="B333" i="1"/>
  <c r="L333" i="1" s="1"/>
  <c r="F333" i="1" s="1"/>
  <c r="R332" i="1"/>
  <c r="P332" i="1"/>
  <c r="N332" i="1"/>
  <c r="B332" i="1"/>
  <c r="L332" i="1" s="1"/>
  <c r="F332" i="1" s="1"/>
  <c r="R331" i="1"/>
  <c r="P331" i="1"/>
  <c r="N331" i="1"/>
  <c r="K331" i="1"/>
  <c r="B331" i="1"/>
  <c r="L331" i="1" s="1"/>
  <c r="F331" i="1" s="1"/>
  <c r="R330" i="1"/>
  <c r="P330" i="1"/>
  <c r="N330" i="1"/>
  <c r="B330" i="1"/>
  <c r="L330" i="1" s="1"/>
  <c r="F330" i="1" s="1"/>
  <c r="R329" i="1"/>
  <c r="P329" i="1"/>
  <c r="N329" i="1"/>
  <c r="L329" i="1"/>
  <c r="F329" i="1" s="1"/>
  <c r="R328" i="1"/>
  <c r="P328" i="1"/>
  <c r="N328" i="1"/>
  <c r="B328" i="1"/>
  <c r="L328" i="1" s="1"/>
  <c r="F328" i="1" s="1"/>
  <c r="R327" i="1"/>
  <c r="P327" i="1"/>
  <c r="N327" i="1"/>
  <c r="B327" i="1"/>
  <c r="L327" i="1" s="1"/>
  <c r="F327" i="1" s="1"/>
  <c r="R326" i="1"/>
  <c r="P326" i="1"/>
  <c r="N326" i="1"/>
  <c r="B326" i="1"/>
  <c r="L326" i="1" s="1"/>
  <c r="F326" i="1" s="1"/>
  <c r="R325" i="1"/>
  <c r="P325" i="1"/>
  <c r="N325" i="1"/>
  <c r="B325" i="1"/>
  <c r="L325" i="1" s="1"/>
  <c r="F325" i="1" s="1"/>
  <c r="R324" i="1"/>
  <c r="P324" i="1"/>
  <c r="N324" i="1"/>
  <c r="B324" i="1"/>
  <c r="L324" i="1" s="1"/>
  <c r="F324" i="1" s="1"/>
  <c r="R323" i="1"/>
  <c r="P323" i="1"/>
  <c r="N323" i="1"/>
  <c r="B323" i="1"/>
  <c r="L323" i="1" s="1"/>
  <c r="F323" i="1" s="1"/>
  <c r="R322" i="1"/>
  <c r="P322" i="1"/>
  <c r="N322" i="1"/>
  <c r="K322" i="1"/>
  <c r="B322" i="1"/>
  <c r="R321" i="1"/>
  <c r="P321" i="1"/>
  <c r="N321" i="1"/>
  <c r="B321" i="1"/>
  <c r="L321" i="1" s="1"/>
  <c r="F321" i="1" s="1"/>
  <c r="R320" i="1"/>
  <c r="P320" i="1"/>
  <c r="N320" i="1"/>
  <c r="B320" i="1"/>
  <c r="L320" i="1" s="1"/>
  <c r="F320" i="1" s="1"/>
  <c r="R319" i="1"/>
  <c r="P319" i="1"/>
  <c r="N319" i="1"/>
  <c r="K319" i="1"/>
  <c r="B319" i="1"/>
  <c r="R318" i="1"/>
  <c r="P318" i="1"/>
  <c r="N318" i="1"/>
  <c r="K318" i="1"/>
  <c r="B318" i="1"/>
  <c r="R317" i="1"/>
  <c r="P317" i="1"/>
  <c r="N317" i="1"/>
  <c r="B317" i="1"/>
  <c r="L317" i="1" s="1"/>
  <c r="F317" i="1" s="1"/>
  <c r="R316" i="1"/>
  <c r="P316" i="1"/>
  <c r="N316" i="1"/>
  <c r="B316" i="1"/>
  <c r="L316" i="1" s="1"/>
  <c r="F316" i="1" s="1"/>
  <c r="R315" i="1"/>
  <c r="P315" i="1"/>
  <c r="N315" i="1"/>
  <c r="B315" i="1"/>
  <c r="L315" i="1" s="1"/>
  <c r="F315" i="1" s="1"/>
  <c r="R314" i="1"/>
  <c r="P314" i="1"/>
  <c r="N314" i="1"/>
  <c r="B314" i="1"/>
  <c r="L314" i="1" s="1"/>
  <c r="F314" i="1" s="1"/>
  <c r="R313" i="1"/>
  <c r="P313" i="1"/>
  <c r="N313" i="1"/>
  <c r="B313" i="1"/>
  <c r="L313" i="1" s="1"/>
  <c r="F313" i="1" s="1"/>
  <c r="R312" i="1"/>
  <c r="P312" i="1"/>
  <c r="N312" i="1"/>
  <c r="B312" i="1"/>
  <c r="L312" i="1" s="1"/>
  <c r="F312" i="1" s="1"/>
  <c r="R311" i="1"/>
  <c r="P311" i="1"/>
  <c r="N311" i="1"/>
  <c r="B311" i="1"/>
  <c r="L311" i="1" s="1"/>
  <c r="F311" i="1" s="1"/>
  <c r="R310" i="1"/>
  <c r="P310" i="1"/>
  <c r="N310" i="1"/>
  <c r="B310" i="1"/>
  <c r="L310" i="1" s="1"/>
  <c r="F310" i="1" s="1"/>
  <c r="R309" i="1"/>
  <c r="P309" i="1"/>
  <c r="N309" i="1"/>
  <c r="B309" i="1"/>
  <c r="L309" i="1" s="1"/>
  <c r="F309" i="1" s="1"/>
  <c r="R308" i="1"/>
  <c r="P308" i="1"/>
  <c r="N308" i="1"/>
  <c r="B308" i="1"/>
  <c r="L308" i="1" s="1"/>
  <c r="F308" i="1" s="1"/>
  <c r="R307" i="1"/>
  <c r="P307" i="1"/>
  <c r="N307" i="1"/>
  <c r="B307" i="1"/>
  <c r="L307" i="1" s="1"/>
  <c r="F307" i="1" s="1"/>
  <c r="R306" i="1"/>
  <c r="P306" i="1"/>
  <c r="N306" i="1"/>
  <c r="B306" i="1"/>
  <c r="L306" i="1" s="1"/>
  <c r="F306" i="1" s="1"/>
  <c r="R305" i="1"/>
  <c r="P305" i="1"/>
  <c r="N305" i="1"/>
  <c r="B305" i="1"/>
  <c r="L305" i="1" s="1"/>
  <c r="F305" i="1" s="1"/>
  <c r="R304" i="1"/>
  <c r="P304" i="1"/>
  <c r="N304" i="1"/>
  <c r="B304" i="1"/>
  <c r="L304" i="1" s="1"/>
  <c r="F304" i="1" s="1"/>
  <c r="R303" i="1"/>
  <c r="P303" i="1"/>
  <c r="N303" i="1"/>
  <c r="B303" i="1"/>
  <c r="L303" i="1" s="1"/>
  <c r="F303" i="1" s="1"/>
  <c r="R302" i="1"/>
  <c r="P302" i="1"/>
  <c r="N302" i="1"/>
  <c r="B302" i="1"/>
  <c r="L302" i="1" s="1"/>
  <c r="F302" i="1" s="1"/>
  <c r="R301" i="1"/>
  <c r="P301" i="1"/>
  <c r="N301" i="1"/>
  <c r="B301" i="1"/>
  <c r="L301" i="1" s="1"/>
  <c r="F301" i="1" s="1"/>
  <c r="R300" i="1"/>
  <c r="P300" i="1"/>
  <c r="N300" i="1"/>
  <c r="B300" i="1"/>
  <c r="L300" i="1" s="1"/>
  <c r="F300" i="1" s="1"/>
  <c r="R299" i="1"/>
  <c r="P299" i="1"/>
  <c r="N299" i="1"/>
  <c r="B299" i="1"/>
  <c r="L299" i="1" s="1"/>
  <c r="F299" i="1" s="1"/>
  <c r="R298" i="1"/>
  <c r="P298" i="1"/>
  <c r="N298" i="1"/>
  <c r="B298" i="1"/>
  <c r="L298" i="1" s="1"/>
  <c r="F298" i="1" s="1"/>
  <c r="R297" i="1"/>
  <c r="P297" i="1"/>
  <c r="N297" i="1"/>
  <c r="B297" i="1"/>
  <c r="L297" i="1" s="1"/>
  <c r="F297" i="1" s="1"/>
  <c r="R296" i="1"/>
  <c r="P296" i="1"/>
  <c r="N296" i="1"/>
  <c r="K296" i="1"/>
  <c r="B296" i="1"/>
  <c r="R295" i="1"/>
  <c r="P295" i="1"/>
  <c r="N295" i="1"/>
  <c r="B295" i="1"/>
  <c r="L295" i="1" s="1"/>
  <c r="F295" i="1" s="1"/>
  <c r="R294" i="1"/>
  <c r="P294" i="1"/>
  <c r="N294" i="1"/>
  <c r="B294" i="1"/>
  <c r="L294" i="1" s="1"/>
  <c r="F294" i="1" s="1"/>
  <c r="R293" i="1"/>
  <c r="P293" i="1"/>
  <c r="N293" i="1"/>
  <c r="B293" i="1"/>
  <c r="L293" i="1" s="1"/>
  <c r="F293" i="1" s="1"/>
  <c r="R292" i="1"/>
  <c r="P292" i="1"/>
  <c r="N292" i="1"/>
  <c r="B292" i="1"/>
  <c r="L292" i="1" s="1"/>
  <c r="F292" i="1" s="1"/>
  <c r="R291" i="1"/>
  <c r="P291" i="1"/>
  <c r="N291" i="1"/>
  <c r="B291" i="1"/>
  <c r="L291" i="1" s="1"/>
  <c r="F291" i="1" s="1"/>
  <c r="R290" i="1"/>
  <c r="P290" i="1"/>
  <c r="N290" i="1"/>
  <c r="B290" i="1"/>
  <c r="L290" i="1" s="1"/>
  <c r="F290" i="1" s="1"/>
  <c r="R289" i="1"/>
  <c r="P289" i="1"/>
  <c r="N289" i="1"/>
  <c r="B289" i="1"/>
  <c r="L289" i="1" s="1"/>
  <c r="F289" i="1" s="1"/>
  <c r="R288" i="1"/>
  <c r="P288" i="1"/>
  <c r="N288" i="1"/>
  <c r="B288" i="1"/>
  <c r="L288" i="1" s="1"/>
  <c r="F288" i="1" s="1"/>
  <c r="R287" i="1"/>
  <c r="P287" i="1"/>
  <c r="N287" i="1"/>
  <c r="B287" i="1"/>
  <c r="L287" i="1" s="1"/>
  <c r="F287" i="1" s="1"/>
  <c r="R286" i="1"/>
  <c r="P286" i="1"/>
  <c r="N286" i="1"/>
  <c r="B286" i="1"/>
  <c r="L286" i="1" s="1"/>
  <c r="F286" i="1" s="1"/>
  <c r="R285" i="1"/>
  <c r="P285" i="1"/>
  <c r="N285" i="1"/>
  <c r="B285" i="1"/>
  <c r="L285" i="1" s="1"/>
  <c r="F285" i="1" s="1"/>
  <c r="R284" i="1"/>
  <c r="P284" i="1"/>
  <c r="N284" i="1"/>
  <c r="B284" i="1"/>
  <c r="L284" i="1" s="1"/>
  <c r="F284" i="1" s="1"/>
  <c r="R283" i="1"/>
  <c r="P283" i="1"/>
  <c r="N283" i="1"/>
  <c r="K283" i="1"/>
  <c r="L283" i="1" s="1"/>
  <c r="F283" i="1" s="1"/>
  <c r="R282" i="1"/>
  <c r="P282" i="1"/>
  <c r="N282" i="1"/>
  <c r="B282" i="1"/>
  <c r="L282" i="1" s="1"/>
  <c r="F282" i="1" s="1"/>
  <c r="R281" i="1"/>
  <c r="P281" i="1"/>
  <c r="N281" i="1"/>
  <c r="B281" i="1"/>
  <c r="L281" i="1" s="1"/>
  <c r="F281" i="1" s="1"/>
  <c r="R280" i="1"/>
  <c r="P280" i="1"/>
  <c r="N280" i="1"/>
  <c r="B280" i="1"/>
  <c r="L280" i="1" s="1"/>
  <c r="F280" i="1" s="1"/>
  <c r="R279" i="1"/>
  <c r="P279" i="1"/>
  <c r="N279" i="1"/>
  <c r="B279" i="1"/>
  <c r="L279" i="1" s="1"/>
  <c r="F279" i="1" s="1"/>
  <c r="R278" i="1"/>
  <c r="P278" i="1"/>
  <c r="N278" i="1"/>
  <c r="B278" i="1"/>
  <c r="L278" i="1" s="1"/>
  <c r="F278" i="1" s="1"/>
  <c r="R277" i="1"/>
  <c r="P277" i="1"/>
  <c r="N277" i="1"/>
  <c r="K277" i="1"/>
  <c r="B277" i="1"/>
  <c r="R276" i="1"/>
  <c r="P276" i="1"/>
  <c r="N276" i="1"/>
  <c r="B276" i="1"/>
  <c r="L276" i="1" s="1"/>
  <c r="F276" i="1" s="1"/>
  <c r="R275" i="1"/>
  <c r="P275" i="1"/>
  <c r="N275" i="1"/>
  <c r="B275" i="1"/>
  <c r="L275" i="1" s="1"/>
  <c r="F275" i="1" s="1"/>
  <c r="R274" i="1"/>
  <c r="P274" i="1"/>
  <c r="N274" i="1"/>
  <c r="B274" i="1"/>
  <c r="L274" i="1" s="1"/>
  <c r="F274" i="1" s="1"/>
  <c r="R273" i="1"/>
  <c r="P273" i="1"/>
  <c r="N273" i="1"/>
  <c r="B273" i="1"/>
  <c r="L273" i="1" s="1"/>
  <c r="F273" i="1" s="1"/>
  <c r="R272" i="1"/>
  <c r="P272" i="1"/>
  <c r="N272" i="1"/>
  <c r="B272" i="1"/>
  <c r="L272" i="1" s="1"/>
  <c r="F272" i="1" s="1"/>
  <c r="R271" i="1"/>
  <c r="P271" i="1"/>
  <c r="N271" i="1"/>
  <c r="B271" i="1"/>
  <c r="L271" i="1" s="1"/>
  <c r="F271" i="1" s="1"/>
  <c r="R270" i="1"/>
  <c r="P270" i="1"/>
  <c r="N270" i="1"/>
  <c r="B270" i="1"/>
  <c r="L270" i="1" s="1"/>
  <c r="F270" i="1" s="1"/>
  <c r="R269" i="1"/>
  <c r="P269" i="1"/>
  <c r="N269" i="1"/>
  <c r="B269" i="1"/>
  <c r="L269" i="1" s="1"/>
  <c r="F269" i="1" s="1"/>
  <c r="R268" i="1"/>
  <c r="P268" i="1"/>
  <c r="N268" i="1"/>
  <c r="B268" i="1"/>
  <c r="L268" i="1" s="1"/>
  <c r="F268" i="1" s="1"/>
  <c r="R267" i="1"/>
  <c r="P267" i="1"/>
  <c r="N267" i="1"/>
  <c r="B267" i="1"/>
  <c r="L267" i="1" s="1"/>
  <c r="F267" i="1" s="1"/>
  <c r="R266" i="1"/>
  <c r="P266" i="1"/>
  <c r="N266" i="1"/>
  <c r="B266" i="1"/>
  <c r="L266" i="1" s="1"/>
  <c r="F266" i="1" s="1"/>
  <c r="R265" i="1"/>
  <c r="P265" i="1"/>
  <c r="N265" i="1"/>
  <c r="K265" i="1"/>
  <c r="B265" i="1"/>
  <c r="R264" i="1"/>
  <c r="P264" i="1"/>
  <c r="N264" i="1"/>
  <c r="K264" i="1"/>
  <c r="B264" i="1"/>
  <c r="R263" i="1"/>
  <c r="P263" i="1"/>
  <c r="N263" i="1"/>
  <c r="B263" i="1"/>
  <c r="L263" i="1" s="1"/>
  <c r="F263" i="1" s="1"/>
  <c r="R262" i="1"/>
  <c r="P262" i="1"/>
  <c r="N262" i="1"/>
  <c r="B262" i="1"/>
  <c r="L262" i="1" s="1"/>
  <c r="F262" i="1" s="1"/>
  <c r="R261" i="1"/>
  <c r="P261" i="1"/>
  <c r="N261" i="1"/>
  <c r="K261" i="1"/>
  <c r="B261" i="1"/>
  <c r="R260" i="1"/>
  <c r="P260" i="1"/>
  <c r="N260" i="1"/>
  <c r="B260" i="1"/>
  <c r="L260" i="1" s="1"/>
  <c r="F260" i="1" s="1"/>
  <c r="R259" i="1"/>
  <c r="P259" i="1"/>
  <c r="N259" i="1"/>
  <c r="B259" i="1"/>
  <c r="L259" i="1" s="1"/>
  <c r="F259" i="1" s="1"/>
  <c r="R258" i="1"/>
  <c r="P258" i="1"/>
  <c r="N258" i="1"/>
  <c r="B258" i="1"/>
  <c r="L258" i="1" s="1"/>
  <c r="F258" i="1" s="1"/>
  <c r="R257" i="1"/>
  <c r="P257" i="1"/>
  <c r="N257" i="1"/>
  <c r="B257" i="1"/>
  <c r="L257" i="1" s="1"/>
  <c r="F257" i="1" s="1"/>
  <c r="R256" i="1"/>
  <c r="P256" i="1"/>
  <c r="N256" i="1"/>
  <c r="B256" i="1"/>
  <c r="L256" i="1" s="1"/>
  <c r="F256" i="1" s="1"/>
  <c r="R255" i="1"/>
  <c r="P255" i="1"/>
  <c r="N255" i="1"/>
  <c r="B255" i="1"/>
  <c r="L255" i="1" s="1"/>
  <c r="F255" i="1" s="1"/>
  <c r="R254" i="1"/>
  <c r="P254" i="1"/>
  <c r="N254" i="1"/>
  <c r="B254" i="1"/>
  <c r="L254" i="1" s="1"/>
  <c r="F254" i="1" s="1"/>
  <c r="R253" i="1"/>
  <c r="P253" i="1"/>
  <c r="N253" i="1"/>
  <c r="B253" i="1"/>
  <c r="L253" i="1" s="1"/>
  <c r="F253" i="1" s="1"/>
  <c r="R252" i="1"/>
  <c r="P252" i="1"/>
  <c r="N252" i="1"/>
  <c r="B252" i="1"/>
  <c r="L252" i="1" s="1"/>
  <c r="F252" i="1" s="1"/>
  <c r="R251" i="1"/>
  <c r="P251" i="1"/>
  <c r="N251" i="1"/>
  <c r="K251" i="1"/>
  <c r="B251" i="1"/>
  <c r="R250" i="1"/>
  <c r="P250" i="1"/>
  <c r="N250" i="1"/>
  <c r="B250" i="1"/>
  <c r="L250" i="1" s="1"/>
  <c r="F250" i="1" s="1"/>
  <c r="R249" i="1"/>
  <c r="P249" i="1"/>
  <c r="N249" i="1"/>
  <c r="B249" i="1"/>
  <c r="L249" i="1" s="1"/>
  <c r="F249" i="1" s="1"/>
  <c r="R248" i="1"/>
  <c r="P248" i="1"/>
  <c r="N248" i="1"/>
  <c r="B248" i="1"/>
  <c r="L248" i="1" s="1"/>
  <c r="F248" i="1" s="1"/>
  <c r="R247" i="1"/>
  <c r="P247" i="1"/>
  <c r="N247" i="1"/>
  <c r="B247" i="1"/>
  <c r="L247" i="1" s="1"/>
  <c r="F247" i="1" s="1"/>
  <c r="R246" i="1"/>
  <c r="P246" i="1"/>
  <c r="N246" i="1"/>
  <c r="B246" i="1"/>
  <c r="L246" i="1" s="1"/>
  <c r="F246" i="1" s="1"/>
  <c r="R245" i="1"/>
  <c r="P245" i="1"/>
  <c r="N245" i="1"/>
  <c r="B245" i="1"/>
  <c r="L245" i="1" s="1"/>
  <c r="F245" i="1" s="1"/>
  <c r="R244" i="1"/>
  <c r="P244" i="1"/>
  <c r="N244" i="1"/>
  <c r="B244" i="1"/>
  <c r="L244" i="1" s="1"/>
  <c r="F244" i="1" s="1"/>
  <c r="R243" i="1"/>
  <c r="P243" i="1"/>
  <c r="N243" i="1"/>
  <c r="B243" i="1"/>
  <c r="L243" i="1" s="1"/>
  <c r="F243" i="1" s="1"/>
  <c r="R242" i="1"/>
  <c r="P242" i="1"/>
  <c r="N242" i="1"/>
  <c r="B242" i="1"/>
  <c r="L242" i="1" s="1"/>
  <c r="F242" i="1" s="1"/>
  <c r="R241" i="1"/>
  <c r="P241" i="1"/>
  <c r="N241" i="1"/>
  <c r="B241" i="1"/>
  <c r="L241" i="1" s="1"/>
  <c r="F241" i="1" s="1"/>
  <c r="R240" i="1"/>
  <c r="P240" i="1"/>
  <c r="N240" i="1"/>
  <c r="K240" i="1"/>
  <c r="B240" i="1"/>
  <c r="R239" i="1"/>
  <c r="P239" i="1"/>
  <c r="N239" i="1"/>
  <c r="K239" i="1"/>
  <c r="B239" i="1"/>
  <c r="R238" i="1"/>
  <c r="P238" i="1"/>
  <c r="N238" i="1"/>
  <c r="K238" i="1"/>
  <c r="B238" i="1"/>
  <c r="R237" i="1"/>
  <c r="P237" i="1"/>
  <c r="N237" i="1"/>
  <c r="K237" i="1"/>
  <c r="B237" i="1"/>
  <c r="R236" i="1"/>
  <c r="P236" i="1"/>
  <c r="N236" i="1"/>
  <c r="B236" i="1"/>
  <c r="L236" i="1" s="1"/>
  <c r="F236" i="1" s="1"/>
  <c r="R235" i="1"/>
  <c r="P235" i="1"/>
  <c r="N235" i="1"/>
  <c r="B235" i="1"/>
  <c r="L235" i="1" s="1"/>
  <c r="F235" i="1" s="1"/>
  <c r="R234" i="1"/>
  <c r="P234" i="1"/>
  <c r="N234" i="1"/>
  <c r="B234" i="1"/>
  <c r="L234" i="1" s="1"/>
  <c r="F234" i="1" s="1"/>
  <c r="R233" i="1"/>
  <c r="P233" i="1"/>
  <c r="N233" i="1"/>
  <c r="B233" i="1"/>
  <c r="L233" i="1" s="1"/>
  <c r="F233" i="1" s="1"/>
  <c r="R232" i="1"/>
  <c r="P232" i="1"/>
  <c r="N232" i="1"/>
  <c r="B232" i="1"/>
  <c r="L232" i="1" s="1"/>
  <c r="F232" i="1" s="1"/>
  <c r="R231" i="1"/>
  <c r="P231" i="1"/>
  <c r="N231" i="1"/>
  <c r="B231" i="1"/>
  <c r="L231" i="1" s="1"/>
  <c r="F231" i="1" s="1"/>
  <c r="R230" i="1"/>
  <c r="P230" i="1"/>
  <c r="N230" i="1"/>
  <c r="B230" i="1"/>
  <c r="L230" i="1" s="1"/>
  <c r="F230" i="1" s="1"/>
  <c r="R229" i="1"/>
  <c r="P229" i="1"/>
  <c r="N229" i="1"/>
  <c r="B229" i="1"/>
  <c r="L229" i="1" s="1"/>
  <c r="F229" i="1" s="1"/>
  <c r="R228" i="1"/>
  <c r="P228" i="1"/>
  <c r="N228" i="1"/>
  <c r="B228" i="1"/>
  <c r="L228" i="1" s="1"/>
  <c r="F228" i="1" s="1"/>
  <c r="R227" i="1"/>
  <c r="P227" i="1"/>
  <c r="N227" i="1"/>
  <c r="B227" i="1"/>
  <c r="L227" i="1" s="1"/>
  <c r="F227" i="1" s="1"/>
  <c r="R226" i="1"/>
  <c r="P226" i="1"/>
  <c r="N226" i="1"/>
  <c r="B226" i="1"/>
  <c r="L226" i="1" s="1"/>
  <c r="F226" i="1" s="1"/>
  <c r="R225" i="1"/>
  <c r="P225" i="1"/>
  <c r="N225" i="1"/>
  <c r="B225" i="1"/>
  <c r="L225" i="1" s="1"/>
  <c r="F225" i="1" s="1"/>
  <c r="R224" i="1"/>
  <c r="P224" i="1"/>
  <c r="N224" i="1"/>
  <c r="B224" i="1"/>
  <c r="L224" i="1" s="1"/>
  <c r="F224" i="1" s="1"/>
  <c r="R223" i="1"/>
  <c r="P223" i="1"/>
  <c r="N223" i="1"/>
  <c r="B223" i="1"/>
  <c r="L223" i="1" s="1"/>
  <c r="F223" i="1" s="1"/>
  <c r="R222" i="1"/>
  <c r="P222" i="1"/>
  <c r="N222" i="1"/>
  <c r="B222" i="1"/>
  <c r="L222" i="1" s="1"/>
  <c r="F222" i="1" s="1"/>
  <c r="R221" i="1"/>
  <c r="P221" i="1"/>
  <c r="N221" i="1"/>
  <c r="B221" i="1"/>
  <c r="L221" i="1" s="1"/>
  <c r="F221" i="1" s="1"/>
  <c r="R220" i="1"/>
  <c r="P220" i="1"/>
  <c r="N220" i="1"/>
  <c r="B220" i="1"/>
  <c r="L220" i="1" s="1"/>
  <c r="F220" i="1" s="1"/>
  <c r="R219" i="1"/>
  <c r="P219" i="1"/>
  <c r="N219" i="1"/>
  <c r="B219" i="1"/>
  <c r="L219" i="1" s="1"/>
  <c r="F219" i="1" s="1"/>
  <c r="R218" i="1"/>
  <c r="P218" i="1"/>
  <c r="N218" i="1"/>
  <c r="K218" i="1"/>
  <c r="B218" i="1"/>
  <c r="R217" i="1"/>
  <c r="P217" i="1"/>
  <c r="N217" i="1"/>
  <c r="K217" i="1"/>
  <c r="B217" i="1"/>
  <c r="R216" i="1"/>
  <c r="P216" i="1"/>
  <c r="N216" i="1"/>
  <c r="K216" i="1"/>
  <c r="B216" i="1"/>
  <c r="L216" i="1" s="1"/>
  <c r="F216" i="1" s="1"/>
  <c r="R215" i="1"/>
  <c r="P215" i="1"/>
  <c r="N215" i="1"/>
  <c r="B215" i="1"/>
  <c r="L215" i="1" s="1"/>
  <c r="F215" i="1" s="1"/>
  <c r="R214" i="1"/>
  <c r="P214" i="1"/>
  <c r="N214" i="1"/>
  <c r="B214" i="1"/>
  <c r="L214" i="1" s="1"/>
  <c r="F214" i="1" s="1"/>
  <c r="R213" i="1"/>
  <c r="P213" i="1"/>
  <c r="N213" i="1"/>
  <c r="B213" i="1"/>
  <c r="L213" i="1" s="1"/>
  <c r="F213" i="1" s="1"/>
  <c r="R212" i="1"/>
  <c r="P212" i="1"/>
  <c r="N212" i="1"/>
  <c r="B212" i="1"/>
  <c r="L212" i="1" s="1"/>
  <c r="F212" i="1" s="1"/>
  <c r="R211" i="1"/>
  <c r="P211" i="1"/>
  <c r="N211" i="1"/>
  <c r="B211" i="1"/>
  <c r="L211" i="1" s="1"/>
  <c r="F211" i="1" s="1"/>
  <c r="R210" i="1"/>
  <c r="P210" i="1"/>
  <c r="N210" i="1"/>
  <c r="B210" i="1"/>
  <c r="L210" i="1" s="1"/>
  <c r="F210" i="1" s="1"/>
  <c r="R209" i="1"/>
  <c r="P209" i="1"/>
  <c r="N209" i="1"/>
  <c r="B209" i="1"/>
  <c r="L209" i="1" s="1"/>
  <c r="F209" i="1" s="1"/>
  <c r="R208" i="1"/>
  <c r="P208" i="1"/>
  <c r="N208" i="1"/>
  <c r="B208" i="1"/>
  <c r="L208" i="1" s="1"/>
  <c r="F208" i="1" s="1"/>
  <c r="R207" i="1"/>
  <c r="P207" i="1"/>
  <c r="N207" i="1"/>
  <c r="B207" i="1"/>
  <c r="L207" i="1" s="1"/>
  <c r="F207" i="1" s="1"/>
  <c r="R206" i="1"/>
  <c r="P206" i="1"/>
  <c r="N206" i="1"/>
  <c r="B206" i="1"/>
  <c r="L206" i="1" s="1"/>
  <c r="F206" i="1" s="1"/>
  <c r="R205" i="1"/>
  <c r="P205" i="1"/>
  <c r="N205" i="1"/>
  <c r="B205" i="1"/>
  <c r="L205" i="1" s="1"/>
  <c r="F205" i="1" s="1"/>
  <c r="R204" i="1"/>
  <c r="P204" i="1"/>
  <c r="N204" i="1"/>
  <c r="B204" i="1"/>
  <c r="L204" i="1" s="1"/>
  <c r="F204" i="1" s="1"/>
  <c r="R203" i="1"/>
  <c r="P203" i="1"/>
  <c r="N203" i="1"/>
  <c r="B203" i="1"/>
  <c r="L203" i="1" s="1"/>
  <c r="F203" i="1" s="1"/>
  <c r="R202" i="1"/>
  <c r="P202" i="1"/>
  <c r="N202" i="1"/>
  <c r="B202" i="1"/>
  <c r="L202" i="1" s="1"/>
  <c r="F202" i="1" s="1"/>
  <c r="R201" i="1"/>
  <c r="P201" i="1"/>
  <c r="N201" i="1"/>
  <c r="B201" i="1"/>
  <c r="L201" i="1" s="1"/>
  <c r="F201" i="1" s="1"/>
  <c r="R200" i="1"/>
  <c r="P200" i="1"/>
  <c r="N200" i="1"/>
  <c r="B200" i="1"/>
  <c r="L200" i="1" s="1"/>
  <c r="F200" i="1" s="1"/>
  <c r="R199" i="1"/>
  <c r="P199" i="1"/>
  <c r="N199" i="1"/>
  <c r="B199" i="1"/>
  <c r="L199" i="1" s="1"/>
  <c r="F199" i="1" s="1"/>
  <c r="R198" i="1"/>
  <c r="P198" i="1"/>
  <c r="N198" i="1"/>
  <c r="B198" i="1"/>
  <c r="L198" i="1" s="1"/>
  <c r="F198" i="1" s="1"/>
  <c r="R197" i="1"/>
  <c r="P197" i="1"/>
  <c r="N197" i="1"/>
  <c r="B197" i="1"/>
  <c r="L197" i="1" s="1"/>
  <c r="F197" i="1" s="1"/>
  <c r="R196" i="1"/>
  <c r="P196" i="1"/>
  <c r="N196" i="1"/>
  <c r="L196" i="1"/>
  <c r="F196" i="1" s="1"/>
  <c r="R195" i="1"/>
  <c r="P195" i="1"/>
  <c r="N195" i="1"/>
  <c r="B195" i="1"/>
  <c r="L195" i="1" s="1"/>
  <c r="F195" i="1" s="1"/>
  <c r="R194" i="1"/>
  <c r="P194" i="1"/>
  <c r="N194" i="1"/>
  <c r="B194" i="1"/>
  <c r="L194" i="1" s="1"/>
  <c r="F194" i="1" s="1"/>
  <c r="R193" i="1"/>
  <c r="P193" i="1"/>
  <c r="N193" i="1"/>
  <c r="B193" i="1"/>
  <c r="L193" i="1" s="1"/>
  <c r="F193" i="1" s="1"/>
  <c r="R192" i="1"/>
  <c r="P192" i="1"/>
  <c r="N192" i="1"/>
  <c r="B192" i="1"/>
  <c r="L192" i="1" s="1"/>
  <c r="F192" i="1" s="1"/>
  <c r="R191" i="1"/>
  <c r="P191" i="1"/>
  <c r="N191" i="1"/>
  <c r="B191" i="1"/>
  <c r="L191" i="1" s="1"/>
  <c r="F191" i="1" s="1"/>
  <c r="R190" i="1"/>
  <c r="P190" i="1"/>
  <c r="N190" i="1"/>
  <c r="B190" i="1"/>
  <c r="L190" i="1" s="1"/>
  <c r="F190" i="1" s="1"/>
  <c r="R189" i="1"/>
  <c r="P189" i="1"/>
  <c r="N189" i="1"/>
  <c r="B189" i="1"/>
  <c r="L189" i="1" s="1"/>
  <c r="F189" i="1" s="1"/>
  <c r="R188" i="1"/>
  <c r="P188" i="1"/>
  <c r="N188" i="1"/>
  <c r="L188" i="1"/>
  <c r="F188" i="1" s="1"/>
  <c r="B188" i="1"/>
  <c r="R187" i="1"/>
  <c r="P187" i="1"/>
  <c r="N187" i="1"/>
  <c r="K187" i="1"/>
  <c r="B187" i="1"/>
  <c r="L187" i="1" s="1"/>
  <c r="F187" i="1" s="1"/>
  <c r="R186" i="1"/>
  <c r="P186" i="1"/>
  <c r="N186" i="1"/>
  <c r="B186" i="1"/>
  <c r="L186" i="1" s="1"/>
  <c r="F186" i="1" s="1"/>
  <c r="R185" i="1"/>
  <c r="P185" i="1"/>
  <c r="N185" i="1"/>
  <c r="B185" i="1"/>
  <c r="L185" i="1" s="1"/>
  <c r="F185" i="1" s="1"/>
  <c r="R184" i="1"/>
  <c r="P184" i="1"/>
  <c r="N184" i="1"/>
  <c r="B184" i="1"/>
  <c r="L184" i="1" s="1"/>
  <c r="F184" i="1" s="1"/>
  <c r="R183" i="1"/>
  <c r="P183" i="1"/>
  <c r="N183" i="1"/>
  <c r="K183" i="1"/>
  <c r="B183" i="1"/>
  <c r="R182" i="1"/>
  <c r="P182" i="1"/>
  <c r="N182" i="1"/>
  <c r="K182" i="1"/>
  <c r="B182" i="1"/>
  <c r="L182" i="1" s="1"/>
  <c r="F182" i="1" s="1"/>
  <c r="R181" i="1"/>
  <c r="P181" i="1"/>
  <c r="N181" i="1"/>
  <c r="K181" i="1"/>
  <c r="B181" i="1"/>
  <c r="R180" i="1"/>
  <c r="P180" i="1"/>
  <c r="N180" i="1"/>
  <c r="K180" i="1"/>
  <c r="B180" i="1"/>
  <c r="L180" i="1" s="1"/>
  <c r="F180" i="1" s="1"/>
  <c r="R179" i="1"/>
  <c r="P179" i="1"/>
  <c r="N179" i="1"/>
  <c r="B179" i="1"/>
  <c r="L179" i="1" s="1"/>
  <c r="F179" i="1" s="1"/>
  <c r="R178" i="1"/>
  <c r="P178" i="1"/>
  <c r="N178" i="1"/>
  <c r="B178" i="1"/>
  <c r="L178" i="1" s="1"/>
  <c r="F178" i="1" s="1"/>
  <c r="R177" i="1"/>
  <c r="P177" i="1"/>
  <c r="N177" i="1"/>
  <c r="B177" i="1"/>
  <c r="L177" i="1" s="1"/>
  <c r="F177" i="1" s="1"/>
  <c r="R176" i="1"/>
  <c r="P176" i="1"/>
  <c r="N176" i="1"/>
  <c r="B176" i="1"/>
  <c r="L176" i="1" s="1"/>
  <c r="F176" i="1" s="1"/>
  <c r="R175" i="1"/>
  <c r="P175" i="1"/>
  <c r="N175" i="1"/>
  <c r="B175" i="1"/>
  <c r="L175" i="1" s="1"/>
  <c r="F175" i="1" s="1"/>
  <c r="R174" i="1"/>
  <c r="P174" i="1"/>
  <c r="N174" i="1"/>
  <c r="B174" i="1"/>
  <c r="L174" i="1" s="1"/>
  <c r="F174" i="1" s="1"/>
  <c r="R173" i="1"/>
  <c r="P173" i="1"/>
  <c r="N173" i="1"/>
  <c r="B173" i="1"/>
  <c r="L173" i="1" s="1"/>
  <c r="F173" i="1" s="1"/>
  <c r="R172" i="1"/>
  <c r="P172" i="1"/>
  <c r="N172" i="1"/>
  <c r="B172" i="1"/>
  <c r="L172" i="1" s="1"/>
  <c r="F172" i="1" s="1"/>
  <c r="R171" i="1"/>
  <c r="P171" i="1"/>
  <c r="N171" i="1"/>
  <c r="B171" i="1"/>
  <c r="L171" i="1" s="1"/>
  <c r="F171" i="1" s="1"/>
  <c r="R170" i="1"/>
  <c r="P170" i="1"/>
  <c r="N170" i="1"/>
  <c r="B170" i="1"/>
  <c r="L170" i="1" s="1"/>
  <c r="F170" i="1" s="1"/>
  <c r="R169" i="1"/>
  <c r="P169" i="1"/>
  <c r="N169" i="1"/>
  <c r="B169" i="1"/>
  <c r="L169" i="1" s="1"/>
  <c r="F169" i="1" s="1"/>
  <c r="R168" i="1"/>
  <c r="P168" i="1"/>
  <c r="N168" i="1"/>
  <c r="B168" i="1"/>
  <c r="L168" i="1" s="1"/>
  <c r="F168" i="1" s="1"/>
  <c r="R167" i="1"/>
  <c r="P167" i="1"/>
  <c r="N167" i="1"/>
  <c r="K167" i="1"/>
  <c r="B167" i="1"/>
  <c r="R166" i="1"/>
  <c r="P166" i="1"/>
  <c r="N166" i="1"/>
  <c r="K166" i="1"/>
  <c r="B166" i="1"/>
  <c r="L166" i="1" s="1"/>
  <c r="F166" i="1" s="1"/>
  <c r="R165" i="1"/>
  <c r="P165" i="1"/>
  <c r="N165" i="1"/>
  <c r="L165" i="1"/>
  <c r="F165" i="1" s="1"/>
  <c r="B165" i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B162" i="1"/>
  <c r="L162" i="1" s="1"/>
  <c r="F162" i="1" s="1"/>
  <c r="R161" i="1"/>
  <c r="P161" i="1"/>
  <c r="N161" i="1"/>
  <c r="B161" i="1"/>
  <c r="L161" i="1" s="1"/>
  <c r="F161" i="1" s="1"/>
  <c r="R160" i="1"/>
  <c r="P160" i="1"/>
  <c r="N160" i="1"/>
  <c r="B160" i="1"/>
  <c r="L160" i="1" s="1"/>
  <c r="F160" i="1" s="1"/>
  <c r="R159" i="1"/>
  <c r="P159" i="1"/>
  <c r="N159" i="1"/>
  <c r="B159" i="1"/>
  <c r="L159" i="1" s="1"/>
  <c r="F159" i="1" s="1"/>
  <c r="R158" i="1"/>
  <c r="P158" i="1"/>
  <c r="N158" i="1"/>
  <c r="B158" i="1"/>
  <c r="L158" i="1" s="1"/>
  <c r="F158" i="1" s="1"/>
  <c r="R157" i="1"/>
  <c r="P157" i="1"/>
  <c r="N157" i="1"/>
  <c r="B157" i="1"/>
  <c r="L157" i="1" s="1"/>
  <c r="F157" i="1" s="1"/>
  <c r="R156" i="1"/>
  <c r="P156" i="1"/>
  <c r="N156" i="1"/>
  <c r="B156" i="1"/>
  <c r="L156" i="1" s="1"/>
  <c r="F156" i="1" s="1"/>
  <c r="R155" i="1"/>
  <c r="P155" i="1"/>
  <c r="N155" i="1"/>
  <c r="B155" i="1"/>
  <c r="L155" i="1" s="1"/>
  <c r="F155" i="1" s="1"/>
  <c r="R154" i="1"/>
  <c r="P154" i="1"/>
  <c r="N154" i="1"/>
  <c r="B154" i="1"/>
  <c r="L154" i="1" s="1"/>
  <c r="F154" i="1" s="1"/>
  <c r="R153" i="1"/>
  <c r="P153" i="1"/>
  <c r="N153" i="1"/>
  <c r="B153" i="1"/>
  <c r="L153" i="1" s="1"/>
  <c r="F153" i="1" s="1"/>
  <c r="R152" i="1"/>
  <c r="P152" i="1"/>
  <c r="N152" i="1"/>
  <c r="B152" i="1"/>
  <c r="L152" i="1" s="1"/>
  <c r="F152" i="1" s="1"/>
  <c r="R151" i="1"/>
  <c r="P151" i="1"/>
  <c r="N151" i="1"/>
  <c r="K151" i="1"/>
  <c r="B151" i="1"/>
  <c r="L151" i="1" s="1"/>
  <c r="F151" i="1" s="1"/>
  <c r="R150" i="1"/>
  <c r="P150" i="1"/>
  <c r="N150" i="1"/>
  <c r="K150" i="1"/>
  <c r="B150" i="1"/>
  <c r="R149" i="1"/>
  <c r="P149" i="1"/>
  <c r="N149" i="1"/>
  <c r="B149" i="1"/>
  <c r="L149" i="1" s="1"/>
  <c r="F149" i="1" s="1"/>
  <c r="R148" i="1"/>
  <c r="P148" i="1"/>
  <c r="N148" i="1"/>
  <c r="B148" i="1"/>
  <c r="L148" i="1" s="1"/>
  <c r="F148" i="1" s="1"/>
  <c r="R147" i="1"/>
  <c r="P147" i="1"/>
  <c r="N147" i="1"/>
  <c r="B147" i="1"/>
  <c r="L147" i="1" s="1"/>
  <c r="F147" i="1" s="1"/>
  <c r="R146" i="1"/>
  <c r="P146" i="1"/>
  <c r="N146" i="1"/>
  <c r="B146" i="1"/>
  <c r="L146" i="1" s="1"/>
  <c r="F146" i="1" s="1"/>
  <c r="R145" i="1"/>
  <c r="P145" i="1"/>
  <c r="N145" i="1"/>
  <c r="B145" i="1"/>
  <c r="L145" i="1" s="1"/>
  <c r="F145" i="1" s="1"/>
  <c r="R144" i="1"/>
  <c r="P144" i="1"/>
  <c r="N144" i="1"/>
  <c r="K144" i="1"/>
  <c r="B144" i="1"/>
  <c r="R143" i="1"/>
  <c r="P143" i="1"/>
  <c r="N143" i="1"/>
  <c r="B143" i="1"/>
  <c r="L143" i="1" s="1"/>
  <c r="F143" i="1" s="1"/>
  <c r="R142" i="1"/>
  <c r="P142" i="1"/>
  <c r="N142" i="1"/>
  <c r="K142" i="1"/>
  <c r="B142" i="1"/>
  <c r="R141" i="1"/>
  <c r="P141" i="1"/>
  <c r="N141" i="1"/>
  <c r="B141" i="1"/>
  <c r="L141" i="1" s="1"/>
  <c r="F141" i="1" s="1"/>
  <c r="R140" i="1"/>
  <c r="P140" i="1"/>
  <c r="N140" i="1"/>
  <c r="B140" i="1"/>
  <c r="L140" i="1" s="1"/>
  <c r="F140" i="1" s="1"/>
  <c r="R139" i="1"/>
  <c r="P139" i="1"/>
  <c r="N139" i="1"/>
  <c r="B139" i="1"/>
  <c r="L139" i="1" s="1"/>
  <c r="F139" i="1" s="1"/>
  <c r="R138" i="1"/>
  <c r="P138" i="1"/>
  <c r="N138" i="1"/>
  <c r="B138" i="1"/>
  <c r="L138" i="1" s="1"/>
  <c r="F138" i="1" s="1"/>
  <c r="R137" i="1"/>
  <c r="P137" i="1"/>
  <c r="N137" i="1"/>
  <c r="B137" i="1"/>
  <c r="L137" i="1" s="1"/>
  <c r="F137" i="1" s="1"/>
  <c r="R136" i="1"/>
  <c r="P136" i="1"/>
  <c r="N136" i="1"/>
  <c r="B136" i="1"/>
  <c r="L136" i="1" s="1"/>
  <c r="F136" i="1" s="1"/>
  <c r="R135" i="1"/>
  <c r="P135" i="1"/>
  <c r="N135" i="1"/>
  <c r="B135" i="1"/>
  <c r="L135" i="1" s="1"/>
  <c r="F135" i="1" s="1"/>
  <c r="R134" i="1"/>
  <c r="P134" i="1"/>
  <c r="N134" i="1"/>
  <c r="B134" i="1"/>
  <c r="L134" i="1" s="1"/>
  <c r="F134" i="1" s="1"/>
  <c r="R133" i="1"/>
  <c r="P133" i="1"/>
  <c r="N133" i="1"/>
  <c r="B133" i="1"/>
  <c r="L133" i="1" s="1"/>
  <c r="F133" i="1" s="1"/>
  <c r="R132" i="1"/>
  <c r="P132" i="1"/>
  <c r="N132" i="1"/>
  <c r="B132" i="1"/>
  <c r="L132" i="1" s="1"/>
  <c r="F132" i="1" s="1"/>
  <c r="R131" i="1"/>
  <c r="P131" i="1"/>
  <c r="N131" i="1"/>
  <c r="B131" i="1"/>
  <c r="L131" i="1" s="1"/>
  <c r="F131" i="1" s="1"/>
  <c r="R130" i="1"/>
  <c r="P130" i="1"/>
  <c r="N130" i="1"/>
  <c r="B130" i="1"/>
  <c r="L130" i="1" s="1"/>
  <c r="F130" i="1" s="1"/>
  <c r="R129" i="1"/>
  <c r="P129" i="1"/>
  <c r="N129" i="1"/>
  <c r="B129" i="1"/>
  <c r="L129" i="1" s="1"/>
  <c r="F129" i="1" s="1"/>
  <c r="R128" i="1"/>
  <c r="P128" i="1"/>
  <c r="N128" i="1"/>
  <c r="B128" i="1"/>
  <c r="L128" i="1" s="1"/>
  <c r="F128" i="1" s="1"/>
  <c r="R127" i="1"/>
  <c r="P127" i="1"/>
  <c r="N127" i="1"/>
  <c r="K127" i="1"/>
  <c r="B127" i="1"/>
  <c r="R126" i="1"/>
  <c r="P126" i="1"/>
  <c r="N126" i="1"/>
  <c r="B126" i="1"/>
  <c r="L126" i="1" s="1"/>
  <c r="F126" i="1" s="1"/>
  <c r="R125" i="1"/>
  <c r="P125" i="1"/>
  <c r="N125" i="1"/>
  <c r="B125" i="1"/>
  <c r="L125" i="1" s="1"/>
  <c r="F125" i="1" s="1"/>
  <c r="R124" i="1"/>
  <c r="P124" i="1"/>
  <c r="N124" i="1"/>
  <c r="B124" i="1"/>
  <c r="L124" i="1" s="1"/>
  <c r="F124" i="1" s="1"/>
  <c r="R123" i="1"/>
  <c r="P123" i="1"/>
  <c r="N123" i="1"/>
  <c r="K123" i="1"/>
  <c r="B123" i="1"/>
  <c r="R122" i="1"/>
  <c r="P122" i="1"/>
  <c r="N122" i="1"/>
  <c r="B122" i="1"/>
  <c r="L122" i="1" s="1"/>
  <c r="F122" i="1" s="1"/>
  <c r="R121" i="1"/>
  <c r="P121" i="1"/>
  <c r="N121" i="1"/>
  <c r="B121" i="1"/>
  <c r="L121" i="1" s="1"/>
  <c r="F121" i="1" s="1"/>
  <c r="R120" i="1"/>
  <c r="P120" i="1"/>
  <c r="N120" i="1"/>
  <c r="B120" i="1"/>
  <c r="L120" i="1" s="1"/>
  <c r="F120" i="1" s="1"/>
  <c r="R119" i="1"/>
  <c r="P119" i="1"/>
  <c r="N119" i="1"/>
  <c r="B119" i="1"/>
  <c r="L119" i="1" s="1"/>
  <c r="F119" i="1" s="1"/>
  <c r="R118" i="1"/>
  <c r="P118" i="1"/>
  <c r="N118" i="1"/>
  <c r="B118" i="1"/>
  <c r="L118" i="1" s="1"/>
  <c r="F118" i="1" s="1"/>
  <c r="R117" i="1"/>
  <c r="P117" i="1"/>
  <c r="N117" i="1"/>
  <c r="K117" i="1"/>
  <c r="B117" i="1"/>
  <c r="R116" i="1"/>
  <c r="P116" i="1"/>
  <c r="N116" i="1"/>
  <c r="B116" i="1"/>
  <c r="L116" i="1" s="1"/>
  <c r="F116" i="1" s="1"/>
  <c r="R115" i="1"/>
  <c r="P115" i="1"/>
  <c r="N115" i="1"/>
  <c r="B115" i="1"/>
  <c r="L115" i="1" s="1"/>
  <c r="F115" i="1" s="1"/>
  <c r="R114" i="1"/>
  <c r="P114" i="1"/>
  <c r="N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B112" i="1"/>
  <c r="L112" i="1" s="1"/>
  <c r="F112" i="1" s="1"/>
  <c r="R111" i="1"/>
  <c r="P111" i="1"/>
  <c r="N111" i="1"/>
  <c r="B111" i="1"/>
  <c r="L111" i="1" s="1"/>
  <c r="F111" i="1" s="1"/>
  <c r="R110" i="1"/>
  <c r="P110" i="1"/>
  <c r="N110" i="1"/>
  <c r="B110" i="1"/>
  <c r="L110" i="1" s="1"/>
  <c r="F110" i="1" s="1"/>
  <c r="R109" i="1"/>
  <c r="P109" i="1"/>
  <c r="N109" i="1"/>
  <c r="B109" i="1"/>
  <c r="L109" i="1" s="1"/>
  <c r="F109" i="1" s="1"/>
  <c r="R108" i="1"/>
  <c r="P108" i="1"/>
  <c r="N108" i="1"/>
  <c r="L108" i="1"/>
  <c r="F108" i="1" s="1"/>
  <c r="R107" i="1"/>
  <c r="P107" i="1"/>
  <c r="N107" i="1"/>
  <c r="B107" i="1"/>
  <c r="L107" i="1" s="1"/>
  <c r="F107" i="1" s="1"/>
  <c r="R106" i="1"/>
  <c r="P106" i="1"/>
  <c r="N106" i="1"/>
  <c r="B106" i="1"/>
  <c r="L106" i="1" s="1"/>
  <c r="F106" i="1" s="1"/>
  <c r="R105" i="1"/>
  <c r="P105" i="1"/>
  <c r="N105" i="1"/>
  <c r="B105" i="1"/>
  <c r="L105" i="1" s="1"/>
  <c r="F105" i="1" s="1"/>
  <c r="R104" i="1"/>
  <c r="P104" i="1"/>
  <c r="N104" i="1"/>
  <c r="K104" i="1"/>
  <c r="B104" i="1"/>
  <c r="R103" i="1"/>
  <c r="P103" i="1"/>
  <c r="N103" i="1"/>
  <c r="B103" i="1"/>
  <c r="L103" i="1" s="1"/>
  <c r="F103" i="1" s="1"/>
  <c r="R102" i="1"/>
  <c r="P102" i="1"/>
  <c r="N102" i="1"/>
  <c r="B102" i="1"/>
  <c r="L102" i="1" s="1"/>
  <c r="F102" i="1" s="1"/>
  <c r="R101" i="1"/>
  <c r="P101" i="1"/>
  <c r="N101" i="1"/>
  <c r="B101" i="1"/>
  <c r="L101" i="1" s="1"/>
  <c r="F101" i="1" s="1"/>
  <c r="R100" i="1"/>
  <c r="P100" i="1"/>
  <c r="N100" i="1"/>
  <c r="B100" i="1"/>
  <c r="L100" i="1" s="1"/>
  <c r="F100" i="1" s="1"/>
  <c r="R99" i="1"/>
  <c r="P99" i="1"/>
  <c r="N99" i="1"/>
  <c r="B99" i="1"/>
  <c r="L99" i="1" s="1"/>
  <c r="F99" i="1" s="1"/>
  <c r="R98" i="1"/>
  <c r="P98" i="1"/>
  <c r="N98" i="1"/>
  <c r="K98" i="1"/>
  <c r="B98" i="1"/>
  <c r="R97" i="1"/>
  <c r="P97" i="1"/>
  <c r="N97" i="1"/>
  <c r="B97" i="1"/>
  <c r="L97" i="1" s="1"/>
  <c r="F97" i="1" s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B94" i="1"/>
  <c r="L94" i="1" s="1"/>
  <c r="F94" i="1" s="1"/>
  <c r="R93" i="1"/>
  <c r="P93" i="1"/>
  <c r="N93" i="1"/>
  <c r="K93" i="1"/>
  <c r="B93" i="1"/>
  <c r="R92" i="1"/>
  <c r="P92" i="1"/>
  <c r="N92" i="1"/>
  <c r="B92" i="1"/>
  <c r="L92" i="1" s="1"/>
  <c r="F92" i="1" s="1"/>
  <c r="R91" i="1"/>
  <c r="P91" i="1"/>
  <c r="N91" i="1"/>
  <c r="B91" i="1"/>
  <c r="L91" i="1" s="1"/>
  <c r="F91" i="1" s="1"/>
  <c r="R90" i="1"/>
  <c r="P90" i="1"/>
  <c r="N90" i="1"/>
  <c r="B90" i="1"/>
  <c r="L90" i="1" s="1"/>
  <c r="F90" i="1" s="1"/>
  <c r="R89" i="1"/>
  <c r="P89" i="1"/>
  <c r="N89" i="1"/>
  <c r="K89" i="1"/>
  <c r="B89" i="1"/>
  <c r="R88" i="1"/>
  <c r="P88" i="1"/>
  <c r="N88" i="1"/>
  <c r="B88" i="1"/>
  <c r="L88" i="1" s="1"/>
  <c r="F88" i="1" s="1"/>
  <c r="R87" i="1"/>
  <c r="P87" i="1"/>
  <c r="N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B85" i="1"/>
  <c r="L85" i="1" s="1"/>
  <c r="F85" i="1" s="1"/>
  <c r="R84" i="1"/>
  <c r="P84" i="1"/>
  <c r="N84" i="1"/>
  <c r="B84" i="1"/>
  <c r="L84" i="1" s="1"/>
  <c r="F84" i="1" s="1"/>
  <c r="R83" i="1"/>
  <c r="P83" i="1"/>
  <c r="N83" i="1"/>
  <c r="B83" i="1"/>
  <c r="L83" i="1" s="1"/>
  <c r="F83" i="1" s="1"/>
  <c r="R82" i="1"/>
  <c r="P82" i="1"/>
  <c r="N82" i="1"/>
  <c r="B82" i="1"/>
  <c r="L82" i="1" s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B78" i="1"/>
  <c r="L78" i="1" s="1"/>
  <c r="F78" i="1" s="1"/>
  <c r="R77" i="1"/>
  <c r="P77" i="1"/>
  <c r="N77" i="1"/>
  <c r="B77" i="1"/>
  <c r="L77" i="1" s="1"/>
  <c r="F77" i="1" s="1"/>
  <c r="R76" i="1"/>
  <c r="P76" i="1"/>
  <c r="N76" i="1"/>
  <c r="B76" i="1"/>
  <c r="L76" i="1" s="1"/>
  <c r="F76" i="1" s="1"/>
  <c r="R75" i="1"/>
  <c r="P75" i="1"/>
  <c r="N75" i="1"/>
  <c r="B75" i="1"/>
  <c r="L75" i="1" s="1"/>
  <c r="F75" i="1" s="1"/>
  <c r="R74" i="1"/>
  <c r="P74" i="1"/>
  <c r="N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B72" i="1"/>
  <c r="L72" i="1" s="1"/>
  <c r="F72" i="1" s="1"/>
  <c r="R71" i="1"/>
  <c r="P71" i="1"/>
  <c r="N71" i="1"/>
  <c r="B71" i="1"/>
  <c r="L71" i="1" s="1"/>
  <c r="F71" i="1" s="1"/>
  <c r="R70" i="1"/>
  <c r="P70" i="1"/>
  <c r="N70" i="1"/>
  <c r="B70" i="1"/>
  <c r="L70" i="1" s="1"/>
  <c r="F70" i="1" s="1"/>
  <c r="R69" i="1"/>
  <c r="P69" i="1"/>
  <c r="N69" i="1"/>
  <c r="B69" i="1"/>
  <c r="L69" i="1" s="1"/>
  <c r="F69" i="1" s="1"/>
  <c r="R68" i="1"/>
  <c r="P68" i="1"/>
  <c r="N68" i="1"/>
  <c r="B68" i="1"/>
  <c r="L68" i="1" s="1"/>
  <c r="F68" i="1" s="1"/>
  <c r="R67" i="1"/>
  <c r="P67" i="1"/>
  <c r="N67" i="1"/>
  <c r="B67" i="1"/>
  <c r="L67" i="1" s="1"/>
  <c r="F67" i="1" s="1"/>
  <c r="R66" i="1"/>
  <c r="P66" i="1"/>
  <c r="N66" i="1"/>
  <c r="L66" i="1"/>
  <c r="F66" i="1" s="1"/>
  <c r="R65" i="1"/>
  <c r="P65" i="1"/>
  <c r="N65" i="1"/>
  <c r="B65" i="1"/>
  <c r="L65" i="1" s="1"/>
  <c r="F65" i="1" s="1"/>
  <c r="R64" i="1"/>
  <c r="P64" i="1"/>
  <c r="N64" i="1"/>
  <c r="B64" i="1"/>
  <c r="L64" i="1" s="1"/>
  <c r="F64" i="1" s="1"/>
  <c r="R63" i="1"/>
  <c r="P63" i="1"/>
  <c r="N63" i="1"/>
  <c r="B63" i="1"/>
  <c r="L63" i="1" s="1"/>
  <c r="F63" i="1" s="1"/>
  <c r="R62" i="1"/>
  <c r="P62" i="1"/>
  <c r="N62" i="1"/>
  <c r="B62" i="1"/>
  <c r="L62" i="1" s="1"/>
  <c r="F62" i="1" s="1"/>
  <c r="R61" i="1"/>
  <c r="P61" i="1"/>
  <c r="N61" i="1"/>
  <c r="B61" i="1"/>
  <c r="L61" i="1" s="1"/>
  <c r="F61" i="1" s="1"/>
  <c r="R60" i="1"/>
  <c r="P60" i="1"/>
  <c r="N60" i="1"/>
  <c r="B60" i="1"/>
  <c r="L60" i="1" s="1"/>
  <c r="F60" i="1" s="1"/>
  <c r="R59" i="1"/>
  <c r="P59" i="1"/>
  <c r="N59" i="1"/>
  <c r="B59" i="1"/>
  <c r="L59" i="1" s="1"/>
  <c r="F59" i="1" s="1"/>
  <c r="R58" i="1"/>
  <c r="P58" i="1"/>
  <c r="N58" i="1"/>
  <c r="B58" i="1"/>
  <c r="L58" i="1" s="1"/>
  <c r="F58" i="1" s="1"/>
  <c r="R57" i="1"/>
  <c r="P57" i="1"/>
  <c r="N57" i="1"/>
  <c r="B57" i="1"/>
  <c r="L57" i="1" s="1"/>
  <c r="F57" i="1" s="1"/>
  <c r="R56" i="1"/>
  <c r="P56" i="1"/>
  <c r="N56" i="1"/>
  <c r="B56" i="1"/>
  <c r="L56" i="1" s="1"/>
  <c r="F56" i="1" s="1"/>
  <c r="R55" i="1"/>
  <c r="P55" i="1"/>
  <c r="N55" i="1"/>
  <c r="B55" i="1"/>
  <c r="L55" i="1" s="1"/>
  <c r="F55" i="1" s="1"/>
  <c r="R54" i="1"/>
  <c r="P54" i="1"/>
  <c r="N54" i="1"/>
  <c r="B54" i="1"/>
  <c r="L54" i="1" s="1"/>
  <c r="F54" i="1" s="1"/>
  <c r="R53" i="1"/>
  <c r="P53" i="1"/>
  <c r="N53" i="1"/>
  <c r="B53" i="1"/>
  <c r="L53" i="1" s="1"/>
  <c r="F53" i="1" s="1"/>
  <c r="R52" i="1"/>
  <c r="P52" i="1"/>
  <c r="N52" i="1"/>
  <c r="L52" i="1"/>
  <c r="F52" i="1" s="1"/>
  <c r="R51" i="1"/>
  <c r="P51" i="1"/>
  <c r="N51" i="1"/>
  <c r="B51" i="1"/>
  <c r="L51" i="1" s="1"/>
  <c r="F51" i="1" s="1"/>
  <c r="R50" i="1"/>
  <c r="P50" i="1"/>
  <c r="N50" i="1"/>
  <c r="B50" i="1"/>
  <c r="L50" i="1" s="1"/>
  <c r="F50" i="1" s="1"/>
  <c r="R49" i="1"/>
  <c r="P49" i="1"/>
  <c r="N49" i="1"/>
  <c r="K49" i="1"/>
  <c r="B49" i="1"/>
  <c r="R48" i="1"/>
  <c r="P48" i="1"/>
  <c r="N48" i="1"/>
  <c r="B48" i="1"/>
  <c r="L48" i="1" s="1"/>
  <c r="F48" i="1" s="1"/>
  <c r="R47" i="1"/>
  <c r="P47" i="1"/>
  <c r="N47" i="1"/>
  <c r="B47" i="1"/>
  <c r="L47" i="1" s="1"/>
  <c r="F47" i="1" s="1"/>
  <c r="R46" i="1"/>
  <c r="P46" i="1"/>
  <c r="N46" i="1"/>
  <c r="B46" i="1"/>
  <c r="L46" i="1" s="1"/>
  <c r="F46" i="1" s="1"/>
  <c r="R45" i="1"/>
  <c r="P45" i="1"/>
  <c r="N45" i="1"/>
  <c r="K45" i="1"/>
  <c r="B45" i="1"/>
  <c r="R44" i="1"/>
  <c r="P44" i="1"/>
  <c r="N44" i="1"/>
  <c r="K44" i="1"/>
  <c r="B44" i="1"/>
  <c r="R43" i="1"/>
  <c r="P43" i="1"/>
  <c r="N43" i="1"/>
  <c r="B43" i="1"/>
  <c r="L43" i="1" s="1"/>
  <c r="F43" i="1" s="1"/>
  <c r="R42" i="1"/>
  <c r="P42" i="1"/>
  <c r="N42" i="1"/>
  <c r="B42" i="1"/>
  <c r="L42" i="1" s="1"/>
  <c r="F42" i="1" s="1"/>
  <c r="R41" i="1"/>
  <c r="P41" i="1"/>
  <c r="N41" i="1"/>
  <c r="B41" i="1"/>
  <c r="L41" i="1" s="1"/>
  <c r="F41" i="1" s="1"/>
  <c r="R40" i="1"/>
  <c r="P40" i="1"/>
  <c r="N40" i="1"/>
  <c r="B40" i="1"/>
  <c r="L40" i="1" s="1"/>
  <c r="F40" i="1" s="1"/>
  <c r="R39" i="1"/>
  <c r="P39" i="1"/>
  <c r="N39" i="1"/>
  <c r="B39" i="1"/>
  <c r="L39" i="1" s="1"/>
  <c r="F39" i="1" s="1"/>
  <c r="R38" i="1"/>
  <c r="P38" i="1"/>
  <c r="N38" i="1"/>
  <c r="K38" i="1"/>
  <c r="B38" i="1"/>
  <c r="R37" i="1"/>
  <c r="P37" i="1"/>
  <c r="N37" i="1"/>
  <c r="B37" i="1"/>
  <c r="L37" i="1" s="1"/>
  <c r="F37" i="1" s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K34" i="1"/>
  <c r="B34" i="1"/>
  <c r="R33" i="1"/>
  <c r="P33" i="1"/>
  <c r="N33" i="1"/>
  <c r="B33" i="1"/>
  <c r="L33" i="1" s="1"/>
  <c r="F33" i="1" s="1"/>
  <c r="R32" i="1"/>
  <c r="P32" i="1"/>
  <c r="N32" i="1"/>
  <c r="B32" i="1"/>
  <c r="L32" i="1" s="1"/>
  <c r="F32" i="1" s="1"/>
  <c r="R31" i="1"/>
  <c r="P31" i="1"/>
  <c r="N31" i="1"/>
  <c r="B31" i="1"/>
  <c r="L31" i="1" s="1"/>
  <c r="F31" i="1" s="1"/>
  <c r="R30" i="1"/>
  <c r="P30" i="1"/>
  <c r="N30" i="1"/>
  <c r="B30" i="1"/>
  <c r="L30" i="1" s="1"/>
  <c r="F30" i="1" s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K26" i="1"/>
  <c r="B26" i="1"/>
  <c r="R25" i="1"/>
  <c r="P25" i="1"/>
  <c r="N25" i="1"/>
  <c r="K25" i="1"/>
  <c r="B25" i="1"/>
  <c r="R24" i="1"/>
  <c r="P24" i="1"/>
  <c r="N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B22" i="1"/>
  <c r="L22" i="1" s="1"/>
  <c r="F22" i="1" s="1"/>
  <c r="R21" i="1"/>
  <c r="P21" i="1"/>
  <c r="N21" i="1"/>
  <c r="B21" i="1"/>
  <c r="L21" i="1" s="1"/>
  <c r="F21" i="1" s="1"/>
  <c r="R20" i="1"/>
  <c r="P20" i="1"/>
  <c r="N20" i="1"/>
  <c r="L20" i="1"/>
  <c r="F20" i="1" s="1"/>
  <c r="R19" i="1"/>
  <c r="P19" i="1"/>
  <c r="N19" i="1"/>
  <c r="B19" i="1"/>
  <c r="L19" i="1" s="1"/>
  <c r="F19" i="1" s="1"/>
  <c r="R18" i="1"/>
  <c r="P18" i="1"/>
  <c r="N18" i="1"/>
  <c r="B18" i="1"/>
  <c r="L18" i="1" s="1"/>
  <c r="F18" i="1" s="1"/>
  <c r="R17" i="1"/>
  <c r="P17" i="1"/>
  <c r="N17" i="1"/>
  <c r="B17" i="1"/>
  <c r="L17" i="1" s="1"/>
  <c r="F17" i="1" s="1"/>
  <c r="R16" i="1"/>
  <c r="P16" i="1"/>
  <c r="N16" i="1"/>
  <c r="B16" i="1"/>
  <c r="L16" i="1" s="1"/>
  <c r="F16" i="1" s="1"/>
  <c r="R15" i="1"/>
  <c r="P15" i="1"/>
  <c r="N15" i="1"/>
  <c r="B15" i="1"/>
  <c r="L15" i="1" s="1"/>
  <c r="F15" i="1" s="1"/>
  <c r="R14" i="1"/>
  <c r="P14" i="1"/>
  <c r="N14" i="1"/>
  <c r="B14" i="1"/>
  <c r="L14" i="1" s="1"/>
  <c r="F14" i="1" s="1"/>
  <c r="R13" i="1"/>
  <c r="P13" i="1"/>
  <c r="N13" i="1"/>
  <c r="B13" i="1"/>
  <c r="L13" i="1" s="1"/>
  <c r="F13" i="1" s="1"/>
  <c r="R12" i="1"/>
  <c r="P12" i="1"/>
  <c r="N12" i="1"/>
  <c r="B12" i="1"/>
  <c r="L12" i="1" s="1"/>
  <c r="F12" i="1" s="1"/>
  <c r="R11" i="1"/>
  <c r="P11" i="1"/>
  <c r="N11" i="1"/>
  <c r="B11" i="1"/>
  <c r="L11" i="1" s="1"/>
  <c r="F11" i="1" s="1"/>
  <c r="R10" i="1"/>
  <c r="P10" i="1"/>
  <c r="N10" i="1"/>
  <c r="B10" i="1"/>
  <c r="L10" i="1" s="1"/>
  <c r="F10" i="1" s="1"/>
  <c r="R9" i="1"/>
  <c r="P9" i="1"/>
  <c r="N9" i="1"/>
  <c r="L9" i="1"/>
  <c r="F9" i="1" s="1"/>
  <c r="R8" i="1"/>
  <c r="P8" i="1"/>
  <c r="N8" i="1"/>
  <c r="B8" i="1"/>
  <c r="L8" i="1" s="1"/>
  <c r="F8" i="1" s="1"/>
  <c r="R7" i="1"/>
  <c r="P7" i="1"/>
  <c r="N7" i="1"/>
  <c r="B7" i="1"/>
  <c r="L7" i="1" s="1"/>
  <c r="F7" i="1" s="1"/>
  <c r="R6" i="1"/>
  <c r="P6" i="1"/>
  <c r="N6" i="1"/>
  <c r="B6" i="1"/>
  <c r="L6" i="1" s="1"/>
  <c r="F6" i="1" s="1"/>
  <c r="R5" i="1"/>
  <c r="P5" i="1"/>
  <c r="N5" i="1"/>
  <c r="B5" i="1"/>
  <c r="L5" i="1" s="1"/>
  <c r="F5" i="1" s="1"/>
  <c r="R4" i="1"/>
  <c r="P4" i="1"/>
  <c r="N4" i="1"/>
  <c r="B4" i="1"/>
  <c r="L4" i="1" s="1"/>
  <c r="F4" i="1" s="1"/>
  <c r="R3" i="1"/>
  <c r="P3" i="1"/>
  <c r="N3" i="1"/>
  <c r="B3" i="1"/>
  <c r="L3" i="1" s="1"/>
  <c r="F3" i="1" s="1"/>
  <c r="R2" i="1"/>
  <c r="P2" i="1"/>
  <c r="N2" i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B2" i="1"/>
  <c r="L2" i="1" s="1"/>
  <c r="F2" i="1" s="1"/>
  <c r="R1" i="1"/>
  <c r="P1" i="1"/>
  <c r="N1" i="1"/>
  <c r="B1" i="1"/>
  <c r="L1" i="1" s="1"/>
  <c r="F1" i="1" s="1"/>
  <c r="L822" i="1" l="1"/>
  <c r="F822" i="1" s="1"/>
  <c r="L860" i="1"/>
  <c r="F860" i="1" s="1"/>
  <c r="L261" i="1"/>
  <c r="F261" i="1" s="1"/>
  <c r="L362" i="1"/>
  <c r="F362" i="1" s="1"/>
  <c r="L434" i="1"/>
  <c r="F434" i="1" s="1"/>
  <c r="L754" i="1"/>
  <c r="F754" i="1" s="1"/>
  <c r="L142" i="1"/>
  <c r="F142" i="1" s="1"/>
  <c r="L322" i="1"/>
  <c r="F322" i="1" s="1"/>
  <c r="L598" i="1"/>
  <c r="F598" i="1" s="1"/>
  <c r="L630" i="1"/>
  <c r="F630" i="1" s="1"/>
  <c r="L807" i="1"/>
  <c r="F807" i="1" s="1"/>
  <c r="L813" i="1"/>
  <c r="F813" i="1" s="1"/>
  <c r="L44" i="1"/>
  <c r="F44" i="1" s="1"/>
  <c r="L93" i="1"/>
  <c r="F93" i="1" s="1"/>
  <c r="L144" i="1"/>
  <c r="F144" i="1" s="1"/>
  <c r="L238" i="1"/>
  <c r="F238" i="1" s="1"/>
  <c r="L251" i="1"/>
  <c r="F251" i="1" s="1"/>
  <c r="L296" i="1"/>
  <c r="F296" i="1" s="1"/>
  <c r="L340" i="1"/>
  <c r="F340" i="1" s="1"/>
  <c r="L428" i="1"/>
  <c r="F428" i="1" s="1"/>
  <c r="L468" i="1"/>
  <c r="F468" i="1" s="1"/>
  <c r="L604" i="1"/>
  <c r="F604" i="1" s="1"/>
  <c r="L698" i="1"/>
  <c r="F698" i="1" s="1"/>
  <c r="L736" i="1"/>
  <c r="F736" i="1" s="1"/>
  <c r="L800" i="1"/>
  <c r="F800" i="1" s="1"/>
  <c r="L812" i="1"/>
  <c r="F812" i="1" s="1"/>
  <c r="L855" i="1"/>
  <c r="F855" i="1" s="1"/>
  <c r="L922" i="1"/>
  <c r="F922" i="1" s="1"/>
  <c r="L1023" i="1"/>
  <c r="F1023" i="1" s="1"/>
  <c r="L720" i="1"/>
  <c r="F720" i="1" s="1"/>
  <c r="L1052" i="1"/>
  <c r="F1052" i="1" s="1"/>
  <c r="L34" i="1"/>
  <c r="F34" i="1" s="1"/>
  <c r="L49" i="1"/>
  <c r="F49" i="1" s="1"/>
  <c r="L117" i="1"/>
  <c r="F117" i="1" s="1"/>
  <c r="L167" i="1"/>
  <c r="F167" i="1" s="1"/>
  <c r="L183" i="1"/>
  <c r="F183" i="1" s="1"/>
  <c r="L240" i="1"/>
  <c r="F240" i="1" s="1"/>
  <c r="L351" i="1"/>
  <c r="F351" i="1" s="1"/>
  <c r="L366" i="1"/>
  <c r="F366" i="1" s="1"/>
  <c r="L504" i="1"/>
  <c r="F504" i="1" s="1"/>
  <c r="L549" i="1"/>
  <c r="F549" i="1" s="1"/>
  <c r="L557" i="1"/>
  <c r="F557" i="1" s="1"/>
  <c r="L574" i="1"/>
  <c r="F574" i="1" s="1"/>
  <c r="L612" i="1"/>
  <c r="F612" i="1" s="1"/>
  <c r="L667" i="1"/>
  <c r="F667" i="1" s="1"/>
  <c r="L766" i="1"/>
  <c r="F766" i="1" s="1"/>
  <c r="L810" i="1"/>
  <c r="F810" i="1" s="1"/>
  <c r="L838" i="1"/>
  <c r="F838" i="1" s="1"/>
  <c r="L979" i="1"/>
  <c r="F979" i="1" s="1"/>
  <c r="L104" i="1"/>
  <c r="F104" i="1" s="1"/>
  <c r="L237" i="1"/>
  <c r="F237" i="1" s="1"/>
  <c r="L265" i="1"/>
  <c r="F265" i="1" s="1"/>
  <c r="L395" i="1"/>
  <c r="F395" i="1" s="1"/>
  <c r="L452" i="1"/>
  <c r="F452" i="1" s="1"/>
  <c r="L547" i="1"/>
  <c r="F547" i="1" s="1"/>
  <c r="L25" i="1"/>
  <c r="F25" i="1" s="1"/>
  <c r="L123" i="1"/>
  <c r="F123" i="1" s="1"/>
  <c r="L217" i="1"/>
  <c r="F217" i="1" s="1"/>
  <c r="L318" i="1"/>
  <c r="F318" i="1" s="1"/>
  <c r="L389" i="1"/>
  <c r="F389" i="1" s="1"/>
  <c r="L462" i="1"/>
  <c r="F462" i="1" s="1"/>
  <c r="L488" i="1"/>
  <c r="F488" i="1" s="1"/>
  <c r="L576" i="1"/>
  <c r="F576" i="1" s="1"/>
  <c r="L842" i="1"/>
  <c r="F842" i="1" s="1"/>
  <c r="L856" i="1"/>
  <c r="F856" i="1" s="1"/>
  <c r="L1039" i="1"/>
  <c r="F1039" i="1" s="1"/>
  <c r="L26" i="1"/>
  <c r="F26" i="1" s="1"/>
  <c r="L38" i="1"/>
  <c r="F38" i="1" s="1"/>
  <c r="L45" i="1"/>
  <c r="F45" i="1" s="1"/>
  <c r="L89" i="1"/>
  <c r="F89" i="1" s="1"/>
  <c r="L98" i="1"/>
  <c r="F98" i="1" s="1"/>
  <c r="L127" i="1"/>
  <c r="F127" i="1" s="1"/>
  <c r="L150" i="1"/>
  <c r="F150" i="1" s="1"/>
  <c r="L181" i="1"/>
  <c r="F181" i="1" s="1"/>
  <c r="L218" i="1"/>
  <c r="F218" i="1" s="1"/>
  <c r="L239" i="1"/>
  <c r="F239" i="1" s="1"/>
  <c r="L277" i="1"/>
  <c r="F277" i="1" s="1"/>
  <c r="L319" i="1"/>
  <c r="F319" i="1" s="1"/>
  <c r="L412" i="1"/>
  <c r="F412" i="1" s="1"/>
  <c r="L542" i="1"/>
  <c r="F542" i="1" s="1"/>
  <c r="L554" i="1"/>
  <c r="F554" i="1" s="1"/>
  <c r="L639" i="1"/>
  <c r="F639" i="1" s="1"/>
  <c r="L647" i="1"/>
  <c r="F647" i="1" s="1"/>
  <c r="L668" i="1"/>
  <c r="F668" i="1" s="1"/>
  <c r="L707" i="1"/>
  <c r="F707" i="1" s="1"/>
  <c r="L764" i="1"/>
  <c r="F764" i="1" s="1"/>
  <c r="L771" i="1"/>
  <c r="F771" i="1" s="1"/>
  <c r="L791" i="1"/>
  <c r="F791" i="1" s="1"/>
  <c r="L803" i="1"/>
  <c r="F803" i="1" s="1"/>
  <c r="L811" i="1"/>
  <c r="F811" i="1" s="1"/>
  <c r="L832" i="1"/>
  <c r="F832" i="1" s="1"/>
  <c r="L843" i="1"/>
  <c r="F843" i="1" s="1"/>
  <c r="L850" i="1"/>
  <c r="F850" i="1" s="1"/>
  <c r="L857" i="1"/>
  <c r="F857" i="1" s="1"/>
  <c r="L883" i="1"/>
  <c r="F883" i="1" s="1"/>
  <c r="L916" i="1"/>
  <c r="F916" i="1" s="1"/>
  <c r="L1048" i="1"/>
  <c r="F1048" i="1" s="1"/>
  <c r="L264" i="1"/>
  <c r="F264" i="1" s="1"/>
  <c r="L391" i="1"/>
  <c r="F391" i="1" s="1"/>
  <c r="L573" i="1"/>
  <c r="F573" i="1" s="1"/>
  <c r="L420" i="1"/>
  <c r="F420" i="1" s="1"/>
  <c r="L620" i="1"/>
  <c r="F620" i="1" s="1"/>
  <c r="L732" i="1"/>
  <c r="F732" i="1" s="1"/>
  <c r="L610" i="1"/>
  <c r="F610" i="1" s="1"/>
  <c r="L621" i="1"/>
  <c r="F621" i="1" s="1"/>
  <c r="L819" i="1"/>
  <c r="F819" i="1" s="1"/>
  <c r="L849" i="1"/>
  <c r="F849" i="1" s="1"/>
</calcChain>
</file>

<file path=xl/sharedStrings.xml><?xml version="1.0" encoding="utf-8"?>
<sst xmlns="http://schemas.openxmlformats.org/spreadsheetml/2006/main" count="3674" uniqueCount="1453">
  <si>
    <t>BTL-11350</t>
  </si>
  <si>
    <t>Residential</t>
  </si>
  <si>
    <t>BTL-11351</t>
  </si>
  <si>
    <t>BTL-11416</t>
  </si>
  <si>
    <t>BTL-10000</t>
  </si>
  <si>
    <t>BTL-10001</t>
  </si>
  <si>
    <t>BTL-14207</t>
  </si>
  <si>
    <t>BTL-10002</t>
  </si>
  <si>
    <t>BTL-14208</t>
  </si>
  <si>
    <t>BTL-11370</t>
  </si>
  <si>
    <t>BTL-14209</t>
  </si>
  <si>
    <t>BTL-10005</t>
  </si>
  <si>
    <t>BTL-10006</t>
  </si>
  <si>
    <t>BTL-10007</t>
  </si>
  <si>
    <t>BTL-10008</t>
  </si>
  <si>
    <t>BTL-13705</t>
  </si>
  <si>
    <t>BTL-14311</t>
  </si>
  <si>
    <t>BTL-14188</t>
  </si>
  <si>
    <t>BTL-13708</t>
  </si>
  <si>
    <t>BTL-14429</t>
  </si>
  <si>
    <t>BTL-10012</t>
  </si>
  <si>
    <t>BTL-15800</t>
  </si>
  <si>
    <t>BTL-15801</t>
  </si>
  <si>
    <t>BTL-10013</t>
  </si>
  <si>
    <t>BTL-10014</t>
  </si>
  <si>
    <t>BTL-10015</t>
  </si>
  <si>
    <t>BTL-10016</t>
  </si>
  <si>
    <t>BTL-14210</t>
  </si>
  <si>
    <t>BTL-10017</t>
  </si>
  <si>
    <t>BTL-10018</t>
  </si>
  <si>
    <t>BTL-12016</t>
  </si>
  <si>
    <t>BTL-12588</t>
  </si>
  <si>
    <t>BTL-11672</t>
  </si>
  <si>
    <t>BTL-16282</t>
  </si>
  <si>
    <t>BTL-11729</t>
  </si>
  <si>
    <t>BTL-12160</t>
  </si>
  <si>
    <t>BTL-10019</t>
  </si>
  <si>
    <t>BTL-15946</t>
  </si>
  <si>
    <t>BTL-11961</t>
  </si>
  <si>
    <t>BTL-11498</t>
  </si>
  <si>
    <t>BTL-11845</t>
  </si>
  <si>
    <t>BTL-11731</t>
  </si>
  <si>
    <t>BTL-11900</t>
  </si>
  <si>
    <t>55/1</t>
  </si>
  <si>
    <t>BTL-12079</t>
  </si>
  <si>
    <t>55/2</t>
  </si>
  <si>
    <t>BTL-11962</t>
  </si>
  <si>
    <t>55/3</t>
  </si>
  <si>
    <t>BTL-12162</t>
  </si>
  <si>
    <t>55/4</t>
  </si>
  <si>
    <t>BTL-12080</t>
  </si>
  <si>
    <t>55/5</t>
  </si>
  <si>
    <t>BTL-16086</t>
  </si>
  <si>
    <t>55/6</t>
  </si>
  <si>
    <t>BTL-11673</t>
  </si>
  <si>
    <t>55/7</t>
  </si>
  <si>
    <t>BTL-11846</t>
  </si>
  <si>
    <t>55/8</t>
  </si>
  <si>
    <t>BTL-15925</t>
  </si>
  <si>
    <t>55/9</t>
  </si>
  <si>
    <t>BTL-11901</t>
  </si>
  <si>
    <t>55/10</t>
  </si>
  <si>
    <t>BTL-12081</t>
  </si>
  <si>
    <t>55/11</t>
  </si>
  <si>
    <t>BTL-15059</t>
  </si>
  <si>
    <t>55/12</t>
  </si>
  <si>
    <t>BTL-11417</t>
  </si>
  <si>
    <t>BTL-11602</t>
  </si>
  <si>
    <t>BTL-11418</t>
  </si>
  <si>
    <t>BTL-11419</t>
  </si>
  <si>
    <t>BTL-11496</t>
  </si>
  <si>
    <t>BTL-11420</t>
  </si>
  <si>
    <t>BTL-10020</t>
  </si>
  <si>
    <t>BTL-10021</t>
  </si>
  <si>
    <t>BTL-11603</t>
  </si>
  <si>
    <t>BTL-11777</t>
  </si>
  <si>
    <t>BTL-11778</t>
  </si>
  <si>
    <t>BTL-11730</t>
  </si>
  <si>
    <t>BTL-11641</t>
  </si>
  <si>
    <t>BTL-14337</t>
  </si>
  <si>
    <t>BTL-11466</t>
  </si>
  <si>
    <t>BTL-11421</t>
  </si>
  <si>
    <t>BTL-11422</t>
  </si>
  <si>
    <t>BTL-11599</t>
  </si>
  <si>
    <t>BTL-15683</t>
  </si>
  <si>
    <t>BTL-12017</t>
  </si>
  <si>
    <t>74/1</t>
  </si>
  <si>
    <t>BTL-11732</t>
  </si>
  <si>
    <t>74/2</t>
  </si>
  <si>
    <t>BTL-11604</t>
  </si>
  <si>
    <t>74/3</t>
  </si>
  <si>
    <t>BTL-11605</t>
  </si>
  <si>
    <t>74/4</t>
  </si>
  <si>
    <t>BTL-11606</t>
  </si>
  <si>
    <t>74/5</t>
  </si>
  <si>
    <t>BTL-11537</t>
  </si>
  <si>
    <t>74/6</t>
  </si>
  <si>
    <t>BTL-11538</t>
  </si>
  <si>
    <t>74/7</t>
  </si>
  <si>
    <t>BTL-12082</t>
  </si>
  <si>
    <t>74/8</t>
  </si>
  <si>
    <t>BTL-11847</t>
  </si>
  <si>
    <t>74/9</t>
  </si>
  <si>
    <t>BTL-11608</t>
  </si>
  <si>
    <t>74/10</t>
  </si>
  <si>
    <t>BTL-11671</t>
  </si>
  <si>
    <t>BTL-11773</t>
  </si>
  <si>
    <t>75/1</t>
  </si>
  <si>
    <t>BTL-11607</t>
  </si>
  <si>
    <t>75/2</t>
  </si>
  <si>
    <t>BTL-13709</t>
  </si>
  <si>
    <t>75/3</t>
  </si>
  <si>
    <t>BTL-11733</t>
  </si>
  <si>
    <t>75/4</t>
  </si>
  <si>
    <t>BTL-11539</t>
  </si>
  <si>
    <t>75/6</t>
  </si>
  <si>
    <t>BTL-11642</t>
  </si>
  <si>
    <t>75/5</t>
  </si>
  <si>
    <t>BTL-11674</t>
  </si>
  <si>
    <t>BTL-11851</t>
  </si>
  <si>
    <t>BTL-11534</t>
  </si>
  <si>
    <t>BTL-11675</t>
  </si>
  <si>
    <t>BTL-11495</t>
  </si>
  <si>
    <t>BTL-11352</t>
  </si>
  <si>
    <t>BTL-11429</t>
  </si>
  <si>
    <t>BTL-11423</t>
  </si>
  <si>
    <t>BTL-17366</t>
  </si>
  <si>
    <t>BTL-11425</t>
  </si>
  <si>
    <t>BTL-10022</t>
  </si>
  <si>
    <t>BTL-11471</t>
  </si>
  <si>
    <t>BTL-11848</t>
  </si>
  <si>
    <t>BTL-10023</t>
  </si>
  <si>
    <t>BTL-11353</t>
  </si>
  <si>
    <t>BTL-10024</t>
  </si>
  <si>
    <t>BTL-11426</t>
  </si>
  <si>
    <t>BTL-11849</t>
  </si>
  <si>
    <t>BTL-13362</t>
  </si>
  <si>
    <t>BTL-10025</t>
  </si>
  <si>
    <t>94/1</t>
  </si>
  <si>
    <t>BTL-11677</t>
  </si>
  <si>
    <t>94/2</t>
  </si>
  <si>
    <t>BTL-10026</t>
  </si>
  <si>
    <t>94/3</t>
  </si>
  <si>
    <t>BTL-11609</t>
  </si>
  <si>
    <t>94/4</t>
  </si>
  <si>
    <t>BTL-11427</t>
  </si>
  <si>
    <t>95/1</t>
  </si>
  <si>
    <t>BTL-11428</t>
  </si>
  <si>
    <t>95/2</t>
  </si>
  <si>
    <t>BTL-10027</t>
  </si>
  <si>
    <t>95/3</t>
  </si>
  <si>
    <t>BTL-11678</t>
  </si>
  <si>
    <t>95/4</t>
  </si>
  <si>
    <t>BTL-11963</t>
  </si>
  <si>
    <t>BTL-11679</t>
  </si>
  <si>
    <t>BTL-11600</t>
  </si>
  <si>
    <t>BTL-11850</t>
  </si>
  <si>
    <t>BTL-11610</t>
  </si>
  <si>
    <t>BTL-11535</t>
  </si>
  <si>
    <t>BTL-10028</t>
  </si>
  <si>
    <t>BTL-11536</t>
  </si>
  <si>
    <t>BTL-10029</t>
  </si>
  <si>
    <t>BTL-10030</t>
  </si>
  <si>
    <t>BTL-11638</t>
  </si>
  <si>
    <t>BTL-10031</t>
  </si>
  <si>
    <t>BTL-11238</t>
  </si>
  <si>
    <t>BTL-10032</t>
  </si>
  <si>
    <t>BTL-10033</t>
  </si>
  <si>
    <t>BTL-10035</t>
  </si>
  <si>
    <t>110/1</t>
  </si>
  <si>
    <t>BTL-10036</t>
  </si>
  <si>
    <t>110/2</t>
  </si>
  <si>
    <t>BTL-11188</t>
  </si>
  <si>
    <t>110/3</t>
  </si>
  <si>
    <t>BTL-10037</t>
  </si>
  <si>
    <t>110/4</t>
  </si>
  <si>
    <t>BTL-10038</t>
  </si>
  <si>
    <t>110/5</t>
  </si>
  <si>
    <t>BTL-11227</t>
  </si>
  <si>
    <t>110/6</t>
  </si>
  <si>
    <t>BTL-10039</t>
  </si>
  <si>
    <t>110/7</t>
  </si>
  <si>
    <t>BTL-10040</t>
  </si>
  <si>
    <t>110/8</t>
  </si>
  <si>
    <t>BTL-10041</t>
  </si>
  <si>
    <t>110/9</t>
  </si>
  <si>
    <t>BTL-10042</t>
  </si>
  <si>
    <t>110/10</t>
  </si>
  <si>
    <t>BTL-10034</t>
  </si>
  <si>
    <t>BTL-10043</t>
  </si>
  <si>
    <t>BTL-10044</t>
  </si>
  <si>
    <t>BTL-10045</t>
  </si>
  <si>
    <t>BTL-10046</t>
  </si>
  <si>
    <t>BTL-10047</t>
  </si>
  <si>
    <t>BTL-10048</t>
  </si>
  <si>
    <t>BTL-10049</t>
  </si>
  <si>
    <t>BTL-10050</t>
  </si>
  <si>
    <t>BTL-10051</t>
  </si>
  <si>
    <t>BTL-10052</t>
  </si>
  <si>
    <t>BTL-10053</t>
  </si>
  <si>
    <t>120/1</t>
  </si>
  <si>
    <t>BTL-10054</t>
  </si>
  <si>
    <t>120/2</t>
  </si>
  <si>
    <t>BTL-10055</t>
  </si>
  <si>
    <t>120/3</t>
  </si>
  <si>
    <t>BTL-10056</t>
  </si>
  <si>
    <t>120/4</t>
  </si>
  <si>
    <t>BTL-10057</t>
  </si>
  <si>
    <t>120/5</t>
  </si>
  <si>
    <t>BTL-10058</t>
  </si>
  <si>
    <t>120/6</t>
  </si>
  <si>
    <t>BTL-10059</t>
  </si>
  <si>
    <t>120/7</t>
  </si>
  <si>
    <t>BTL-10060</t>
  </si>
  <si>
    <t>120/8</t>
  </si>
  <si>
    <t>BTL-10061</t>
  </si>
  <si>
    <t>120/9</t>
  </si>
  <si>
    <t>BTL-10062</t>
  </si>
  <si>
    <t>120/10</t>
  </si>
  <si>
    <t>BTL-10063</t>
  </si>
  <si>
    <t>BTL-11497</t>
  </si>
  <si>
    <t>121/1</t>
  </si>
  <si>
    <t>BTL-10064</t>
  </si>
  <si>
    <t>121/2</t>
  </si>
  <si>
    <t>BTL-10065</t>
  </si>
  <si>
    <t>121/3</t>
  </si>
  <si>
    <t>BTL-10066</t>
  </si>
  <si>
    <t>121/4</t>
  </si>
  <si>
    <t>BTL-10067</t>
  </si>
  <si>
    <t>121/5</t>
  </si>
  <si>
    <t>BTL-10068</t>
  </si>
  <si>
    <t>121/6</t>
  </si>
  <si>
    <t>BTL-10069</t>
  </si>
  <si>
    <t>121/7</t>
  </si>
  <si>
    <t>BTL-10070</t>
  </si>
  <si>
    <t>121/8</t>
  </si>
  <si>
    <t>BTL-10071</t>
  </si>
  <si>
    <t>121/9</t>
  </si>
  <si>
    <t>BTL-10072</t>
  </si>
  <si>
    <t>121/10</t>
  </si>
  <si>
    <t>BTL-10073</t>
  </si>
  <si>
    <t>BTL-10074</t>
  </si>
  <si>
    <t>122/1</t>
  </si>
  <si>
    <t>BTL-10075</t>
  </si>
  <si>
    <t>122/2</t>
  </si>
  <si>
    <t>BTL-10077</t>
  </si>
  <si>
    <t>122/4</t>
  </si>
  <si>
    <t>BTL-10078</t>
  </si>
  <si>
    <t>122/5</t>
  </si>
  <si>
    <t>BTL-10079</t>
  </si>
  <si>
    <t>122/6</t>
  </si>
  <si>
    <t>BTL-10076</t>
  </si>
  <si>
    <t>122/3</t>
  </si>
  <si>
    <t>BTL-10080</t>
  </si>
  <si>
    <t>122/7</t>
  </si>
  <si>
    <t>BTL-10081</t>
  </si>
  <si>
    <t>122/8</t>
  </si>
  <si>
    <t>BTL-10082</t>
  </si>
  <si>
    <t>122/9</t>
  </si>
  <si>
    <t>BTL-10083</t>
  </si>
  <si>
    <t>122/10</t>
  </si>
  <si>
    <t>BTL-10084</t>
  </si>
  <si>
    <t>BTL-11355</t>
  </si>
  <si>
    <t>123/1</t>
  </si>
  <si>
    <t>BTL-10085</t>
  </si>
  <si>
    <t>123/2</t>
  </si>
  <si>
    <t>BTL-10086</t>
  </si>
  <si>
    <t>123/3</t>
  </si>
  <si>
    <t>BTL-10087</t>
  </si>
  <si>
    <t>123/4</t>
  </si>
  <si>
    <t>BTL-10088</t>
  </si>
  <si>
    <t>123/5</t>
  </si>
  <si>
    <t>BTL-10089</t>
  </si>
  <si>
    <t>123/6</t>
  </si>
  <si>
    <t>BTL-10090</t>
  </si>
  <si>
    <t>123/7</t>
  </si>
  <si>
    <t>BTL-10091</t>
  </si>
  <si>
    <t>123/8</t>
  </si>
  <si>
    <t>BTL-10092</t>
  </si>
  <si>
    <t>123/9</t>
  </si>
  <si>
    <t>BTL-10093</t>
  </si>
  <si>
    <t>123/10</t>
  </si>
  <si>
    <t>BTL-10094</t>
  </si>
  <si>
    <t>BTL-10095</t>
  </si>
  <si>
    <t>124/1</t>
  </si>
  <si>
    <t>BTL-10096</t>
  </si>
  <si>
    <t>124/2</t>
  </si>
  <si>
    <t>BTL-10097</t>
  </si>
  <si>
    <t>124/3</t>
  </si>
  <si>
    <t>BTL-10098</t>
  </si>
  <si>
    <t>124/4</t>
  </si>
  <si>
    <t>BTL-10100</t>
  </si>
  <si>
    <t>124/6</t>
  </si>
  <si>
    <t>BTL-10101</t>
  </si>
  <si>
    <t>124/7</t>
  </si>
  <si>
    <t>BTL-10102</t>
  </si>
  <si>
    <t>124/8</t>
  </si>
  <si>
    <t>BTL-10103</t>
  </si>
  <si>
    <t>124/9</t>
  </si>
  <si>
    <t>BTL-10104</t>
  </si>
  <si>
    <t>124/10</t>
  </si>
  <si>
    <t>BTL-10105</t>
  </si>
  <si>
    <t>124/11</t>
  </si>
  <si>
    <t>BTL-10106</t>
  </si>
  <si>
    <t>124/12</t>
  </si>
  <si>
    <t>BTL-10107</t>
  </si>
  <si>
    <t>124/13</t>
  </si>
  <si>
    <t>BTL-10108</t>
  </si>
  <si>
    <t>124/14</t>
  </si>
  <si>
    <t>BTL-10109</t>
  </si>
  <si>
    <t>124/15</t>
  </si>
  <si>
    <t>BTL-10110</t>
  </si>
  <si>
    <t>124/16</t>
  </si>
  <si>
    <t>BTL-10111</t>
  </si>
  <si>
    <t>124/17</t>
  </si>
  <si>
    <t>BTL-10114</t>
  </si>
  <si>
    <t>124/20</t>
  </si>
  <si>
    <t>BTL-10115</t>
  </si>
  <si>
    <t>124/21</t>
  </si>
  <si>
    <t>BTL-11356</t>
  </si>
  <si>
    <t>124/22</t>
  </si>
  <si>
    <t>BTL-10112</t>
  </si>
  <si>
    <t>124/18</t>
  </si>
  <si>
    <t>BTL-10113</t>
  </si>
  <si>
    <t>124/19</t>
  </si>
  <si>
    <t>BTL-10099</t>
  </si>
  <si>
    <t>124/5</t>
  </si>
  <si>
    <t>BTL-10116</t>
  </si>
  <si>
    <t>BTL-10117</t>
  </si>
  <si>
    <t>125/2</t>
  </si>
  <si>
    <t>BTL-10118</t>
  </si>
  <si>
    <t>125/3</t>
  </si>
  <si>
    <t>BTL-10119</t>
  </si>
  <si>
    <t>125/4</t>
  </si>
  <si>
    <t>BTL-10120</t>
  </si>
  <si>
    <t>125/5</t>
  </si>
  <si>
    <t>BTL-10121</t>
  </si>
  <si>
    <t>125/6</t>
  </si>
  <si>
    <t>BTL-10122</t>
  </si>
  <si>
    <t>125/7</t>
  </si>
  <si>
    <t>BTL-10123</t>
  </si>
  <si>
    <t>125/8</t>
  </si>
  <si>
    <t>BTL-10124</t>
  </si>
  <si>
    <t>125/9</t>
  </si>
  <si>
    <t>BTL-10125</t>
  </si>
  <si>
    <t>125/10</t>
  </si>
  <si>
    <t>BTL-10127</t>
  </si>
  <si>
    <t>125/12</t>
  </si>
  <si>
    <t>BTL-10129</t>
  </si>
  <si>
    <t>125/14</t>
  </si>
  <si>
    <t>BTL-10131</t>
  </si>
  <si>
    <t>125/16</t>
  </si>
  <si>
    <t>BTL-10132</t>
  </si>
  <si>
    <t>125/17</t>
  </si>
  <si>
    <t>BTL-10133</t>
  </si>
  <si>
    <t>125/18</t>
  </si>
  <si>
    <t>BTL-10134</t>
  </si>
  <si>
    <t>125/19</t>
  </si>
  <si>
    <t>BTL-10136</t>
  </si>
  <si>
    <t>125/21</t>
  </si>
  <si>
    <t>BTL-11236</t>
  </si>
  <si>
    <t>125/22</t>
  </si>
  <si>
    <t>BTL-10126</t>
  </si>
  <si>
    <t>125/11</t>
  </si>
  <si>
    <t>BTL-10128</t>
  </si>
  <si>
    <t>125/13</t>
  </si>
  <si>
    <t>BTL-10130</t>
  </si>
  <si>
    <t>125/15</t>
  </si>
  <si>
    <t>BTL-10135</t>
  </si>
  <si>
    <t>125/20</t>
  </si>
  <si>
    <t>BTL-10137</t>
  </si>
  <si>
    <t>BTL-10138</t>
  </si>
  <si>
    <t>BTL-10139</t>
  </si>
  <si>
    <t>BTL-10140</t>
  </si>
  <si>
    <t>BTL-10141</t>
  </si>
  <si>
    <t>129/1</t>
  </si>
  <si>
    <t>BTL-10142</t>
  </si>
  <si>
    <t>129/2</t>
  </si>
  <si>
    <t>BTL-10143</t>
  </si>
  <si>
    <t>BTL-10144</t>
  </si>
  <si>
    <t>BTL-10145</t>
  </si>
  <si>
    <t>BTL-10146</t>
  </si>
  <si>
    <t>BTL-10147</t>
  </si>
  <si>
    <t>BTL-10148</t>
  </si>
  <si>
    <t>BTL-10149</t>
  </si>
  <si>
    <t>BTL-10150</t>
  </si>
  <si>
    <t>BTL-10151</t>
  </si>
  <si>
    <t>BTL-10152</t>
  </si>
  <si>
    <t>BTL-10153</t>
  </si>
  <si>
    <t>BTL-10154</t>
  </si>
  <si>
    <t>BTL-10155</t>
  </si>
  <si>
    <t>BTL-10156</t>
  </si>
  <si>
    <t>BTL-10157</t>
  </si>
  <si>
    <t>BTL-10158</t>
  </si>
  <si>
    <t>BTL-10159</t>
  </si>
  <si>
    <t>BTL-10160</t>
  </si>
  <si>
    <t>BTL-10161</t>
  </si>
  <si>
    <t>BTL-10162</t>
  </si>
  <si>
    <t>BTL-10163</t>
  </si>
  <si>
    <t>BTL-10164</t>
  </si>
  <si>
    <t>BTL-10165</t>
  </si>
  <si>
    <t>BTL-10166</t>
  </si>
  <si>
    <t>BTL-10167</t>
  </si>
  <si>
    <t>BTL-10168</t>
  </si>
  <si>
    <t>BTL-10169</t>
  </si>
  <si>
    <t>BTL-10170</t>
  </si>
  <si>
    <t>BTL-10171</t>
  </si>
  <si>
    <t>BTL-12596</t>
  </si>
  <si>
    <t>BTL-10172</t>
  </si>
  <si>
    <t>BTL-10173</t>
  </si>
  <si>
    <t>BTL-10174</t>
  </si>
  <si>
    <t>BTL-10175</t>
  </si>
  <si>
    <t>BTL-11902</t>
  </si>
  <si>
    <t>BTL-10176</t>
  </si>
  <si>
    <t>BTL-10177</t>
  </si>
  <si>
    <t>BTL-10178</t>
  </si>
  <si>
    <t>BTL-10179</t>
  </si>
  <si>
    <t>BTL-10180</t>
  </si>
  <si>
    <t>BTL-10181</t>
  </si>
  <si>
    <t>BTL-10182</t>
  </si>
  <si>
    <t>BTL-10183</t>
  </si>
  <si>
    <t>BTL-10184</t>
  </si>
  <si>
    <t>BTL-13213</t>
  </si>
  <si>
    <t>BTL-10185</t>
  </si>
  <si>
    <t>BTL-10186</t>
  </si>
  <si>
    <t>BTL-10187</t>
  </si>
  <si>
    <t>BTL-10188</t>
  </si>
  <si>
    <t>BTL-10189</t>
  </si>
  <si>
    <t>BTL-10190</t>
  </si>
  <si>
    <t>BTL-10191</t>
  </si>
  <si>
    <t>BTL-10192</t>
  </si>
  <si>
    <t>BTL-10193</t>
  </si>
  <si>
    <t>BTL-13519</t>
  </si>
  <si>
    <t>BTL-10194</t>
  </si>
  <si>
    <t>BTL-10195</t>
  </si>
  <si>
    <t>BTL-13099</t>
  </si>
  <si>
    <t>BTL-10196</t>
  </si>
  <si>
    <t>BTL-10197</t>
  </si>
  <si>
    <t>BTL-10198</t>
  </si>
  <si>
    <t>BTL-14527</t>
  </si>
  <si>
    <t>BTL-10199</t>
  </si>
  <si>
    <t>BTL-10200</t>
  </si>
  <si>
    <t>BTL-15374</t>
  </si>
  <si>
    <t>BTL-13608</t>
  </si>
  <si>
    <t>BTL-15582</t>
  </si>
  <si>
    <t>BTL-10202</t>
  </si>
  <si>
    <t>BTL-10203</t>
  </si>
  <si>
    <t>BTL-10204</t>
  </si>
  <si>
    <t>BTL-10205</t>
  </si>
  <si>
    <t>BTL-10206</t>
  </si>
  <si>
    <t>BTL-10207</t>
  </si>
  <si>
    <t>BTL-10208</t>
  </si>
  <si>
    <t>BTL-10209</t>
  </si>
  <si>
    <t>BTL-10210</t>
  </si>
  <si>
    <t>BTL-10211</t>
  </si>
  <si>
    <t>BTL-10212</t>
  </si>
  <si>
    <t>BTL-11237</t>
  </si>
  <si>
    <t>BTL-10213</t>
  </si>
  <si>
    <t>BTL-10214</t>
  </si>
  <si>
    <t>BTL-10215</t>
  </si>
  <si>
    <t>BTL-10216</t>
  </si>
  <si>
    <t>BTL-10217</t>
  </si>
  <si>
    <t>BTL-10218</t>
  </si>
  <si>
    <t>BTL-10219</t>
  </si>
  <si>
    <t>BTL-10220</t>
  </si>
  <si>
    <t>BTL-11611</t>
  </si>
  <si>
    <t>BTL-10221</t>
  </si>
  <si>
    <t>BTL-10222</t>
  </si>
  <si>
    <t>BTL-13354</t>
  </si>
  <si>
    <t>BTL-16795</t>
  </si>
  <si>
    <t>BTL-17675</t>
  </si>
  <si>
    <t>BTL-17676</t>
  </si>
  <si>
    <t>BTL-10223</t>
  </si>
  <si>
    <t>BTL-13824</t>
  </si>
  <si>
    <t>BTL-10224</t>
  </si>
  <si>
    <t>BTL-12224</t>
  </si>
  <si>
    <t>BTL-13022</t>
  </si>
  <si>
    <t>BTL-13023</t>
  </si>
  <si>
    <t>BTL-13823</t>
  </si>
  <si>
    <t>BTL-13955</t>
  </si>
  <si>
    <t>BTL-14189</t>
  </si>
  <si>
    <t>BTL-13957</t>
  </si>
  <si>
    <t>BTL-13822</t>
  </si>
  <si>
    <t>BTL-14292</t>
  </si>
  <si>
    <t>BTL-19575</t>
  </si>
  <si>
    <t>BTL-13954</t>
  </si>
  <si>
    <t>BTL-10225</t>
  </si>
  <si>
    <t>BTL-10226</t>
  </si>
  <si>
    <t>BTL-14727</t>
  </si>
  <si>
    <t>BTL-10228</t>
  </si>
  <si>
    <t>BTL-10229</t>
  </si>
  <si>
    <t>BTL-10230</t>
  </si>
  <si>
    <t>BTL-10231</t>
  </si>
  <si>
    <t>BTL-10232</t>
  </si>
  <si>
    <t>BTL-10233</t>
  </si>
  <si>
    <t>BTL-10234</t>
  </si>
  <si>
    <t>BTL-10235</t>
  </si>
  <si>
    <t>BTL-11500</t>
  </si>
  <si>
    <t>BTL-17140</t>
  </si>
  <si>
    <t>BTL-14095</t>
  </si>
  <si>
    <t>BTL-14045</t>
  </si>
  <si>
    <t>BTL-13649</t>
  </si>
  <si>
    <t>BTL-13636</t>
  </si>
  <si>
    <t>BTL-11228</t>
  </si>
  <si>
    <t>BTL-13690</t>
  </si>
  <si>
    <t>BTL-14014</t>
  </si>
  <si>
    <t>BTL-15568</t>
  </si>
  <si>
    <t>BTL-15282</t>
  </si>
  <si>
    <t>BTL-14777</t>
  </si>
  <si>
    <t>BTL-14323</t>
  </si>
  <si>
    <t>BTL-14293</t>
  </si>
  <si>
    <t>BTL-10236</t>
  </si>
  <si>
    <t>BTL-14169</t>
  </si>
  <si>
    <t>BTL-13110</t>
  </si>
  <si>
    <t>BTL-11276</t>
  </si>
  <si>
    <t>BTL-10237</t>
  </si>
  <si>
    <t>BTL-11277</t>
  </si>
  <si>
    <t>BTL-11229</t>
  </si>
  <si>
    <t>BTL-10238</t>
  </si>
  <si>
    <t>BTL-11278</t>
  </si>
  <si>
    <t>BTL-11639</t>
  </si>
  <si>
    <t>BTL-11230</t>
  </si>
  <si>
    <t>BTL-11279</t>
  </si>
  <si>
    <t>BTL-11410</t>
  </si>
  <si>
    <t>BTL-11612</t>
  </si>
  <si>
    <t>BTL-11242</t>
  </si>
  <si>
    <t>BTL-11243</t>
  </si>
  <si>
    <t>BTL-11280</t>
  </si>
  <si>
    <t>BTL-11231</t>
  </si>
  <si>
    <t>291/1</t>
  </si>
  <si>
    <t>BTL-12161</t>
  </si>
  <si>
    <t>292/1</t>
  </si>
  <si>
    <t>BTL-11354</t>
  </si>
  <si>
    <t>291/2</t>
  </si>
  <si>
    <t>BTL-12164</t>
  </si>
  <si>
    <t>292/2</t>
  </si>
  <si>
    <t>BTL-11281</t>
  </si>
  <si>
    <t>291/3</t>
  </si>
  <si>
    <t>BTL-18075</t>
  </si>
  <si>
    <t>292/3</t>
  </si>
  <si>
    <t>BTL-11282</t>
  </si>
  <si>
    <t>291/4</t>
  </si>
  <si>
    <t>BTL-13033</t>
  </si>
  <si>
    <t>292/4</t>
  </si>
  <si>
    <t>BTL-13118</t>
  </si>
  <si>
    <t>292/5</t>
  </si>
  <si>
    <t>BTL-12165</t>
  </si>
  <si>
    <t>292/6</t>
  </si>
  <si>
    <t>BTL-15467</t>
  </si>
  <si>
    <t>292/7</t>
  </si>
  <si>
    <t>BTL-11368</t>
  </si>
  <si>
    <t>BTL-11232</t>
  </si>
  <si>
    <t>BTL-11283</t>
  </si>
  <si>
    <t>BTL-10239</t>
  </si>
  <si>
    <t>BTL-11467</t>
  </si>
  <si>
    <t>BTL-11371</t>
  </si>
  <si>
    <t>BTL-11357</t>
  </si>
  <si>
    <t>BTL-11640</t>
  </si>
  <si>
    <t>BTL-14212</t>
  </si>
  <si>
    <t>BTL-11284</t>
  </si>
  <si>
    <t>BTL-11285</t>
  </si>
  <si>
    <t>BTL-11365</t>
  </si>
  <si>
    <t>BTL-10240</t>
  </si>
  <si>
    <t>BTL-10241</t>
  </si>
  <si>
    <t>BTL-10242</t>
  </si>
  <si>
    <t>BTL-10243</t>
  </si>
  <si>
    <t>BTL-10244</t>
  </si>
  <si>
    <t>BTL-10245</t>
  </si>
  <si>
    <t>BTL-10246</t>
  </si>
  <si>
    <t>BTL-10247</t>
  </si>
  <si>
    <t>BTL-10248</t>
  </si>
  <si>
    <t>BTL-10249</t>
  </si>
  <si>
    <t>BTL-10250</t>
  </si>
  <si>
    <t>BTL-10251</t>
  </si>
  <si>
    <t>BTL-10252</t>
  </si>
  <si>
    <t>BTL-10253</t>
  </si>
  <si>
    <t>BTL-10254</t>
  </si>
  <si>
    <t>BTL-10255</t>
  </si>
  <si>
    <t>BTL-10256</t>
  </si>
  <si>
    <t>BTL-10257</t>
  </si>
  <si>
    <t>BTL-10258</t>
  </si>
  <si>
    <t>BTL-10259</t>
  </si>
  <si>
    <t>BTL-10260</t>
  </si>
  <si>
    <t>BTL-10261</t>
  </si>
  <si>
    <t>BTL-10262</t>
  </si>
  <si>
    <t>BTL-10263</t>
  </si>
  <si>
    <t>BTL-10264</t>
  </si>
  <si>
    <t>BTL-10265</t>
  </si>
  <si>
    <t>BTL-10266</t>
  </si>
  <si>
    <t>BTL-10267</t>
  </si>
  <si>
    <t>BTL-10268</t>
  </si>
  <si>
    <t>BTL-10269</t>
  </si>
  <si>
    <t>BTL-10270</t>
  </si>
  <si>
    <t>BTL-10271</t>
  </si>
  <si>
    <t>BTL-10272</t>
  </si>
  <si>
    <t>BTL-10273</t>
  </si>
  <si>
    <t>BTL-10274</t>
  </si>
  <si>
    <t>BTL-10275</t>
  </si>
  <si>
    <t>BTL-10276</t>
  </si>
  <si>
    <t>BTL-10277</t>
  </si>
  <si>
    <t>BTL-10278</t>
  </si>
  <si>
    <t>BTL-10279</t>
  </si>
  <si>
    <t>BTL-10280</t>
  </si>
  <si>
    <t>BTL-10281</t>
  </si>
  <si>
    <t>BTL-10282</t>
  </si>
  <si>
    <t>BTL-10283</t>
  </si>
  <si>
    <t>BTL-10284</t>
  </si>
  <si>
    <t>BTL-10285</t>
  </si>
  <si>
    <t>BTL-10286</t>
  </si>
  <si>
    <t>BTL-10287</t>
  </si>
  <si>
    <t>BTL-10288</t>
  </si>
  <si>
    <t>BTL-10289</t>
  </si>
  <si>
    <t>BTL-10290</t>
  </si>
  <si>
    <t>BTL-10291</t>
  </si>
  <si>
    <t>BTL-10292</t>
  </si>
  <si>
    <t>BTL-11286</t>
  </si>
  <si>
    <t>BTL-11358</t>
  </si>
  <si>
    <t>BTL-11287</t>
  </si>
  <si>
    <t>BTL-11359</t>
  </si>
  <si>
    <t>BTL-11288</t>
  </si>
  <si>
    <t>BTL-11289</t>
  </si>
  <si>
    <t>BTL-11290</t>
  </si>
  <si>
    <t>BTL-11366</t>
  </si>
  <si>
    <t>BTL-11472</t>
  </si>
  <si>
    <t>BTL-11291</t>
  </si>
  <si>
    <t>BTL-11775</t>
  </si>
  <si>
    <t>BTL-12492</t>
  </si>
  <si>
    <t>367/1</t>
  </si>
  <si>
    <t>BTL-11292</t>
  </si>
  <si>
    <t>BTL-16964</t>
  </si>
  <si>
    <t>368/3</t>
  </si>
  <si>
    <t>BTL-11346</t>
  </si>
  <si>
    <t>368/1</t>
  </si>
  <si>
    <t>BTL-11680</t>
  </si>
  <si>
    <t>BTL-11411</t>
  </si>
  <si>
    <t>BTL-11233</t>
  </si>
  <si>
    <t>BTL-11349</t>
  </si>
  <si>
    <t>BTL-11293</t>
  </si>
  <si>
    <t>BTL-11294</t>
  </si>
  <si>
    <t>BTL-11348</t>
  </si>
  <si>
    <t>BTL-11295</t>
  </si>
  <si>
    <t>BTL-11240</t>
  </si>
  <si>
    <t>BTL-11360</t>
  </si>
  <si>
    <t>BTL-10293</t>
  </si>
  <si>
    <t>BTL-10294</t>
  </si>
  <si>
    <t>BTL-10295</t>
  </si>
  <si>
    <t>BTL-10296</t>
  </si>
  <si>
    <t>BTL-10297</t>
  </si>
  <si>
    <t>BTL-11189</t>
  </si>
  <si>
    <t>BTL-10298</t>
  </si>
  <si>
    <t>BTL-10299</t>
  </si>
  <si>
    <t>BTL-10300</t>
  </si>
  <si>
    <t>BTL-10301</t>
  </si>
  <si>
    <t>BTL-10302</t>
  </si>
  <si>
    <t>BTL-10303</t>
  </si>
  <si>
    <t>BTL-10304</t>
  </si>
  <si>
    <t>BTL-10305</t>
  </si>
  <si>
    <t>BTL-10306</t>
  </si>
  <si>
    <t>BTL-10307</t>
  </si>
  <si>
    <t>BTL-10308</t>
  </si>
  <si>
    <t>BTL-10309</t>
  </si>
  <si>
    <t>BTL-10310</t>
  </si>
  <si>
    <t>BTL-10311</t>
  </si>
  <si>
    <t>BTL-10312</t>
  </si>
  <si>
    <t>BTL-10313</t>
  </si>
  <si>
    <t>BTL-10314</t>
  </si>
  <si>
    <t>BTL-10315</t>
  </si>
  <si>
    <t>BTL-10316</t>
  </si>
  <si>
    <t>BTL-10317</t>
  </si>
  <si>
    <t>BTL-10318</t>
  </si>
  <si>
    <t>BTL-10319</t>
  </si>
  <si>
    <t>BTL-10320</t>
  </si>
  <si>
    <t>BTL-10321</t>
  </si>
  <si>
    <t>BTL-10322</t>
  </si>
  <si>
    <t>BTL-10323</t>
  </si>
  <si>
    <t>BTL-10324</t>
  </si>
  <si>
    <t>BTL-10325</t>
  </si>
  <si>
    <t>BTL-10326</t>
  </si>
  <si>
    <t>BTL-10327</t>
  </si>
  <si>
    <t>BTL-10328</t>
  </si>
  <si>
    <t>414/1</t>
  </si>
  <si>
    <t>BTL-10329</t>
  </si>
  <si>
    <t>414/2</t>
  </si>
  <si>
    <t>BTL-10330</t>
  </si>
  <si>
    <t>414/3</t>
  </si>
  <si>
    <t>BTL-10331</t>
  </si>
  <si>
    <t>414/4</t>
  </si>
  <si>
    <t>BTL-10332</t>
  </si>
  <si>
    <t>414/5</t>
  </si>
  <si>
    <t>BTL-10333</t>
  </si>
  <si>
    <t>414/6</t>
  </si>
  <si>
    <t>BTL-10335</t>
  </si>
  <si>
    <t>414/8</t>
  </si>
  <si>
    <t>BTL-10334</t>
  </si>
  <si>
    <t>414/7</t>
  </si>
  <si>
    <t>BTL-10336</t>
  </si>
  <si>
    <t>414/9</t>
  </si>
  <si>
    <t>BTL-10337</t>
  </si>
  <si>
    <t>414/10</t>
  </si>
  <si>
    <t>BTL-16506</t>
  </si>
  <si>
    <t>414/11</t>
  </si>
  <si>
    <t>BTL-10338</t>
  </si>
  <si>
    <t>414/12</t>
  </si>
  <si>
    <t>BTL-10339</t>
  </si>
  <si>
    <t>414/13</t>
  </si>
  <si>
    <t>BTL-10340</t>
  </si>
  <si>
    <t>414/14</t>
  </si>
  <si>
    <t>BTL-10341</t>
  </si>
  <si>
    <t>414/15</t>
  </si>
  <si>
    <t>BTL-10342</t>
  </si>
  <si>
    <t>414/16</t>
  </si>
  <si>
    <t>BTL-11361</t>
  </si>
  <si>
    <t>BTL-11362</t>
  </si>
  <si>
    <t>BTL-11363</t>
  </si>
  <si>
    <t>BTL-11311</t>
  </si>
  <si>
    <t>BTL-16204</t>
  </si>
  <si>
    <t>BTL-11364</t>
  </si>
  <si>
    <t>BTL-13426</t>
  </si>
  <si>
    <t>420/2</t>
  </si>
  <si>
    <t>BTL-11312</t>
  </si>
  <si>
    <t>420/1</t>
  </si>
  <si>
    <t>BTL-11313</t>
  </si>
  <si>
    <t>BTL-11424</t>
  </si>
  <si>
    <t>BTL-10343</t>
  </si>
  <si>
    <t>BTL-10344</t>
  </si>
  <si>
    <t>423/1</t>
  </si>
  <si>
    <t>BTL-10345</t>
  </si>
  <si>
    <t>423/2</t>
  </si>
  <si>
    <t>BTL-10346</t>
  </si>
  <si>
    <t>423/3</t>
  </si>
  <si>
    <t>BTL-10347</t>
  </si>
  <si>
    <t>423/4</t>
  </si>
  <si>
    <t>BTL-10348</t>
  </si>
  <si>
    <t>423/5</t>
  </si>
  <si>
    <t>BTL-10349</t>
  </si>
  <si>
    <t>423/6</t>
  </si>
  <si>
    <t>BTL-10350</t>
  </si>
  <si>
    <t>423/7</t>
  </si>
  <si>
    <t>BTL-10352</t>
  </si>
  <si>
    <t>423/9</t>
  </si>
  <si>
    <t>BTL-10353</t>
  </si>
  <si>
    <t>423/10</t>
  </si>
  <si>
    <t>BTL-10354</t>
  </si>
  <si>
    <t>423/11</t>
  </si>
  <si>
    <t>BTL-10355</t>
  </si>
  <si>
    <t>423/12</t>
  </si>
  <si>
    <t>BTL-10356</t>
  </si>
  <si>
    <t>423/13</t>
  </si>
  <si>
    <t>BTL-11241</t>
  </si>
  <si>
    <t>423/14</t>
  </si>
  <si>
    <t>BTL-10357</t>
  </si>
  <si>
    <t>423/15</t>
  </si>
  <si>
    <t>BTL-10358</t>
  </si>
  <si>
    <t>423/16</t>
  </si>
  <si>
    <t>BTL-10351</t>
  </si>
  <si>
    <t>423/8</t>
  </si>
  <si>
    <t>BTL-10359</t>
  </si>
  <si>
    <t>BTL-10360</t>
  </si>
  <si>
    <t>BTL-10361</t>
  </si>
  <si>
    <t>BTL-10362</t>
  </si>
  <si>
    <t>BTL-10363</t>
  </si>
  <si>
    <t>BTL-10364</t>
  </si>
  <si>
    <t>BTL-10365</t>
  </si>
  <si>
    <t>BTL-10366</t>
  </si>
  <si>
    <t>BTL-10367</t>
  </si>
  <si>
    <t>BTL-10368</t>
  </si>
  <si>
    <t>BTL-10369</t>
  </si>
  <si>
    <t>BTL-10370</t>
  </si>
  <si>
    <t>BTL-10371</t>
  </si>
  <si>
    <t>BTL-10372</t>
  </si>
  <si>
    <t>BTL-10373</t>
  </si>
  <si>
    <t>BTL-10374</t>
  </si>
  <si>
    <t>BTL-10375</t>
  </si>
  <si>
    <t>BTL-10376</t>
  </si>
  <si>
    <t>BTL-10377</t>
  </si>
  <si>
    <t>BTL-10378</t>
  </si>
  <si>
    <t>BTL-10379</t>
  </si>
  <si>
    <t>BTL-10380</t>
  </si>
  <si>
    <t>BTL-10381</t>
  </si>
  <si>
    <t>BTL-10382</t>
  </si>
  <si>
    <t>BTL-10383</t>
  </si>
  <si>
    <t>BTL-10384</t>
  </si>
  <si>
    <t>BTL-10385</t>
  </si>
  <si>
    <t>BTL-10386</t>
  </si>
  <si>
    <t>BTL-11297</t>
  </si>
  <si>
    <t>BTL-10387</t>
  </si>
  <si>
    <t>BTL-10388</t>
  </si>
  <si>
    <t>BTL-10389</t>
  </si>
  <si>
    <t>BTL-10390</t>
  </si>
  <si>
    <t>BTL-11234</t>
  </si>
  <si>
    <t>BTL-10391</t>
  </si>
  <si>
    <t>BTL-10392</t>
  </si>
  <si>
    <t>BTL-10393</t>
  </si>
  <si>
    <t>BTL-11468</t>
  </si>
  <si>
    <t>460/1</t>
  </si>
  <si>
    <t>BTL-11469</t>
  </si>
  <si>
    <t>460/2</t>
  </si>
  <si>
    <t>BTL-10394</t>
  </si>
  <si>
    <t>BTL-10395</t>
  </si>
  <si>
    <t>461/1</t>
  </si>
  <si>
    <t>BTL-10396</t>
  </si>
  <si>
    <t>461/2</t>
  </si>
  <si>
    <t>BTL-10397</t>
  </si>
  <si>
    <t>461/3</t>
  </si>
  <si>
    <t>BTL-12866</t>
  </si>
  <si>
    <t>461/4</t>
  </si>
  <si>
    <t>BTL-13111</t>
  </si>
  <si>
    <t>461/5</t>
  </si>
  <si>
    <t>BTL-10398</t>
  </si>
  <si>
    <t>BTL-10399</t>
  </si>
  <si>
    <t>BTL-10400</t>
  </si>
  <si>
    <t>BTL-10401</t>
  </si>
  <si>
    <t>BTL-10402</t>
  </si>
  <si>
    <t>BTL-10403</t>
  </si>
  <si>
    <t>BTL-10404</t>
  </si>
  <si>
    <t>BTL-10405</t>
  </si>
  <si>
    <t>BTL-10406</t>
  </si>
  <si>
    <t>BTL-10407</t>
  </si>
  <si>
    <t>BTL-10408</t>
  </si>
  <si>
    <t>BTL-10409</t>
  </si>
  <si>
    <t>BTL-10410</t>
  </si>
  <si>
    <t>BTL-10411</t>
  </si>
  <si>
    <t>BTL-10412</t>
  </si>
  <si>
    <t>BTL-10413</t>
  </si>
  <si>
    <t>BTL-10414</t>
  </si>
  <si>
    <t>BTL-10415</t>
  </si>
  <si>
    <t>BTL-10416</t>
  </si>
  <si>
    <t>BTL-10417</t>
  </si>
  <si>
    <t>BTL-10418</t>
  </si>
  <si>
    <t>BTL-10419</t>
  </si>
  <si>
    <t>BTL-10420</t>
  </si>
  <si>
    <t>BTL-10421</t>
  </si>
  <si>
    <t>BTL-10422</t>
  </si>
  <si>
    <t>BTL-10423</t>
  </si>
  <si>
    <t>BTL-10424</t>
  </si>
  <si>
    <t>BTL-10425</t>
  </si>
  <si>
    <t>BTL-10426</t>
  </si>
  <si>
    <t>BTL-10427</t>
  </si>
  <si>
    <t>BTL-10428</t>
  </si>
  <si>
    <t>BTL-10429</t>
  </si>
  <si>
    <t>BTL-10430</t>
  </si>
  <si>
    <t>BTL-10431</t>
  </si>
  <si>
    <t>BTL-10432</t>
  </si>
  <si>
    <t>BTL-10433</t>
  </si>
  <si>
    <t>BTL-10434</t>
  </si>
  <si>
    <t>BTL-10435</t>
  </si>
  <si>
    <t>BTL-10436</t>
  </si>
  <si>
    <t>BTL-11367</t>
  </si>
  <si>
    <t>BTL-10437</t>
  </si>
  <si>
    <t>BTL-10438</t>
  </si>
  <si>
    <t>BTL-10439</t>
  </si>
  <si>
    <t>BTL-10440</t>
  </si>
  <si>
    <t>BTL-10441</t>
  </si>
  <si>
    <t>BTL-10442</t>
  </si>
  <si>
    <t>BTL-10443</t>
  </si>
  <si>
    <t>BTL-10444</t>
  </si>
  <si>
    <t>BTL-10445</t>
  </si>
  <si>
    <t>BTL-10446</t>
  </si>
  <si>
    <t>BTL-13683</t>
  </si>
  <si>
    <t>511/1</t>
  </si>
  <si>
    <t>BTL-13684</t>
  </si>
  <si>
    <t>511/2</t>
  </si>
  <si>
    <t>BTL-10447</t>
  </si>
  <si>
    <t>BTL-10448</t>
  </si>
  <si>
    <t>512/1</t>
  </si>
  <si>
    <t>BTL-10449</t>
  </si>
  <si>
    <t>512/2</t>
  </si>
  <si>
    <t>BTL-10450</t>
  </si>
  <si>
    <t>512/3</t>
  </si>
  <si>
    <t>BTL-12867</t>
  </si>
  <si>
    <t>512/4</t>
  </si>
  <si>
    <t>BTL-12868</t>
  </si>
  <si>
    <t>512/5</t>
  </si>
  <si>
    <t>BTL-10451</t>
  </si>
  <si>
    <t>BTL-10452</t>
  </si>
  <si>
    <t>BTL-10453</t>
  </si>
  <si>
    <t>BTL-10454</t>
  </si>
  <si>
    <t>BTL-10455</t>
  </si>
  <si>
    <t>BTL-10456</t>
  </si>
  <si>
    <t>BTL-10457</t>
  </si>
  <si>
    <t>BTL-10458</t>
  </si>
  <si>
    <t>BTL-10459</t>
  </si>
  <si>
    <t>BTL-10460</t>
  </si>
  <si>
    <t>BTL-10461</t>
  </si>
  <si>
    <t>BTL-10462</t>
  </si>
  <si>
    <t>BTL-10463</t>
  </si>
  <si>
    <t>BTL-10464</t>
  </si>
  <si>
    <t>BTL-10465</t>
  </si>
  <si>
    <t>BTL-10466</t>
  </si>
  <si>
    <t>BTL-10467</t>
  </si>
  <si>
    <t>BTL-10468</t>
  </si>
  <si>
    <t>BTL-10469</t>
  </si>
  <si>
    <t>BTL-10470</t>
  </si>
  <si>
    <t>BTL-10471</t>
  </si>
  <si>
    <t>BTL-10472</t>
  </si>
  <si>
    <t>BTL-10473</t>
  </si>
  <si>
    <t>BTL-10474</t>
  </si>
  <si>
    <t>BTL-10475</t>
  </si>
  <si>
    <t>BTL-10476</t>
  </si>
  <si>
    <t>BTL-10477</t>
  </si>
  <si>
    <t>BTL-10478</t>
  </si>
  <si>
    <t>BTL-10479</t>
  </si>
  <si>
    <t>BTL-10480</t>
  </si>
  <si>
    <t>BTL-10481</t>
  </si>
  <si>
    <t>BTL-10482</t>
  </si>
  <si>
    <t>BTL-10483</t>
  </si>
  <si>
    <t>BTL-10484</t>
  </si>
  <si>
    <t>BTL-10485</t>
  </si>
  <si>
    <t>BTL-10486</t>
  </si>
  <si>
    <t>BTL-10487</t>
  </si>
  <si>
    <t>BTL-10488</t>
  </si>
  <si>
    <t>BTL-13024</t>
  </si>
  <si>
    <t>551/1</t>
  </si>
  <si>
    <t>BTL-12869</t>
  </si>
  <si>
    <t>551/2</t>
  </si>
  <si>
    <t>BTL-10489</t>
  </si>
  <si>
    <t>BTL-10490</t>
  </si>
  <si>
    <t>BTL-10491</t>
  </si>
  <si>
    <t>552/1</t>
  </si>
  <si>
    <t>BTL-10492</t>
  </si>
  <si>
    <t>552/2</t>
  </si>
  <si>
    <t>BTL-10493</t>
  </si>
  <si>
    <t>552/3</t>
  </si>
  <si>
    <t>BTL-13025</t>
  </si>
  <si>
    <t>552/4</t>
  </si>
  <si>
    <t>BTL-12674</t>
  </si>
  <si>
    <t>552/5</t>
  </si>
  <si>
    <t>BTL-16390</t>
  </si>
  <si>
    <t>552/6</t>
  </si>
  <si>
    <t>BTL-29707</t>
  </si>
  <si>
    <t>552/7</t>
  </si>
  <si>
    <t>BTL-10494</t>
  </si>
  <si>
    <t>BTL-10495</t>
  </si>
  <si>
    <t>BTL-10496</t>
  </si>
  <si>
    <t>BTL-11430</t>
  </si>
  <si>
    <t>BTL-10497</t>
  </si>
  <si>
    <t>BTL-10498</t>
  </si>
  <si>
    <t>BTL-10499</t>
  </si>
  <si>
    <t>BTL-10500</t>
  </si>
  <si>
    <t>BTL-10501</t>
  </si>
  <si>
    <t>BTL-10502</t>
  </si>
  <si>
    <t>BTL-10503</t>
  </si>
  <si>
    <t>BTL-10504</t>
  </si>
  <si>
    <t>BTL-10505</t>
  </si>
  <si>
    <t>BTL-10506</t>
  </si>
  <si>
    <t>BTL-10507</t>
  </si>
  <si>
    <t>BTL-10508</t>
  </si>
  <si>
    <t>BTL-10509</t>
  </si>
  <si>
    <t>BTL-10510</t>
  </si>
  <si>
    <t>BTL-10511</t>
  </si>
  <si>
    <t>BTL-10512</t>
  </si>
  <si>
    <t>BTL-10513</t>
  </si>
  <si>
    <t>BTL-10514</t>
  </si>
  <si>
    <t>BTL-10515</t>
  </si>
  <si>
    <t>BTL-10516</t>
  </si>
  <si>
    <t>BTL-10517</t>
  </si>
  <si>
    <t>BTL-10518</t>
  </si>
  <si>
    <t>BTL-10519</t>
  </si>
  <si>
    <t>BTL-10520</t>
  </si>
  <si>
    <t>BTL-10521</t>
  </si>
  <si>
    <t>581/1</t>
  </si>
  <si>
    <t>BTL-10522</t>
  </si>
  <si>
    <t>581/2</t>
  </si>
  <si>
    <t>BTL-10523</t>
  </si>
  <si>
    <t>581/3</t>
  </si>
  <si>
    <t>BTL-11274</t>
  </si>
  <si>
    <t>581/4</t>
  </si>
  <si>
    <t>BTL-10524</t>
  </si>
  <si>
    <t>BTL-10525</t>
  </si>
  <si>
    <t>BTL-10526</t>
  </si>
  <si>
    <t>BTL-10527</t>
  </si>
  <si>
    <t>BTL-10528</t>
  </si>
  <si>
    <t>BTL-10529</t>
  </si>
  <si>
    <t>BTL-10530</t>
  </si>
  <si>
    <t>BTL-10531</t>
  </si>
  <si>
    <t>BTL-10532</t>
  </si>
  <si>
    <t>BTL-10533</t>
  </si>
  <si>
    <t>BTL-10534</t>
  </si>
  <si>
    <t>BTL-10535</t>
  </si>
  <si>
    <t>BTL-10536</t>
  </si>
  <si>
    <t>BTL-10537</t>
  </si>
  <si>
    <t>BTL-10538</t>
  </si>
  <si>
    <t>BTL-10539</t>
  </si>
  <si>
    <t>BTL-10540</t>
  </si>
  <si>
    <t>BTL-10541</t>
  </si>
  <si>
    <t>BTL-10542</t>
  </si>
  <si>
    <t>BTL-10543</t>
  </si>
  <si>
    <t>BTL-10544</t>
  </si>
  <si>
    <t>BTL-10545</t>
  </si>
  <si>
    <t>BTL-10546</t>
  </si>
  <si>
    <t>BTL-10547</t>
  </si>
  <si>
    <t>BTL-10548</t>
  </si>
  <si>
    <t>BTL-10549</t>
  </si>
  <si>
    <t>BTL-10550</t>
  </si>
  <si>
    <t>BTL-10551</t>
  </si>
  <si>
    <t>BTL-10552</t>
  </si>
  <si>
    <t>BTL-10553</t>
  </si>
  <si>
    <t>BTL-12770</t>
  </si>
  <si>
    <t>BTL-14531</t>
  </si>
  <si>
    <t>BTL-12589</t>
  </si>
  <si>
    <t>BTL-12669</t>
  </si>
  <si>
    <t>BTL-12525</t>
  </si>
  <si>
    <t>BTL-13050</t>
  </si>
  <si>
    <t>BTL-13406</t>
  </si>
  <si>
    <t>BTL-12590</t>
  </si>
  <si>
    <t>BTL-13112</t>
  </si>
  <si>
    <t>620-A</t>
  </si>
  <si>
    <t>BTL-12870</t>
  </si>
  <si>
    <t>BTL-12526</t>
  </si>
  <si>
    <t>BTL-12672</t>
  </si>
  <si>
    <t>BTL-12871</t>
  </si>
  <si>
    <t>BTL-12776</t>
  </si>
  <si>
    <t>BTL-12872</t>
  </si>
  <si>
    <t>BTL-12591</t>
  </si>
  <si>
    <t>BTL-13026</t>
  </si>
  <si>
    <t>BTL-12777</t>
  </si>
  <si>
    <t>BTL-12527</t>
  </si>
  <si>
    <t>BTL-13014</t>
  </si>
  <si>
    <t>BTL-12873</t>
  </si>
  <si>
    <t>BTL-12528</t>
  </si>
  <si>
    <t>BTL-12874</t>
  </si>
  <si>
    <t>BTL-12884</t>
  </si>
  <si>
    <t>BTL-13685</t>
  </si>
  <si>
    <t>BTL-12471</t>
  </si>
  <si>
    <t>BTL-12592</t>
  </si>
  <si>
    <t>BTL-13027</t>
  </si>
  <si>
    <t>BTL-13028</t>
  </si>
  <si>
    <t>BTL-12875</t>
  </si>
  <si>
    <t>BTL-12956</t>
  </si>
  <si>
    <t>BTL-12715</t>
  </si>
  <si>
    <t>BTL-14069</t>
  </si>
  <si>
    <t>BTL-13412</t>
  </si>
  <si>
    <t>BTL-13413</t>
  </si>
  <si>
    <t>BTL-13021</t>
  </si>
  <si>
    <t>BTL-13414</t>
  </si>
  <si>
    <t>BTL-13686</t>
  </si>
  <si>
    <t>BTL-13415</t>
  </si>
  <si>
    <t>BTL-13687</t>
  </si>
  <si>
    <t>BTL-12585</t>
  </si>
  <si>
    <t>BTL-12523</t>
  </si>
  <si>
    <t>653/1</t>
  </si>
  <si>
    <t>BTL-25075</t>
  </si>
  <si>
    <t>653/2</t>
  </si>
  <si>
    <t>BTL-15315</t>
  </si>
  <si>
    <t>653/3</t>
  </si>
  <si>
    <t>BTL-12354</t>
  </si>
  <si>
    <t>653/4</t>
  </si>
  <si>
    <t>BTL-12166</t>
  </si>
  <si>
    <t>653/5</t>
  </si>
  <si>
    <t>BTL-12167</t>
  </si>
  <si>
    <t>653/6</t>
  </si>
  <si>
    <t>BTL-14785</t>
  </si>
  <si>
    <t>BTL-13407</t>
  </si>
  <si>
    <t>BTL-13408</t>
  </si>
  <si>
    <t>BTL-13956</t>
  </si>
  <si>
    <t>BTL-13416</t>
  </si>
  <si>
    <t>BTL-13113</t>
  </si>
  <si>
    <t>BTL-13029</t>
  </si>
  <si>
    <t>BTL-13030</t>
  </si>
  <si>
    <t>BTL-12886</t>
  </si>
  <si>
    <t>BTL-12228</t>
  </si>
  <si>
    <t>BTL-14338</t>
  </si>
  <si>
    <t>BTL-13688</t>
  </si>
  <si>
    <t>BTL-13825</t>
  </si>
  <si>
    <t>BTL-15826</t>
  </si>
  <si>
    <t>BTL-12885</t>
  </si>
  <si>
    <t>BTL-12876</t>
  </si>
  <si>
    <t>BTL-12877</t>
  </si>
  <si>
    <t>BTL-12593</t>
  </si>
  <si>
    <t>BTL-13417</t>
  </si>
  <si>
    <t>BTL-12472</t>
  </si>
  <si>
    <t>BTL-11601</t>
  </si>
  <si>
    <t>BTL-11682</t>
  </si>
  <si>
    <t>BTL-10554</t>
  </si>
  <si>
    <t>BTL-10555</t>
  </si>
  <si>
    <t>BTL-10556</t>
  </si>
  <si>
    <t>BTL-10557</t>
  </si>
  <si>
    <t>BTL-10558</t>
  </si>
  <si>
    <t>BTL-10559</t>
  </si>
  <si>
    <t>BTL-10560</t>
  </si>
  <si>
    <t>BTL-10561</t>
  </si>
  <si>
    <t>BTL-10562</t>
  </si>
  <si>
    <t>BTL-10563</t>
  </si>
  <si>
    <t>BTL-10564</t>
  </si>
  <si>
    <t>BTL-10565</t>
  </si>
  <si>
    <t>BTL-10566</t>
  </si>
  <si>
    <t>BTL-10567</t>
  </si>
  <si>
    <t>BTL-10568</t>
  </si>
  <si>
    <t>BTL-10569</t>
  </si>
  <si>
    <t>BTL-10570</t>
  </si>
  <si>
    <t>BTL-10571</t>
  </si>
  <si>
    <t>BTL-10572</t>
  </si>
  <si>
    <t>BTL-10573</t>
  </si>
  <si>
    <t>BTL-12225</t>
  </si>
  <si>
    <t>BTL-11470</t>
  </si>
  <si>
    <t>BTL-12114</t>
  </si>
  <si>
    <t>BTL-12276</t>
  </si>
  <si>
    <t>BTL-12403</t>
  </si>
  <si>
    <t>BTL-12404</t>
  </si>
  <si>
    <t>BTL-12277</t>
  </si>
  <si>
    <t>BTL-12491</t>
  </si>
  <si>
    <t>BTL-12395</t>
  </si>
  <si>
    <t>BTL-12229</t>
  </si>
  <si>
    <t>BTL-12594</t>
  </si>
  <si>
    <t>BTL-12595</t>
  </si>
  <si>
    <t>BTL-12957</t>
  </si>
  <si>
    <t>BTL-12278</t>
  </si>
  <si>
    <t>BTL-12878</t>
  </si>
  <si>
    <t>BTL-12882</t>
  </si>
  <si>
    <t>BTL-13031</t>
  </si>
  <si>
    <t>BTL-12958</t>
  </si>
  <si>
    <t>BTL-12880</t>
  </si>
  <si>
    <t>BTL-14526</t>
  </si>
  <si>
    <t>BTL-18167</t>
  </si>
  <si>
    <t>719-A</t>
  </si>
  <si>
    <t>BTL-13032</t>
  </si>
  <si>
    <t>BTL-21200</t>
  </si>
  <si>
    <t>721-A</t>
  </si>
  <si>
    <t>BTL-14312</t>
  </si>
  <si>
    <t>BTL-12883</t>
  </si>
  <si>
    <t>BTL-12879</t>
  </si>
  <si>
    <t>BTL-12881</t>
  </si>
  <si>
    <t>BTL-12859</t>
  </si>
  <si>
    <t>BTL-14313</t>
  </si>
  <si>
    <t>BTL-12529</t>
  </si>
  <si>
    <t>BTL-12863</t>
  </si>
  <si>
    <t>BTL-12858</t>
  </si>
  <si>
    <t>BTL-12778</t>
  </si>
  <si>
    <t>BTL-12405</t>
  </si>
  <si>
    <t>BTL-12708</t>
  </si>
  <si>
    <t>BTL-12279</t>
  </si>
  <si>
    <t>BTL-12163</t>
  </si>
  <si>
    <t>BTL-12280</t>
  </si>
  <si>
    <t>BTL-12226</t>
  </si>
  <si>
    <t>BTL-12083</t>
  </si>
  <si>
    <t>BTL-12227</t>
  </si>
  <si>
    <t>BTL-14066</t>
  </si>
  <si>
    <t>BTL-11499</t>
  </si>
  <si>
    <t>BTL-10574</t>
  </si>
  <si>
    <t>BTL-10575</t>
  </si>
  <si>
    <t>BTL-10576</t>
  </si>
  <si>
    <t>BTL-10577</t>
  </si>
  <si>
    <t>BTL-10578</t>
  </si>
  <si>
    <t>BTL-10579</t>
  </si>
  <si>
    <t>BTL-10580</t>
  </si>
  <si>
    <t>BTL-10581</t>
  </si>
  <si>
    <t>BTL-10582</t>
  </si>
  <si>
    <t>BTL-10583</t>
  </si>
  <si>
    <t>BTL-10584</t>
  </si>
  <si>
    <t>BTL-10585</t>
  </si>
  <si>
    <t>BTL-10586</t>
  </si>
  <si>
    <t>BTL-10587</t>
  </si>
  <si>
    <t>BTL-10588</t>
  </si>
  <si>
    <t>BTL-10589</t>
  </si>
  <si>
    <t>BTL-10590</t>
  </si>
  <si>
    <t>BTL-10591</t>
  </si>
  <si>
    <t>BTL-10592</t>
  </si>
  <si>
    <t>BTL-10593</t>
  </si>
  <si>
    <t>BTL-10594</t>
  </si>
  <si>
    <t>BTL-22979</t>
  </si>
  <si>
    <t>762-A</t>
  </si>
  <si>
    <t>BTL-10595</t>
  </si>
  <si>
    <t>BTL-21201</t>
  </si>
  <si>
    <t>763-A</t>
  </si>
  <si>
    <t>BTL-10596</t>
  </si>
  <si>
    <t>BTL-10597</t>
  </si>
  <si>
    <t>BTL-10598</t>
  </si>
  <si>
    <t>BTL-10599</t>
  </si>
  <si>
    <t>BTL-10600</t>
  </si>
  <si>
    <t>BTL-10601</t>
  </si>
  <si>
    <t>BTL-10602</t>
  </si>
  <si>
    <t>BTL-10603</t>
  </si>
  <si>
    <t>BTL-10604</t>
  </si>
  <si>
    <t>BTL-10605</t>
  </si>
  <si>
    <t>BTL-10606</t>
  </si>
  <si>
    <t>BTL-10607</t>
  </si>
  <si>
    <t>BTL-10608</t>
  </si>
  <si>
    <t>BTL-10609</t>
  </si>
  <si>
    <t>BTL-10610</t>
  </si>
  <si>
    <t>BTL-10611</t>
  </si>
  <si>
    <t>BTL-10612</t>
  </si>
  <si>
    <t>BTL-10613</t>
  </si>
  <si>
    <t>BTL-10614</t>
  </si>
  <si>
    <t>BTL-10615</t>
  </si>
  <si>
    <t>BTL-10616</t>
  </si>
  <si>
    <t>BTL-10617</t>
  </si>
  <si>
    <t>BTL-10618</t>
  </si>
  <si>
    <t>BTL-10619</t>
  </si>
  <si>
    <t>BTL-10620</t>
  </si>
  <si>
    <t>BTL-10621</t>
  </si>
  <si>
    <t>BTL-10622</t>
  </si>
  <si>
    <t>BTL-10623</t>
  </si>
  <si>
    <t>BTL-10624</t>
  </si>
  <si>
    <t>BTL-10625</t>
  </si>
  <si>
    <t>BTL-10626</t>
  </si>
  <si>
    <t>BTL-10627</t>
  </si>
  <si>
    <t>BTL-10628</t>
  </si>
  <si>
    <t>BTL-10629</t>
  </si>
  <si>
    <t>BTL-10630</t>
  </si>
  <si>
    <t>BTL-10631</t>
  </si>
  <si>
    <t>BTL-10632</t>
  </si>
  <si>
    <t>BTL-10633</t>
  </si>
  <si>
    <t>BTL-10634</t>
  </si>
  <si>
    <t>BTL-10635</t>
  </si>
  <si>
    <t>BTL-10636</t>
  </si>
  <si>
    <t>BTL-20365</t>
  </si>
  <si>
    <t>804-A</t>
  </si>
  <si>
    <t>BTL-10637</t>
  </si>
  <si>
    <t>240-A</t>
  </si>
  <si>
    <t>BTL-10638</t>
  </si>
  <si>
    <t>241-A</t>
  </si>
  <si>
    <t>BTL-10639</t>
  </si>
  <si>
    <t>242-A</t>
  </si>
  <si>
    <t>BTL-10640</t>
  </si>
  <si>
    <t>243-A</t>
  </si>
  <si>
    <t>BTL-10641</t>
  </si>
  <si>
    <t>244-A</t>
  </si>
  <si>
    <t>BTL-13100</t>
  </si>
  <si>
    <t>245-A</t>
  </si>
  <si>
    <t>BTL-12502</t>
  </si>
  <si>
    <t>247-A</t>
  </si>
  <si>
    <t>BTL-10642</t>
  </si>
  <si>
    <t>248-A</t>
  </si>
  <si>
    <t>BTL-10643</t>
  </si>
  <si>
    <t>249-A</t>
  </si>
  <si>
    <t>BTL-10644</t>
  </si>
  <si>
    <t>250-A</t>
  </si>
  <si>
    <t>BTL-10645</t>
  </si>
  <si>
    <t>251-A</t>
  </si>
  <si>
    <t>BTL-10646</t>
  </si>
  <si>
    <t>252-A</t>
  </si>
  <si>
    <t>BTL-10647</t>
  </si>
  <si>
    <t>253-A</t>
  </si>
  <si>
    <t>BTL-10648</t>
  </si>
  <si>
    <t>254-A</t>
  </si>
  <si>
    <t>BTL-10649</t>
  </si>
  <si>
    <t>255-A</t>
  </si>
  <si>
    <t>BTL-10650</t>
  </si>
  <si>
    <t>256-A</t>
  </si>
  <si>
    <t>BTL-10651</t>
  </si>
  <si>
    <t>257-A</t>
  </si>
  <si>
    <t>BTL-11852</t>
  </si>
  <si>
    <t>258-A</t>
  </si>
  <si>
    <t>BTL-10652</t>
  </si>
  <si>
    <t>259-A</t>
  </si>
  <si>
    <t>BTL-10653</t>
  </si>
  <si>
    <t>260-A</t>
  </si>
  <si>
    <t>BTL-11724</t>
  </si>
  <si>
    <t>261-A</t>
  </si>
  <si>
    <t>BTL-10654</t>
  </si>
  <si>
    <t>262-A</t>
  </si>
  <si>
    <t>BTL-10655</t>
  </si>
  <si>
    <t>263-A</t>
  </si>
  <si>
    <t>BTL-10656</t>
  </si>
  <si>
    <t>264-A</t>
  </si>
  <si>
    <t>BTL-10657</t>
  </si>
  <si>
    <t>266-A</t>
  </si>
  <si>
    <t>BTL-10658</t>
  </si>
  <si>
    <t>267-A</t>
  </si>
  <si>
    <t>BTL-10659</t>
  </si>
  <si>
    <t>268-A</t>
  </si>
  <si>
    <t>BTL-10660</t>
  </si>
  <si>
    <t>269-A</t>
  </si>
  <si>
    <t>BTL-10661</t>
  </si>
  <si>
    <t>270-A</t>
  </si>
  <si>
    <t>BTL-10662</t>
  </si>
  <si>
    <t>271-A</t>
  </si>
  <si>
    <t>BTL-10663</t>
  </si>
  <si>
    <t>272-A</t>
  </si>
  <si>
    <t>BTL-10664</t>
  </si>
  <si>
    <t>273-A</t>
  </si>
  <si>
    <t>BTL-10665</t>
  </si>
  <si>
    <t>274-A</t>
  </si>
  <si>
    <t>BTL-10666</t>
  </si>
  <si>
    <t>275-A</t>
  </si>
  <si>
    <t>BTL-10667</t>
  </si>
  <si>
    <t>276-A</t>
  </si>
  <si>
    <t>BTL-10668</t>
  </si>
  <si>
    <t>277-A</t>
  </si>
  <si>
    <t>BTL-10669</t>
  </si>
  <si>
    <t>278-A</t>
  </si>
  <si>
    <t>BTL-10670</t>
  </si>
  <si>
    <t>279-A</t>
  </si>
  <si>
    <t>BTL-10671</t>
  </si>
  <si>
    <t>280-A</t>
  </si>
  <si>
    <t>BTL-10672</t>
  </si>
  <si>
    <t>281-A</t>
  </si>
  <si>
    <t>BTL-10673</t>
  </si>
  <si>
    <t>282-A</t>
  </si>
  <si>
    <t>BTL-10674</t>
  </si>
  <si>
    <t>283-A</t>
  </si>
  <si>
    <t>BTL-11734</t>
  </si>
  <si>
    <t>284-A</t>
  </si>
  <si>
    <t>BTL-10675</t>
  </si>
  <si>
    <t>285-A</t>
  </si>
  <si>
    <t>BTL-10676</t>
  </si>
  <si>
    <t>286-A</t>
  </si>
  <si>
    <t>BTL-10677</t>
  </si>
  <si>
    <t>287-A</t>
  </si>
  <si>
    <t>BTL-10678</t>
  </si>
  <si>
    <t>288-A</t>
  </si>
  <si>
    <t>BTL-10679</t>
  </si>
  <si>
    <t>289-A</t>
  </si>
  <si>
    <t>BTL-10680</t>
  </si>
  <si>
    <t>290-A</t>
  </si>
  <si>
    <t>BTL-19115</t>
  </si>
  <si>
    <t>291-A</t>
  </si>
  <si>
    <t>BTL-10681</t>
  </si>
  <si>
    <t>292-A</t>
  </si>
  <si>
    <t>BTL-10682</t>
  </si>
  <si>
    <t>293-A</t>
  </si>
  <si>
    <t>BTL-10683</t>
  </si>
  <si>
    <t>294-A</t>
  </si>
  <si>
    <t>BTL-10684</t>
  </si>
  <si>
    <t>295-A</t>
  </si>
  <si>
    <t>BTL-10685</t>
  </si>
  <si>
    <t>296-A</t>
  </si>
  <si>
    <t>BTL-10686</t>
  </si>
  <si>
    <t>297-A</t>
  </si>
  <si>
    <t>BTL-10687</t>
  </si>
  <si>
    <t>298-A</t>
  </si>
  <si>
    <t>BTL-10688</t>
  </si>
  <si>
    <t>299-A</t>
  </si>
  <si>
    <t>BTL-13675</t>
  </si>
  <si>
    <t>300-A</t>
  </si>
  <si>
    <t>BTL-10689</t>
  </si>
  <si>
    <t>370-A</t>
  </si>
  <si>
    <t>BTL-10690</t>
  </si>
  <si>
    <t>371-A</t>
  </si>
  <si>
    <t>BTL-10691</t>
  </si>
  <si>
    <t>372-A</t>
  </si>
  <si>
    <t>BTL-10692</t>
  </si>
  <si>
    <t>373-A</t>
  </si>
  <si>
    <t>BTL-10693</t>
  </si>
  <si>
    <t>374-A</t>
  </si>
  <si>
    <t>BTL-10694</t>
  </si>
  <si>
    <t>375-A</t>
  </si>
  <si>
    <t>BTL-10695</t>
  </si>
  <si>
    <t>376-A</t>
  </si>
  <si>
    <t>BTL-10696</t>
  </si>
  <si>
    <t>377-A</t>
  </si>
  <si>
    <t>BTL-10697</t>
  </si>
  <si>
    <t>378-A</t>
  </si>
  <si>
    <t>BTL-10698</t>
  </si>
  <si>
    <t>379-A</t>
  </si>
  <si>
    <t>BTL-10699</t>
  </si>
  <si>
    <t>380-A</t>
  </si>
  <si>
    <t>BTL-10700</t>
  </si>
  <si>
    <t>381-A</t>
  </si>
  <si>
    <t>BTL-10701</t>
  </si>
  <si>
    <t>382-A</t>
  </si>
  <si>
    <t>BTL-10702</t>
  </si>
  <si>
    <t>383-A</t>
  </si>
  <si>
    <t>BTL-10703</t>
  </si>
  <si>
    <t>384-A</t>
  </si>
  <si>
    <t>BTL-10704</t>
  </si>
  <si>
    <t>385-A</t>
  </si>
  <si>
    <t>BTL-10705</t>
  </si>
  <si>
    <t>386-A</t>
  </si>
  <si>
    <t>BTL-10706</t>
  </si>
  <si>
    <t>387-A</t>
  </si>
  <si>
    <t>BTL-10707</t>
  </si>
  <si>
    <t>388-A</t>
  </si>
  <si>
    <t>BTL-11431</t>
  </si>
  <si>
    <t>389-A</t>
  </si>
  <si>
    <t>BTL-11244</t>
  </si>
  <si>
    <t>390-A</t>
  </si>
  <si>
    <t>BTL-10708</t>
  </si>
  <si>
    <t>391-A</t>
  </si>
  <si>
    <t>BTL-11296</t>
  </si>
  <si>
    <t>392-A</t>
  </si>
  <si>
    <t>BTL-12018</t>
  </si>
  <si>
    <t>393-A</t>
  </si>
  <si>
    <t>BTL-11235</t>
  </si>
  <si>
    <t>394-A</t>
  </si>
  <si>
    <t>BTL-11903</t>
  </si>
  <si>
    <t>395-A</t>
  </si>
  <si>
    <t>BTL-10709</t>
  </si>
  <si>
    <t>396-A</t>
  </si>
  <si>
    <t>BTL-11245</t>
  </si>
  <si>
    <t>397-A</t>
  </si>
  <si>
    <t>BTL-11246</t>
  </si>
  <si>
    <t>398-A</t>
  </si>
  <si>
    <t>BTL-10710</t>
  </si>
  <si>
    <t>399-A</t>
  </si>
  <si>
    <t>BTL-10711</t>
  </si>
  <si>
    <t>400-A</t>
  </si>
  <si>
    <t>BTL-11776</t>
  </si>
  <si>
    <t>401-A</t>
  </si>
  <si>
    <t>BTL-10712</t>
  </si>
  <si>
    <t>402-A</t>
  </si>
  <si>
    <t>BTL-25181</t>
  </si>
  <si>
    <t>QURTABA MOSQUE (MOAZAN)</t>
  </si>
  <si>
    <t>BTL-11239</t>
  </si>
  <si>
    <t>GOLDEN GREEN VALLY</t>
  </si>
  <si>
    <t>Commercial</t>
  </si>
  <si>
    <t>BTL-11415</t>
  </si>
  <si>
    <t>BTL-12706</t>
  </si>
  <si>
    <t>NATIONAL CABLE</t>
  </si>
  <si>
    <t>BTL-33661</t>
  </si>
  <si>
    <t>POST OFFICE (NR PTCL EXCHANGE)</t>
  </si>
  <si>
    <t>BTL-13216</t>
  </si>
  <si>
    <t>SPORTS CLUB (H-681)</t>
  </si>
  <si>
    <t>BTL-18921</t>
  </si>
  <si>
    <t>WARID TOWER</t>
  </si>
  <si>
    <t>BTL-13214</t>
  </si>
  <si>
    <t>FIRE BRIGADE (H-248)</t>
  </si>
  <si>
    <t>Bahria Self Consumption</t>
  </si>
  <si>
    <t>BTL-13323</t>
  </si>
  <si>
    <t>PARK NR (H-243)</t>
  </si>
  <si>
    <t>BTL-13324</t>
  </si>
  <si>
    <t>PARK NR (H-261)</t>
  </si>
  <si>
    <t>BTL-13325</t>
  </si>
  <si>
    <t>PARK NR (H-262)</t>
  </si>
  <si>
    <t>BTL-13300</t>
  </si>
  <si>
    <t>PARK NR (H-278)</t>
  </si>
  <si>
    <t>BTL-13318</t>
  </si>
  <si>
    <t>QURTABA MASJID (NR H-248)</t>
  </si>
  <si>
    <t>BTL-30187</t>
  </si>
  <si>
    <t>RAIN DISPOSAL NR (H-718)</t>
  </si>
  <si>
    <t>BTL-13215</t>
  </si>
  <si>
    <t>SECURITY CHECK POST (H-01)</t>
  </si>
  <si>
    <t>BTL-13238</t>
  </si>
  <si>
    <t>SLP NR (H-07)</t>
  </si>
  <si>
    <t>BTL-13230</t>
  </si>
  <si>
    <t>SLP NR (H-121)</t>
  </si>
  <si>
    <t>BTL-13243</t>
  </si>
  <si>
    <t>SLP NR (H-248)</t>
  </si>
  <si>
    <t>BTL-13244</t>
  </si>
  <si>
    <t>BTL-21342</t>
  </si>
  <si>
    <t>SLP NR (H-277)</t>
  </si>
  <si>
    <t>BTL-13239</t>
  </si>
  <si>
    <t>SLP NR (H-329)</t>
  </si>
  <si>
    <t>BTL-13547</t>
  </si>
  <si>
    <t>SLP NR (H-33)</t>
  </si>
  <si>
    <t>BTL-13232</t>
  </si>
  <si>
    <t>SLP NR (H-377)</t>
  </si>
  <si>
    <t>BTL-13242</t>
  </si>
  <si>
    <t>SLP NR (H-385A)</t>
  </si>
  <si>
    <t>BTL-13240</t>
  </si>
  <si>
    <t>SLP NR (H-403)</t>
  </si>
  <si>
    <t>BTL-13241</t>
  </si>
  <si>
    <t>SLP NR (H-434)</t>
  </si>
  <si>
    <t>BTL-13231</t>
  </si>
  <si>
    <t>SLP NR (H-593)</t>
  </si>
  <si>
    <t>BTL-20420</t>
  </si>
  <si>
    <t>SLP NR (H-752)</t>
  </si>
  <si>
    <t>BTL-22476</t>
  </si>
  <si>
    <t>SPORTS COMPLEX (H-264-A)</t>
  </si>
  <si>
    <t>BTL-13245</t>
  </si>
  <si>
    <t>TRAFAGAL (H-234)</t>
  </si>
  <si>
    <t>BTL-13299</t>
  </si>
  <si>
    <t>WATER TANK (H-248)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</si>
</sst>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rgb="FF6F6F6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8" fillId="6" borderId="0" xfId="0" applyFont="1" applyFill="1"/>
    <xf numFmtId="0" fontId="2" fillId="0" borderId="0" xfId="0" applyFont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11" fillId="4" borderId="0" xfId="0" applyFont="1" applyFill="1" applyAlignment="1">
      <alignment horizontal="center" wrapText="1"/>
    </xf>
    <xf numFmtId="0" fontId="9" fillId="0" borderId="0" xfId="0" applyFont="1" applyAlignment="1">
      <alignment wrapText="1"/>
    </xf>
    <xf numFmtId="0" fontId="0" fillId="5" borderId="2" xfId="0" applyFill="1" applyBorder="1"/>
    <xf numFmtId="0" fontId="0" fillId="5" borderId="0" xfId="0" applyFill="1"/>
    <xf numFmtId="0" fontId="0" fillId="7" borderId="0" xfId="0" applyFill="1"/>
  </cellXfs>
  <cellStyles count="1">
    <cellStyle name="Normal" xfId="0" builtinId="0"/>
  </cellStyles>
  <dxfs count="25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1318"/>
  <sheetViews>
    <sheetView tabSelected="1" view="pageBreakPreview" zoomScale="85" zoomScaleSheetLayoutView="85" workbookViewId="0">
      <selection activeCell="H1" sqref="H1:H1048576"/>
    </sheetView>
  </sheetViews>
  <sheetFormatPr defaultRowHeight="15.75" x14ac:dyDescent="0.25"/>
  <cols>
    <col min="1" max="1" width="11.28515625" style="13" customWidth="1"/>
    <col min="3" max="3" width="11" bestFit="1" customWidth="1"/>
    <col min="7" max="7" width="4.28515625" style="14" customWidth="1"/>
    <col min="8" max="8" width="13.5703125" style="1" customWidth="1"/>
    <col min="9" max="9" width="14.7109375" style="20" customWidth="1"/>
    <col min="10" max="10" width="8.5703125" customWidth="1"/>
    <col min="11" max="11" width="7.7109375" style="21" customWidth="1"/>
    <col min="12" max="12" width="13" customWidth="1"/>
    <col min="13" max="13" width="7.7109375" style="22" customWidth="1"/>
    <col min="14" max="14" width="13" customWidth="1"/>
    <col min="15" max="15" width="7.7109375" style="22" customWidth="1"/>
    <col min="16" max="16" width="13" customWidth="1"/>
    <col min="17" max="17" width="7.7109375" style="17" customWidth="1"/>
    <col min="18" max="18" width="13" customWidth="1"/>
    <col min="19" max="19" width="14.140625" style="19" customWidth="1"/>
    <col min="20" max="20" width="11.28515625" style="13" customWidth="1"/>
    <col min="25" max="25" width="14.28515625" bestFit="1" customWidth="1"/>
  </cols>
  <sheetData>
    <row r="1" spans="1:20" ht="37.5" customHeight="1" x14ac:dyDescent="0.25">
      <c r="A1" s="2" t="s">
        <v>0</v>
      </c>
      <c r="B1">
        <f>C1+D1</f>
        <v>30791</v>
      </c>
      <c r="C1">
        <v>4443</v>
      </c>
      <c r="D1">
        <v>26348</v>
      </c>
      <c r="F1">
        <f>L1</f>
        <v>61</v>
      </c>
      <c r="G1" s="3">
        <v>1</v>
      </c>
      <c r="H1" s="4"/>
      <c r="I1" s="5">
        <v>1</v>
      </c>
      <c r="J1" s="6"/>
      <c r="K1" s="7">
        <v>30730</v>
      </c>
      <c r="L1" s="6">
        <f>B1-K1</f>
        <v>61</v>
      </c>
      <c r="M1" s="7">
        <v>4433</v>
      </c>
      <c r="N1" s="8">
        <f>C1-M1</f>
        <v>10</v>
      </c>
      <c r="O1" s="7">
        <v>26297</v>
      </c>
      <c r="P1" s="6">
        <f>D1-O1</f>
        <v>51</v>
      </c>
      <c r="Q1" s="9"/>
      <c r="R1" s="6">
        <f>E1-Q1</f>
        <v>0</v>
      </c>
      <c r="S1" s="10" t="s">
        <v>1</v>
      </c>
      <c r="T1" s="2" t="s">
        <v>0</v>
      </c>
    </row>
    <row r="2" spans="1:20" ht="37.5" customHeight="1" x14ac:dyDescent="0.25">
      <c r="A2" s="2" t="s">
        <v>2</v>
      </c>
      <c r="B2">
        <f t="shared" ref="B2:B65" si="0">C2+D2</f>
        <v>74577</v>
      </c>
      <c r="C2">
        <v>28244</v>
      </c>
      <c r="D2">
        <v>46333</v>
      </c>
      <c r="F2">
        <f t="shared" ref="F2:F65" si="1">L2</f>
        <v>152</v>
      </c>
      <c r="G2" s="3">
        <f>G1+1</f>
        <v>2</v>
      </c>
      <c r="H2" s="4"/>
      <c r="I2" s="5">
        <v>2</v>
      </c>
      <c r="J2" s="6"/>
      <c r="K2" s="7">
        <v>74425</v>
      </c>
      <c r="L2" s="6">
        <f t="shared" ref="L2:L65" si="2">B2-K2</f>
        <v>152</v>
      </c>
      <c r="M2" s="7">
        <v>28220</v>
      </c>
      <c r="N2" s="8">
        <f t="shared" ref="N2:N65" si="3">C2-M2</f>
        <v>24</v>
      </c>
      <c r="O2" s="7">
        <v>46205</v>
      </c>
      <c r="P2" s="6">
        <f t="shared" ref="P2:P65" si="4">D2-O2</f>
        <v>128</v>
      </c>
      <c r="Q2" s="9"/>
      <c r="R2" s="6">
        <f t="shared" ref="R2:R65" si="5">E2-Q2</f>
        <v>0</v>
      </c>
      <c r="S2" s="10" t="s">
        <v>1</v>
      </c>
      <c r="T2" s="2" t="s">
        <v>2</v>
      </c>
    </row>
    <row r="3" spans="1:20" ht="37.5" customHeight="1" x14ac:dyDescent="0.25">
      <c r="A3" s="2" t="s">
        <v>3</v>
      </c>
      <c r="B3">
        <f t="shared" si="0"/>
        <v>78080</v>
      </c>
      <c r="C3">
        <v>27849</v>
      </c>
      <c r="D3">
        <v>50231</v>
      </c>
      <c r="F3">
        <f t="shared" si="1"/>
        <v>0</v>
      </c>
      <c r="G3" s="3">
        <f t="shared" ref="G3:G66" si="6">G2+1</f>
        <v>3</v>
      </c>
      <c r="H3" s="4"/>
      <c r="I3" s="5">
        <v>3</v>
      </c>
      <c r="J3" s="6"/>
      <c r="K3" s="7">
        <v>78080</v>
      </c>
      <c r="L3" s="6">
        <f t="shared" si="2"/>
        <v>0</v>
      </c>
      <c r="M3" s="7">
        <v>27849</v>
      </c>
      <c r="N3" s="8">
        <f t="shared" si="3"/>
        <v>0</v>
      </c>
      <c r="O3" s="7">
        <v>50231</v>
      </c>
      <c r="P3" s="6">
        <f t="shared" si="4"/>
        <v>0</v>
      </c>
      <c r="Q3" s="9"/>
      <c r="R3" s="6">
        <f t="shared" si="5"/>
        <v>0</v>
      </c>
      <c r="S3" s="10" t="s">
        <v>1</v>
      </c>
      <c r="T3" s="2" t="s">
        <v>3</v>
      </c>
    </row>
    <row r="4" spans="1:20" ht="37.5" customHeight="1" x14ac:dyDescent="0.25">
      <c r="A4" s="2" t="s">
        <v>4</v>
      </c>
      <c r="B4">
        <f t="shared" si="0"/>
        <v>36039</v>
      </c>
      <c r="C4">
        <v>7069</v>
      </c>
      <c r="D4">
        <v>28970</v>
      </c>
      <c r="F4">
        <f t="shared" si="1"/>
        <v>175</v>
      </c>
      <c r="G4" s="3">
        <f t="shared" si="6"/>
        <v>4</v>
      </c>
      <c r="H4" s="4"/>
      <c r="I4" s="5">
        <v>4</v>
      </c>
      <c r="J4" s="6"/>
      <c r="K4" s="7">
        <v>35864</v>
      </c>
      <c r="L4" s="6">
        <f t="shared" si="2"/>
        <v>175</v>
      </c>
      <c r="M4" s="7">
        <v>7037</v>
      </c>
      <c r="N4" s="8">
        <f t="shared" si="3"/>
        <v>32</v>
      </c>
      <c r="O4" s="7">
        <v>28827</v>
      </c>
      <c r="P4" s="6">
        <f t="shared" si="4"/>
        <v>143</v>
      </c>
      <c r="Q4" s="9"/>
      <c r="R4" s="6">
        <f t="shared" si="5"/>
        <v>0</v>
      </c>
      <c r="S4" s="10" t="s">
        <v>1</v>
      </c>
      <c r="T4" s="2" t="s">
        <v>4</v>
      </c>
    </row>
    <row r="5" spans="1:20" ht="37.5" customHeight="1" x14ac:dyDescent="0.25">
      <c r="A5" s="2" t="s">
        <v>5</v>
      </c>
      <c r="B5">
        <f t="shared" si="0"/>
        <v>27700</v>
      </c>
      <c r="C5">
        <v>4858</v>
      </c>
      <c r="D5">
        <v>22842</v>
      </c>
      <c r="F5">
        <f t="shared" si="1"/>
        <v>181</v>
      </c>
      <c r="G5" s="3">
        <f t="shared" si="6"/>
        <v>5</v>
      </c>
      <c r="H5" s="4"/>
      <c r="I5" s="5">
        <v>5</v>
      </c>
      <c r="J5" s="6"/>
      <c r="K5" s="7">
        <v>27519</v>
      </c>
      <c r="L5" s="6">
        <f t="shared" si="2"/>
        <v>181</v>
      </c>
      <c r="M5" s="7"/>
      <c r="N5" s="8">
        <f t="shared" si="3"/>
        <v>4858</v>
      </c>
      <c r="O5" s="7"/>
      <c r="P5" s="6">
        <f t="shared" si="4"/>
        <v>22842</v>
      </c>
      <c r="Q5" s="9"/>
      <c r="R5" s="6">
        <f t="shared" si="5"/>
        <v>0</v>
      </c>
      <c r="S5" s="10" t="s">
        <v>1</v>
      </c>
      <c r="T5" s="2" t="s">
        <v>5</v>
      </c>
    </row>
    <row r="6" spans="1:20" ht="37.5" customHeight="1" x14ac:dyDescent="0.25">
      <c r="A6" s="2" t="s">
        <v>6</v>
      </c>
      <c r="B6">
        <f t="shared" si="0"/>
        <v>23014</v>
      </c>
      <c r="C6">
        <v>3215</v>
      </c>
      <c r="D6">
        <v>19799</v>
      </c>
      <c r="F6">
        <f t="shared" si="1"/>
        <v>254</v>
      </c>
      <c r="G6" s="3">
        <f t="shared" si="6"/>
        <v>6</v>
      </c>
      <c r="H6" s="4"/>
      <c r="I6" s="5">
        <v>6</v>
      </c>
      <c r="J6" s="6"/>
      <c r="K6" s="7">
        <v>22760</v>
      </c>
      <c r="L6" s="6">
        <f t="shared" si="2"/>
        <v>254</v>
      </c>
      <c r="M6" s="7">
        <v>3176</v>
      </c>
      <c r="N6" s="8">
        <f t="shared" si="3"/>
        <v>39</v>
      </c>
      <c r="O6" s="7">
        <v>19584</v>
      </c>
      <c r="P6" s="6">
        <f t="shared" si="4"/>
        <v>215</v>
      </c>
      <c r="Q6" s="9"/>
      <c r="R6" s="6">
        <f t="shared" si="5"/>
        <v>0</v>
      </c>
      <c r="S6" s="10" t="s">
        <v>1</v>
      </c>
      <c r="T6" s="2" t="s">
        <v>6</v>
      </c>
    </row>
    <row r="7" spans="1:20" ht="37.5" customHeight="1" x14ac:dyDescent="0.25">
      <c r="A7" s="2" t="s">
        <v>7</v>
      </c>
      <c r="B7">
        <f t="shared" si="0"/>
        <v>8864</v>
      </c>
      <c r="C7">
        <v>1345</v>
      </c>
      <c r="D7">
        <v>7519</v>
      </c>
      <c r="F7">
        <f t="shared" si="1"/>
        <v>122</v>
      </c>
      <c r="G7" s="3">
        <f t="shared" si="6"/>
        <v>7</v>
      </c>
      <c r="H7" s="4"/>
      <c r="I7" s="5">
        <v>7</v>
      </c>
      <c r="J7" s="6"/>
      <c r="K7" s="7">
        <v>8742</v>
      </c>
      <c r="L7" s="6">
        <f t="shared" si="2"/>
        <v>122</v>
      </c>
      <c r="M7" s="7">
        <v>1317</v>
      </c>
      <c r="N7" s="8">
        <f t="shared" si="3"/>
        <v>28</v>
      </c>
      <c r="O7" s="7">
        <v>7425</v>
      </c>
      <c r="P7" s="6">
        <f t="shared" si="4"/>
        <v>94</v>
      </c>
      <c r="Q7" s="9"/>
      <c r="R7" s="6">
        <f t="shared" si="5"/>
        <v>0</v>
      </c>
      <c r="S7" s="10" t="s">
        <v>1</v>
      </c>
      <c r="T7" s="2" t="s">
        <v>7</v>
      </c>
    </row>
    <row r="8" spans="1:20" ht="37.5" customHeight="1" x14ac:dyDescent="0.25">
      <c r="A8" s="2" t="s">
        <v>8</v>
      </c>
      <c r="B8">
        <f t="shared" si="0"/>
        <v>34866</v>
      </c>
      <c r="C8">
        <v>5067</v>
      </c>
      <c r="D8">
        <v>29799</v>
      </c>
      <c r="F8">
        <f t="shared" si="1"/>
        <v>275</v>
      </c>
      <c r="G8" s="3">
        <f t="shared" si="6"/>
        <v>8</v>
      </c>
      <c r="H8" s="4"/>
      <c r="I8" s="5">
        <v>8</v>
      </c>
      <c r="J8" s="6"/>
      <c r="K8" s="7">
        <v>34591</v>
      </c>
      <c r="L8" s="6">
        <f t="shared" si="2"/>
        <v>275</v>
      </c>
      <c r="M8" s="7">
        <v>5029</v>
      </c>
      <c r="N8" s="8">
        <f t="shared" si="3"/>
        <v>38</v>
      </c>
      <c r="O8" s="7">
        <v>29562</v>
      </c>
      <c r="P8" s="6">
        <f t="shared" si="4"/>
        <v>237</v>
      </c>
      <c r="Q8" s="9"/>
      <c r="R8" s="6">
        <f t="shared" si="5"/>
        <v>0</v>
      </c>
      <c r="S8" s="10" t="s">
        <v>1</v>
      </c>
      <c r="T8" s="2" t="s">
        <v>8</v>
      </c>
    </row>
    <row r="9" spans="1:20" ht="37.5" customHeight="1" x14ac:dyDescent="0.25">
      <c r="A9" s="2" t="s">
        <v>9</v>
      </c>
      <c r="B9">
        <v>6274</v>
      </c>
      <c r="F9">
        <f t="shared" si="1"/>
        <v>0</v>
      </c>
      <c r="G9" s="3">
        <f t="shared" si="6"/>
        <v>9</v>
      </c>
      <c r="H9" s="4"/>
      <c r="I9" s="5">
        <v>9</v>
      </c>
      <c r="J9" s="6"/>
      <c r="K9" s="7">
        <v>6274</v>
      </c>
      <c r="L9" s="6">
        <f t="shared" si="2"/>
        <v>0</v>
      </c>
      <c r="M9" s="7"/>
      <c r="N9" s="8">
        <f t="shared" si="3"/>
        <v>0</v>
      </c>
      <c r="O9" s="7"/>
      <c r="P9" s="6">
        <f t="shared" si="4"/>
        <v>0</v>
      </c>
      <c r="Q9" s="9"/>
      <c r="R9" s="6">
        <f t="shared" si="5"/>
        <v>0</v>
      </c>
      <c r="S9" s="10" t="s">
        <v>1</v>
      </c>
      <c r="T9" s="2" t="s">
        <v>9</v>
      </c>
    </row>
    <row r="10" spans="1:20" ht="37.5" customHeight="1" x14ac:dyDescent="0.25">
      <c r="A10" s="2" t="s">
        <v>10</v>
      </c>
      <c r="B10">
        <f t="shared" si="0"/>
        <v>8199</v>
      </c>
      <c r="C10">
        <v>1285</v>
      </c>
      <c r="D10">
        <v>6914</v>
      </c>
      <c r="F10">
        <f t="shared" si="1"/>
        <v>211</v>
      </c>
      <c r="G10" s="3">
        <f t="shared" si="6"/>
        <v>10</v>
      </c>
      <c r="H10" s="4"/>
      <c r="I10" s="5">
        <v>10</v>
      </c>
      <c r="J10" s="6"/>
      <c r="K10" s="7">
        <v>7988</v>
      </c>
      <c r="L10" s="6">
        <f t="shared" si="2"/>
        <v>211</v>
      </c>
      <c r="M10" s="7">
        <v>1247</v>
      </c>
      <c r="N10" s="8">
        <f t="shared" si="3"/>
        <v>38</v>
      </c>
      <c r="O10" s="7">
        <v>6741</v>
      </c>
      <c r="P10" s="6">
        <f t="shared" si="4"/>
        <v>173</v>
      </c>
      <c r="Q10" s="9"/>
      <c r="R10" s="6">
        <f t="shared" si="5"/>
        <v>0</v>
      </c>
      <c r="S10" s="10" t="s">
        <v>1</v>
      </c>
      <c r="T10" s="2" t="s">
        <v>10</v>
      </c>
    </row>
    <row r="11" spans="1:20" ht="37.5" customHeight="1" x14ac:dyDescent="0.25">
      <c r="A11" s="2" t="s">
        <v>11</v>
      </c>
      <c r="B11">
        <f t="shared" si="0"/>
        <v>13935</v>
      </c>
      <c r="C11">
        <v>2483</v>
      </c>
      <c r="D11">
        <v>11452</v>
      </c>
      <c r="F11">
        <f t="shared" si="1"/>
        <v>127</v>
      </c>
      <c r="G11" s="3">
        <f t="shared" si="6"/>
        <v>11</v>
      </c>
      <c r="H11" s="4"/>
      <c r="I11" s="5">
        <v>11</v>
      </c>
      <c r="J11" s="6"/>
      <c r="K11" s="7">
        <v>13808</v>
      </c>
      <c r="L11" s="6">
        <f t="shared" si="2"/>
        <v>127</v>
      </c>
      <c r="M11" s="7">
        <v>2467</v>
      </c>
      <c r="N11" s="8">
        <f t="shared" si="3"/>
        <v>16</v>
      </c>
      <c r="O11" s="7">
        <v>11341</v>
      </c>
      <c r="P11" s="6">
        <f t="shared" si="4"/>
        <v>111</v>
      </c>
      <c r="Q11" s="9"/>
      <c r="R11" s="6">
        <f t="shared" si="5"/>
        <v>0</v>
      </c>
      <c r="S11" s="10" t="s">
        <v>1</v>
      </c>
      <c r="T11" s="2" t="s">
        <v>11</v>
      </c>
    </row>
    <row r="12" spans="1:20" ht="37.5" customHeight="1" x14ac:dyDescent="0.25">
      <c r="A12" s="2" t="s">
        <v>12</v>
      </c>
      <c r="B12">
        <f t="shared" si="0"/>
        <v>61420</v>
      </c>
      <c r="C12">
        <v>12633</v>
      </c>
      <c r="D12">
        <v>48787</v>
      </c>
      <c r="F12">
        <f t="shared" si="1"/>
        <v>377</v>
      </c>
      <c r="G12" s="3">
        <f t="shared" si="6"/>
        <v>12</v>
      </c>
      <c r="H12" s="4"/>
      <c r="I12" s="5">
        <v>12</v>
      </c>
      <c r="J12" s="6"/>
      <c r="K12" s="7">
        <v>61043</v>
      </c>
      <c r="L12" s="6">
        <f t="shared" si="2"/>
        <v>377</v>
      </c>
      <c r="M12" s="7">
        <v>12561</v>
      </c>
      <c r="N12" s="8">
        <f t="shared" si="3"/>
        <v>72</v>
      </c>
      <c r="O12" s="7">
        <v>48482</v>
      </c>
      <c r="P12" s="6">
        <f t="shared" si="4"/>
        <v>305</v>
      </c>
      <c r="Q12" s="9"/>
      <c r="R12" s="6">
        <f t="shared" si="5"/>
        <v>0</v>
      </c>
      <c r="S12" s="10" t="s">
        <v>1</v>
      </c>
      <c r="T12" s="2" t="s">
        <v>12</v>
      </c>
    </row>
    <row r="13" spans="1:20" ht="37.5" customHeight="1" x14ac:dyDescent="0.25">
      <c r="A13" s="2" t="s">
        <v>13</v>
      </c>
      <c r="B13">
        <f t="shared" si="0"/>
        <v>120994</v>
      </c>
      <c r="C13">
        <v>20253</v>
      </c>
      <c r="D13">
        <v>100741</v>
      </c>
      <c r="F13">
        <f t="shared" si="1"/>
        <v>455</v>
      </c>
      <c r="G13" s="3">
        <f t="shared" si="6"/>
        <v>13</v>
      </c>
      <c r="H13" s="4"/>
      <c r="I13" s="5">
        <v>13</v>
      </c>
      <c r="J13" s="6"/>
      <c r="K13" s="7">
        <v>120539</v>
      </c>
      <c r="L13" s="6">
        <f t="shared" si="2"/>
        <v>455</v>
      </c>
      <c r="M13" s="7">
        <v>20193</v>
      </c>
      <c r="N13" s="8">
        <f t="shared" si="3"/>
        <v>60</v>
      </c>
      <c r="O13" s="7">
        <v>100346</v>
      </c>
      <c r="P13" s="6">
        <f t="shared" si="4"/>
        <v>395</v>
      </c>
      <c r="Q13" s="9"/>
      <c r="R13" s="6">
        <f t="shared" si="5"/>
        <v>0</v>
      </c>
      <c r="S13" s="10" t="s">
        <v>1</v>
      </c>
      <c r="T13" s="2" t="s">
        <v>13</v>
      </c>
    </row>
    <row r="14" spans="1:20" ht="37.5" customHeight="1" x14ac:dyDescent="0.25">
      <c r="A14" s="2" t="s">
        <v>14</v>
      </c>
      <c r="B14">
        <f t="shared" si="0"/>
        <v>53574</v>
      </c>
      <c r="C14">
        <v>12315</v>
      </c>
      <c r="D14">
        <v>41259</v>
      </c>
      <c r="F14">
        <f t="shared" si="1"/>
        <v>209</v>
      </c>
      <c r="G14" s="3">
        <f t="shared" si="6"/>
        <v>14</v>
      </c>
      <c r="H14" s="4"/>
      <c r="I14" s="5">
        <v>14</v>
      </c>
      <c r="J14" s="6"/>
      <c r="K14" s="7">
        <v>53365</v>
      </c>
      <c r="L14" s="6">
        <f t="shared" si="2"/>
        <v>209</v>
      </c>
      <c r="M14" s="7">
        <v>12276</v>
      </c>
      <c r="N14" s="8">
        <f t="shared" si="3"/>
        <v>39</v>
      </c>
      <c r="O14" s="7">
        <v>41089</v>
      </c>
      <c r="P14" s="6">
        <f t="shared" si="4"/>
        <v>170</v>
      </c>
      <c r="Q14" s="9"/>
      <c r="R14" s="6">
        <f t="shared" si="5"/>
        <v>0</v>
      </c>
      <c r="S14" s="10" t="s">
        <v>1</v>
      </c>
      <c r="T14" s="2" t="s">
        <v>14</v>
      </c>
    </row>
    <row r="15" spans="1:20" ht="37.5" customHeight="1" x14ac:dyDescent="0.25">
      <c r="A15" s="2" t="s">
        <v>15</v>
      </c>
      <c r="B15">
        <f t="shared" si="0"/>
        <v>58924</v>
      </c>
      <c r="C15">
        <v>27472</v>
      </c>
      <c r="D15">
        <v>31452</v>
      </c>
      <c r="F15">
        <f t="shared" si="1"/>
        <v>1</v>
      </c>
      <c r="G15" s="3">
        <f t="shared" si="6"/>
        <v>15</v>
      </c>
      <c r="H15" s="4"/>
      <c r="I15" s="5">
        <v>15</v>
      </c>
      <c r="J15" s="6"/>
      <c r="K15" s="7">
        <v>58923</v>
      </c>
      <c r="L15" s="6">
        <f t="shared" si="2"/>
        <v>1</v>
      </c>
      <c r="M15" s="7">
        <v>27472</v>
      </c>
      <c r="N15" s="8">
        <f t="shared" si="3"/>
        <v>0</v>
      </c>
      <c r="O15" s="7">
        <v>31451</v>
      </c>
      <c r="P15" s="6">
        <f t="shared" si="4"/>
        <v>1</v>
      </c>
      <c r="Q15" s="9"/>
      <c r="R15" s="6">
        <f t="shared" si="5"/>
        <v>0</v>
      </c>
      <c r="S15" s="10" t="s">
        <v>1</v>
      </c>
      <c r="T15" s="2" t="s">
        <v>15</v>
      </c>
    </row>
    <row r="16" spans="1:20" ht="37.5" customHeight="1" x14ac:dyDescent="0.25">
      <c r="A16" s="2" t="s">
        <v>16</v>
      </c>
      <c r="B16">
        <f t="shared" si="0"/>
        <v>43222</v>
      </c>
      <c r="C16">
        <v>7293</v>
      </c>
      <c r="D16">
        <v>35929</v>
      </c>
      <c r="F16">
        <f t="shared" si="1"/>
        <v>236</v>
      </c>
      <c r="G16" s="3">
        <f t="shared" si="6"/>
        <v>16</v>
      </c>
      <c r="H16" s="4"/>
      <c r="I16" s="5">
        <v>16</v>
      </c>
      <c r="J16" s="6"/>
      <c r="K16" s="7">
        <v>42986</v>
      </c>
      <c r="L16" s="6">
        <f t="shared" si="2"/>
        <v>236</v>
      </c>
      <c r="M16" s="7">
        <v>7253</v>
      </c>
      <c r="N16" s="8">
        <f t="shared" si="3"/>
        <v>40</v>
      </c>
      <c r="O16" s="7">
        <v>35733</v>
      </c>
      <c r="P16" s="6">
        <f t="shared" si="4"/>
        <v>196</v>
      </c>
      <c r="Q16" s="9"/>
      <c r="R16" s="6">
        <f t="shared" si="5"/>
        <v>0</v>
      </c>
      <c r="S16" s="10" t="s">
        <v>1</v>
      </c>
      <c r="T16" s="2" t="s">
        <v>16</v>
      </c>
    </row>
    <row r="17" spans="1:20" ht="37.5" customHeight="1" x14ac:dyDescent="0.25">
      <c r="A17" s="2" t="s">
        <v>17</v>
      </c>
      <c r="B17">
        <f t="shared" si="0"/>
        <v>41273</v>
      </c>
      <c r="C17">
        <v>6941</v>
      </c>
      <c r="D17">
        <v>34332</v>
      </c>
      <c r="F17">
        <f t="shared" si="1"/>
        <v>42</v>
      </c>
      <c r="G17" s="3">
        <f t="shared" si="6"/>
        <v>17</v>
      </c>
      <c r="H17" s="4"/>
      <c r="I17" s="5">
        <v>17</v>
      </c>
      <c r="J17" s="6"/>
      <c r="K17" s="7">
        <v>41231</v>
      </c>
      <c r="L17" s="6">
        <f t="shared" si="2"/>
        <v>42</v>
      </c>
      <c r="M17" s="7">
        <v>6931</v>
      </c>
      <c r="N17" s="8">
        <f t="shared" si="3"/>
        <v>10</v>
      </c>
      <c r="O17" s="7">
        <v>34300</v>
      </c>
      <c r="P17" s="6">
        <f t="shared" si="4"/>
        <v>32</v>
      </c>
      <c r="Q17" s="9"/>
      <c r="R17" s="6">
        <f t="shared" si="5"/>
        <v>0</v>
      </c>
      <c r="S17" s="10" t="s">
        <v>1</v>
      </c>
      <c r="T17" s="2" t="s">
        <v>17</v>
      </c>
    </row>
    <row r="18" spans="1:20" ht="37.5" customHeight="1" x14ac:dyDescent="0.25">
      <c r="A18" s="2" t="s">
        <v>18</v>
      </c>
      <c r="B18">
        <f t="shared" si="0"/>
        <v>29927</v>
      </c>
      <c r="C18">
        <v>5800</v>
      </c>
      <c r="D18">
        <v>24127</v>
      </c>
      <c r="F18">
        <f t="shared" si="1"/>
        <v>178</v>
      </c>
      <c r="G18" s="3">
        <f t="shared" si="6"/>
        <v>18</v>
      </c>
      <c r="H18" s="4"/>
      <c r="I18" s="5">
        <v>18</v>
      </c>
      <c r="J18" s="6"/>
      <c r="K18" s="7">
        <v>29749</v>
      </c>
      <c r="L18" s="6">
        <f t="shared" si="2"/>
        <v>178</v>
      </c>
      <c r="M18" s="7">
        <v>5769</v>
      </c>
      <c r="N18" s="8">
        <f t="shared" si="3"/>
        <v>31</v>
      </c>
      <c r="O18" s="7">
        <v>23980</v>
      </c>
      <c r="P18" s="6">
        <f t="shared" si="4"/>
        <v>147</v>
      </c>
      <c r="Q18" s="9"/>
      <c r="R18" s="6">
        <f t="shared" si="5"/>
        <v>0</v>
      </c>
      <c r="S18" s="10" t="s">
        <v>1</v>
      </c>
      <c r="T18" s="2" t="s">
        <v>18</v>
      </c>
    </row>
    <row r="19" spans="1:20" ht="37.5" customHeight="1" x14ac:dyDescent="0.25">
      <c r="A19" s="2" t="s">
        <v>19</v>
      </c>
      <c r="B19">
        <f t="shared" si="0"/>
        <v>23506</v>
      </c>
      <c r="C19">
        <v>4454</v>
      </c>
      <c r="D19">
        <v>19052</v>
      </c>
      <c r="F19">
        <f t="shared" si="1"/>
        <v>20</v>
      </c>
      <c r="G19" s="3">
        <f t="shared" si="6"/>
        <v>19</v>
      </c>
      <c r="H19" s="4"/>
      <c r="I19" s="5">
        <v>19</v>
      </c>
      <c r="J19" s="6"/>
      <c r="K19" s="7">
        <v>23486</v>
      </c>
      <c r="L19" s="6">
        <f t="shared" si="2"/>
        <v>20</v>
      </c>
      <c r="M19" s="7">
        <v>4449</v>
      </c>
      <c r="N19" s="8">
        <f t="shared" si="3"/>
        <v>5</v>
      </c>
      <c r="O19" s="7">
        <v>19037</v>
      </c>
      <c r="P19" s="6">
        <f t="shared" si="4"/>
        <v>15</v>
      </c>
      <c r="Q19" s="9"/>
      <c r="R19" s="6">
        <f t="shared" si="5"/>
        <v>0</v>
      </c>
      <c r="S19" s="10" t="s">
        <v>1</v>
      </c>
      <c r="T19" s="2" t="s">
        <v>19</v>
      </c>
    </row>
    <row r="20" spans="1:20" ht="37.5" customHeight="1" x14ac:dyDescent="0.25">
      <c r="A20" s="2" t="s">
        <v>20</v>
      </c>
      <c r="B20">
        <v>98451</v>
      </c>
      <c r="C20" s="23">
        <v>18463</v>
      </c>
      <c r="D20" s="23">
        <v>79987</v>
      </c>
      <c r="F20">
        <f t="shared" si="1"/>
        <v>0</v>
      </c>
      <c r="G20" s="3">
        <f t="shared" si="6"/>
        <v>20</v>
      </c>
      <c r="H20" s="4"/>
      <c r="I20" s="5">
        <v>20</v>
      </c>
      <c r="J20" s="6"/>
      <c r="K20" s="7">
        <v>98451</v>
      </c>
      <c r="L20" s="6">
        <f t="shared" si="2"/>
        <v>0</v>
      </c>
      <c r="M20" s="7">
        <v>18463</v>
      </c>
      <c r="N20" s="8">
        <f t="shared" si="3"/>
        <v>0</v>
      </c>
      <c r="O20" s="7">
        <v>79987</v>
      </c>
      <c r="P20" s="6">
        <f t="shared" si="4"/>
        <v>0</v>
      </c>
      <c r="Q20" s="9"/>
      <c r="R20" s="6">
        <f t="shared" si="5"/>
        <v>0</v>
      </c>
      <c r="S20" s="10" t="s">
        <v>1</v>
      </c>
      <c r="T20" s="2" t="s">
        <v>20</v>
      </c>
    </row>
    <row r="21" spans="1:20" ht="37.5" customHeight="1" x14ac:dyDescent="0.25">
      <c r="A21" s="2" t="s">
        <v>21</v>
      </c>
      <c r="B21">
        <f t="shared" si="0"/>
        <v>45291</v>
      </c>
      <c r="C21">
        <v>7280</v>
      </c>
      <c r="D21">
        <v>38011</v>
      </c>
      <c r="F21">
        <f t="shared" si="1"/>
        <v>1</v>
      </c>
      <c r="G21" s="3">
        <f t="shared" si="6"/>
        <v>21</v>
      </c>
      <c r="H21" s="4"/>
      <c r="I21" s="5">
        <v>21</v>
      </c>
      <c r="J21" s="6"/>
      <c r="K21" s="7">
        <v>45290</v>
      </c>
      <c r="L21" s="6">
        <f t="shared" si="2"/>
        <v>1</v>
      </c>
      <c r="M21" s="7">
        <v>7280</v>
      </c>
      <c r="N21" s="8">
        <f t="shared" si="3"/>
        <v>0</v>
      </c>
      <c r="O21" s="7">
        <v>38010</v>
      </c>
      <c r="P21" s="6">
        <f t="shared" si="4"/>
        <v>1</v>
      </c>
      <c r="Q21" s="9"/>
      <c r="R21" s="6">
        <f t="shared" si="5"/>
        <v>0</v>
      </c>
      <c r="S21" s="10" t="s">
        <v>1</v>
      </c>
      <c r="T21" s="2" t="s">
        <v>21</v>
      </c>
    </row>
    <row r="22" spans="1:20" ht="37.5" customHeight="1" x14ac:dyDescent="0.25">
      <c r="A22" s="2" t="s">
        <v>22</v>
      </c>
      <c r="B22">
        <f t="shared" si="0"/>
        <v>56520</v>
      </c>
      <c r="C22">
        <v>11988</v>
      </c>
      <c r="D22">
        <v>44532</v>
      </c>
      <c r="F22">
        <f t="shared" si="1"/>
        <v>130</v>
      </c>
      <c r="G22" s="3">
        <f t="shared" si="6"/>
        <v>22</v>
      </c>
      <c r="H22" s="4"/>
      <c r="I22" s="5">
        <v>22</v>
      </c>
      <c r="J22" s="6"/>
      <c r="K22" s="7">
        <v>56390</v>
      </c>
      <c r="L22" s="6">
        <f t="shared" si="2"/>
        <v>130</v>
      </c>
      <c r="M22" s="7">
        <v>11971</v>
      </c>
      <c r="N22" s="8">
        <f t="shared" si="3"/>
        <v>17</v>
      </c>
      <c r="O22" s="7">
        <v>44419</v>
      </c>
      <c r="P22" s="6">
        <f t="shared" si="4"/>
        <v>113</v>
      </c>
      <c r="Q22" s="9"/>
      <c r="R22" s="6">
        <f t="shared" si="5"/>
        <v>0</v>
      </c>
      <c r="S22" s="10" t="s">
        <v>1</v>
      </c>
      <c r="T22" s="2" t="s">
        <v>22</v>
      </c>
    </row>
    <row r="23" spans="1:20" ht="37.5" customHeight="1" x14ac:dyDescent="0.25">
      <c r="A23" s="2" t="s">
        <v>23</v>
      </c>
      <c r="B23">
        <f t="shared" si="0"/>
        <v>20989</v>
      </c>
      <c r="C23">
        <v>3163</v>
      </c>
      <c r="D23">
        <v>17826</v>
      </c>
      <c r="F23">
        <f t="shared" si="1"/>
        <v>5</v>
      </c>
      <c r="G23" s="3">
        <f t="shared" si="6"/>
        <v>23</v>
      </c>
      <c r="H23" s="4"/>
      <c r="I23" s="5">
        <v>23</v>
      </c>
      <c r="J23" s="6"/>
      <c r="K23" s="7">
        <v>20984</v>
      </c>
      <c r="L23" s="6">
        <f t="shared" si="2"/>
        <v>5</v>
      </c>
      <c r="M23" s="7">
        <v>3163</v>
      </c>
      <c r="N23" s="8">
        <f t="shared" si="3"/>
        <v>0</v>
      </c>
      <c r="O23" s="7">
        <v>17821</v>
      </c>
      <c r="P23" s="6">
        <f t="shared" si="4"/>
        <v>5</v>
      </c>
      <c r="Q23" s="9"/>
      <c r="R23" s="6">
        <f t="shared" si="5"/>
        <v>0</v>
      </c>
      <c r="S23" s="10" t="s">
        <v>1</v>
      </c>
      <c r="T23" s="2" t="s">
        <v>23</v>
      </c>
    </row>
    <row r="24" spans="1:20" ht="37.5" customHeight="1" x14ac:dyDescent="0.25">
      <c r="A24" s="2" t="s">
        <v>24</v>
      </c>
      <c r="B24">
        <f t="shared" si="0"/>
        <v>9710</v>
      </c>
      <c r="C24">
        <v>1286</v>
      </c>
      <c r="D24">
        <v>8424</v>
      </c>
      <c r="F24">
        <f t="shared" si="1"/>
        <v>436</v>
      </c>
      <c r="G24" s="3">
        <f t="shared" si="6"/>
        <v>24</v>
      </c>
      <c r="H24" s="4"/>
      <c r="I24" s="5">
        <v>24</v>
      </c>
      <c r="J24" s="6"/>
      <c r="K24" s="7">
        <v>9274</v>
      </c>
      <c r="L24" s="6">
        <f t="shared" si="2"/>
        <v>436</v>
      </c>
      <c r="M24" s="7">
        <v>1207</v>
      </c>
      <c r="N24" s="8">
        <f t="shared" si="3"/>
        <v>79</v>
      </c>
      <c r="O24" s="7">
        <v>8067</v>
      </c>
      <c r="P24" s="6">
        <f t="shared" si="4"/>
        <v>357</v>
      </c>
      <c r="Q24" s="9"/>
      <c r="R24" s="6">
        <f t="shared" si="5"/>
        <v>0</v>
      </c>
      <c r="S24" s="10" t="s">
        <v>1</v>
      </c>
      <c r="T24" s="2" t="s">
        <v>24</v>
      </c>
    </row>
    <row r="25" spans="1:20" ht="37.5" customHeight="1" x14ac:dyDescent="0.25">
      <c r="A25" s="2" t="s">
        <v>25</v>
      </c>
      <c r="B25">
        <f t="shared" si="0"/>
        <v>3884</v>
      </c>
      <c r="C25">
        <v>584</v>
      </c>
      <c r="D25">
        <v>3300</v>
      </c>
      <c r="E25">
        <v>10033</v>
      </c>
      <c r="F25">
        <f t="shared" si="1"/>
        <v>148</v>
      </c>
      <c r="G25" s="3">
        <f t="shared" si="6"/>
        <v>25</v>
      </c>
      <c r="H25" s="4"/>
      <c r="I25" s="5">
        <v>25</v>
      </c>
      <c r="J25" s="6"/>
      <c r="K25" s="7">
        <f>M25+O25</f>
        <v>3736</v>
      </c>
      <c r="L25" s="6">
        <f t="shared" si="2"/>
        <v>148</v>
      </c>
      <c r="M25" s="7">
        <v>564</v>
      </c>
      <c r="N25" s="8">
        <f t="shared" si="3"/>
        <v>20</v>
      </c>
      <c r="O25" s="7">
        <v>3172</v>
      </c>
      <c r="P25" s="6">
        <f t="shared" si="4"/>
        <v>128</v>
      </c>
      <c r="Q25" s="9">
        <v>9354</v>
      </c>
      <c r="R25" s="6">
        <f t="shared" si="5"/>
        <v>679</v>
      </c>
      <c r="S25" s="10" t="s">
        <v>1</v>
      </c>
      <c r="T25" s="2" t="s">
        <v>25</v>
      </c>
    </row>
    <row r="26" spans="1:20" ht="37.5" customHeight="1" x14ac:dyDescent="0.25">
      <c r="A26" s="2" t="s">
        <v>26</v>
      </c>
      <c r="B26">
        <f t="shared" si="0"/>
        <v>15211</v>
      </c>
      <c r="C26">
        <v>2349</v>
      </c>
      <c r="D26">
        <v>12862</v>
      </c>
      <c r="E26">
        <v>17357</v>
      </c>
      <c r="F26">
        <f t="shared" si="1"/>
        <v>265</v>
      </c>
      <c r="G26" s="3">
        <f t="shared" si="6"/>
        <v>26</v>
      </c>
      <c r="H26" s="4"/>
      <c r="I26" s="5">
        <v>26</v>
      </c>
      <c r="J26" s="6"/>
      <c r="K26" s="7">
        <f>M26+O26</f>
        <v>14946</v>
      </c>
      <c r="L26" s="6">
        <f t="shared" si="2"/>
        <v>265</v>
      </c>
      <c r="M26" s="7">
        <v>2304</v>
      </c>
      <c r="N26" s="8">
        <f t="shared" si="3"/>
        <v>45</v>
      </c>
      <c r="O26" s="7">
        <v>12642</v>
      </c>
      <c r="P26" s="6">
        <f t="shared" si="4"/>
        <v>220</v>
      </c>
      <c r="Q26" s="9">
        <v>16922</v>
      </c>
      <c r="R26" s="6">
        <f t="shared" si="5"/>
        <v>435</v>
      </c>
      <c r="S26" s="10" t="s">
        <v>1</v>
      </c>
      <c r="T26" s="2" t="s">
        <v>26</v>
      </c>
    </row>
    <row r="27" spans="1:20" ht="37.5" customHeight="1" x14ac:dyDescent="0.25">
      <c r="A27" s="2" t="s">
        <v>27</v>
      </c>
      <c r="B27">
        <f t="shared" si="0"/>
        <v>52650</v>
      </c>
      <c r="C27">
        <v>8368</v>
      </c>
      <c r="D27">
        <v>44282</v>
      </c>
      <c r="F27">
        <f t="shared" si="1"/>
        <v>317</v>
      </c>
      <c r="G27" s="3">
        <f t="shared" si="6"/>
        <v>27</v>
      </c>
      <c r="H27" s="4"/>
      <c r="I27" s="5">
        <v>27</v>
      </c>
      <c r="J27" s="6"/>
      <c r="K27" s="7">
        <v>52333</v>
      </c>
      <c r="L27" s="6">
        <f t="shared" si="2"/>
        <v>317</v>
      </c>
      <c r="M27" s="7">
        <v>8316</v>
      </c>
      <c r="N27" s="8">
        <f t="shared" si="3"/>
        <v>52</v>
      </c>
      <c r="O27" s="7">
        <v>44017</v>
      </c>
      <c r="P27" s="6">
        <f t="shared" si="4"/>
        <v>265</v>
      </c>
      <c r="Q27" s="9"/>
      <c r="R27" s="6">
        <f t="shared" si="5"/>
        <v>0</v>
      </c>
      <c r="S27" s="10" t="s">
        <v>1</v>
      </c>
      <c r="T27" s="2" t="s">
        <v>27</v>
      </c>
    </row>
    <row r="28" spans="1:20" ht="37.5" customHeight="1" x14ac:dyDescent="0.25">
      <c r="A28" s="2" t="s">
        <v>28</v>
      </c>
      <c r="B28">
        <f t="shared" si="0"/>
        <v>48821</v>
      </c>
      <c r="C28">
        <v>8428</v>
      </c>
      <c r="D28">
        <v>40393</v>
      </c>
      <c r="F28">
        <f t="shared" si="1"/>
        <v>218</v>
      </c>
      <c r="G28" s="3">
        <f t="shared" si="6"/>
        <v>28</v>
      </c>
      <c r="H28" s="4"/>
      <c r="I28" s="5">
        <v>28</v>
      </c>
      <c r="J28" s="6"/>
      <c r="K28" s="7">
        <v>48603</v>
      </c>
      <c r="L28" s="6">
        <f t="shared" si="2"/>
        <v>218</v>
      </c>
      <c r="M28" s="7">
        <v>8387</v>
      </c>
      <c r="N28" s="8">
        <f t="shared" si="3"/>
        <v>41</v>
      </c>
      <c r="O28" s="7">
        <v>40216</v>
      </c>
      <c r="P28" s="6">
        <f t="shared" si="4"/>
        <v>177</v>
      </c>
      <c r="Q28" s="9"/>
      <c r="R28" s="6">
        <f t="shared" si="5"/>
        <v>0</v>
      </c>
      <c r="S28" s="10" t="s">
        <v>1</v>
      </c>
      <c r="T28" s="2" t="s">
        <v>28</v>
      </c>
    </row>
    <row r="29" spans="1:20" ht="37.5" customHeight="1" x14ac:dyDescent="0.25">
      <c r="A29" s="2" t="s">
        <v>29</v>
      </c>
      <c r="B29">
        <f t="shared" si="0"/>
        <v>13163</v>
      </c>
      <c r="C29">
        <v>2564</v>
      </c>
      <c r="D29">
        <v>10599</v>
      </c>
      <c r="F29">
        <f t="shared" si="1"/>
        <v>59</v>
      </c>
      <c r="G29" s="3">
        <f t="shared" si="6"/>
        <v>29</v>
      </c>
      <c r="H29" s="4"/>
      <c r="I29" s="5">
        <v>29</v>
      </c>
      <c r="J29" s="6"/>
      <c r="K29" s="7">
        <v>13104</v>
      </c>
      <c r="L29" s="6">
        <f t="shared" si="2"/>
        <v>59</v>
      </c>
      <c r="M29" s="7">
        <v>2553</v>
      </c>
      <c r="N29" s="8">
        <f t="shared" si="3"/>
        <v>11</v>
      </c>
      <c r="O29" s="7">
        <v>10551</v>
      </c>
      <c r="P29" s="6">
        <f t="shared" si="4"/>
        <v>48</v>
      </c>
      <c r="Q29" s="9"/>
      <c r="R29" s="6">
        <f t="shared" si="5"/>
        <v>0</v>
      </c>
      <c r="S29" s="10" t="s">
        <v>1</v>
      </c>
      <c r="T29" s="2" t="s">
        <v>29</v>
      </c>
    </row>
    <row r="30" spans="1:20" ht="37.5" customHeight="1" x14ac:dyDescent="0.25">
      <c r="A30" s="2" t="s">
        <v>30</v>
      </c>
      <c r="B30">
        <f t="shared" si="0"/>
        <v>14393</v>
      </c>
      <c r="C30">
        <v>6324</v>
      </c>
      <c r="D30">
        <v>8069</v>
      </c>
      <c r="F30">
        <f t="shared" si="1"/>
        <v>10</v>
      </c>
      <c r="G30" s="3">
        <f t="shared" si="6"/>
        <v>30</v>
      </c>
      <c r="H30" s="4"/>
      <c r="I30" s="5">
        <v>30</v>
      </c>
      <c r="J30" s="6"/>
      <c r="K30" s="7">
        <v>14383</v>
      </c>
      <c r="L30" s="6">
        <f t="shared" si="2"/>
        <v>10</v>
      </c>
      <c r="M30" s="7">
        <v>6322</v>
      </c>
      <c r="N30" s="8">
        <f t="shared" si="3"/>
        <v>2</v>
      </c>
      <c r="O30" s="7">
        <v>8061</v>
      </c>
      <c r="P30" s="6">
        <f t="shared" si="4"/>
        <v>8</v>
      </c>
      <c r="Q30" s="9"/>
      <c r="R30" s="6">
        <f t="shared" si="5"/>
        <v>0</v>
      </c>
      <c r="S30" s="10" t="s">
        <v>1</v>
      </c>
      <c r="T30" s="2" t="s">
        <v>30</v>
      </c>
    </row>
    <row r="31" spans="1:20" ht="37.5" customHeight="1" x14ac:dyDescent="0.25">
      <c r="A31" s="2" t="s">
        <v>31</v>
      </c>
      <c r="B31">
        <f t="shared" si="0"/>
        <v>14620</v>
      </c>
      <c r="C31">
        <v>2610</v>
      </c>
      <c r="D31">
        <v>12010</v>
      </c>
      <c r="F31">
        <f t="shared" si="1"/>
        <v>234</v>
      </c>
      <c r="G31" s="3">
        <f t="shared" si="6"/>
        <v>31</v>
      </c>
      <c r="H31" s="4"/>
      <c r="I31" s="5">
        <v>31</v>
      </c>
      <c r="J31" s="6"/>
      <c r="K31" s="7">
        <v>14386</v>
      </c>
      <c r="L31" s="6">
        <f t="shared" si="2"/>
        <v>234</v>
      </c>
      <c r="M31" s="7">
        <v>2572</v>
      </c>
      <c r="N31" s="8">
        <f t="shared" si="3"/>
        <v>38</v>
      </c>
      <c r="O31" s="7">
        <v>11814</v>
      </c>
      <c r="P31" s="6">
        <f t="shared" si="4"/>
        <v>196</v>
      </c>
      <c r="Q31" s="9"/>
      <c r="R31" s="6">
        <f t="shared" si="5"/>
        <v>0</v>
      </c>
      <c r="S31" s="10" t="s">
        <v>1</v>
      </c>
      <c r="T31" s="2" t="s">
        <v>31</v>
      </c>
    </row>
    <row r="32" spans="1:20" ht="37.5" customHeight="1" x14ac:dyDescent="0.25">
      <c r="A32" s="2" t="s">
        <v>32</v>
      </c>
      <c r="B32">
        <f t="shared" si="0"/>
        <v>13889</v>
      </c>
      <c r="C32">
        <v>2311</v>
      </c>
      <c r="D32">
        <v>11578</v>
      </c>
      <c r="F32">
        <f t="shared" si="1"/>
        <v>393</v>
      </c>
      <c r="G32" s="3">
        <f t="shared" si="6"/>
        <v>32</v>
      </c>
      <c r="H32" s="4"/>
      <c r="I32" s="5">
        <v>32</v>
      </c>
      <c r="J32" s="6"/>
      <c r="K32" s="7">
        <v>13496</v>
      </c>
      <c r="L32" s="6">
        <f t="shared" si="2"/>
        <v>393</v>
      </c>
      <c r="M32" s="7">
        <v>2247</v>
      </c>
      <c r="N32" s="8">
        <f t="shared" si="3"/>
        <v>64</v>
      </c>
      <c r="O32" s="7">
        <v>11249</v>
      </c>
      <c r="P32" s="6">
        <f t="shared" si="4"/>
        <v>329</v>
      </c>
      <c r="Q32" s="9"/>
      <c r="R32" s="6">
        <f t="shared" si="5"/>
        <v>0</v>
      </c>
      <c r="S32" s="10" t="s">
        <v>1</v>
      </c>
      <c r="T32" s="2" t="s">
        <v>32</v>
      </c>
    </row>
    <row r="33" spans="1:20" ht="37.5" customHeight="1" x14ac:dyDescent="0.25">
      <c r="A33" s="2" t="s">
        <v>33</v>
      </c>
      <c r="B33">
        <f t="shared" si="0"/>
        <v>30504</v>
      </c>
      <c r="C33">
        <v>5229</v>
      </c>
      <c r="D33">
        <v>25275</v>
      </c>
      <c r="F33">
        <f t="shared" si="1"/>
        <v>292</v>
      </c>
      <c r="G33" s="3">
        <f t="shared" si="6"/>
        <v>33</v>
      </c>
      <c r="H33" s="4"/>
      <c r="I33" s="5">
        <v>33</v>
      </c>
      <c r="J33" s="6"/>
      <c r="K33" s="7">
        <v>30212</v>
      </c>
      <c r="L33" s="6">
        <f t="shared" si="2"/>
        <v>292</v>
      </c>
      <c r="M33" s="7">
        <v>5175</v>
      </c>
      <c r="N33" s="8">
        <f t="shared" si="3"/>
        <v>54</v>
      </c>
      <c r="O33" s="7">
        <v>25037</v>
      </c>
      <c r="P33" s="6">
        <f t="shared" si="4"/>
        <v>238</v>
      </c>
      <c r="Q33" s="9"/>
      <c r="R33" s="6">
        <f t="shared" si="5"/>
        <v>0</v>
      </c>
      <c r="S33" s="10" t="s">
        <v>1</v>
      </c>
      <c r="T33" s="2" t="s">
        <v>33</v>
      </c>
    </row>
    <row r="34" spans="1:20" ht="37.5" customHeight="1" x14ac:dyDescent="0.25">
      <c r="A34" s="2" t="s">
        <v>34</v>
      </c>
      <c r="B34">
        <f t="shared" si="0"/>
        <v>7469</v>
      </c>
      <c r="C34">
        <v>1374</v>
      </c>
      <c r="D34">
        <v>6095</v>
      </c>
      <c r="E34">
        <v>11648</v>
      </c>
      <c r="F34">
        <f t="shared" si="1"/>
        <v>169</v>
      </c>
      <c r="G34" s="3">
        <f t="shared" si="6"/>
        <v>34</v>
      </c>
      <c r="H34" s="4"/>
      <c r="I34" s="5">
        <v>34</v>
      </c>
      <c r="J34" s="6"/>
      <c r="K34" s="7">
        <f>M34+O34</f>
        <v>7300</v>
      </c>
      <c r="L34" s="6">
        <f t="shared" si="2"/>
        <v>169</v>
      </c>
      <c r="M34" s="7">
        <v>1329</v>
      </c>
      <c r="N34" s="8">
        <f t="shared" si="3"/>
        <v>45</v>
      </c>
      <c r="O34" s="7">
        <v>5971</v>
      </c>
      <c r="P34" s="6">
        <f t="shared" si="4"/>
        <v>124</v>
      </c>
      <c r="Q34" s="9">
        <v>10959</v>
      </c>
      <c r="R34" s="6">
        <f t="shared" si="5"/>
        <v>689</v>
      </c>
      <c r="S34" s="10" t="s">
        <v>1</v>
      </c>
      <c r="T34" s="2" t="s">
        <v>34</v>
      </c>
    </row>
    <row r="35" spans="1:20" ht="37.5" customHeight="1" x14ac:dyDescent="0.25">
      <c r="A35" s="2" t="s">
        <v>35</v>
      </c>
      <c r="B35">
        <f t="shared" si="0"/>
        <v>37066</v>
      </c>
      <c r="C35">
        <v>8380</v>
      </c>
      <c r="D35">
        <v>28686</v>
      </c>
      <c r="F35">
        <f t="shared" si="1"/>
        <v>26</v>
      </c>
      <c r="G35" s="3">
        <f t="shared" si="6"/>
        <v>35</v>
      </c>
      <c r="H35" s="4"/>
      <c r="I35" s="5">
        <v>35</v>
      </c>
      <c r="J35" s="6"/>
      <c r="K35" s="7">
        <v>37040</v>
      </c>
      <c r="L35" s="6">
        <f t="shared" si="2"/>
        <v>26</v>
      </c>
      <c r="M35" s="7">
        <v>8376</v>
      </c>
      <c r="N35" s="8">
        <f t="shared" si="3"/>
        <v>4</v>
      </c>
      <c r="O35" s="7">
        <v>28664</v>
      </c>
      <c r="P35" s="6">
        <f t="shared" si="4"/>
        <v>22</v>
      </c>
      <c r="Q35" s="9"/>
      <c r="R35" s="6">
        <f t="shared" si="5"/>
        <v>0</v>
      </c>
      <c r="S35" s="10" t="s">
        <v>1</v>
      </c>
      <c r="T35" s="2" t="s">
        <v>35</v>
      </c>
    </row>
    <row r="36" spans="1:20" ht="37.5" customHeight="1" x14ac:dyDescent="0.25">
      <c r="A36" s="2" t="s">
        <v>36</v>
      </c>
      <c r="B36">
        <f t="shared" si="0"/>
        <v>22713</v>
      </c>
      <c r="C36">
        <v>4281</v>
      </c>
      <c r="D36">
        <v>18432</v>
      </c>
      <c r="F36">
        <f t="shared" si="1"/>
        <v>144</v>
      </c>
      <c r="G36" s="3">
        <f t="shared" si="6"/>
        <v>36</v>
      </c>
      <c r="H36" s="4"/>
      <c r="I36" s="5">
        <v>36</v>
      </c>
      <c r="J36" s="6"/>
      <c r="K36" s="7">
        <v>22569</v>
      </c>
      <c r="L36" s="6">
        <f t="shared" si="2"/>
        <v>144</v>
      </c>
      <c r="M36" s="7">
        <v>4249</v>
      </c>
      <c r="N36" s="8">
        <f t="shared" si="3"/>
        <v>32</v>
      </c>
      <c r="O36" s="7">
        <v>18320</v>
      </c>
      <c r="P36" s="6">
        <f t="shared" si="4"/>
        <v>112</v>
      </c>
      <c r="Q36" s="9"/>
      <c r="R36" s="6">
        <f t="shared" si="5"/>
        <v>0</v>
      </c>
      <c r="S36" s="10" t="s">
        <v>1</v>
      </c>
      <c r="T36" s="2" t="s">
        <v>36</v>
      </c>
    </row>
    <row r="37" spans="1:20" ht="37.5" customHeight="1" x14ac:dyDescent="0.25">
      <c r="A37" s="2" t="s">
        <v>37</v>
      </c>
      <c r="B37">
        <f t="shared" si="0"/>
        <v>31512</v>
      </c>
      <c r="C37">
        <v>13204</v>
      </c>
      <c r="D37">
        <v>18308</v>
      </c>
      <c r="F37">
        <f t="shared" si="1"/>
        <v>198</v>
      </c>
      <c r="G37" s="3">
        <f t="shared" si="6"/>
        <v>37</v>
      </c>
      <c r="H37" s="4"/>
      <c r="I37" s="5">
        <v>37</v>
      </c>
      <c r="J37" s="6"/>
      <c r="K37" s="7">
        <v>31314</v>
      </c>
      <c r="L37" s="6">
        <f t="shared" si="2"/>
        <v>198</v>
      </c>
      <c r="M37" s="7">
        <v>13170</v>
      </c>
      <c r="N37" s="8">
        <f t="shared" si="3"/>
        <v>34</v>
      </c>
      <c r="O37" s="7">
        <v>18144</v>
      </c>
      <c r="P37" s="6">
        <f t="shared" si="4"/>
        <v>164</v>
      </c>
      <c r="Q37" s="9"/>
      <c r="R37" s="6">
        <f t="shared" si="5"/>
        <v>0</v>
      </c>
      <c r="S37" s="10" t="s">
        <v>1</v>
      </c>
      <c r="T37" s="2" t="s">
        <v>37</v>
      </c>
    </row>
    <row r="38" spans="1:20" ht="37.5" customHeight="1" x14ac:dyDescent="0.25">
      <c r="A38" s="2" t="s">
        <v>38</v>
      </c>
      <c r="B38">
        <f t="shared" si="0"/>
        <v>3810</v>
      </c>
      <c r="C38">
        <v>884</v>
      </c>
      <c r="D38">
        <v>2926</v>
      </c>
      <c r="E38">
        <v>7432</v>
      </c>
      <c r="F38">
        <f t="shared" si="1"/>
        <v>171</v>
      </c>
      <c r="G38" s="3">
        <f t="shared" si="6"/>
        <v>38</v>
      </c>
      <c r="H38" s="4"/>
      <c r="I38" s="5">
        <v>38</v>
      </c>
      <c r="J38" s="6"/>
      <c r="K38" s="7">
        <f>M38+O38</f>
        <v>3639</v>
      </c>
      <c r="L38" s="6">
        <f t="shared" si="2"/>
        <v>171</v>
      </c>
      <c r="M38" s="7">
        <v>848</v>
      </c>
      <c r="N38" s="8">
        <f t="shared" si="3"/>
        <v>36</v>
      </c>
      <c r="O38" s="7">
        <v>2791</v>
      </c>
      <c r="P38" s="6">
        <f t="shared" si="4"/>
        <v>135</v>
      </c>
      <c r="Q38" s="9">
        <v>6848</v>
      </c>
      <c r="R38" s="6">
        <f t="shared" si="5"/>
        <v>584</v>
      </c>
      <c r="S38" s="10" t="s">
        <v>1</v>
      </c>
      <c r="T38" s="2" t="s">
        <v>38</v>
      </c>
    </row>
    <row r="39" spans="1:20" ht="37.5" customHeight="1" x14ac:dyDescent="0.25">
      <c r="A39" s="2" t="s">
        <v>39</v>
      </c>
      <c r="B39">
        <f t="shared" si="0"/>
        <v>47578</v>
      </c>
      <c r="C39">
        <v>15087</v>
      </c>
      <c r="D39">
        <v>32491</v>
      </c>
      <c r="F39">
        <f t="shared" si="1"/>
        <v>285</v>
      </c>
      <c r="G39" s="3">
        <f t="shared" si="6"/>
        <v>39</v>
      </c>
      <c r="H39" s="4"/>
      <c r="I39" s="5">
        <v>39</v>
      </c>
      <c r="J39" s="6"/>
      <c r="K39" s="7">
        <v>47293</v>
      </c>
      <c r="L39" s="6">
        <f t="shared" si="2"/>
        <v>285</v>
      </c>
      <c r="M39" s="7">
        <v>15042</v>
      </c>
      <c r="N39" s="8">
        <f t="shared" si="3"/>
        <v>45</v>
      </c>
      <c r="O39" s="7">
        <v>32251</v>
      </c>
      <c r="P39" s="6">
        <f t="shared" si="4"/>
        <v>240</v>
      </c>
      <c r="Q39" s="9"/>
      <c r="R39" s="6">
        <f t="shared" si="5"/>
        <v>0</v>
      </c>
      <c r="S39" s="10" t="s">
        <v>1</v>
      </c>
      <c r="T39" s="2" t="s">
        <v>39</v>
      </c>
    </row>
    <row r="40" spans="1:20" ht="37.5" customHeight="1" x14ac:dyDescent="0.25">
      <c r="A40" s="2" t="s">
        <v>40</v>
      </c>
      <c r="B40">
        <f t="shared" si="0"/>
        <v>50639</v>
      </c>
      <c r="C40">
        <v>14522</v>
      </c>
      <c r="D40">
        <v>36117</v>
      </c>
      <c r="F40">
        <f t="shared" si="1"/>
        <v>198</v>
      </c>
      <c r="G40" s="3">
        <f t="shared" si="6"/>
        <v>40</v>
      </c>
      <c r="H40" s="4"/>
      <c r="I40" s="5">
        <v>40</v>
      </c>
      <c r="J40" s="6"/>
      <c r="K40" s="7">
        <v>50441</v>
      </c>
      <c r="L40" s="6">
        <f t="shared" si="2"/>
        <v>198</v>
      </c>
      <c r="M40" s="7">
        <v>14505</v>
      </c>
      <c r="N40" s="8">
        <f t="shared" si="3"/>
        <v>17</v>
      </c>
      <c r="O40" s="7">
        <v>35936</v>
      </c>
      <c r="P40" s="6">
        <f t="shared" si="4"/>
        <v>181</v>
      </c>
      <c r="Q40" s="9"/>
      <c r="R40" s="6">
        <f t="shared" si="5"/>
        <v>0</v>
      </c>
      <c r="S40" s="10" t="s">
        <v>1</v>
      </c>
      <c r="T40" s="2" t="s">
        <v>40</v>
      </c>
    </row>
    <row r="41" spans="1:20" ht="37.5" customHeight="1" x14ac:dyDescent="0.25">
      <c r="A41" s="2" t="s">
        <v>41</v>
      </c>
      <c r="B41">
        <f t="shared" si="0"/>
        <v>36730</v>
      </c>
      <c r="C41">
        <v>6316</v>
      </c>
      <c r="D41">
        <v>30414</v>
      </c>
      <c r="F41">
        <f t="shared" si="1"/>
        <v>291</v>
      </c>
      <c r="G41" s="3">
        <f t="shared" si="6"/>
        <v>41</v>
      </c>
      <c r="H41" s="4"/>
      <c r="I41" s="5">
        <v>55</v>
      </c>
      <c r="J41" s="6"/>
      <c r="K41" s="7">
        <v>36439</v>
      </c>
      <c r="L41" s="6">
        <f t="shared" si="2"/>
        <v>291</v>
      </c>
      <c r="M41" s="7">
        <v>6265</v>
      </c>
      <c r="N41" s="8">
        <f t="shared" si="3"/>
        <v>51</v>
      </c>
      <c r="O41" s="7">
        <v>30174</v>
      </c>
      <c r="P41" s="6">
        <f t="shared" si="4"/>
        <v>240</v>
      </c>
      <c r="Q41" s="9"/>
      <c r="R41" s="6">
        <f t="shared" si="5"/>
        <v>0</v>
      </c>
      <c r="S41" s="10" t="s">
        <v>1</v>
      </c>
      <c r="T41" s="2" t="s">
        <v>41</v>
      </c>
    </row>
    <row r="42" spans="1:20" ht="37.5" customHeight="1" x14ac:dyDescent="0.25">
      <c r="A42" s="2" t="s">
        <v>42</v>
      </c>
      <c r="B42">
        <f t="shared" si="0"/>
        <v>30630</v>
      </c>
      <c r="C42">
        <v>5025</v>
      </c>
      <c r="D42">
        <v>25605</v>
      </c>
      <c r="F42">
        <f t="shared" si="1"/>
        <v>408</v>
      </c>
      <c r="G42" s="3">
        <f t="shared" si="6"/>
        <v>42</v>
      </c>
      <c r="H42" s="4"/>
      <c r="I42" s="5" t="s">
        <v>43</v>
      </c>
      <c r="J42" s="6"/>
      <c r="K42" s="7">
        <v>30222</v>
      </c>
      <c r="L42" s="6">
        <f t="shared" si="2"/>
        <v>408</v>
      </c>
      <c r="M42" s="7">
        <v>4957</v>
      </c>
      <c r="N42" s="8">
        <f t="shared" si="3"/>
        <v>68</v>
      </c>
      <c r="O42" s="7">
        <v>25265</v>
      </c>
      <c r="P42" s="6">
        <f t="shared" si="4"/>
        <v>340</v>
      </c>
      <c r="Q42" s="9"/>
      <c r="R42" s="6">
        <f t="shared" si="5"/>
        <v>0</v>
      </c>
      <c r="S42" s="10" t="s">
        <v>1</v>
      </c>
      <c r="T42" s="2" t="s">
        <v>42</v>
      </c>
    </row>
    <row r="43" spans="1:20" ht="37.5" customHeight="1" x14ac:dyDescent="0.25">
      <c r="A43" s="2" t="s">
        <v>44</v>
      </c>
      <c r="B43">
        <f t="shared" si="0"/>
        <v>79688</v>
      </c>
      <c r="C43">
        <v>15834</v>
      </c>
      <c r="D43">
        <v>63854</v>
      </c>
      <c r="F43">
        <f t="shared" si="1"/>
        <v>392</v>
      </c>
      <c r="G43" s="3">
        <f t="shared" si="6"/>
        <v>43</v>
      </c>
      <c r="H43" s="4"/>
      <c r="I43" s="5" t="s">
        <v>45</v>
      </c>
      <c r="J43" s="6"/>
      <c r="K43" s="7">
        <v>79296</v>
      </c>
      <c r="L43" s="6">
        <f t="shared" si="2"/>
        <v>392</v>
      </c>
      <c r="M43" s="7">
        <v>15760</v>
      </c>
      <c r="N43" s="8">
        <f t="shared" si="3"/>
        <v>74</v>
      </c>
      <c r="O43" s="7">
        <v>63536</v>
      </c>
      <c r="P43" s="6">
        <f t="shared" si="4"/>
        <v>318</v>
      </c>
      <c r="Q43" s="9"/>
      <c r="R43" s="6">
        <f t="shared" si="5"/>
        <v>0</v>
      </c>
      <c r="S43" s="10" t="s">
        <v>1</v>
      </c>
      <c r="T43" s="2" t="s">
        <v>44</v>
      </c>
    </row>
    <row r="44" spans="1:20" ht="37.5" customHeight="1" x14ac:dyDescent="0.25">
      <c r="A44" s="2" t="s">
        <v>46</v>
      </c>
      <c r="B44">
        <f t="shared" si="0"/>
        <v>6224</v>
      </c>
      <c r="C44">
        <v>1133</v>
      </c>
      <c r="D44">
        <v>5091</v>
      </c>
      <c r="E44">
        <v>5733</v>
      </c>
      <c r="F44">
        <f t="shared" si="1"/>
        <v>214</v>
      </c>
      <c r="G44" s="3">
        <f t="shared" si="6"/>
        <v>44</v>
      </c>
      <c r="H44" s="4"/>
      <c r="I44" s="5" t="s">
        <v>47</v>
      </c>
      <c r="J44" s="6"/>
      <c r="K44" s="7">
        <f>M44+O44</f>
        <v>6010</v>
      </c>
      <c r="L44" s="6">
        <f t="shared" si="2"/>
        <v>214</v>
      </c>
      <c r="M44" s="7">
        <v>1068</v>
      </c>
      <c r="N44" s="8">
        <f t="shared" si="3"/>
        <v>65</v>
      </c>
      <c r="O44" s="7">
        <v>4942</v>
      </c>
      <c r="P44" s="6">
        <f t="shared" si="4"/>
        <v>149</v>
      </c>
      <c r="Q44" s="9">
        <v>5136</v>
      </c>
      <c r="R44" s="6">
        <f t="shared" si="5"/>
        <v>597</v>
      </c>
      <c r="S44" s="10" t="s">
        <v>1</v>
      </c>
      <c r="T44" s="2" t="s">
        <v>46</v>
      </c>
    </row>
    <row r="45" spans="1:20" ht="37.5" customHeight="1" x14ac:dyDescent="0.25">
      <c r="A45" s="2" t="s">
        <v>48</v>
      </c>
      <c r="B45">
        <f t="shared" si="0"/>
        <v>5514</v>
      </c>
      <c r="C45">
        <v>1168</v>
      </c>
      <c r="D45">
        <v>4346</v>
      </c>
      <c r="E45">
        <v>8969</v>
      </c>
      <c r="F45">
        <f t="shared" si="1"/>
        <v>297</v>
      </c>
      <c r="G45" s="3">
        <f t="shared" si="6"/>
        <v>45</v>
      </c>
      <c r="H45" s="4"/>
      <c r="I45" s="5" t="s">
        <v>49</v>
      </c>
      <c r="J45" s="6"/>
      <c r="K45" s="7">
        <f>M45+O45</f>
        <v>5217</v>
      </c>
      <c r="L45" s="6">
        <f t="shared" si="2"/>
        <v>297</v>
      </c>
      <c r="M45" s="7">
        <v>1100</v>
      </c>
      <c r="N45" s="8">
        <f t="shared" si="3"/>
        <v>68</v>
      </c>
      <c r="O45" s="7">
        <v>4117</v>
      </c>
      <c r="P45" s="6">
        <f t="shared" si="4"/>
        <v>229</v>
      </c>
      <c r="Q45" s="9">
        <v>7974</v>
      </c>
      <c r="R45" s="6">
        <f t="shared" si="5"/>
        <v>995</v>
      </c>
      <c r="S45" s="10" t="s">
        <v>1</v>
      </c>
      <c r="T45" s="2" t="s">
        <v>48</v>
      </c>
    </row>
    <row r="46" spans="1:20" ht="37.5" customHeight="1" x14ac:dyDescent="0.25">
      <c r="A46" s="2" t="s">
        <v>50</v>
      </c>
      <c r="B46">
        <f t="shared" si="0"/>
        <v>20362</v>
      </c>
      <c r="C46">
        <v>3635</v>
      </c>
      <c r="D46">
        <v>16727</v>
      </c>
      <c r="F46">
        <f t="shared" si="1"/>
        <v>348</v>
      </c>
      <c r="G46" s="3">
        <f t="shared" si="6"/>
        <v>46</v>
      </c>
      <c r="H46" s="4"/>
      <c r="I46" s="5" t="s">
        <v>51</v>
      </c>
      <c r="J46" s="6"/>
      <c r="K46" s="7">
        <v>20014</v>
      </c>
      <c r="L46" s="6">
        <f t="shared" si="2"/>
        <v>348</v>
      </c>
      <c r="M46" s="7">
        <v>3573</v>
      </c>
      <c r="N46" s="8">
        <f t="shared" si="3"/>
        <v>62</v>
      </c>
      <c r="O46" s="7">
        <v>16441</v>
      </c>
      <c r="P46" s="6">
        <f t="shared" si="4"/>
        <v>286</v>
      </c>
      <c r="Q46" s="9"/>
      <c r="R46" s="6">
        <f t="shared" si="5"/>
        <v>0</v>
      </c>
      <c r="S46" s="10" t="s">
        <v>1</v>
      </c>
      <c r="T46" s="2" t="s">
        <v>50</v>
      </c>
    </row>
    <row r="47" spans="1:20" ht="37.5" customHeight="1" x14ac:dyDescent="0.25">
      <c r="A47" s="2" t="s">
        <v>52</v>
      </c>
      <c r="B47">
        <f t="shared" si="0"/>
        <v>28979</v>
      </c>
      <c r="C47">
        <v>4970</v>
      </c>
      <c r="D47">
        <v>24009</v>
      </c>
      <c r="F47">
        <f t="shared" si="1"/>
        <v>34</v>
      </c>
      <c r="G47" s="3">
        <f t="shared" si="6"/>
        <v>47</v>
      </c>
      <c r="H47" s="4"/>
      <c r="I47" s="5" t="s">
        <v>53</v>
      </c>
      <c r="J47" s="6"/>
      <c r="K47" s="7">
        <v>28945</v>
      </c>
      <c r="L47" s="6">
        <f t="shared" si="2"/>
        <v>34</v>
      </c>
      <c r="M47" s="7">
        <v>4942</v>
      </c>
      <c r="N47" s="8">
        <f t="shared" si="3"/>
        <v>28</v>
      </c>
      <c r="O47" s="7">
        <v>23883</v>
      </c>
      <c r="P47" s="6">
        <f t="shared" si="4"/>
        <v>126</v>
      </c>
      <c r="Q47" s="9"/>
      <c r="R47" s="6">
        <f t="shared" si="5"/>
        <v>0</v>
      </c>
      <c r="S47" s="10" t="s">
        <v>1</v>
      </c>
      <c r="T47" s="2" t="s">
        <v>52</v>
      </c>
    </row>
    <row r="48" spans="1:20" ht="37.5" customHeight="1" x14ac:dyDescent="0.25">
      <c r="A48" s="2" t="s">
        <v>54</v>
      </c>
      <c r="B48">
        <f t="shared" si="0"/>
        <v>19227</v>
      </c>
      <c r="C48">
        <v>3434</v>
      </c>
      <c r="D48">
        <v>15793</v>
      </c>
      <c r="F48">
        <f t="shared" si="1"/>
        <v>176</v>
      </c>
      <c r="G48" s="3">
        <f t="shared" si="6"/>
        <v>48</v>
      </c>
      <c r="H48" s="4"/>
      <c r="I48" s="5" t="s">
        <v>55</v>
      </c>
      <c r="J48" s="6"/>
      <c r="K48" s="7">
        <v>19051</v>
      </c>
      <c r="L48" s="6">
        <f t="shared" si="2"/>
        <v>176</v>
      </c>
      <c r="M48" s="7">
        <v>3407</v>
      </c>
      <c r="N48" s="8">
        <f t="shared" si="3"/>
        <v>27</v>
      </c>
      <c r="O48" s="7">
        <v>15644</v>
      </c>
      <c r="P48" s="6">
        <f t="shared" si="4"/>
        <v>149</v>
      </c>
      <c r="Q48" s="9"/>
      <c r="R48" s="6">
        <f t="shared" si="5"/>
        <v>0</v>
      </c>
      <c r="S48" s="10" t="s">
        <v>1</v>
      </c>
      <c r="T48" s="2" t="s">
        <v>54</v>
      </c>
    </row>
    <row r="49" spans="1:20" ht="37.5" customHeight="1" x14ac:dyDescent="0.25">
      <c r="A49" s="2" t="s">
        <v>56</v>
      </c>
      <c r="B49">
        <f t="shared" si="0"/>
        <v>11994</v>
      </c>
      <c r="C49">
        <v>3199</v>
      </c>
      <c r="D49">
        <v>8795</v>
      </c>
      <c r="E49">
        <v>16224</v>
      </c>
      <c r="F49">
        <f t="shared" si="1"/>
        <v>368</v>
      </c>
      <c r="G49" s="3">
        <f t="shared" si="6"/>
        <v>49</v>
      </c>
      <c r="H49" s="4"/>
      <c r="I49" s="5" t="s">
        <v>57</v>
      </c>
      <c r="J49" s="6"/>
      <c r="K49" s="7">
        <f>M49+O49</f>
        <v>11626</v>
      </c>
      <c r="L49" s="6">
        <f t="shared" si="2"/>
        <v>368</v>
      </c>
      <c r="M49" s="7">
        <v>3107</v>
      </c>
      <c r="N49" s="8">
        <f t="shared" si="3"/>
        <v>92</v>
      </c>
      <c r="O49" s="7">
        <v>8519</v>
      </c>
      <c r="P49" s="6">
        <f t="shared" si="4"/>
        <v>276</v>
      </c>
      <c r="Q49" s="9">
        <v>15312</v>
      </c>
      <c r="R49" s="6">
        <f t="shared" si="5"/>
        <v>912</v>
      </c>
      <c r="S49" s="10" t="s">
        <v>1</v>
      </c>
      <c r="T49" s="2" t="s">
        <v>56</v>
      </c>
    </row>
    <row r="50" spans="1:20" ht="37.5" customHeight="1" x14ac:dyDescent="0.25">
      <c r="A50" s="2" t="s">
        <v>58</v>
      </c>
      <c r="B50">
        <f t="shared" si="0"/>
        <v>34927</v>
      </c>
      <c r="C50">
        <v>6898</v>
      </c>
      <c r="D50">
        <v>28029</v>
      </c>
      <c r="F50">
        <f t="shared" si="1"/>
        <v>194</v>
      </c>
      <c r="G50" s="3">
        <f t="shared" si="6"/>
        <v>50</v>
      </c>
      <c r="H50" s="4"/>
      <c r="I50" s="5" t="s">
        <v>59</v>
      </c>
      <c r="J50" s="6"/>
      <c r="K50" s="7">
        <v>34733</v>
      </c>
      <c r="L50" s="6">
        <f t="shared" si="2"/>
        <v>194</v>
      </c>
      <c r="M50" s="7">
        <v>6866</v>
      </c>
      <c r="N50" s="8">
        <f t="shared" si="3"/>
        <v>32</v>
      </c>
      <c r="O50" s="7">
        <v>27867</v>
      </c>
      <c r="P50" s="6">
        <f t="shared" si="4"/>
        <v>162</v>
      </c>
      <c r="Q50" s="9"/>
      <c r="R50" s="6">
        <f t="shared" si="5"/>
        <v>0</v>
      </c>
      <c r="S50" s="10" t="s">
        <v>1</v>
      </c>
      <c r="T50" s="2" t="s">
        <v>58</v>
      </c>
    </row>
    <row r="51" spans="1:20" ht="37.5" customHeight="1" x14ac:dyDescent="0.25">
      <c r="A51" s="2" t="s">
        <v>60</v>
      </c>
      <c r="B51">
        <f t="shared" si="0"/>
        <v>103417</v>
      </c>
      <c r="C51">
        <v>30511</v>
      </c>
      <c r="D51">
        <v>72906</v>
      </c>
      <c r="F51">
        <f t="shared" si="1"/>
        <v>300</v>
      </c>
      <c r="G51" s="3">
        <f t="shared" si="6"/>
        <v>51</v>
      </c>
      <c r="H51" s="4"/>
      <c r="I51" s="5" t="s">
        <v>61</v>
      </c>
      <c r="J51" s="6"/>
      <c r="K51" s="7">
        <v>103117</v>
      </c>
      <c r="L51" s="6">
        <f t="shared" si="2"/>
        <v>300</v>
      </c>
      <c r="M51" s="7">
        <v>30484</v>
      </c>
      <c r="N51" s="8">
        <f t="shared" si="3"/>
        <v>27</v>
      </c>
      <c r="O51" s="7">
        <v>72633</v>
      </c>
      <c r="P51" s="6">
        <f t="shared" si="4"/>
        <v>273</v>
      </c>
      <c r="Q51" s="9"/>
      <c r="R51" s="6">
        <f t="shared" si="5"/>
        <v>0</v>
      </c>
      <c r="S51" s="10" t="s">
        <v>1</v>
      </c>
      <c r="T51" s="2" t="s">
        <v>60</v>
      </c>
    </row>
    <row r="52" spans="1:20" ht="37.5" customHeight="1" x14ac:dyDescent="0.25">
      <c r="A52" s="2" t="s">
        <v>62</v>
      </c>
      <c r="B52">
        <v>7654</v>
      </c>
      <c r="C52">
        <v>1147</v>
      </c>
      <c r="D52">
        <v>6477</v>
      </c>
      <c r="F52">
        <f t="shared" si="1"/>
        <v>0</v>
      </c>
      <c r="G52" s="3">
        <f t="shared" si="6"/>
        <v>52</v>
      </c>
      <c r="H52" s="4"/>
      <c r="I52" s="5" t="s">
        <v>63</v>
      </c>
      <c r="J52" s="6"/>
      <c r="K52" s="7">
        <v>7654</v>
      </c>
      <c r="L52" s="6">
        <f t="shared" si="2"/>
        <v>0</v>
      </c>
      <c r="M52" s="7">
        <v>1147</v>
      </c>
      <c r="N52" s="8">
        <f t="shared" si="3"/>
        <v>0</v>
      </c>
      <c r="O52" s="7">
        <v>6477</v>
      </c>
      <c r="P52" s="6">
        <f t="shared" si="4"/>
        <v>0</v>
      </c>
      <c r="Q52" s="9"/>
      <c r="R52" s="6">
        <f t="shared" si="5"/>
        <v>0</v>
      </c>
      <c r="S52" s="10" t="s">
        <v>1</v>
      </c>
      <c r="T52" s="2" t="s">
        <v>62</v>
      </c>
    </row>
    <row r="53" spans="1:20" ht="37.5" customHeight="1" x14ac:dyDescent="0.25">
      <c r="A53" s="2" t="s">
        <v>64</v>
      </c>
      <c r="B53">
        <f t="shared" si="0"/>
        <v>54157</v>
      </c>
      <c r="C53">
        <v>10305</v>
      </c>
      <c r="D53">
        <v>43852</v>
      </c>
      <c r="F53">
        <f t="shared" si="1"/>
        <v>509</v>
      </c>
      <c r="G53" s="3">
        <f t="shared" si="6"/>
        <v>53</v>
      </c>
      <c r="H53" s="4"/>
      <c r="I53" s="5" t="s">
        <v>65</v>
      </c>
      <c r="J53" s="6"/>
      <c r="K53" s="7">
        <v>53648</v>
      </c>
      <c r="L53" s="6">
        <f t="shared" si="2"/>
        <v>509</v>
      </c>
      <c r="M53" s="7">
        <v>10223</v>
      </c>
      <c r="N53" s="8">
        <f t="shared" si="3"/>
        <v>82</v>
      </c>
      <c r="O53" s="7">
        <v>43425</v>
      </c>
      <c r="P53" s="6">
        <f t="shared" si="4"/>
        <v>427</v>
      </c>
      <c r="Q53" s="9"/>
      <c r="R53" s="6">
        <f t="shared" si="5"/>
        <v>0</v>
      </c>
      <c r="S53" s="10" t="s">
        <v>1</v>
      </c>
      <c r="T53" s="2" t="s">
        <v>64</v>
      </c>
    </row>
    <row r="54" spans="1:20" ht="37.5" customHeight="1" x14ac:dyDescent="0.25">
      <c r="A54" s="2" t="s">
        <v>66</v>
      </c>
      <c r="B54">
        <f t="shared" si="0"/>
        <v>34691</v>
      </c>
      <c r="C54">
        <v>6143</v>
      </c>
      <c r="D54">
        <v>28548</v>
      </c>
      <c r="F54">
        <f t="shared" si="1"/>
        <v>380</v>
      </c>
      <c r="G54" s="3">
        <f t="shared" si="6"/>
        <v>54</v>
      </c>
      <c r="H54" s="4"/>
      <c r="I54" s="5">
        <v>56</v>
      </c>
      <c r="J54" s="6"/>
      <c r="K54" s="7">
        <v>34311</v>
      </c>
      <c r="L54" s="6">
        <f t="shared" si="2"/>
        <v>380</v>
      </c>
      <c r="M54" s="7">
        <v>6090</v>
      </c>
      <c r="N54" s="8">
        <f t="shared" si="3"/>
        <v>53</v>
      </c>
      <c r="O54" s="7">
        <v>28221</v>
      </c>
      <c r="P54" s="6">
        <f t="shared" si="4"/>
        <v>327</v>
      </c>
      <c r="Q54" s="9"/>
      <c r="R54" s="6">
        <f t="shared" si="5"/>
        <v>0</v>
      </c>
      <c r="S54" s="10" t="s">
        <v>1</v>
      </c>
      <c r="T54" s="2" t="s">
        <v>66</v>
      </c>
    </row>
    <row r="55" spans="1:20" ht="37.5" customHeight="1" x14ac:dyDescent="0.25">
      <c r="A55" s="2" t="s">
        <v>67</v>
      </c>
      <c r="B55">
        <f t="shared" si="0"/>
        <v>8385</v>
      </c>
      <c r="C55">
        <v>1153</v>
      </c>
      <c r="D55">
        <v>7232</v>
      </c>
      <c r="F55">
        <f t="shared" si="1"/>
        <v>236</v>
      </c>
      <c r="G55" s="3">
        <f t="shared" si="6"/>
        <v>55</v>
      </c>
      <c r="H55" s="4"/>
      <c r="I55" s="5">
        <v>57</v>
      </c>
      <c r="J55" s="6"/>
      <c r="K55" s="7">
        <v>8149</v>
      </c>
      <c r="L55" s="6">
        <f t="shared" si="2"/>
        <v>236</v>
      </c>
      <c r="M55" s="7">
        <v>1122</v>
      </c>
      <c r="N55" s="8">
        <f t="shared" si="3"/>
        <v>31</v>
      </c>
      <c r="O55" s="7">
        <v>7027</v>
      </c>
      <c r="P55" s="6">
        <f t="shared" si="4"/>
        <v>205</v>
      </c>
      <c r="Q55" s="9"/>
      <c r="R55" s="6">
        <f t="shared" si="5"/>
        <v>0</v>
      </c>
      <c r="S55" s="10" t="s">
        <v>1</v>
      </c>
      <c r="T55" s="2" t="s">
        <v>67</v>
      </c>
    </row>
    <row r="56" spans="1:20" ht="37.5" customHeight="1" x14ac:dyDescent="0.25">
      <c r="A56" s="2" t="s">
        <v>68</v>
      </c>
      <c r="B56">
        <f t="shared" si="0"/>
        <v>87308</v>
      </c>
      <c r="C56">
        <v>24684</v>
      </c>
      <c r="D56">
        <v>62624</v>
      </c>
      <c r="F56">
        <f t="shared" si="1"/>
        <v>30</v>
      </c>
      <c r="G56" s="3">
        <f t="shared" si="6"/>
        <v>56</v>
      </c>
      <c r="H56" s="4"/>
      <c r="I56" s="5">
        <v>58</v>
      </c>
      <c r="J56" s="6"/>
      <c r="K56" s="7">
        <v>87278</v>
      </c>
      <c r="L56" s="6">
        <f t="shared" si="2"/>
        <v>30</v>
      </c>
      <c r="M56" s="7">
        <v>24681</v>
      </c>
      <c r="N56" s="8">
        <f t="shared" si="3"/>
        <v>3</v>
      </c>
      <c r="O56" s="7">
        <v>62597</v>
      </c>
      <c r="P56" s="6">
        <f t="shared" si="4"/>
        <v>27</v>
      </c>
      <c r="Q56" s="9"/>
      <c r="R56" s="6">
        <f t="shared" si="5"/>
        <v>0</v>
      </c>
      <c r="S56" s="10" t="s">
        <v>1</v>
      </c>
      <c r="T56" s="2" t="s">
        <v>68</v>
      </c>
    </row>
    <row r="57" spans="1:20" ht="37.5" customHeight="1" x14ac:dyDescent="0.25">
      <c r="A57" s="2" t="s">
        <v>69</v>
      </c>
      <c r="B57">
        <f t="shared" si="0"/>
        <v>15822</v>
      </c>
      <c r="C57">
        <v>4768</v>
      </c>
      <c r="D57">
        <v>11054</v>
      </c>
      <c r="F57">
        <f t="shared" si="1"/>
        <v>256</v>
      </c>
      <c r="G57" s="3">
        <f t="shared" si="6"/>
        <v>57</v>
      </c>
      <c r="H57" s="4"/>
      <c r="I57" s="5">
        <v>59</v>
      </c>
      <c r="J57" s="6"/>
      <c r="K57" s="7">
        <v>15566</v>
      </c>
      <c r="L57" s="6">
        <f t="shared" si="2"/>
        <v>256</v>
      </c>
      <c r="M57" s="7">
        <v>4728</v>
      </c>
      <c r="N57" s="8">
        <f t="shared" si="3"/>
        <v>40</v>
      </c>
      <c r="O57" s="7">
        <v>10838</v>
      </c>
      <c r="P57" s="6">
        <f t="shared" si="4"/>
        <v>216</v>
      </c>
      <c r="Q57" s="9"/>
      <c r="R57" s="6">
        <f t="shared" si="5"/>
        <v>0</v>
      </c>
      <c r="S57" s="10" t="s">
        <v>1</v>
      </c>
      <c r="T57" s="2" t="s">
        <v>69</v>
      </c>
    </row>
    <row r="58" spans="1:20" ht="37.5" customHeight="1" x14ac:dyDescent="0.25">
      <c r="A58" s="2" t="s">
        <v>70</v>
      </c>
      <c r="B58">
        <f t="shared" si="0"/>
        <v>94185</v>
      </c>
      <c r="C58">
        <v>19695</v>
      </c>
      <c r="D58">
        <v>74490</v>
      </c>
      <c r="F58">
        <f t="shared" si="1"/>
        <v>275</v>
      </c>
      <c r="G58" s="3">
        <f t="shared" si="6"/>
        <v>58</v>
      </c>
      <c r="H58" s="4"/>
      <c r="I58" s="5">
        <v>60</v>
      </c>
      <c r="J58" s="6"/>
      <c r="K58" s="7">
        <v>93910</v>
      </c>
      <c r="L58" s="6">
        <f t="shared" si="2"/>
        <v>275</v>
      </c>
      <c r="M58" s="7">
        <v>19644</v>
      </c>
      <c r="N58" s="8">
        <f t="shared" si="3"/>
        <v>51</v>
      </c>
      <c r="O58" s="7">
        <v>74266</v>
      </c>
      <c r="P58" s="6">
        <f t="shared" si="4"/>
        <v>224</v>
      </c>
      <c r="Q58" s="9"/>
      <c r="R58" s="6">
        <f t="shared" si="5"/>
        <v>0</v>
      </c>
      <c r="S58" s="10" t="s">
        <v>1</v>
      </c>
      <c r="T58" s="2" t="s">
        <v>70</v>
      </c>
    </row>
    <row r="59" spans="1:20" ht="37.5" customHeight="1" x14ac:dyDescent="0.25">
      <c r="A59" s="2" t="s">
        <v>71</v>
      </c>
      <c r="B59">
        <f t="shared" si="0"/>
        <v>31556</v>
      </c>
      <c r="C59">
        <v>13048</v>
      </c>
      <c r="D59">
        <v>18508</v>
      </c>
      <c r="F59">
        <f t="shared" si="1"/>
        <v>392</v>
      </c>
      <c r="G59" s="3">
        <f t="shared" si="6"/>
        <v>59</v>
      </c>
      <c r="H59" s="4"/>
      <c r="I59" s="5">
        <v>61</v>
      </c>
      <c r="J59" s="6"/>
      <c r="K59" s="7">
        <v>31164</v>
      </c>
      <c r="L59" s="6">
        <f t="shared" si="2"/>
        <v>392</v>
      </c>
      <c r="M59" s="7">
        <v>13001</v>
      </c>
      <c r="N59" s="8">
        <f t="shared" si="3"/>
        <v>47</v>
      </c>
      <c r="O59" s="7">
        <v>18163</v>
      </c>
      <c r="P59" s="6">
        <f t="shared" si="4"/>
        <v>345</v>
      </c>
      <c r="Q59" s="9"/>
      <c r="R59" s="6">
        <f t="shared" si="5"/>
        <v>0</v>
      </c>
      <c r="S59" s="10" t="s">
        <v>1</v>
      </c>
      <c r="T59" s="2" t="s">
        <v>71</v>
      </c>
    </row>
    <row r="60" spans="1:20" ht="37.5" customHeight="1" x14ac:dyDescent="0.25">
      <c r="A60" s="2" t="s">
        <v>72</v>
      </c>
      <c r="B60">
        <f t="shared" si="0"/>
        <v>5525</v>
      </c>
      <c r="C60">
        <v>884</v>
      </c>
      <c r="D60">
        <v>4641</v>
      </c>
      <c r="F60">
        <f t="shared" si="1"/>
        <v>0</v>
      </c>
      <c r="G60" s="3">
        <f t="shared" si="6"/>
        <v>60</v>
      </c>
      <c r="H60" s="4"/>
      <c r="I60" s="5">
        <v>62</v>
      </c>
      <c r="J60" s="6"/>
      <c r="K60" s="7">
        <v>5525</v>
      </c>
      <c r="L60" s="6">
        <f t="shared" si="2"/>
        <v>0</v>
      </c>
      <c r="M60" s="7">
        <v>884</v>
      </c>
      <c r="N60" s="8">
        <f t="shared" si="3"/>
        <v>0</v>
      </c>
      <c r="O60" s="7">
        <v>4641</v>
      </c>
      <c r="P60" s="6">
        <f t="shared" si="4"/>
        <v>0</v>
      </c>
      <c r="Q60" s="9"/>
      <c r="R60" s="6">
        <f t="shared" si="5"/>
        <v>0</v>
      </c>
      <c r="S60" s="10" t="s">
        <v>1</v>
      </c>
      <c r="T60" s="2" t="s">
        <v>72</v>
      </c>
    </row>
    <row r="61" spans="1:20" ht="37.5" customHeight="1" x14ac:dyDescent="0.25">
      <c r="A61" s="2" t="s">
        <v>73</v>
      </c>
      <c r="B61">
        <f t="shared" si="0"/>
        <v>89181</v>
      </c>
      <c r="C61">
        <v>28954</v>
      </c>
      <c r="D61">
        <v>60227</v>
      </c>
      <c r="F61">
        <f t="shared" si="1"/>
        <v>302</v>
      </c>
      <c r="G61" s="3">
        <f t="shared" si="6"/>
        <v>61</v>
      </c>
      <c r="H61" s="4"/>
      <c r="I61" s="5">
        <v>63</v>
      </c>
      <c r="J61" s="6"/>
      <c r="K61" s="7">
        <v>88879</v>
      </c>
      <c r="L61" s="6">
        <f t="shared" si="2"/>
        <v>302</v>
      </c>
      <c r="M61" s="7">
        <v>28906</v>
      </c>
      <c r="N61" s="8">
        <f t="shared" si="3"/>
        <v>48</v>
      </c>
      <c r="O61" s="7">
        <v>59973</v>
      </c>
      <c r="P61" s="6">
        <f t="shared" si="4"/>
        <v>254</v>
      </c>
      <c r="Q61" s="9"/>
      <c r="R61" s="6">
        <f t="shared" si="5"/>
        <v>0</v>
      </c>
      <c r="S61" s="10" t="s">
        <v>1</v>
      </c>
      <c r="T61" s="2" t="s">
        <v>73</v>
      </c>
    </row>
    <row r="62" spans="1:20" ht="37.5" customHeight="1" x14ac:dyDescent="0.25">
      <c r="A62" s="2" t="s">
        <v>74</v>
      </c>
      <c r="B62">
        <f t="shared" si="0"/>
        <v>118599</v>
      </c>
      <c r="C62">
        <v>37378</v>
      </c>
      <c r="D62">
        <v>81221</v>
      </c>
      <c r="F62">
        <f t="shared" si="1"/>
        <v>194</v>
      </c>
      <c r="G62" s="3">
        <f t="shared" si="6"/>
        <v>62</v>
      </c>
      <c r="H62" s="4"/>
      <c r="I62" s="5">
        <v>64</v>
      </c>
      <c r="J62" s="6"/>
      <c r="K62" s="7">
        <v>118405</v>
      </c>
      <c r="L62" s="6">
        <f t="shared" si="2"/>
        <v>194</v>
      </c>
      <c r="M62" s="7">
        <v>37336</v>
      </c>
      <c r="N62" s="8">
        <f t="shared" si="3"/>
        <v>42</v>
      </c>
      <c r="O62" s="7">
        <v>81069</v>
      </c>
      <c r="P62" s="6">
        <f t="shared" si="4"/>
        <v>152</v>
      </c>
      <c r="Q62" s="9"/>
      <c r="R62" s="6">
        <f t="shared" si="5"/>
        <v>0</v>
      </c>
      <c r="S62" s="10" t="s">
        <v>1</v>
      </c>
      <c r="T62" s="2" t="s">
        <v>74</v>
      </c>
    </row>
    <row r="63" spans="1:20" ht="37.5" customHeight="1" x14ac:dyDescent="0.25">
      <c r="A63" s="2" t="s">
        <v>75</v>
      </c>
      <c r="B63">
        <f t="shared" si="0"/>
        <v>50740</v>
      </c>
      <c r="C63">
        <v>12150</v>
      </c>
      <c r="D63">
        <v>38590</v>
      </c>
      <c r="F63">
        <f t="shared" si="1"/>
        <v>274</v>
      </c>
      <c r="G63" s="3">
        <f t="shared" si="6"/>
        <v>63</v>
      </c>
      <c r="H63" s="4"/>
      <c r="I63" s="5">
        <v>65</v>
      </c>
      <c r="J63" s="6"/>
      <c r="K63" s="7">
        <v>50466</v>
      </c>
      <c r="L63" s="6">
        <f t="shared" si="2"/>
        <v>274</v>
      </c>
      <c r="M63" s="7">
        <v>12092</v>
      </c>
      <c r="N63" s="8">
        <f t="shared" si="3"/>
        <v>58</v>
      </c>
      <c r="O63" s="7">
        <v>38374</v>
      </c>
      <c r="P63" s="6">
        <f t="shared" si="4"/>
        <v>216</v>
      </c>
      <c r="Q63" s="9"/>
      <c r="R63" s="6">
        <f t="shared" si="5"/>
        <v>0</v>
      </c>
      <c r="S63" s="10" t="s">
        <v>1</v>
      </c>
      <c r="T63" s="2" t="s">
        <v>75</v>
      </c>
    </row>
    <row r="64" spans="1:20" ht="37.5" customHeight="1" x14ac:dyDescent="0.25">
      <c r="A64" s="2" t="s">
        <v>76</v>
      </c>
      <c r="B64">
        <f t="shared" si="0"/>
        <v>8672</v>
      </c>
      <c r="C64">
        <v>1388</v>
      </c>
      <c r="D64">
        <v>7284</v>
      </c>
      <c r="F64">
        <f t="shared" si="1"/>
        <v>117</v>
      </c>
      <c r="G64" s="3">
        <f t="shared" si="6"/>
        <v>64</v>
      </c>
      <c r="H64" s="4"/>
      <c r="I64" s="5">
        <v>66</v>
      </c>
      <c r="J64" s="6"/>
      <c r="K64" s="7">
        <v>8555</v>
      </c>
      <c r="L64" s="6">
        <f t="shared" si="2"/>
        <v>117</v>
      </c>
      <c r="M64" s="7">
        <v>1369</v>
      </c>
      <c r="N64" s="8">
        <f t="shared" si="3"/>
        <v>19</v>
      </c>
      <c r="O64" s="7">
        <v>7186</v>
      </c>
      <c r="P64" s="6">
        <f t="shared" si="4"/>
        <v>98</v>
      </c>
      <c r="Q64" s="9"/>
      <c r="R64" s="6">
        <f t="shared" si="5"/>
        <v>0</v>
      </c>
      <c r="S64" s="10" t="s">
        <v>1</v>
      </c>
      <c r="T64" s="2" t="s">
        <v>76</v>
      </c>
    </row>
    <row r="65" spans="1:20" ht="37.5" customHeight="1" x14ac:dyDescent="0.25">
      <c r="A65" s="2" t="s">
        <v>77</v>
      </c>
      <c r="B65">
        <f t="shared" si="0"/>
        <v>583</v>
      </c>
      <c r="C65">
        <v>92</v>
      </c>
      <c r="D65">
        <v>491</v>
      </c>
      <c r="F65">
        <f t="shared" si="1"/>
        <v>9</v>
      </c>
      <c r="G65" s="3">
        <f t="shared" si="6"/>
        <v>65</v>
      </c>
      <c r="H65" s="4"/>
      <c r="I65" s="5">
        <v>67</v>
      </c>
      <c r="J65" s="6"/>
      <c r="K65" s="7">
        <v>574</v>
      </c>
      <c r="L65" s="6">
        <f t="shared" si="2"/>
        <v>9</v>
      </c>
      <c r="M65" s="7">
        <v>92</v>
      </c>
      <c r="N65" s="8">
        <f t="shared" si="3"/>
        <v>0</v>
      </c>
      <c r="O65" s="7">
        <v>482</v>
      </c>
      <c r="P65" s="6">
        <f t="shared" si="4"/>
        <v>9</v>
      </c>
      <c r="Q65" s="9"/>
      <c r="R65" s="6">
        <f t="shared" si="5"/>
        <v>0</v>
      </c>
      <c r="S65" s="10" t="s">
        <v>1</v>
      </c>
      <c r="T65" s="2" t="s">
        <v>77</v>
      </c>
    </row>
    <row r="66" spans="1:20" ht="37.5" customHeight="1" x14ac:dyDescent="0.25">
      <c r="A66" s="2" t="s">
        <v>78</v>
      </c>
      <c r="B66">
        <f t="shared" ref="B66:B129" si="7">C66+D66</f>
        <v>26540</v>
      </c>
      <c r="C66">
        <v>3660</v>
      </c>
      <c r="D66">
        <v>22880</v>
      </c>
      <c r="F66">
        <f t="shared" ref="F66:F129" si="8">L66</f>
        <v>151</v>
      </c>
      <c r="G66" s="3">
        <f t="shared" si="6"/>
        <v>66</v>
      </c>
      <c r="H66" s="4"/>
      <c r="I66" s="5">
        <v>68</v>
      </c>
      <c r="J66" s="6"/>
      <c r="K66" s="7">
        <v>26389</v>
      </c>
      <c r="L66" s="6">
        <f t="shared" ref="L66:L129" si="9">B66-K66</f>
        <v>151</v>
      </c>
      <c r="M66" s="7">
        <v>3619</v>
      </c>
      <c r="N66" s="8">
        <f t="shared" ref="N66:N129" si="10">C66-M66</f>
        <v>41</v>
      </c>
      <c r="O66" s="7">
        <v>22770</v>
      </c>
      <c r="P66" s="6">
        <f t="shared" ref="P66:P129" si="11">D66-O66</f>
        <v>110</v>
      </c>
      <c r="Q66" s="9"/>
      <c r="R66" s="6">
        <f t="shared" ref="R66:R129" si="12">E66-Q66</f>
        <v>0</v>
      </c>
      <c r="S66" s="10" t="s">
        <v>1</v>
      </c>
      <c r="T66" s="2" t="s">
        <v>78</v>
      </c>
    </row>
    <row r="67" spans="1:20" ht="37.5" customHeight="1" x14ac:dyDescent="0.25">
      <c r="A67" s="2" t="s">
        <v>79</v>
      </c>
      <c r="B67">
        <f t="shared" si="7"/>
        <v>51662</v>
      </c>
      <c r="C67">
        <v>7099</v>
      </c>
      <c r="D67">
        <v>44563</v>
      </c>
      <c r="F67">
        <f t="shared" si="8"/>
        <v>173</v>
      </c>
      <c r="G67" s="3">
        <f t="shared" ref="G67:G130" si="13">G66+1</f>
        <v>67</v>
      </c>
      <c r="H67" s="4"/>
      <c r="I67" s="5">
        <v>69</v>
      </c>
      <c r="J67" s="6"/>
      <c r="K67" s="7">
        <v>51489</v>
      </c>
      <c r="L67" s="6">
        <f t="shared" si="9"/>
        <v>173</v>
      </c>
      <c r="M67" s="7">
        <v>7098</v>
      </c>
      <c r="N67" s="8">
        <f t="shared" si="10"/>
        <v>1</v>
      </c>
      <c r="O67" s="7">
        <v>44391</v>
      </c>
      <c r="P67" s="6">
        <f t="shared" si="11"/>
        <v>172</v>
      </c>
      <c r="Q67" s="9"/>
      <c r="R67" s="6">
        <f t="shared" si="12"/>
        <v>0</v>
      </c>
      <c r="S67" s="10" t="s">
        <v>1</v>
      </c>
      <c r="T67" s="2" t="s">
        <v>79</v>
      </c>
    </row>
    <row r="68" spans="1:20" ht="37.5" customHeight="1" x14ac:dyDescent="0.25">
      <c r="A68" s="2" t="s">
        <v>80</v>
      </c>
      <c r="B68">
        <f t="shared" si="7"/>
        <v>63398</v>
      </c>
      <c r="C68">
        <v>21140</v>
      </c>
      <c r="D68">
        <v>42258</v>
      </c>
      <c r="F68">
        <f t="shared" si="8"/>
        <v>440</v>
      </c>
      <c r="G68" s="3">
        <f t="shared" si="13"/>
        <v>68</v>
      </c>
      <c r="H68" s="4"/>
      <c r="I68" s="5">
        <v>70</v>
      </c>
      <c r="J68" s="6"/>
      <c r="K68" s="7">
        <v>62958</v>
      </c>
      <c r="L68" s="6">
        <f t="shared" si="9"/>
        <v>440</v>
      </c>
      <c r="M68" s="7">
        <v>21068</v>
      </c>
      <c r="N68" s="8">
        <f t="shared" si="10"/>
        <v>72</v>
      </c>
      <c r="O68" s="7">
        <v>41890</v>
      </c>
      <c r="P68" s="6">
        <f t="shared" si="11"/>
        <v>368</v>
      </c>
      <c r="Q68" s="9"/>
      <c r="R68" s="6">
        <f t="shared" si="12"/>
        <v>0</v>
      </c>
      <c r="S68" s="10" t="s">
        <v>1</v>
      </c>
      <c r="T68" s="2" t="s">
        <v>80</v>
      </c>
    </row>
    <row r="69" spans="1:20" ht="37.5" customHeight="1" x14ac:dyDescent="0.25">
      <c r="A69" s="2" t="s">
        <v>81</v>
      </c>
      <c r="B69">
        <f t="shared" si="7"/>
        <v>86918</v>
      </c>
      <c r="C69">
        <v>27571</v>
      </c>
      <c r="D69">
        <v>59347</v>
      </c>
      <c r="F69">
        <f t="shared" si="8"/>
        <v>236</v>
      </c>
      <c r="G69" s="3">
        <f t="shared" si="13"/>
        <v>69</v>
      </c>
      <c r="H69" s="4"/>
      <c r="I69" s="5">
        <v>71</v>
      </c>
      <c r="J69" s="6"/>
      <c r="K69" s="7">
        <v>86682</v>
      </c>
      <c r="L69" s="6">
        <f t="shared" si="9"/>
        <v>236</v>
      </c>
      <c r="M69" s="7">
        <v>27542</v>
      </c>
      <c r="N69" s="8">
        <f t="shared" si="10"/>
        <v>29</v>
      </c>
      <c r="O69" s="7">
        <v>59140</v>
      </c>
      <c r="P69" s="6">
        <f t="shared" si="11"/>
        <v>207</v>
      </c>
      <c r="Q69" s="9"/>
      <c r="R69" s="6">
        <f t="shared" si="12"/>
        <v>0</v>
      </c>
      <c r="S69" s="10" t="s">
        <v>1</v>
      </c>
      <c r="T69" s="2" t="s">
        <v>81</v>
      </c>
    </row>
    <row r="70" spans="1:20" ht="37.5" customHeight="1" x14ac:dyDescent="0.25">
      <c r="A70" s="2" t="s">
        <v>82</v>
      </c>
      <c r="B70">
        <f t="shared" si="7"/>
        <v>76760</v>
      </c>
      <c r="C70">
        <v>21493</v>
      </c>
      <c r="D70">
        <v>55267</v>
      </c>
      <c r="F70">
        <f t="shared" si="8"/>
        <v>339</v>
      </c>
      <c r="G70" s="3">
        <f t="shared" si="13"/>
        <v>70</v>
      </c>
      <c r="H70" s="4"/>
      <c r="I70" s="5">
        <v>72</v>
      </c>
      <c r="J70" s="6"/>
      <c r="K70" s="7">
        <v>76421</v>
      </c>
      <c r="L70" s="6">
        <f t="shared" si="9"/>
        <v>339</v>
      </c>
      <c r="M70" s="7">
        <v>21422</v>
      </c>
      <c r="N70" s="8">
        <f t="shared" si="10"/>
        <v>71</v>
      </c>
      <c r="O70" s="7">
        <v>54999</v>
      </c>
      <c r="P70" s="6">
        <f t="shared" si="11"/>
        <v>268</v>
      </c>
      <c r="Q70" s="9"/>
      <c r="R70" s="6">
        <f t="shared" si="12"/>
        <v>0</v>
      </c>
      <c r="S70" s="10" t="s">
        <v>1</v>
      </c>
      <c r="T70" s="2" t="s">
        <v>82</v>
      </c>
    </row>
    <row r="71" spans="1:20" ht="37.5" customHeight="1" x14ac:dyDescent="0.25">
      <c r="A71" s="2" t="s">
        <v>83</v>
      </c>
      <c r="B71">
        <f t="shared" si="7"/>
        <v>71665</v>
      </c>
      <c r="C71">
        <v>19942</v>
      </c>
      <c r="D71">
        <v>51723</v>
      </c>
      <c r="F71">
        <f t="shared" si="8"/>
        <v>281</v>
      </c>
      <c r="G71" s="3">
        <f t="shared" si="13"/>
        <v>71</v>
      </c>
      <c r="H71" s="4"/>
      <c r="I71" s="5">
        <v>73</v>
      </c>
      <c r="J71" s="6"/>
      <c r="K71" s="7">
        <v>71384</v>
      </c>
      <c r="L71" s="6">
        <f t="shared" si="9"/>
        <v>281</v>
      </c>
      <c r="M71" s="7">
        <v>19802</v>
      </c>
      <c r="N71" s="8">
        <f t="shared" si="10"/>
        <v>140</v>
      </c>
      <c r="O71" s="7">
        <v>51582</v>
      </c>
      <c r="P71" s="6">
        <f t="shared" si="11"/>
        <v>141</v>
      </c>
      <c r="Q71" s="9"/>
      <c r="R71" s="6">
        <f t="shared" si="12"/>
        <v>0</v>
      </c>
      <c r="S71" s="10" t="s">
        <v>1</v>
      </c>
      <c r="T71" s="2" t="s">
        <v>83</v>
      </c>
    </row>
    <row r="72" spans="1:20" ht="37.5" customHeight="1" x14ac:dyDescent="0.25">
      <c r="A72" s="2" t="s">
        <v>84</v>
      </c>
      <c r="B72">
        <f t="shared" si="7"/>
        <v>21983</v>
      </c>
      <c r="C72">
        <v>3706</v>
      </c>
      <c r="D72">
        <v>18277</v>
      </c>
      <c r="F72">
        <f t="shared" si="8"/>
        <v>278</v>
      </c>
      <c r="G72" s="3">
        <f t="shared" si="13"/>
        <v>72</v>
      </c>
      <c r="H72" s="4"/>
      <c r="I72" s="5">
        <v>74</v>
      </c>
      <c r="J72" s="6"/>
      <c r="K72" s="7">
        <v>21705</v>
      </c>
      <c r="L72" s="6">
        <f t="shared" si="9"/>
        <v>278</v>
      </c>
      <c r="M72" s="7">
        <v>3659</v>
      </c>
      <c r="N72" s="8">
        <f t="shared" si="10"/>
        <v>47</v>
      </c>
      <c r="O72" s="7">
        <v>18046</v>
      </c>
      <c r="P72" s="6">
        <f t="shared" si="11"/>
        <v>231</v>
      </c>
      <c r="Q72" s="9"/>
      <c r="R72" s="6">
        <f t="shared" si="12"/>
        <v>0</v>
      </c>
      <c r="S72" s="10" t="s">
        <v>1</v>
      </c>
      <c r="T72" s="2" t="s">
        <v>84</v>
      </c>
    </row>
    <row r="73" spans="1:20" ht="37.5" customHeight="1" x14ac:dyDescent="0.25">
      <c r="A73" s="2" t="s">
        <v>85</v>
      </c>
      <c r="B73">
        <f t="shared" si="7"/>
        <v>73674</v>
      </c>
      <c r="C73">
        <v>13315</v>
      </c>
      <c r="D73">
        <v>60359</v>
      </c>
      <c r="F73">
        <f t="shared" si="8"/>
        <v>288</v>
      </c>
      <c r="G73" s="3">
        <f t="shared" si="13"/>
        <v>73</v>
      </c>
      <c r="H73" s="4"/>
      <c r="I73" s="5" t="s">
        <v>86</v>
      </c>
      <c r="J73" s="6"/>
      <c r="K73" s="7">
        <v>73386</v>
      </c>
      <c r="L73" s="6">
        <f t="shared" si="9"/>
        <v>288</v>
      </c>
      <c r="M73" s="7">
        <v>13260</v>
      </c>
      <c r="N73" s="8">
        <f t="shared" si="10"/>
        <v>55</v>
      </c>
      <c r="O73" s="7">
        <v>60126</v>
      </c>
      <c r="P73" s="6">
        <f t="shared" si="11"/>
        <v>233</v>
      </c>
      <c r="Q73" s="9"/>
      <c r="R73" s="6">
        <f t="shared" si="12"/>
        <v>0</v>
      </c>
      <c r="S73" s="10" t="s">
        <v>1</v>
      </c>
      <c r="T73" s="2" t="s">
        <v>85</v>
      </c>
    </row>
    <row r="74" spans="1:20" ht="37.5" customHeight="1" x14ac:dyDescent="0.25">
      <c r="A74" s="2" t="s">
        <v>87</v>
      </c>
      <c r="B74">
        <f t="shared" si="7"/>
        <v>64431</v>
      </c>
      <c r="C74">
        <v>13275</v>
      </c>
      <c r="D74">
        <v>51156</v>
      </c>
      <c r="F74">
        <f t="shared" si="8"/>
        <v>291</v>
      </c>
      <c r="G74" s="3">
        <f t="shared" si="13"/>
        <v>74</v>
      </c>
      <c r="H74" s="4"/>
      <c r="I74" s="5" t="s">
        <v>88</v>
      </c>
      <c r="J74" s="6"/>
      <c r="K74" s="7">
        <v>64140</v>
      </c>
      <c r="L74" s="6">
        <f t="shared" si="9"/>
        <v>291</v>
      </c>
      <c r="M74" s="7">
        <v>13245</v>
      </c>
      <c r="N74" s="8">
        <f t="shared" si="10"/>
        <v>30</v>
      </c>
      <c r="O74" s="7">
        <v>50895</v>
      </c>
      <c r="P74" s="6">
        <f t="shared" si="11"/>
        <v>261</v>
      </c>
      <c r="Q74" s="9"/>
      <c r="R74" s="6">
        <f t="shared" si="12"/>
        <v>0</v>
      </c>
      <c r="S74" s="10" t="s">
        <v>1</v>
      </c>
      <c r="T74" s="2" t="s">
        <v>87</v>
      </c>
    </row>
    <row r="75" spans="1:20" ht="37.5" customHeight="1" x14ac:dyDescent="0.25">
      <c r="A75" s="2" t="s">
        <v>89</v>
      </c>
      <c r="B75">
        <f t="shared" si="7"/>
        <v>18219</v>
      </c>
      <c r="C75">
        <v>3598</v>
      </c>
      <c r="D75">
        <v>14621</v>
      </c>
      <c r="F75">
        <f t="shared" si="8"/>
        <v>80</v>
      </c>
      <c r="G75" s="3">
        <f t="shared" si="13"/>
        <v>75</v>
      </c>
      <c r="H75" s="4"/>
      <c r="I75" s="5" t="s">
        <v>90</v>
      </c>
      <c r="J75" s="6"/>
      <c r="K75" s="7">
        <v>18139</v>
      </c>
      <c r="L75" s="6">
        <f t="shared" si="9"/>
        <v>80</v>
      </c>
      <c r="M75" s="7">
        <v>3585</v>
      </c>
      <c r="N75" s="8">
        <f t="shared" si="10"/>
        <v>13</v>
      </c>
      <c r="O75" s="7">
        <v>14554</v>
      </c>
      <c r="P75" s="6">
        <f t="shared" si="11"/>
        <v>67</v>
      </c>
      <c r="Q75" s="9"/>
      <c r="R75" s="6">
        <f t="shared" si="12"/>
        <v>0</v>
      </c>
      <c r="S75" s="10" t="s">
        <v>1</v>
      </c>
      <c r="T75" s="2" t="s">
        <v>89</v>
      </c>
    </row>
    <row r="76" spans="1:20" ht="37.5" customHeight="1" x14ac:dyDescent="0.25">
      <c r="A76" s="2" t="s">
        <v>91</v>
      </c>
      <c r="B76">
        <f t="shared" si="7"/>
        <v>67446</v>
      </c>
      <c r="C76">
        <v>11779</v>
      </c>
      <c r="D76">
        <v>55667</v>
      </c>
      <c r="F76">
        <f t="shared" si="8"/>
        <v>295</v>
      </c>
      <c r="G76" s="3">
        <f t="shared" si="13"/>
        <v>76</v>
      </c>
      <c r="H76" s="4"/>
      <c r="I76" s="5" t="s">
        <v>92</v>
      </c>
      <c r="J76" s="6"/>
      <c r="K76" s="7">
        <v>67151</v>
      </c>
      <c r="L76" s="6">
        <f t="shared" si="9"/>
        <v>295</v>
      </c>
      <c r="M76" s="7">
        <v>11728</v>
      </c>
      <c r="N76" s="8">
        <f t="shared" si="10"/>
        <v>51</v>
      </c>
      <c r="O76" s="7">
        <v>55423</v>
      </c>
      <c r="P76" s="6">
        <f t="shared" si="11"/>
        <v>244</v>
      </c>
      <c r="Q76" s="9"/>
      <c r="R76" s="6">
        <f t="shared" si="12"/>
        <v>0</v>
      </c>
      <c r="S76" s="10" t="s">
        <v>1</v>
      </c>
      <c r="T76" s="2" t="s">
        <v>91</v>
      </c>
    </row>
    <row r="77" spans="1:20" ht="37.5" customHeight="1" x14ac:dyDescent="0.25">
      <c r="A77" s="2" t="s">
        <v>93</v>
      </c>
      <c r="B77">
        <f t="shared" si="7"/>
        <v>71695</v>
      </c>
      <c r="C77">
        <v>19901</v>
      </c>
      <c r="D77">
        <v>51794</v>
      </c>
      <c r="F77">
        <f t="shared" si="8"/>
        <v>230</v>
      </c>
      <c r="G77" s="3">
        <f t="shared" si="13"/>
        <v>77</v>
      </c>
      <c r="H77" s="4"/>
      <c r="I77" s="5" t="s">
        <v>94</v>
      </c>
      <c r="J77" s="6"/>
      <c r="K77" s="7">
        <v>71465</v>
      </c>
      <c r="L77" s="6">
        <f t="shared" si="9"/>
        <v>230</v>
      </c>
      <c r="M77" s="7">
        <v>19861</v>
      </c>
      <c r="N77" s="8">
        <f t="shared" si="10"/>
        <v>40</v>
      </c>
      <c r="O77" s="7">
        <v>51604</v>
      </c>
      <c r="P77" s="6">
        <f t="shared" si="11"/>
        <v>190</v>
      </c>
      <c r="Q77" s="9"/>
      <c r="R77" s="6">
        <f t="shared" si="12"/>
        <v>0</v>
      </c>
      <c r="S77" s="10" t="s">
        <v>1</v>
      </c>
      <c r="T77" s="2" t="s">
        <v>93</v>
      </c>
    </row>
    <row r="78" spans="1:20" ht="37.5" customHeight="1" x14ac:dyDescent="0.25">
      <c r="A78" s="2" t="s">
        <v>95</v>
      </c>
      <c r="B78">
        <f t="shared" si="7"/>
        <v>63521</v>
      </c>
      <c r="C78">
        <v>18013</v>
      </c>
      <c r="D78">
        <v>45508</v>
      </c>
      <c r="F78">
        <f t="shared" si="8"/>
        <v>487</v>
      </c>
      <c r="G78" s="3">
        <f t="shared" si="13"/>
        <v>78</v>
      </c>
      <c r="H78" s="4"/>
      <c r="I78" s="5" t="s">
        <v>96</v>
      </c>
      <c r="J78" s="6"/>
      <c r="K78" s="7">
        <v>63034</v>
      </c>
      <c r="L78" s="6">
        <f t="shared" si="9"/>
        <v>487</v>
      </c>
      <c r="M78" s="7">
        <v>17938</v>
      </c>
      <c r="N78" s="8">
        <f t="shared" si="10"/>
        <v>75</v>
      </c>
      <c r="O78" s="7">
        <v>45096</v>
      </c>
      <c r="P78" s="6">
        <f t="shared" si="11"/>
        <v>412</v>
      </c>
      <c r="Q78" s="9"/>
      <c r="R78" s="6">
        <f t="shared" si="12"/>
        <v>0</v>
      </c>
      <c r="S78" s="10" t="s">
        <v>1</v>
      </c>
      <c r="T78" s="2" t="s">
        <v>95</v>
      </c>
    </row>
    <row r="79" spans="1:20" ht="37.5" customHeight="1" x14ac:dyDescent="0.25">
      <c r="A79" s="2" t="s">
        <v>97</v>
      </c>
      <c r="B79">
        <f t="shared" si="7"/>
        <v>24661</v>
      </c>
      <c r="C79">
        <v>3875</v>
      </c>
      <c r="D79">
        <v>20786</v>
      </c>
      <c r="F79">
        <f t="shared" si="8"/>
        <v>362</v>
      </c>
      <c r="G79" s="3">
        <f t="shared" si="13"/>
        <v>79</v>
      </c>
      <c r="H79" s="4"/>
      <c r="I79" s="5" t="s">
        <v>98</v>
      </c>
      <c r="J79" s="6"/>
      <c r="K79" s="7">
        <v>24299</v>
      </c>
      <c r="L79" s="6">
        <f t="shared" si="9"/>
        <v>362</v>
      </c>
      <c r="M79" s="7">
        <v>3821</v>
      </c>
      <c r="N79" s="8">
        <f t="shared" si="10"/>
        <v>54</v>
      </c>
      <c r="O79" s="7">
        <v>20478</v>
      </c>
      <c r="P79" s="6">
        <f t="shared" si="11"/>
        <v>308</v>
      </c>
      <c r="Q79" s="9"/>
      <c r="R79" s="6">
        <f t="shared" si="12"/>
        <v>0</v>
      </c>
      <c r="S79" s="10" t="s">
        <v>1</v>
      </c>
      <c r="T79" s="2" t="s">
        <v>97</v>
      </c>
    </row>
    <row r="80" spans="1:20" ht="37.5" customHeight="1" x14ac:dyDescent="0.25">
      <c r="A80" s="2" t="s">
        <v>99</v>
      </c>
      <c r="B80">
        <f t="shared" si="7"/>
        <v>25577</v>
      </c>
      <c r="C80">
        <v>4865</v>
      </c>
      <c r="D80">
        <v>20712</v>
      </c>
      <c r="F80">
        <f t="shared" si="8"/>
        <v>369</v>
      </c>
      <c r="G80" s="3">
        <f t="shared" si="13"/>
        <v>80</v>
      </c>
      <c r="H80" s="4"/>
      <c r="I80" s="5" t="s">
        <v>100</v>
      </c>
      <c r="J80" s="6"/>
      <c r="K80" s="7">
        <v>25208</v>
      </c>
      <c r="L80" s="6">
        <f t="shared" si="9"/>
        <v>369</v>
      </c>
      <c r="M80" s="7">
        <v>4798</v>
      </c>
      <c r="N80" s="8">
        <f t="shared" si="10"/>
        <v>67</v>
      </c>
      <c r="O80" s="7">
        <v>20410</v>
      </c>
      <c r="P80" s="6">
        <f t="shared" si="11"/>
        <v>302</v>
      </c>
      <c r="Q80" s="9"/>
      <c r="R80" s="6">
        <f t="shared" si="12"/>
        <v>0</v>
      </c>
      <c r="S80" s="10" t="s">
        <v>1</v>
      </c>
      <c r="T80" s="2" t="s">
        <v>99</v>
      </c>
    </row>
    <row r="81" spans="1:20" ht="37.5" customHeight="1" x14ac:dyDescent="0.25">
      <c r="A81" s="2" t="s">
        <v>101</v>
      </c>
      <c r="B81">
        <f t="shared" si="7"/>
        <v>121354</v>
      </c>
      <c r="C81">
        <v>30359</v>
      </c>
      <c r="D81">
        <v>90995</v>
      </c>
      <c r="F81">
        <f t="shared" si="8"/>
        <v>743</v>
      </c>
      <c r="G81" s="3">
        <f t="shared" si="13"/>
        <v>81</v>
      </c>
      <c r="H81" s="4"/>
      <c r="I81" s="5" t="s">
        <v>102</v>
      </c>
      <c r="J81" s="6"/>
      <c r="K81" s="7">
        <v>120611</v>
      </c>
      <c r="L81" s="6">
        <f t="shared" si="9"/>
        <v>743</v>
      </c>
      <c r="M81" s="7">
        <v>30235</v>
      </c>
      <c r="N81" s="8">
        <f t="shared" si="10"/>
        <v>124</v>
      </c>
      <c r="O81" s="7">
        <v>90376</v>
      </c>
      <c r="P81" s="6">
        <f t="shared" si="11"/>
        <v>619</v>
      </c>
      <c r="Q81" s="9"/>
      <c r="R81" s="6">
        <f t="shared" si="12"/>
        <v>0</v>
      </c>
      <c r="S81" s="10" t="s">
        <v>1</v>
      </c>
      <c r="T81" s="2" t="s">
        <v>101</v>
      </c>
    </row>
    <row r="82" spans="1:20" ht="37.5" customHeight="1" x14ac:dyDescent="0.25">
      <c r="A82" s="2" t="s">
        <v>103</v>
      </c>
      <c r="B82">
        <f t="shared" si="7"/>
        <v>56480</v>
      </c>
      <c r="C82">
        <v>9706</v>
      </c>
      <c r="D82">
        <v>46774</v>
      </c>
      <c r="F82">
        <f t="shared" si="8"/>
        <v>282</v>
      </c>
      <c r="G82" s="3">
        <f t="shared" si="13"/>
        <v>82</v>
      </c>
      <c r="H82" s="4"/>
      <c r="I82" s="5" t="s">
        <v>104</v>
      </c>
      <c r="J82" s="6"/>
      <c r="K82" s="7">
        <v>56198</v>
      </c>
      <c r="L82" s="6">
        <f t="shared" si="9"/>
        <v>282</v>
      </c>
      <c r="M82" s="7">
        <v>9652</v>
      </c>
      <c r="N82" s="8">
        <f t="shared" si="10"/>
        <v>54</v>
      </c>
      <c r="O82" s="7">
        <v>46546</v>
      </c>
      <c r="P82" s="6">
        <f t="shared" si="11"/>
        <v>228</v>
      </c>
      <c r="Q82" s="9"/>
      <c r="R82" s="6">
        <f t="shared" si="12"/>
        <v>0</v>
      </c>
      <c r="S82" s="10" t="s">
        <v>1</v>
      </c>
      <c r="T82" s="2" t="s">
        <v>103</v>
      </c>
    </row>
    <row r="83" spans="1:20" ht="37.5" customHeight="1" x14ac:dyDescent="0.25">
      <c r="A83" s="2" t="s">
        <v>105</v>
      </c>
      <c r="B83">
        <f t="shared" si="7"/>
        <v>85146</v>
      </c>
      <c r="C83">
        <v>24161</v>
      </c>
      <c r="D83">
        <v>60985</v>
      </c>
      <c r="F83">
        <f t="shared" si="8"/>
        <v>491</v>
      </c>
      <c r="G83" s="3">
        <f t="shared" si="13"/>
        <v>83</v>
      </c>
      <c r="H83" s="4"/>
      <c r="I83" s="5">
        <v>75</v>
      </c>
      <c r="J83" s="6"/>
      <c r="K83" s="7">
        <v>84655</v>
      </c>
      <c r="L83" s="6">
        <f t="shared" si="9"/>
        <v>491</v>
      </c>
      <c r="M83" s="7">
        <v>24061</v>
      </c>
      <c r="N83" s="8">
        <f t="shared" si="10"/>
        <v>100</v>
      </c>
      <c r="O83" s="7">
        <v>60594</v>
      </c>
      <c r="P83" s="6">
        <f t="shared" si="11"/>
        <v>391</v>
      </c>
      <c r="Q83" s="9"/>
      <c r="R83" s="6">
        <f t="shared" si="12"/>
        <v>0</v>
      </c>
      <c r="S83" s="10" t="s">
        <v>1</v>
      </c>
      <c r="T83" s="2" t="s">
        <v>105</v>
      </c>
    </row>
    <row r="84" spans="1:20" ht="37.5" customHeight="1" x14ac:dyDescent="0.25">
      <c r="A84" s="2" t="s">
        <v>106</v>
      </c>
      <c r="B84">
        <f t="shared" si="7"/>
        <v>93593</v>
      </c>
      <c r="C84">
        <v>17970</v>
      </c>
      <c r="D84">
        <v>75623</v>
      </c>
      <c r="F84">
        <f t="shared" si="8"/>
        <v>313</v>
      </c>
      <c r="G84" s="3">
        <f t="shared" si="13"/>
        <v>84</v>
      </c>
      <c r="H84" s="4"/>
      <c r="I84" s="5" t="s">
        <v>107</v>
      </c>
      <c r="J84" s="6"/>
      <c r="K84" s="7">
        <v>93280</v>
      </c>
      <c r="L84" s="6">
        <f t="shared" si="9"/>
        <v>313</v>
      </c>
      <c r="M84" s="7">
        <v>17917</v>
      </c>
      <c r="N84" s="8">
        <f t="shared" si="10"/>
        <v>53</v>
      </c>
      <c r="O84" s="7">
        <v>75363</v>
      </c>
      <c r="P84" s="6">
        <f t="shared" si="11"/>
        <v>260</v>
      </c>
      <c r="Q84" s="9"/>
      <c r="R84" s="6">
        <f t="shared" si="12"/>
        <v>0</v>
      </c>
      <c r="S84" s="10" t="s">
        <v>1</v>
      </c>
      <c r="T84" s="2" t="s">
        <v>106</v>
      </c>
    </row>
    <row r="85" spans="1:20" ht="37.5" customHeight="1" x14ac:dyDescent="0.25">
      <c r="A85" s="2" t="s">
        <v>108</v>
      </c>
      <c r="B85">
        <f t="shared" si="7"/>
        <v>114810</v>
      </c>
      <c r="C85">
        <v>26517</v>
      </c>
      <c r="D85">
        <v>88293</v>
      </c>
      <c r="F85">
        <f t="shared" si="8"/>
        <v>2</v>
      </c>
      <c r="G85" s="3">
        <f t="shared" si="13"/>
        <v>85</v>
      </c>
      <c r="H85" s="4"/>
      <c r="I85" s="5" t="s">
        <v>109</v>
      </c>
      <c r="J85" s="6"/>
      <c r="K85" s="7">
        <v>114808</v>
      </c>
      <c r="L85" s="6">
        <f t="shared" si="9"/>
        <v>2</v>
      </c>
      <c r="M85" s="7">
        <v>26516</v>
      </c>
      <c r="N85" s="8">
        <f t="shared" si="10"/>
        <v>1</v>
      </c>
      <c r="O85" s="7">
        <v>88292</v>
      </c>
      <c r="P85" s="6">
        <f t="shared" si="11"/>
        <v>1</v>
      </c>
      <c r="Q85" s="9"/>
      <c r="R85" s="6">
        <f t="shared" si="12"/>
        <v>0</v>
      </c>
      <c r="S85" s="10" t="s">
        <v>1</v>
      </c>
      <c r="T85" s="2" t="s">
        <v>108</v>
      </c>
    </row>
    <row r="86" spans="1:20" ht="37.5" customHeight="1" x14ac:dyDescent="0.25">
      <c r="A86" s="2" t="s">
        <v>110</v>
      </c>
      <c r="B86">
        <f t="shared" si="7"/>
        <v>45222</v>
      </c>
      <c r="C86">
        <v>7398</v>
      </c>
      <c r="D86">
        <v>37824</v>
      </c>
      <c r="F86">
        <f t="shared" si="8"/>
        <v>268</v>
      </c>
      <c r="G86" s="3">
        <f t="shared" si="13"/>
        <v>86</v>
      </c>
      <c r="H86" s="4"/>
      <c r="I86" s="5" t="s">
        <v>111</v>
      </c>
      <c r="J86" s="6"/>
      <c r="K86" s="7">
        <v>44954</v>
      </c>
      <c r="L86" s="6">
        <f t="shared" si="9"/>
        <v>268</v>
      </c>
      <c r="M86" s="7">
        <v>7352</v>
      </c>
      <c r="N86" s="8">
        <f t="shared" si="10"/>
        <v>46</v>
      </c>
      <c r="O86" s="7">
        <v>37602</v>
      </c>
      <c r="P86" s="6">
        <f t="shared" si="11"/>
        <v>222</v>
      </c>
      <c r="Q86" s="9"/>
      <c r="R86" s="6">
        <f t="shared" si="12"/>
        <v>0</v>
      </c>
      <c r="S86" s="10" t="s">
        <v>1</v>
      </c>
      <c r="T86" s="2" t="s">
        <v>110</v>
      </c>
    </row>
    <row r="87" spans="1:20" ht="37.5" customHeight="1" x14ac:dyDescent="0.25">
      <c r="A87" s="2" t="s">
        <v>112</v>
      </c>
      <c r="B87">
        <f t="shared" si="7"/>
        <v>32389</v>
      </c>
      <c r="C87">
        <v>5408</v>
      </c>
      <c r="D87">
        <v>26981</v>
      </c>
      <c r="F87">
        <f t="shared" si="8"/>
        <v>930</v>
      </c>
      <c r="G87" s="3">
        <f t="shared" si="13"/>
        <v>87</v>
      </c>
      <c r="H87" s="4"/>
      <c r="I87" s="5" t="s">
        <v>113</v>
      </c>
      <c r="J87" s="6"/>
      <c r="K87" s="7">
        <v>31459</v>
      </c>
      <c r="L87" s="6">
        <f t="shared" si="9"/>
        <v>930</v>
      </c>
      <c r="M87" s="7">
        <v>5273</v>
      </c>
      <c r="N87" s="8">
        <f t="shared" si="10"/>
        <v>135</v>
      </c>
      <c r="O87" s="7">
        <v>26186</v>
      </c>
      <c r="P87" s="6">
        <f t="shared" si="11"/>
        <v>795</v>
      </c>
      <c r="Q87" s="9"/>
      <c r="R87" s="6">
        <f t="shared" si="12"/>
        <v>0</v>
      </c>
      <c r="S87" s="10" t="s">
        <v>1</v>
      </c>
      <c r="T87" s="2" t="s">
        <v>112</v>
      </c>
    </row>
    <row r="88" spans="1:20" ht="37.5" customHeight="1" x14ac:dyDescent="0.25">
      <c r="A88" s="2" t="s">
        <v>114</v>
      </c>
      <c r="B88">
        <f t="shared" si="7"/>
        <v>59803</v>
      </c>
      <c r="C88">
        <v>14130</v>
      </c>
      <c r="D88">
        <v>45673</v>
      </c>
      <c r="F88">
        <f t="shared" si="8"/>
        <v>424</v>
      </c>
      <c r="G88" s="3">
        <f t="shared" si="13"/>
        <v>88</v>
      </c>
      <c r="H88" s="4"/>
      <c r="I88" s="5" t="s">
        <v>115</v>
      </c>
      <c r="J88" s="6"/>
      <c r="K88" s="7">
        <v>59379</v>
      </c>
      <c r="L88" s="6">
        <f t="shared" si="9"/>
        <v>424</v>
      </c>
      <c r="M88" s="7">
        <v>14059</v>
      </c>
      <c r="N88" s="8">
        <f t="shared" si="10"/>
        <v>71</v>
      </c>
      <c r="O88" s="7">
        <v>45320</v>
      </c>
      <c r="P88" s="6">
        <f t="shared" si="11"/>
        <v>353</v>
      </c>
      <c r="Q88" s="9"/>
      <c r="R88" s="6">
        <f t="shared" si="12"/>
        <v>0</v>
      </c>
      <c r="S88" s="10" t="s">
        <v>1</v>
      </c>
      <c r="T88" s="2" t="s">
        <v>114</v>
      </c>
    </row>
    <row r="89" spans="1:20" ht="37.5" customHeight="1" x14ac:dyDescent="0.25">
      <c r="A89" s="2" t="s">
        <v>116</v>
      </c>
      <c r="B89">
        <f t="shared" si="7"/>
        <v>24639</v>
      </c>
      <c r="C89">
        <v>6504</v>
      </c>
      <c r="D89">
        <v>18135</v>
      </c>
      <c r="E89">
        <v>15578</v>
      </c>
      <c r="F89">
        <f t="shared" si="8"/>
        <v>631</v>
      </c>
      <c r="G89" s="3">
        <f t="shared" si="13"/>
        <v>89</v>
      </c>
      <c r="H89" s="4"/>
      <c r="I89" s="5" t="s">
        <v>117</v>
      </c>
      <c r="J89" s="6"/>
      <c r="K89" s="7">
        <f>M89+O89</f>
        <v>24008</v>
      </c>
      <c r="L89" s="6">
        <f t="shared" si="9"/>
        <v>631</v>
      </c>
      <c r="M89" s="7">
        <v>6332</v>
      </c>
      <c r="N89" s="8">
        <f t="shared" si="10"/>
        <v>172</v>
      </c>
      <c r="O89" s="7">
        <v>17676</v>
      </c>
      <c r="P89" s="6">
        <f t="shared" si="11"/>
        <v>459</v>
      </c>
      <c r="Q89" s="9">
        <v>14744</v>
      </c>
      <c r="R89" s="6">
        <f t="shared" si="12"/>
        <v>834</v>
      </c>
      <c r="S89" s="10" t="s">
        <v>1</v>
      </c>
      <c r="T89" s="2" t="s">
        <v>116</v>
      </c>
    </row>
    <row r="90" spans="1:20" ht="37.5" customHeight="1" x14ac:dyDescent="0.25">
      <c r="A90" s="2" t="s">
        <v>118</v>
      </c>
      <c r="B90">
        <f t="shared" si="7"/>
        <v>25790</v>
      </c>
      <c r="C90">
        <v>4707</v>
      </c>
      <c r="D90">
        <v>21083</v>
      </c>
      <c r="F90">
        <f t="shared" si="8"/>
        <v>417</v>
      </c>
      <c r="G90" s="3">
        <f t="shared" si="13"/>
        <v>90</v>
      </c>
      <c r="H90" s="4"/>
      <c r="I90" s="5">
        <v>76</v>
      </c>
      <c r="J90" s="6"/>
      <c r="K90" s="7">
        <v>25373</v>
      </c>
      <c r="L90" s="6">
        <f t="shared" si="9"/>
        <v>417</v>
      </c>
      <c r="M90" s="7">
        <v>4638</v>
      </c>
      <c r="N90" s="8">
        <f t="shared" si="10"/>
        <v>69</v>
      </c>
      <c r="O90" s="7">
        <v>20735</v>
      </c>
      <c r="P90" s="6">
        <f t="shared" si="11"/>
        <v>348</v>
      </c>
      <c r="Q90" s="9"/>
      <c r="R90" s="6">
        <f t="shared" si="12"/>
        <v>0</v>
      </c>
      <c r="S90" s="10" t="s">
        <v>1</v>
      </c>
      <c r="T90" s="2" t="s">
        <v>118</v>
      </c>
    </row>
    <row r="91" spans="1:20" ht="37.5" customHeight="1" x14ac:dyDescent="0.25">
      <c r="A91" s="2" t="s">
        <v>119</v>
      </c>
      <c r="B91">
        <f t="shared" si="7"/>
        <v>81059</v>
      </c>
      <c r="C91">
        <v>13759</v>
      </c>
      <c r="D91">
        <v>67300</v>
      </c>
      <c r="F91">
        <f t="shared" si="8"/>
        <v>276</v>
      </c>
      <c r="G91" s="3">
        <f t="shared" si="13"/>
        <v>91</v>
      </c>
      <c r="H91" s="4"/>
      <c r="I91" s="5">
        <v>77</v>
      </c>
      <c r="J91" s="6"/>
      <c r="K91" s="7">
        <v>80783</v>
      </c>
      <c r="L91" s="6">
        <f t="shared" si="9"/>
        <v>276</v>
      </c>
      <c r="M91" s="7">
        <v>13713</v>
      </c>
      <c r="N91" s="8">
        <f t="shared" si="10"/>
        <v>46</v>
      </c>
      <c r="O91" s="7">
        <v>67070</v>
      </c>
      <c r="P91" s="6">
        <f t="shared" si="11"/>
        <v>230</v>
      </c>
      <c r="Q91" s="9"/>
      <c r="R91" s="6">
        <f t="shared" si="12"/>
        <v>0</v>
      </c>
      <c r="S91" s="10" t="s">
        <v>1</v>
      </c>
      <c r="T91" s="2" t="s">
        <v>119</v>
      </c>
    </row>
    <row r="92" spans="1:20" ht="37.5" customHeight="1" x14ac:dyDescent="0.25">
      <c r="A92" s="2" t="s">
        <v>120</v>
      </c>
      <c r="B92">
        <f t="shared" si="7"/>
        <v>19528</v>
      </c>
      <c r="C92">
        <v>3107</v>
      </c>
      <c r="D92">
        <v>16421</v>
      </c>
      <c r="F92">
        <f t="shared" si="8"/>
        <v>277</v>
      </c>
      <c r="G92" s="3">
        <f t="shared" si="13"/>
        <v>92</v>
      </c>
      <c r="H92" s="4"/>
      <c r="I92" s="5">
        <v>78</v>
      </c>
      <c r="J92" s="6"/>
      <c r="K92" s="7">
        <v>19251</v>
      </c>
      <c r="L92" s="6">
        <f t="shared" si="9"/>
        <v>277</v>
      </c>
      <c r="M92" s="7">
        <v>3063</v>
      </c>
      <c r="N92" s="8">
        <f t="shared" si="10"/>
        <v>44</v>
      </c>
      <c r="O92" s="7">
        <v>16188</v>
      </c>
      <c r="P92" s="6">
        <f t="shared" si="11"/>
        <v>233</v>
      </c>
      <c r="Q92" s="9"/>
      <c r="R92" s="6">
        <f t="shared" si="12"/>
        <v>0</v>
      </c>
      <c r="S92" s="10" t="s">
        <v>1</v>
      </c>
      <c r="T92" s="2" t="s">
        <v>120</v>
      </c>
    </row>
    <row r="93" spans="1:20" ht="37.5" customHeight="1" x14ac:dyDescent="0.25">
      <c r="A93" s="2" t="s">
        <v>121</v>
      </c>
      <c r="B93">
        <f t="shared" si="7"/>
        <v>5953</v>
      </c>
      <c r="C93">
        <v>1333</v>
      </c>
      <c r="D93">
        <v>4620</v>
      </c>
      <c r="E93">
        <v>4240</v>
      </c>
      <c r="F93">
        <f t="shared" si="8"/>
        <v>524</v>
      </c>
      <c r="G93" s="3">
        <f t="shared" si="13"/>
        <v>93</v>
      </c>
      <c r="H93" s="4"/>
      <c r="I93" s="5">
        <v>79</v>
      </c>
      <c r="J93" s="6"/>
      <c r="K93" s="7">
        <f>M93+O93</f>
        <v>5429</v>
      </c>
      <c r="L93" s="6">
        <f t="shared" si="9"/>
        <v>524</v>
      </c>
      <c r="M93" s="7">
        <v>1222</v>
      </c>
      <c r="N93" s="8">
        <f t="shared" si="10"/>
        <v>111</v>
      </c>
      <c r="O93" s="7">
        <v>4207</v>
      </c>
      <c r="P93" s="6">
        <f t="shared" si="11"/>
        <v>413</v>
      </c>
      <c r="Q93" s="9">
        <v>3759</v>
      </c>
      <c r="R93" s="6">
        <f t="shared" si="12"/>
        <v>481</v>
      </c>
      <c r="S93" s="10" t="s">
        <v>1</v>
      </c>
      <c r="T93" s="2" t="s">
        <v>121</v>
      </c>
    </row>
    <row r="94" spans="1:20" ht="37.5" customHeight="1" x14ac:dyDescent="0.25">
      <c r="A94" s="2" t="s">
        <v>122</v>
      </c>
      <c r="B94">
        <f t="shared" si="7"/>
        <v>65084</v>
      </c>
      <c r="C94">
        <v>15207</v>
      </c>
      <c r="D94">
        <v>49877</v>
      </c>
      <c r="F94">
        <f t="shared" si="8"/>
        <v>289</v>
      </c>
      <c r="G94" s="3">
        <f t="shared" si="13"/>
        <v>94</v>
      </c>
      <c r="H94" s="4"/>
      <c r="I94" s="5">
        <v>80</v>
      </c>
      <c r="J94" s="6"/>
      <c r="K94" s="7">
        <v>64795</v>
      </c>
      <c r="L94" s="6">
        <f t="shared" si="9"/>
        <v>289</v>
      </c>
      <c r="M94" s="7">
        <v>15177</v>
      </c>
      <c r="N94" s="8">
        <f t="shared" si="10"/>
        <v>30</v>
      </c>
      <c r="O94" s="7">
        <v>49618</v>
      </c>
      <c r="P94" s="6">
        <f t="shared" si="11"/>
        <v>259</v>
      </c>
      <c r="Q94" s="9"/>
      <c r="R94" s="6">
        <f t="shared" si="12"/>
        <v>0</v>
      </c>
      <c r="S94" s="10" t="s">
        <v>1</v>
      </c>
      <c r="T94" s="2" t="s">
        <v>122</v>
      </c>
    </row>
    <row r="95" spans="1:20" ht="37.5" customHeight="1" x14ac:dyDescent="0.25">
      <c r="A95" s="2" t="s">
        <v>123</v>
      </c>
      <c r="B95">
        <f t="shared" si="7"/>
        <v>84609</v>
      </c>
      <c r="C95">
        <v>17181</v>
      </c>
      <c r="D95">
        <v>67428</v>
      </c>
      <c r="F95">
        <f t="shared" si="8"/>
        <v>283</v>
      </c>
      <c r="G95" s="3">
        <f t="shared" si="13"/>
        <v>95</v>
      </c>
      <c r="H95" s="4"/>
      <c r="I95" s="5">
        <v>81</v>
      </c>
      <c r="J95" s="6"/>
      <c r="K95" s="7">
        <v>84326</v>
      </c>
      <c r="L95" s="6">
        <f t="shared" si="9"/>
        <v>283</v>
      </c>
      <c r="M95" s="7">
        <v>17131</v>
      </c>
      <c r="N95" s="8">
        <f t="shared" si="10"/>
        <v>50</v>
      </c>
      <c r="O95" s="7">
        <v>67195</v>
      </c>
      <c r="P95" s="6">
        <f t="shared" si="11"/>
        <v>233</v>
      </c>
      <c r="Q95" s="9"/>
      <c r="R95" s="6">
        <f t="shared" si="12"/>
        <v>0</v>
      </c>
      <c r="S95" s="10" t="s">
        <v>1</v>
      </c>
      <c r="T95" s="2" t="s">
        <v>123</v>
      </c>
    </row>
    <row r="96" spans="1:20" ht="37.5" customHeight="1" x14ac:dyDescent="0.25">
      <c r="A96" s="2" t="s">
        <v>124</v>
      </c>
      <c r="B96">
        <f t="shared" si="7"/>
        <v>5381</v>
      </c>
      <c r="C96">
        <v>865</v>
      </c>
      <c r="D96">
        <v>4516</v>
      </c>
      <c r="F96">
        <f t="shared" si="8"/>
        <v>98</v>
      </c>
      <c r="G96" s="3">
        <f t="shared" si="13"/>
        <v>96</v>
      </c>
      <c r="H96" s="4"/>
      <c r="I96" s="5">
        <v>82</v>
      </c>
      <c r="J96" s="6"/>
      <c r="K96" s="7">
        <v>5283</v>
      </c>
      <c r="L96" s="6">
        <f t="shared" si="9"/>
        <v>98</v>
      </c>
      <c r="M96" s="7">
        <v>840</v>
      </c>
      <c r="N96" s="8">
        <f t="shared" si="10"/>
        <v>25</v>
      </c>
      <c r="O96" s="7">
        <v>4443</v>
      </c>
      <c r="P96" s="6">
        <f t="shared" si="11"/>
        <v>73</v>
      </c>
      <c r="Q96" s="9"/>
      <c r="R96" s="6">
        <f t="shared" si="12"/>
        <v>0</v>
      </c>
      <c r="S96" s="10" t="s">
        <v>1</v>
      </c>
      <c r="T96" s="2" t="s">
        <v>124</v>
      </c>
    </row>
    <row r="97" spans="1:20" ht="37.5" customHeight="1" x14ac:dyDescent="0.25">
      <c r="A97" s="2" t="s">
        <v>125</v>
      </c>
      <c r="B97">
        <f t="shared" si="7"/>
        <v>33342</v>
      </c>
      <c r="C97">
        <v>5553</v>
      </c>
      <c r="D97">
        <v>27789</v>
      </c>
      <c r="F97">
        <f t="shared" si="8"/>
        <v>166</v>
      </c>
      <c r="G97" s="3">
        <f t="shared" si="13"/>
        <v>97</v>
      </c>
      <c r="H97" s="4"/>
      <c r="I97" s="5">
        <v>83</v>
      </c>
      <c r="J97" s="6"/>
      <c r="K97" s="7">
        <v>33176</v>
      </c>
      <c r="L97" s="6">
        <f t="shared" si="9"/>
        <v>166</v>
      </c>
      <c r="M97" s="7">
        <v>5522</v>
      </c>
      <c r="N97" s="8">
        <f t="shared" si="10"/>
        <v>31</v>
      </c>
      <c r="O97" s="7">
        <v>27654</v>
      </c>
      <c r="P97" s="6">
        <f t="shared" si="11"/>
        <v>135</v>
      </c>
      <c r="Q97" s="9"/>
      <c r="R97" s="6">
        <f t="shared" si="12"/>
        <v>0</v>
      </c>
      <c r="S97" s="10" t="s">
        <v>1</v>
      </c>
      <c r="T97" s="2" t="s">
        <v>125</v>
      </c>
    </row>
    <row r="98" spans="1:20" ht="37.5" customHeight="1" x14ac:dyDescent="0.25">
      <c r="A98" s="2" t="s">
        <v>126</v>
      </c>
      <c r="B98">
        <f t="shared" si="7"/>
        <v>5099</v>
      </c>
      <c r="C98">
        <v>982</v>
      </c>
      <c r="D98">
        <v>4117</v>
      </c>
      <c r="E98">
        <v>10315</v>
      </c>
      <c r="F98">
        <f t="shared" si="8"/>
        <v>283</v>
      </c>
      <c r="G98" s="3">
        <f t="shared" si="13"/>
        <v>98</v>
      </c>
      <c r="H98" s="4"/>
      <c r="I98" s="5">
        <v>84</v>
      </c>
      <c r="J98" s="6"/>
      <c r="K98" s="7">
        <f>M98+O98</f>
        <v>4816</v>
      </c>
      <c r="L98" s="6">
        <f t="shared" si="9"/>
        <v>283</v>
      </c>
      <c r="M98" s="7">
        <v>929</v>
      </c>
      <c r="N98" s="8">
        <f t="shared" si="10"/>
        <v>53</v>
      </c>
      <c r="O98" s="7">
        <v>3887</v>
      </c>
      <c r="P98" s="6">
        <f t="shared" si="11"/>
        <v>230</v>
      </c>
      <c r="Q98" s="9">
        <v>8954</v>
      </c>
      <c r="R98" s="6">
        <f t="shared" si="12"/>
        <v>1361</v>
      </c>
      <c r="S98" s="10" t="s">
        <v>1</v>
      </c>
      <c r="T98" s="2" t="s">
        <v>126</v>
      </c>
    </row>
    <row r="99" spans="1:20" ht="37.5" customHeight="1" x14ac:dyDescent="0.25">
      <c r="A99" s="2" t="s">
        <v>127</v>
      </c>
      <c r="B99">
        <f t="shared" si="7"/>
        <v>43387</v>
      </c>
      <c r="C99">
        <v>7462</v>
      </c>
      <c r="D99">
        <v>35925</v>
      </c>
      <c r="F99">
        <f t="shared" si="8"/>
        <v>373</v>
      </c>
      <c r="G99" s="3">
        <f t="shared" si="13"/>
        <v>99</v>
      </c>
      <c r="H99" s="4"/>
      <c r="I99" s="5">
        <v>85</v>
      </c>
      <c r="J99" s="6"/>
      <c r="K99" s="7">
        <v>43014</v>
      </c>
      <c r="L99" s="6">
        <f t="shared" si="9"/>
        <v>373</v>
      </c>
      <c r="M99" s="7">
        <v>7387</v>
      </c>
      <c r="N99" s="8">
        <f t="shared" si="10"/>
        <v>75</v>
      </c>
      <c r="O99" s="7">
        <v>35627</v>
      </c>
      <c r="P99" s="6">
        <f t="shared" si="11"/>
        <v>298</v>
      </c>
      <c r="Q99" s="9"/>
      <c r="R99" s="6">
        <f t="shared" si="12"/>
        <v>0</v>
      </c>
      <c r="S99" s="10" t="s">
        <v>1</v>
      </c>
      <c r="T99" s="2" t="s">
        <v>127</v>
      </c>
    </row>
    <row r="100" spans="1:20" ht="37.5" customHeight="1" x14ac:dyDescent="0.25">
      <c r="A100" s="2" t="s">
        <v>128</v>
      </c>
      <c r="B100">
        <f t="shared" si="7"/>
        <v>21278</v>
      </c>
      <c r="C100">
        <v>3092</v>
      </c>
      <c r="D100">
        <v>18186</v>
      </c>
      <c r="F100">
        <f t="shared" si="8"/>
        <v>257</v>
      </c>
      <c r="G100" s="3">
        <f t="shared" si="13"/>
        <v>100</v>
      </c>
      <c r="H100" s="4"/>
      <c r="I100" s="5">
        <v>86</v>
      </c>
      <c r="J100" s="6"/>
      <c r="K100" s="7">
        <v>21021</v>
      </c>
      <c r="L100" s="6">
        <f t="shared" si="9"/>
        <v>257</v>
      </c>
      <c r="M100" s="7">
        <v>3054</v>
      </c>
      <c r="N100" s="8">
        <f t="shared" si="10"/>
        <v>38</v>
      </c>
      <c r="O100" s="7">
        <v>17967</v>
      </c>
      <c r="P100" s="6">
        <f t="shared" si="11"/>
        <v>219</v>
      </c>
      <c r="Q100" s="9"/>
      <c r="R100" s="6">
        <f t="shared" si="12"/>
        <v>0</v>
      </c>
      <c r="S100" s="10" t="s">
        <v>1</v>
      </c>
      <c r="T100" s="2" t="s">
        <v>128</v>
      </c>
    </row>
    <row r="101" spans="1:20" ht="37.5" customHeight="1" x14ac:dyDescent="0.25">
      <c r="A101" s="2" t="s">
        <v>129</v>
      </c>
      <c r="B101">
        <f t="shared" si="7"/>
        <v>124041</v>
      </c>
      <c r="C101">
        <v>40733</v>
      </c>
      <c r="D101">
        <v>83308</v>
      </c>
      <c r="F101">
        <f t="shared" si="8"/>
        <v>544</v>
      </c>
      <c r="G101" s="3">
        <f t="shared" si="13"/>
        <v>101</v>
      </c>
      <c r="H101" s="4"/>
      <c r="I101" s="5">
        <v>87</v>
      </c>
      <c r="J101" s="6"/>
      <c r="K101" s="7">
        <v>123497</v>
      </c>
      <c r="L101" s="6">
        <f t="shared" si="9"/>
        <v>544</v>
      </c>
      <c r="M101" s="7">
        <v>40653</v>
      </c>
      <c r="N101" s="8">
        <f t="shared" si="10"/>
        <v>80</v>
      </c>
      <c r="O101" s="7">
        <v>82844</v>
      </c>
      <c r="P101" s="6">
        <f t="shared" si="11"/>
        <v>464</v>
      </c>
      <c r="Q101" s="9"/>
      <c r="R101" s="6">
        <f t="shared" si="12"/>
        <v>0</v>
      </c>
      <c r="S101" s="10" t="s">
        <v>1</v>
      </c>
      <c r="T101" s="2" t="s">
        <v>129</v>
      </c>
    </row>
    <row r="102" spans="1:20" ht="37.5" customHeight="1" x14ac:dyDescent="0.25">
      <c r="A102" s="2" t="s">
        <v>130</v>
      </c>
      <c r="B102">
        <f t="shared" si="7"/>
        <v>10291</v>
      </c>
      <c r="C102">
        <v>1798</v>
      </c>
      <c r="D102">
        <v>8493</v>
      </c>
      <c r="F102">
        <f t="shared" si="8"/>
        <v>281</v>
      </c>
      <c r="G102" s="3">
        <f t="shared" si="13"/>
        <v>102</v>
      </c>
      <c r="H102" s="4"/>
      <c r="I102" s="5">
        <v>88</v>
      </c>
      <c r="J102" s="6"/>
      <c r="K102" s="7">
        <v>10010</v>
      </c>
      <c r="L102" s="6">
        <f t="shared" si="9"/>
        <v>281</v>
      </c>
      <c r="M102" s="7">
        <v>1748</v>
      </c>
      <c r="N102" s="8">
        <f t="shared" si="10"/>
        <v>50</v>
      </c>
      <c r="O102" s="7">
        <v>8262</v>
      </c>
      <c r="P102" s="6">
        <f t="shared" si="11"/>
        <v>231</v>
      </c>
      <c r="Q102" s="9"/>
      <c r="R102" s="6">
        <f t="shared" si="12"/>
        <v>0</v>
      </c>
      <c r="S102" s="10" t="s">
        <v>1</v>
      </c>
      <c r="T102" s="2" t="s">
        <v>130</v>
      </c>
    </row>
    <row r="103" spans="1:20" ht="37.5" customHeight="1" x14ac:dyDescent="0.25">
      <c r="A103" s="2" t="s">
        <v>131</v>
      </c>
      <c r="B103">
        <f t="shared" si="7"/>
        <v>53114</v>
      </c>
      <c r="C103">
        <v>8572</v>
      </c>
      <c r="D103">
        <v>44542</v>
      </c>
      <c r="F103">
        <f t="shared" si="8"/>
        <v>157</v>
      </c>
      <c r="G103" s="3">
        <f t="shared" si="13"/>
        <v>103</v>
      </c>
      <c r="H103" s="4"/>
      <c r="I103" s="5">
        <v>89</v>
      </c>
      <c r="J103" s="6"/>
      <c r="K103" s="7">
        <v>52957</v>
      </c>
      <c r="L103" s="6">
        <f t="shared" si="9"/>
        <v>157</v>
      </c>
      <c r="M103" s="7">
        <v>8542</v>
      </c>
      <c r="N103" s="8">
        <f t="shared" si="10"/>
        <v>30</v>
      </c>
      <c r="O103" s="7">
        <v>44415</v>
      </c>
      <c r="P103" s="6">
        <f t="shared" si="11"/>
        <v>127</v>
      </c>
      <c r="Q103" s="9"/>
      <c r="R103" s="6">
        <f t="shared" si="12"/>
        <v>0</v>
      </c>
      <c r="S103" s="10" t="s">
        <v>1</v>
      </c>
      <c r="T103" s="2" t="s">
        <v>131</v>
      </c>
    </row>
    <row r="104" spans="1:20" ht="37.5" customHeight="1" x14ac:dyDescent="0.25">
      <c r="A104" s="2" t="s">
        <v>132</v>
      </c>
      <c r="B104">
        <f t="shared" si="7"/>
        <v>1481</v>
      </c>
      <c r="C104">
        <v>488</v>
      </c>
      <c r="D104">
        <v>993</v>
      </c>
      <c r="E104">
        <v>3241</v>
      </c>
      <c r="F104">
        <f t="shared" si="8"/>
        <v>344</v>
      </c>
      <c r="G104" s="3">
        <f t="shared" si="13"/>
        <v>104</v>
      </c>
      <c r="H104" s="4"/>
      <c r="I104" s="5">
        <v>90</v>
      </c>
      <c r="J104" s="6"/>
      <c r="K104" s="7">
        <f>M104+O104</f>
        <v>1137</v>
      </c>
      <c r="L104" s="6">
        <f t="shared" si="9"/>
        <v>344</v>
      </c>
      <c r="M104" s="7">
        <v>382</v>
      </c>
      <c r="N104" s="8">
        <f t="shared" si="10"/>
        <v>106</v>
      </c>
      <c r="O104" s="7">
        <v>755</v>
      </c>
      <c r="P104" s="6">
        <f t="shared" si="11"/>
        <v>238</v>
      </c>
      <c r="Q104" s="9">
        <v>2417</v>
      </c>
      <c r="R104" s="6">
        <f t="shared" si="12"/>
        <v>824</v>
      </c>
      <c r="S104" s="10" t="s">
        <v>1</v>
      </c>
      <c r="T104" s="2" t="s">
        <v>132</v>
      </c>
    </row>
    <row r="105" spans="1:20" ht="37.5" customHeight="1" x14ac:dyDescent="0.25">
      <c r="A105" s="2" t="s">
        <v>133</v>
      </c>
      <c r="B105">
        <f t="shared" si="7"/>
        <v>110140</v>
      </c>
      <c r="C105">
        <v>34184</v>
      </c>
      <c r="D105">
        <v>75956</v>
      </c>
      <c r="F105">
        <f t="shared" si="8"/>
        <v>512</v>
      </c>
      <c r="G105" s="3">
        <f t="shared" si="13"/>
        <v>105</v>
      </c>
      <c r="H105" s="4"/>
      <c r="I105" s="5">
        <v>91</v>
      </c>
      <c r="J105" s="6"/>
      <c r="K105" s="7">
        <v>109628</v>
      </c>
      <c r="L105" s="6">
        <f t="shared" si="9"/>
        <v>512</v>
      </c>
      <c r="M105" s="7">
        <v>34116</v>
      </c>
      <c r="N105" s="8">
        <f t="shared" si="10"/>
        <v>68</v>
      </c>
      <c r="O105" s="7">
        <v>75512</v>
      </c>
      <c r="P105" s="6">
        <f t="shared" si="11"/>
        <v>444</v>
      </c>
      <c r="Q105" s="9"/>
      <c r="R105" s="6">
        <f t="shared" si="12"/>
        <v>0</v>
      </c>
      <c r="S105" s="10" t="s">
        <v>1</v>
      </c>
      <c r="T105" s="2" t="s">
        <v>133</v>
      </c>
    </row>
    <row r="106" spans="1:20" ht="37.5" customHeight="1" x14ac:dyDescent="0.25">
      <c r="A106" s="2" t="s">
        <v>134</v>
      </c>
      <c r="B106">
        <f t="shared" si="7"/>
        <v>47241</v>
      </c>
      <c r="C106">
        <v>7701</v>
      </c>
      <c r="D106">
        <v>39540</v>
      </c>
      <c r="F106">
        <f t="shared" si="8"/>
        <v>383</v>
      </c>
      <c r="G106" s="3">
        <f t="shared" si="13"/>
        <v>106</v>
      </c>
      <c r="H106" s="4"/>
      <c r="I106" s="5">
        <v>92</v>
      </c>
      <c r="J106" s="6"/>
      <c r="K106" s="7">
        <v>46858</v>
      </c>
      <c r="L106" s="6">
        <f t="shared" si="9"/>
        <v>383</v>
      </c>
      <c r="M106" s="7">
        <v>7644</v>
      </c>
      <c r="N106" s="8">
        <f t="shared" si="10"/>
        <v>57</v>
      </c>
      <c r="O106" s="7">
        <v>39214</v>
      </c>
      <c r="P106" s="6">
        <f t="shared" si="11"/>
        <v>326</v>
      </c>
      <c r="Q106" s="9"/>
      <c r="R106" s="6">
        <f t="shared" si="12"/>
        <v>0</v>
      </c>
      <c r="S106" s="10" t="s">
        <v>1</v>
      </c>
      <c r="T106" s="2" t="s">
        <v>134</v>
      </c>
    </row>
    <row r="107" spans="1:20" ht="37.5" customHeight="1" x14ac:dyDescent="0.25">
      <c r="A107" s="2" t="s">
        <v>135</v>
      </c>
      <c r="B107">
        <f t="shared" si="7"/>
        <v>35270</v>
      </c>
      <c r="C107">
        <v>7785</v>
      </c>
      <c r="D107">
        <v>27485</v>
      </c>
      <c r="F107">
        <f t="shared" si="8"/>
        <v>221</v>
      </c>
      <c r="G107" s="3">
        <f t="shared" si="13"/>
        <v>107</v>
      </c>
      <c r="H107" s="4"/>
      <c r="I107" s="5">
        <v>93</v>
      </c>
      <c r="J107" s="6"/>
      <c r="K107" s="7">
        <v>35049</v>
      </c>
      <c r="L107" s="6">
        <f t="shared" si="9"/>
        <v>221</v>
      </c>
      <c r="M107" s="7">
        <v>7746</v>
      </c>
      <c r="N107" s="8">
        <f t="shared" si="10"/>
        <v>39</v>
      </c>
      <c r="O107" s="7">
        <v>27303</v>
      </c>
      <c r="P107" s="6">
        <f t="shared" si="11"/>
        <v>182</v>
      </c>
      <c r="Q107" s="9"/>
      <c r="R107" s="6">
        <f t="shared" si="12"/>
        <v>0</v>
      </c>
      <c r="S107" s="10" t="s">
        <v>1</v>
      </c>
      <c r="T107" s="2" t="s">
        <v>135</v>
      </c>
    </row>
    <row r="108" spans="1:20" ht="37.5" customHeight="1" x14ac:dyDescent="0.25">
      <c r="A108" s="2" t="s">
        <v>136</v>
      </c>
      <c r="B108">
        <v>132927</v>
      </c>
      <c r="C108">
        <v>21619</v>
      </c>
      <c r="D108">
        <v>111226</v>
      </c>
      <c r="F108">
        <f t="shared" si="8"/>
        <v>0</v>
      </c>
      <c r="G108" s="3">
        <f t="shared" si="13"/>
        <v>108</v>
      </c>
      <c r="H108" s="4"/>
      <c r="I108" s="5">
        <v>94</v>
      </c>
      <c r="J108" s="6"/>
      <c r="K108" s="7">
        <v>132927</v>
      </c>
      <c r="L108" s="6">
        <f t="shared" si="9"/>
        <v>0</v>
      </c>
      <c r="M108" s="7">
        <v>21619</v>
      </c>
      <c r="N108" s="8">
        <f t="shared" si="10"/>
        <v>0</v>
      </c>
      <c r="O108" s="7">
        <v>111226</v>
      </c>
      <c r="P108" s="6">
        <f t="shared" si="11"/>
        <v>0</v>
      </c>
      <c r="Q108" s="9"/>
      <c r="R108" s="6">
        <f t="shared" si="12"/>
        <v>0</v>
      </c>
      <c r="S108" s="10" t="s">
        <v>1</v>
      </c>
      <c r="T108" s="2" t="s">
        <v>136</v>
      </c>
    </row>
    <row r="109" spans="1:20" ht="37.5" customHeight="1" x14ac:dyDescent="0.25">
      <c r="A109" s="2" t="s">
        <v>137</v>
      </c>
      <c r="B109">
        <f t="shared" si="7"/>
        <v>98179</v>
      </c>
      <c r="C109">
        <v>34715</v>
      </c>
      <c r="D109">
        <v>63464</v>
      </c>
      <c r="F109">
        <f t="shared" si="8"/>
        <v>348</v>
      </c>
      <c r="G109" s="3">
        <f t="shared" si="13"/>
        <v>109</v>
      </c>
      <c r="H109" s="4"/>
      <c r="I109" s="5" t="s">
        <v>138</v>
      </c>
      <c r="J109" s="6"/>
      <c r="K109" s="7">
        <v>97831</v>
      </c>
      <c r="L109" s="6">
        <f t="shared" si="9"/>
        <v>348</v>
      </c>
      <c r="M109" s="7">
        <v>34653</v>
      </c>
      <c r="N109" s="8">
        <f t="shared" si="10"/>
        <v>62</v>
      </c>
      <c r="O109" s="7">
        <v>63178</v>
      </c>
      <c r="P109" s="6">
        <f t="shared" si="11"/>
        <v>286</v>
      </c>
      <c r="Q109" s="9"/>
      <c r="R109" s="6">
        <f t="shared" si="12"/>
        <v>0</v>
      </c>
      <c r="S109" s="10" t="s">
        <v>1</v>
      </c>
      <c r="T109" s="2" t="s">
        <v>137</v>
      </c>
    </row>
    <row r="110" spans="1:20" ht="37.5" customHeight="1" x14ac:dyDescent="0.25">
      <c r="A110" s="2" t="s">
        <v>139</v>
      </c>
      <c r="B110">
        <f t="shared" si="7"/>
        <v>67328</v>
      </c>
      <c r="C110">
        <v>10609</v>
      </c>
      <c r="D110">
        <v>56719</v>
      </c>
      <c r="F110">
        <f t="shared" si="8"/>
        <v>655</v>
      </c>
      <c r="G110" s="3">
        <f t="shared" si="13"/>
        <v>110</v>
      </c>
      <c r="H110" s="4"/>
      <c r="I110" s="5" t="s">
        <v>140</v>
      </c>
      <c r="J110" s="6"/>
      <c r="K110" s="7">
        <v>66673</v>
      </c>
      <c r="L110" s="6">
        <f t="shared" si="9"/>
        <v>655</v>
      </c>
      <c r="M110" s="7">
        <v>10514</v>
      </c>
      <c r="N110" s="8">
        <f t="shared" si="10"/>
        <v>95</v>
      </c>
      <c r="O110" s="7">
        <v>56159</v>
      </c>
      <c r="P110" s="6">
        <f t="shared" si="11"/>
        <v>560</v>
      </c>
      <c r="Q110" s="9"/>
      <c r="R110" s="6">
        <f t="shared" si="12"/>
        <v>0</v>
      </c>
      <c r="S110" s="10" t="s">
        <v>1</v>
      </c>
      <c r="T110" s="2" t="s">
        <v>139</v>
      </c>
    </row>
    <row r="111" spans="1:20" ht="37.5" customHeight="1" x14ac:dyDescent="0.25">
      <c r="A111" s="2" t="s">
        <v>141</v>
      </c>
      <c r="B111">
        <f t="shared" si="7"/>
        <v>98630</v>
      </c>
      <c r="C111">
        <v>34579</v>
      </c>
      <c r="D111">
        <v>64051</v>
      </c>
      <c r="F111">
        <f t="shared" si="8"/>
        <v>369</v>
      </c>
      <c r="G111" s="3">
        <f t="shared" si="13"/>
        <v>111</v>
      </c>
      <c r="H111" s="4"/>
      <c r="I111" s="5" t="s">
        <v>142</v>
      </c>
      <c r="J111" s="6"/>
      <c r="K111" s="7">
        <v>98261</v>
      </c>
      <c r="L111" s="6">
        <f t="shared" si="9"/>
        <v>369</v>
      </c>
      <c r="M111" s="7">
        <v>34512</v>
      </c>
      <c r="N111" s="8">
        <f t="shared" si="10"/>
        <v>67</v>
      </c>
      <c r="O111" s="7">
        <v>63749</v>
      </c>
      <c r="P111" s="6">
        <f t="shared" si="11"/>
        <v>302</v>
      </c>
      <c r="Q111" s="9"/>
      <c r="R111" s="6">
        <f t="shared" si="12"/>
        <v>0</v>
      </c>
      <c r="S111" s="10" t="s">
        <v>1</v>
      </c>
      <c r="T111" s="2" t="s">
        <v>141</v>
      </c>
    </row>
    <row r="112" spans="1:20" ht="37.5" customHeight="1" x14ac:dyDescent="0.25">
      <c r="A112" s="2" t="s">
        <v>143</v>
      </c>
      <c r="B112">
        <f t="shared" si="7"/>
        <v>68580</v>
      </c>
      <c r="C112">
        <v>14165</v>
      </c>
      <c r="D112">
        <v>54415</v>
      </c>
      <c r="F112">
        <f t="shared" si="8"/>
        <v>370</v>
      </c>
      <c r="G112" s="3">
        <f t="shared" si="13"/>
        <v>112</v>
      </c>
      <c r="H112" s="4"/>
      <c r="I112" s="5" t="s">
        <v>144</v>
      </c>
      <c r="J112" s="6"/>
      <c r="K112" s="7">
        <v>68210</v>
      </c>
      <c r="L112" s="6">
        <f t="shared" si="9"/>
        <v>370</v>
      </c>
      <c r="M112" s="7">
        <v>14103</v>
      </c>
      <c r="N112" s="8">
        <f t="shared" si="10"/>
        <v>62</v>
      </c>
      <c r="O112" s="7">
        <v>54107</v>
      </c>
      <c r="P112" s="6">
        <f t="shared" si="11"/>
        <v>308</v>
      </c>
      <c r="Q112" s="9"/>
      <c r="R112" s="6">
        <f t="shared" si="12"/>
        <v>0</v>
      </c>
      <c r="S112" s="10" t="s">
        <v>1</v>
      </c>
      <c r="T112" s="2" t="s">
        <v>143</v>
      </c>
    </row>
    <row r="113" spans="1:20" ht="37.5" customHeight="1" x14ac:dyDescent="0.25">
      <c r="A113" s="2" t="s">
        <v>145</v>
      </c>
      <c r="B113">
        <f t="shared" si="7"/>
        <v>56241</v>
      </c>
      <c r="C113">
        <v>8941</v>
      </c>
      <c r="D113">
        <v>47300</v>
      </c>
      <c r="F113">
        <f t="shared" si="8"/>
        <v>727</v>
      </c>
      <c r="G113" s="3">
        <f t="shared" si="13"/>
        <v>113</v>
      </c>
      <c r="H113" s="4"/>
      <c r="I113" s="5" t="s">
        <v>146</v>
      </c>
      <c r="J113" s="6"/>
      <c r="K113" s="7">
        <v>55514</v>
      </c>
      <c r="L113" s="6">
        <f t="shared" si="9"/>
        <v>727</v>
      </c>
      <c r="M113" s="7">
        <v>8859</v>
      </c>
      <c r="N113" s="8">
        <f t="shared" si="10"/>
        <v>82</v>
      </c>
      <c r="O113" s="7">
        <v>46655</v>
      </c>
      <c r="P113" s="6">
        <f t="shared" si="11"/>
        <v>645</v>
      </c>
      <c r="Q113" s="9"/>
      <c r="R113" s="6">
        <f t="shared" si="12"/>
        <v>0</v>
      </c>
      <c r="S113" s="10" t="s">
        <v>1</v>
      </c>
      <c r="T113" s="2" t="s">
        <v>145</v>
      </c>
    </row>
    <row r="114" spans="1:20" ht="37.5" customHeight="1" x14ac:dyDescent="0.25">
      <c r="A114" s="2" t="s">
        <v>147</v>
      </c>
      <c r="B114">
        <f t="shared" si="7"/>
        <v>76706</v>
      </c>
      <c r="C114">
        <v>14847</v>
      </c>
      <c r="D114">
        <v>61859</v>
      </c>
      <c r="F114">
        <f t="shared" si="8"/>
        <v>495</v>
      </c>
      <c r="G114" s="3">
        <f t="shared" si="13"/>
        <v>114</v>
      </c>
      <c r="H114" s="4"/>
      <c r="I114" s="5" t="s">
        <v>148</v>
      </c>
      <c r="J114" s="6"/>
      <c r="K114" s="7">
        <v>76211</v>
      </c>
      <c r="L114" s="6">
        <f t="shared" si="9"/>
        <v>495</v>
      </c>
      <c r="M114" s="7">
        <v>14765</v>
      </c>
      <c r="N114" s="8">
        <f t="shared" si="10"/>
        <v>82</v>
      </c>
      <c r="O114" s="7">
        <v>61446</v>
      </c>
      <c r="P114" s="6">
        <f t="shared" si="11"/>
        <v>413</v>
      </c>
      <c r="Q114" s="9"/>
      <c r="R114" s="6">
        <f t="shared" si="12"/>
        <v>0</v>
      </c>
      <c r="S114" s="10" t="s">
        <v>1</v>
      </c>
      <c r="T114" s="2" t="s">
        <v>147</v>
      </c>
    </row>
    <row r="115" spans="1:20" ht="37.5" customHeight="1" x14ac:dyDescent="0.25">
      <c r="A115" s="2" t="s">
        <v>149</v>
      </c>
      <c r="B115">
        <f t="shared" si="7"/>
        <v>32564</v>
      </c>
      <c r="C115">
        <v>5856</v>
      </c>
      <c r="D115">
        <v>26708</v>
      </c>
      <c r="F115">
        <f t="shared" si="8"/>
        <v>520</v>
      </c>
      <c r="G115" s="3">
        <f t="shared" si="13"/>
        <v>115</v>
      </c>
      <c r="H115" s="4"/>
      <c r="I115" s="5" t="s">
        <v>150</v>
      </c>
      <c r="J115" s="6"/>
      <c r="K115" s="7">
        <v>32044</v>
      </c>
      <c r="L115" s="6">
        <f t="shared" si="9"/>
        <v>520</v>
      </c>
      <c r="M115" s="7">
        <v>5776</v>
      </c>
      <c r="N115" s="8">
        <f t="shared" si="10"/>
        <v>80</v>
      </c>
      <c r="O115" s="7">
        <v>26268</v>
      </c>
      <c r="P115" s="6">
        <f t="shared" si="11"/>
        <v>440</v>
      </c>
      <c r="Q115" s="9"/>
      <c r="R115" s="6">
        <f t="shared" si="12"/>
        <v>0</v>
      </c>
      <c r="S115" s="10" t="s">
        <v>1</v>
      </c>
      <c r="T115" s="2" t="s">
        <v>149</v>
      </c>
    </row>
    <row r="116" spans="1:20" ht="37.5" customHeight="1" x14ac:dyDescent="0.25">
      <c r="A116" s="2" t="s">
        <v>151</v>
      </c>
      <c r="B116">
        <f t="shared" si="7"/>
        <v>15473</v>
      </c>
      <c r="C116">
        <v>2778</v>
      </c>
      <c r="D116">
        <v>12695</v>
      </c>
      <c r="F116">
        <f t="shared" si="8"/>
        <v>532</v>
      </c>
      <c r="G116" s="3">
        <f t="shared" si="13"/>
        <v>116</v>
      </c>
      <c r="H116" s="4"/>
      <c r="I116" s="5" t="s">
        <v>152</v>
      </c>
      <c r="J116" s="6"/>
      <c r="K116" s="7">
        <v>14941</v>
      </c>
      <c r="L116" s="6">
        <f t="shared" si="9"/>
        <v>532</v>
      </c>
      <c r="M116" s="7">
        <v>2654</v>
      </c>
      <c r="N116" s="8">
        <f t="shared" si="10"/>
        <v>124</v>
      </c>
      <c r="O116" s="7">
        <v>12287</v>
      </c>
      <c r="P116" s="6">
        <f t="shared" si="11"/>
        <v>408</v>
      </c>
      <c r="Q116" s="9"/>
      <c r="R116" s="6">
        <f t="shared" si="12"/>
        <v>0</v>
      </c>
      <c r="S116" s="10" t="s">
        <v>1</v>
      </c>
      <c r="T116" s="2" t="s">
        <v>151</v>
      </c>
    </row>
    <row r="117" spans="1:20" ht="37.5" customHeight="1" x14ac:dyDescent="0.25">
      <c r="A117" s="2" t="s">
        <v>153</v>
      </c>
      <c r="B117">
        <f t="shared" si="7"/>
        <v>1071</v>
      </c>
      <c r="C117">
        <v>291</v>
      </c>
      <c r="D117">
        <v>780</v>
      </c>
      <c r="E117">
        <v>5806</v>
      </c>
      <c r="F117">
        <f t="shared" si="8"/>
        <v>323</v>
      </c>
      <c r="G117" s="3">
        <f t="shared" si="13"/>
        <v>117</v>
      </c>
      <c r="H117" s="4"/>
      <c r="I117" s="5">
        <v>95</v>
      </c>
      <c r="J117" s="6"/>
      <c r="K117" s="7">
        <f>M117+O117</f>
        <v>748</v>
      </c>
      <c r="L117" s="6">
        <f t="shared" si="9"/>
        <v>323</v>
      </c>
      <c r="M117" s="7">
        <v>222</v>
      </c>
      <c r="N117" s="8">
        <f t="shared" si="10"/>
        <v>69</v>
      </c>
      <c r="O117" s="7">
        <v>526</v>
      </c>
      <c r="P117" s="6">
        <f t="shared" si="11"/>
        <v>254</v>
      </c>
      <c r="Q117" s="9">
        <v>4359</v>
      </c>
      <c r="R117" s="6">
        <f t="shared" si="12"/>
        <v>1447</v>
      </c>
      <c r="S117" s="10" t="s">
        <v>1</v>
      </c>
      <c r="T117" s="2" t="s">
        <v>153</v>
      </c>
    </row>
    <row r="118" spans="1:20" ht="37.5" customHeight="1" x14ac:dyDescent="0.25">
      <c r="A118" s="2" t="s">
        <v>154</v>
      </c>
      <c r="B118">
        <f t="shared" si="7"/>
        <v>111896</v>
      </c>
      <c r="C118">
        <v>36487</v>
      </c>
      <c r="D118">
        <v>75409</v>
      </c>
      <c r="F118">
        <f t="shared" si="8"/>
        <v>545</v>
      </c>
      <c r="G118" s="3">
        <f t="shared" si="13"/>
        <v>118</v>
      </c>
      <c r="H118" s="4"/>
      <c r="I118" s="5">
        <v>96</v>
      </c>
      <c r="J118" s="6"/>
      <c r="K118" s="7">
        <v>111351</v>
      </c>
      <c r="L118" s="6">
        <f t="shared" si="9"/>
        <v>545</v>
      </c>
      <c r="M118" s="7">
        <v>36406</v>
      </c>
      <c r="N118" s="8">
        <f t="shared" si="10"/>
        <v>81</v>
      </c>
      <c r="O118" s="7">
        <v>74945</v>
      </c>
      <c r="P118" s="6">
        <f t="shared" si="11"/>
        <v>464</v>
      </c>
      <c r="Q118" s="9"/>
      <c r="R118" s="6">
        <f t="shared" si="12"/>
        <v>0</v>
      </c>
      <c r="S118" s="10" t="s">
        <v>1</v>
      </c>
      <c r="T118" s="2" t="s">
        <v>154</v>
      </c>
    </row>
    <row r="119" spans="1:20" ht="37.5" customHeight="1" x14ac:dyDescent="0.25">
      <c r="A119" s="2" t="s">
        <v>155</v>
      </c>
      <c r="B119">
        <f t="shared" si="7"/>
        <v>114785</v>
      </c>
      <c r="C119">
        <v>22840</v>
      </c>
      <c r="D119">
        <v>91945</v>
      </c>
      <c r="F119">
        <f t="shared" si="8"/>
        <v>1117</v>
      </c>
      <c r="G119" s="3">
        <f t="shared" si="13"/>
        <v>119</v>
      </c>
      <c r="H119" s="4"/>
      <c r="I119" s="5">
        <v>97</v>
      </c>
      <c r="J119" s="6"/>
      <c r="K119" s="7">
        <v>113668</v>
      </c>
      <c r="L119" s="6">
        <f t="shared" si="9"/>
        <v>1117</v>
      </c>
      <c r="M119" s="7">
        <v>22635</v>
      </c>
      <c r="N119" s="8">
        <f t="shared" si="10"/>
        <v>205</v>
      </c>
      <c r="O119" s="7">
        <v>91033</v>
      </c>
      <c r="P119" s="6">
        <f t="shared" si="11"/>
        <v>912</v>
      </c>
      <c r="Q119" s="9"/>
      <c r="R119" s="6">
        <f t="shared" si="12"/>
        <v>0</v>
      </c>
      <c r="S119" s="10" t="s">
        <v>1</v>
      </c>
      <c r="T119" s="2" t="s">
        <v>155</v>
      </c>
    </row>
    <row r="120" spans="1:20" ht="37.5" customHeight="1" x14ac:dyDescent="0.25">
      <c r="A120" s="2" t="s">
        <v>156</v>
      </c>
      <c r="B120">
        <f t="shared" si="7"/>
        <v>12404</v>
      </c>
      <c r="C120">
        <v>4039</v>
      </c>
      <c r="D120">
        <v>8365</v>
      </c>
      <c r="F120">
        <f t="shared" si="8"/>
        <v>0</v>
      </c>
      <c r="G120" s="3">
        <f t="shared" si="13"/>
        <v>120</v>
      </c>
      <c r="H120" s="4"/>
      <c r="I120" s="5">
        <v>98</v>
      </c>
      <c r="J120" s="6"/>
      <c r="K120" s="7">
        <v>12404</v>
      </c>
      <c r="L120" s="6">
        <f t="shared" si="9"/>
        <v>0</v>
      </c>
      <c r="M120" s="7">
        <v>4039</v>
      </c>
      <c r="N120" s="8">
        <f t="shared" si="10"/>
        <v>0</v>
      </c>
      <c r="O120" s="7">
        <v>8365</v>
      </c>
      <c r="P120" s="6">
        <f t="shared" si="11"/>
        <v>0</v>
      </c>
      <c r="Q120" s="9"/>
      <c r="R120" s="6">
        <f t="shared" si="12"/>
        <v>0</v>
      </c>
      <c r="S120" s="10" t="s">
        <v>1</v>
      </c>
      <c r="T120" s="2" t="s">
        <v>156</v>
      </c>
    </row>
    <row r="121" spans="1:20" ht="37.5" customHeight="1" x14ac:dyDescent="0.25">
      <c r="A121" s="2" t="s">
        <v>157</v>
      </c>
      <c r="B121">
        <f t="shared" si="7"/>
        <v>29032</v>
      </c>
      <c r="C121">
        <v>4861</v>
      </c>
      <c r="D121">
        <v>24171</v>
      </c>
      <c r="F121">
        <f t="shared" si="8"/>
        <v>700</v>
      </c>
      <c r="G121" s="3">
        <f t="shared" si="13"/>
        <v>121</v>
      </c>
      <c r="H121" s="4"/>
      <c r="I121" s="5">
        <v>99</v>
      </c>
      <c r="J121" s="6"/>
      <c r="K121" s="7">
        <v>28332</v>
      </c>
      <c r="L121" s="6">
        <f t="shared" si="9"/>
        <v>700</v>
      </c>
      <c r="M121" s="7">
        <v>4740</v>
      </c>
      <c r="N121" s="8">
        <f t="shared" si="10"/>
        <v>121</v>
      </c>
      <c r="O121" s="7">
        <v>23592</v>
      </c>
      <c r="P121" s="6">
        <f t="shared" si="11"/>
        <v>579</v>
      </c>
      <c r="Q121" s="9"/>
      <c r="R121" s="6">
        <f t="shared" si="12"/>
        <v>0</v>
      </c>
      <c r="S121" s="10" t="s">
        <v>1</v>
      </c>
      <c r="T121" s="2" t="s">
        <v>157</v>
      </c>
    </row>
    <row r="122" spans="1:20" ht="37.5" customHeight="1" x14ac:dyDescent="0.25">
      <c r="A122" s="2" t="s">
        <v>158</v>
      </c>
      <c r="B122">
        <f t="shared" si="7"/>
        <v>20856</v>
      </c>
      <c r="C122">
        <v>3934</v>
      </c>
      <c r="D122">
        <v>16922</v>
      </c>
      <c r="F122">
        <f t="shared" si="8"/>
        <v>521</v>
      </c>
      <c r="G122" s="3">
        <f t="shared" si="13"/>
        <v>122</v>
      </c>
      <c r="H122" s="4"/>
      <c r="I122" s="5">
        <v>100</v>
      </c>
      <c r="J122" s="6"/>
      <c r="K122" s="7">
        <v>20335</v>
      </c>
      <c r="L122" s="6">
        <f t="shared" si="9"/>
        <v>521</v>
      </c>
      <c r="M122" s="7">
        <v>3843</v>
      </c>
      <c r="N122" s="8">
        <f t="shared" si="10"/>
        <v>91</v>
      </c>
      <c r="O122" s="7">
        <v>16492</v>
      </c>
      <c r="P122" s="6">
        <f t="shared" si="11"/>
        <v>430</v>
      </c>
      <c r="Q122" s="9"/>
      <c r="R122" s="6">
        <f t="shared" si="12"/>
        <v>0</v>
      </c>
      <c r="S122" s="10" t="s">
        <v>1</v>
      </c>
      <c r="T122" s="2" t="s">
        <v>158</v>
      </c>
    </row>
    <row r="123" spans="1:20" ht="37.5" customHeight="1" x14ac:dyDescent="0.25">
      <c r="A123" s="2" t="s">
        <v>159</v>
      </c>
      <c r="B123">
        <f t="shared" si="7"/>
        <v>13901</v>
      </c>
      <c r="C123">
        <v>4010</v>
      </c>
      <c r="D123">
        <v>9891</v>
      </c>
      <c r="E123">
        <v>20390</v>
      </c>
      <c r="F123">
        <f t="shared" si="8"/>
        <v>501</v>
      </c>
      <c r="G123" s="3">
        <f t="shared" si="13"/>
        <v>123</v>
      </c>
      <c r="H123" s="4"/>
      <c r="I123" s="5">
        <v>101</v>
      </c>
      <c r="J123" s="6"/>
      <c r="K123" s="7">
        <f>M123+O123</f>
        <v>13400</v>
      </c>
      <c r="L123" s="6">
        <f t="shared" si="9"/>
        <v>501</v>
      </c>
      <c r="M123" s="7">
        <v>3860</v>
      </c>
      <c r="N123" s="8">
        <f t="shared" si="10"/>
        <v>150</v>
      </c>
      <c r="O123" s="7">
        <v>9540</v>
      </c>
      <c r="P123" s="6">
        <f t="shared" si="11"/>
        <v>351</v>
      </c>
      <c r="Q123" s="9">
        <v>19326</v>
      </c>
      <c r="R123" s="6">
        <f t="shared" si="12"/>
        <v>1064</v>
      </c>
      <c r="S123" s="10" t="s">
        <v>1</v>
      </c>
      <c r="T123" s="2" t="s">
        <v>159</v>
      </c>
    </row>
    <row r="124" spans="1:20" ht="37.5" customHeight="1" x14ac:dyDescent="0.25">
      <c r="A124" s="2" t="s">
        <v>160</v>
      </c>
      <c r="B124">
        <f t="shared" si="7"/>
        <v>16873</v>
      </c>
      <c r="C124">
        <v>2380</v>
      </c>
      <c r="D124">
        <v>14493</v>
      </c>
      <c r="F124">
        <f t="shared" si="8"/>
        <v>388</v>
      </c>
      <c r="G124" s="3">
        <f t="shared" si="13"/>
        <v>124</v>
      </c>
      <c r="H124" s="4"/>
      <c r="I124" s="5">
        <v>102</v>
      </c>
      <c r="J124" s="6"/>
      <c r="K124" s="7">
        <v>16485</v>
      </c>
      <c r="L124" s="6">
        <f t="shared" si="9"/>
        <v>388</v>
      </c>
      <c r="M124" s="7">
        <v>2341</v>
      </c>
      <c r="N124" s="8">
        <f t="shared" si="10"/>
        <v>39</v>
      </c>
      <c r="O124" s="7">
        <v>14144</v>
      </c>
      <c r="P124" s="6">
        <f t="shared" si="11"/>
        <v>349</v>
      </c>
      <c r="Q124" s="9"/>
      <c r="R124" s="6">
        <f t="shared" si="12"/>
        <v>0</v>
      </c>
      <c r="S124" s="10" t="s">
        <v>1</v>
      </c>
      <c r="T124" s="2" t="s">
        <v>160</v>
      </c>
    </row>
    <row r="125" spans="1:20" ht="37.5" customHeight="1" x14ac:dyDescent="0.25">
      <c r="A125" s="2" t="s">
        <v>161</v>
      </c>
      <c r="B125">
        <f t="shared" si="7"/>
        <v>67152</v>
      </c>
      <c r="C125">
        <v>11726</v>
      </c>
      <c r="D125">
        <v>55426</v>
      </c>
      <c r="F125">
        <f t="shared" si="8"/>
        <v>132</v>
      </c>
      <c r="G125" s="3">
        <f t="shared" si="13"/>
        <v>125</v>
      </c>
      <c r="H125" s="4"/>
      <c r="I125" s="5">
        <v>103</v>
      </c>
      <c r="J125" s="6"/>
      <c r="K125" s="7">
        <v>67020</v>
      </c>
      <c r="L125" s="6">
        <f t="shared" si="9"/>
        <v>132</v>
      </c>
      <c r="M125" s="7">
        <v>11703</v>
      </c>
      <c r="N125" s="8">
        <f t="shared" si="10"/>
        <v>23</v>
      </c>
      <c r="O125" s="7">
        <v>55317</v>
      </c>
      <c r="P125" s="6">
        <f t="shared" si="11"/>
        <v>109</v>
      </c>
      <c r="Q125" s="9"/>
      <c r="R125" s="6">
        <f t="shared" si="12"/>
        <v>0</v>
      </c>
      <c r="S125" s="10" t="s">
        <v>1</v>
      </c>
      <c r="T125" s="2" t="s">
        <v>161</v>
      </c>
    </row>
    <row r="126" spans="1:20" ht="37.5" customHeight="1" x14ac:dyDescent="0.25">
      <c r="A126" s="2" t="s">
        <v>162</v>
      </c>
      <c r="B126">
        <f t="shared" si="7"/>
        <v>7495</v>
      </c>
      <c r="C126">
        <v>1382</v>
      </c>
      <c r="D126">
        <v>6113</v>
      </c>
      <c r="F126">
        <f t="shared" si="8"/>
        <v>261</v>
      </c>
      <c r="G126" s="3">
        <f t="shared" si="13"/>
        <v>126</v>
      </c>
      <c r="H126" s="4"/>
      <c r="I126" s="5">
        <v>104</v>
      </c>
      <c r="J126" s="6"/>
      <c r="K126" s="7">
        <v>7234</v>
      </c>
      <c r="L126" s="6">
        <f t="shared" si="9"/>
        <v>261</v>
      </c>
      <c r="M126" s="7">
        <v>1337</v>
      </c>
      <c r="N126" s="8">
        <f t="shared" si="10"/>
        <v>45</v>
      </c>
      <c r="O126" s="7">
        <v>5897</v>
      </c>
      <c r="P126" s="6">
        <f t="shared" si="11"/>
        <v>216</v>
      </c>
      <c r="Q126" s="9"/>
      <c r="R126" s="6">
        <f t="shared" si="12"/>
        <v>0</v>
      </c>
      <c r="S126" s="10" t="s">
        <v>1</v>
      </c>
      <c r="T126" s="2" t="s">
        <v>162</v>
      </c>
    </row>
    <row r="127" spans="1:20" ht="37.5" customHeight="1" x14ac:dyDescent="0.25">
      <c r="A127" s="2" t="s">
        <v>163</v>
      </c>
      <c r="B127">
        <f t="shared" si="7"/>
        <v>3456</v>
      </c>
      <c r="C127">
        <v>1051</v>
      </c>
      <c r="D127">
        <v>2405</v>
      </c>
      <c r="E127">
        <v>5045</v>
      </c>
      <c r="F127">
        <f t="shared" si="8"/>
        <v>583</v>
      </c>
      <c r="G127" s="3">
        <f t="shared" si="13"/>
        <v>127</v>
      </c>
      <c r="H127" s="4"/>
      <c r="I127" s="5">
        <v>105</v>
      </c>
      <c r="J127" s="6"/>
      <c r="K127" s="7">
        <f>M127+O127</f>
        <v>2873</v>
      </c>
      <c r="L127" s="6">
        <f t="shared" si="9"/>
        <v>583</v>
      </c>
      <c r="M127" s="7">
        <v>862</v>
      </c>
      <c r="N127" s="8">
        <f t="shared" si="10"/>
        <v>189</v>
      </c>
      <c r="O127" s="7">
        <v>2011</v>
      </c>
      <c r="P127" s="6">
        <f t="shared" si="11"/>
        <v>394</v>
      </c>
      <c r="Q127" s="9">
        <v>3938</v>
      </c>
      <c r="R127" s="6">
        <f t="shared" si="12"/>
        <v>1107</v>
      </c>
      <c r="S127" s="10" t="s">
        <v>1</v>
      </c>
      <c r="T127" s="2" t="s">
        <v>163</v>
      </c>
    </row>
    <row r="128" spans="1:20" ht="37.5" customHeight="1" x14ac:dyDescent="0.25">
      <c r="A128" s="2" t="s">
        <v>164</v>
      </c>
      <c r="B128">
        <f t="shared" si="7"/>
        <v>1665</v>
      </c>
      <c r="C128">
        <v>139</v>
      </c>
      <c r="D128">
        <v>1526</v>
      </c>
      <c r="F128">
        <f t="shared" si="8"/>
        <v>2</v>
      </c>
      <c r="G128" s="3">
        <f t="shared" si="13"/>
        <v>128</v>
      </c>
      <c r="H128" s="4"/>
      <c r="I128" s="5">
        <v>106</v>
      </c>
      <c r="J128" s="6"/>
      <c r="K128" s="7">
        <v>1663</v>
      </c>
      <c r="L128" s="6">
        <f t="shared" si="9"/>
        <v>2</v>
      </c>
      <c r="M128" s="7">
        <v>139</v>
      </c>
      <c r="N128" s="8">
        <f t="shared" si="10"/>
        <v>0</v>
      </c>
      <c r="O128" s="7">
        <v>1524</v>
      </c>
      <c r="P128" s="6">
        <f t="shared" si="11"/>
        <v>2</v>
      </c>
      <c r="Q128" s="9"/>
      <c r="R128" s="6">
        <f t="shared" si="12"/>
        <v>0</v>
      </c>
      <c r="S128" s="10" t="s">
        <v>1</v>
      </c>
      <c r="T128" s="2" t="s">
        <v>164</v>
      </c>
    </row>
    <row r="129" spans="1:20" ht="37.5" customHeight="1" x14ac:dyDescent="0.25">
      <c r="A129" s="2" t="s">
        <v>165</v>
      </c>
      <c r="B129">
        <f t="shared" si="7"/>
        <v>61891</v>
      </c>
      <c r="C129">
        <v>18522</v>
      </c>
      <c r="D129">
        <v>43369</v>
      </c>
      <c r="F129">
        <f t="shared" si="8"/>
        <v>270</v>
      </c>
      <c r="G129" s="3">
        <f t="shared" si="13"/>
        <v>129</v>
      </c>
      <c r="H129" s="4"/>
      <c r="I129" s="5">
        <v>107</v>
      </c>
      <c r="J129" s="6"/>
      <c r="K129" s="7">
        <v>61621</v>
      </c>
      <c r="L129" s="6">
        <f t="shared" si="9"/>
        <v>270</v>
      </c>
      <c r="M129" s="7">
        <v>18475</v>
      </c>
      <c r="N129" s="8">
        <f t="shared" si="10"/>
        <v>47</v>
      </c>
      <c r="O129" s="7">
        <v>43146</v>
      </c>
      <c r="P129" s="6">
        <f t="shared" si="11"/>
        <v>223</v>
      </c>
      <c r="Q129" s="9"/>
      <c r="R129" s="6">
        <f t="shared" si="12"/>
        <v>0</v>
      </c>
      <c r="S129" s="10" t="s">
        <v>1</v>
      </c>
      <c r="T129" s="2" t="s">
        <v>165</v>
      </c>
    </row>
    <row r="130" spans="1:20" ht="37.5" customHeight="1" x14ac:dyDescent="0.25">
      <c r="A130" s="2" t="s">
        <v>166</v>
      </c>
      <c r="B130">
        <f t="shared" ref="B130:B193" si="14">C130+D130</f>
        <v>145182</v>
      </c>
      <c r="C130">
        <v>43427</v>
      </c>
      <c r="D130">
        <v>101755</v>
      </c>
      <c r="F130">
        <f t="shared" ref="F130:F193" si="15">L130</f>
        <v>113</v>
      </c>
      <c r="G130" s="3">
        <f t="shared" si="13"/>
        <v>130</v>
      </c>
      <c r="H130" s="4"/>
      <c r="I130" s="5">
        <v>108</v>
      </c>
      <c r="J130" s="6"/>
      <c r="K130" s="7">
        <v>145069</v>
      </c>
      <c r="L130" s="6">
        <f t="shared" ref="L130:L193" si="16">B130-K130</f>
        <v>113</v>
      </c>
      <c r="M130" s="7">
        <v>43411</v>
      </c>
      <c r="N130" s="8">
        <f t="shared" ref="N130:N193" si="17">C130-M130</f>
        <v>16</v>
      </c>
      <c r="O130" s="7">
        <v>101658</v>
      </c>
      <c r="P130" s="6">
        <f t="shared" ref="P130:P193" si="18">D130-O130</f>
        <v>97</v>
      </c>
      <c r="Q130" s="9"/>
      <c r="R130" s="6">
        <f t="shared" ref="R130:R193" si="19">E130-Q130</f>
        <v>0</v>
      </c>
      <c r="S130" s="10" t="s">
        <v>1</v>
      </c>
      <c r="T130" s="2" t="s">
        <v>166</v>
      </c>
    </row>
    <row r="131" spans="1:20" ht="37.5" customHeight="1" x14ac:dyDescent="0.25">
      <c r="A131" s="2" t="s">
        <v>167</v>
      </c>
      <c r="B131">
        <f t="shared" si="14"/>
        <v>76880</v>
      </c>
      <c r="C131">
        <v>23604</v>
      </c>
      <c r="D131">
        <v>53276</v>
      </c>
      <c r="F131">
        <f t="shared" si="15"/>
        <v>428</v>
      </c>
      <c r="G131" s="3">
        <f t="shared" ref="G131:G194" si="20">G130+1</f>
        <v>131</v>
      </c>
      <c r="H131" s="4"/>
      <c r="I131" s="5">
        <v>109</v>
      </c>
      <c r="J131" s="6"/>
      <c r="K131" s="7">
        <v>76452</v>
      </c>
      <c r="L131" s="6">
        <f t="shared" si="16"/>
        <v>428</v>
      </c>
      <c r="M131" s="7">
        <v>23551</v>
      </c>
      <c r="N131" s="8">
        <f t="shared" si="17"/>
        <v>53</v>
      </c>
      <c r="O131" s="7">
        <v>52901</v>
      </c>
      <c r="P131" s="6">
        <f t="shared" si="18"/>
        <v>375</v>
      </c>
      <c r="Q131" s="9"/>
      <c r="R131" s="6">
        <f t="shared" si="19"/>
        <v>0</v>
      </c>
      <c r="S131" s="10" t="s">
        <v>1</v>
      </c>
      <c r="T131" s="2" t="s">
        <v>167</v>
      </c>
    </row>
    <row r="132" spans="1:20" ht="37.5" customHeight="1" x14ac:dyDescent="0.25">
      <c r="A132" s="2" t="s">
        <v>168</v>
      </c>
      <c r="B132">
        <f t="shared" si="14"/>
        <v>40319</v>
      </c>
      <c r="C132">
        <v>6095</v>
      </c>
      <c r="D132">
        <v>34224</v>
      </c>
      <c r="F132">
        <f t="shared" si="15"/>
        <v>214</v>
      </c>
      <c r="G132" s="3">
        <f t="shared" si="20"/>
        <v>132</v>
      </c>
      <c r="H132" s="4"/>
      <c r="I132" s="5" t="s">
        <v>169</v>
      </c>
      <c r="J132" s="6"/>
      <c r="K132" s="7">
        <v>40105</v>
      </c>
      <c r="L132" s="6">
        <f t="shared" si="16"/>
        <v>214</v>
      </c>
      <c r="M132" s="7">
        <v>6047</v>
      </c>
      <c r="N132" s="8">
        <f t="shared" si="17"/>
        <v>48</v>
      </c>
      <c r="O132" s="7">
        <v>34058</v>
      </c>
      <c r="P132" s="6">
        <f t="shared" si="18"/>
        <v>166</v>
      </c>
      <c r="Q132" s="9"/>
      <c r="R132" s="6">
        <f t="shared" si="19"/>
        <v>0</v>
      </c>
      <c r="S132" s="10" t="s">
        <v>1</v>
      </c>
      <c r="T132" s="2" t="s">
        <v>168</v>
      </c>
    </row>
    <row r="133" spans="1:20" ht="37.5" customHeight="1" x14ac:dyDescent="0.25">
      <c r="A133" s="2" t="s">
        <v>170</v>
      </c>
      <c r="B133">
        <f t="shared" si="14"/>
        <v>42966</v>
      </c>
      <c r="C133">
        <v>7253</v>
      </c>
      <c r="D133">
        <v>35713</v>
      </c>
      <c r="F133">
        <f t="shared" si="15"/>
        <v>373</v>
      </c>
      <c r="G133" s="3">
        <f t="shared" si="20"/>
        <v>133</v>
      </c>
      <c r="H133" s="4"/>
      <c r="I133" s="5" t="s">
        <v>171</v>
      </c>
      <c r="J133" s="6"/>
      <c r="K133" s="7">
        <v>42593</v>
      </c>
      <c r="L133" s="6">
        <f t="shared" si="16"/>
        <v>373</v>
      </c>
      <c r="M133" s="7">
        <v>7181</v>
      </c>
      <c r="N133" s="8">
        <f t="shared" si="17"/>
        <v>72</v>
      </c>
      <c r="O133" s="7">
        <v>35412</v>
      </c>
      <c r="P133" s="6">
        <f t="shared" si="18"/>
        <v>301</v>
      </c>
      <c r="Q133" s="9"/>
      <c r="R133" s="6">
        <f t="shared" si="19"/>
        <v>0</v>
      </c>
      <c r="S133" s="10" t="s">
        <v>1</v>
      </c>
      <c r="T133" s="2" t="s">
        <v>170</v>
      </c>
    </row>
    <row r="134" spans="1:20" ht="37.5" customHeight="1" x14ac:dyDescent="0.25">
      <c r="A134" s="2" t="s">
        <v>172</v>
      </c>
      <c r="B134">
        <f t="shared" si="14"/>
        <v>13658</v>
      </c>
      <c r="C134">
        <v>909</v>
      </c>
      <c r="D134">
        <v>12749</v>
      </c>
      <c r="F134">
        <f t="shared" si="15"/>
        <v>301</v>
      </c>
      <c r="G134" s="3">
        <f t="shared" si="20"/>
        <v>134</v>
      </c>
      <c r="H134" s="4"/>
      <c r="I134" s="5" t="s">
        <v>173</v>
      </c>
      <c r="J134" s="6"/>
      <c r="K134" s="7">
        <v>13357</v>
      </c>
      <c r="L134" s="6">
        <f t="shared" si="16"/>
        <v>301</v>
      </c>
      <c r="M134" s="7">
        <v>881</v>
      </c>
      <c r="N134" s="8">
        <f t="shared" si="17"/>
        <v>28</v>
      </c>
      <c r="O134" s="7">
        <v>12476</v>
      </c>
      <c r="P134" s="6">
        <f t="shared" si="18"/>
        <v>273</v>
      </c>
      <c r="Q134" s="9"/>
      <c r="R134" s="6">
        <f t="shared" si="19"/>
        <v>0</v>
      </c>
      <c r="S134" s="10" t="s">
        <v>1</v>
      </c>
      <c r="T134" s="2" t="s">
        <v>172</v>
      </c>
    </row>
    <row r="135" spans="1:20" ht="37.5" customHeight="1" x14ac:dyDescent="0.25">
      <c r="A135" s="2" t="s">
        <v>174</v>
      </c>
      <c r="B135">
        <f t="shared" si="14"/>
        <v>77932</v>
      </c>
      <c r="C135">
        <v>38968</v>
      </c>
      <c r="D135">
        <v>38964</v>
      </c>
      <c r="F135">
        <f t="shared" si="15"/>
        <v>2</v>
      </c>
      <c r="G135" s="3">
        <f t="shared" si="20"/>
        <v>135</v>
      </c>
      <c r="H135" s="4"/>
      <c r="I135" s="5" t="s">
        <v>175</v>
      </c>
      <c r="J135" s="6"/>
      <c r="K135" s="7">
        <v>77930</v>
      </c>
      <c r="L135" s="6">
        <f t="shared" si="16"/>
        <v>2</v>
      </c>
      <c r="M135" s="7">
        <v>38967</v>
      </c>
      <c r="N135" s="8">
        <f t="shared" si="17"/>
        <v>1</v>
      </c>
      <c r="O135" s="7">
        <v>38963</v>
      </c>
      <c r="P135" s="6">
        <f t="shared" si="18"/>
        <v>1</v>
      </c>
      <c r="Q135" s="9"/>
      <c r="R135" s="6">
        <f t="shared" si="19"/>
        <v>0</v>
      </c>
      <c r="S135" s="10" t="s">
        <v>1</v>
      </c>
      <c r="T135" s="2" t="s">
        <v>174</v>
      </c>
    </row>
    <row r="136" spans="1:20" ht="37.5" customHeight="1" x14ac:dyDescent="0.25">
      <c r="A136" s="2" t="s">
        <v>176</v>
      </c>
      <c r="B136">
        <f t="shared" si="14"/>
        <v>92153</v>
      </c>
      <c r="C136">
        <v>20681</v>
      </c>
      <c r="D136">
        <v>71472</v>
      </c>
      <c r="F136">
        <f t="shared" si="15"/>
        <v>309</v>
      </c>
      <c r="G136" s="3">
        <f t="shared" si="20"/>
        <v>136</v>
      </c>
      <c r="H136" s="4"/>
      <c r="I136" s="5" t="s">
        <v>177</v>
      </c>
      <c r="J136" s="6"/>
      <c r="K136" s="7">
        <v>91844</v>
      </c>
      <c r="L136" s="6">
        <f t="shared" si="16"/>
        <v>309</v>
      </c>
      <c r="M136" s="7">
        <v>20633</v>
      </c>
      <c r="N136" s="8">
        <f t="shared" si="17"/>
        <v>48</v>
      </c>
      <c r="O136" s="7">
        <v>71211</v>
      </c>
      <c r="P136" s="6">
        <f t="shared" si="18"/>
        <v>261</v>
      </c>
      <c r="Q136" s="9"/>
      <c r="R136" s="6">
        <f t="shared" si="19"/>
        <v>0</v>
      </c>
      <c r="S136" s="10" t="s">
        <v>1</v>
      </c>
      <c r="T136" s="2" t="s">
        <v>176</v>
      </c>
    </row>
    <row r="137" spans="1:20" ht="37.5" customHeight="1" x14ac:dyDescent="0.25">
      <c r="A137" s="2" t="s">
        <v>178</v>
      </c>
      <c r="B137">
        <f t="shared" si="14"/>
        <v>29339</v>
      </c>
      <c r="C137">
        <v>4441</v>
      </c>
      <c r="D137">
        <v>24898</v>
      </c>
      <c r="F137">
        <f t="shared" si="15"/>
        <v>665</v>
      </c>
      <c r="G137" s="3">
        <f t="shared" si="20"/>
        <v>137</v>
      </c>
      <c r="H137" s="4"/>
      <c r="I137" s="5" t="s">
        <v>179</v>
      </c>
      <c r="J137" s="6"/>
      <c r="K137" s="7">
        <v>28674</v>
      </c>
      <c r="L137" s="6">
        <f t="shared" si="16"/>
        <v>665</v>
      </c>
      <c r="M137" s="7">
        <v>4323</v>
      </c>
      <c r="N137" s="8">
        <f t="shared" si="17"/>
        <v>118</v>
      </c>
      <c r="O137" s="7">
        <v>24351</v>
      </c>
      <c r="P137" s="6">
        <f t="shared" si="18"/>
        <v>547</v>
      </c>
      <c r="Q137" s="9"/>
      <c r="R137" s="6">
        <f t="shared" si="19"/>
        <v>0</v>
      </c>
      <c r="S137" s="10" t="s">
        <v>1</v>
      </c>
      <c r="T137" s="2" t="s">
        <v>178</v>
      </c>
    </row>
    <row r="138" spans="1:20" ht="37.5" customHeight="1" x14ac:dyDescent="0.25">
      <c r="A138" s="2" t="s">
        <v>180</v>
      </c>
      <c r="B138">
        <f t="shared" si="14"/>
        <v>28686</v>
      </c>
      <c r="C138">
        <v>5741</v>
      </c>
      <c r="D138">
        <v>22945</v>
      </c>
      <c r="F138">
        <f t="shared" si="15"/>
        <v>255</v>
      </c>
      <c r="G138" s="3">
        <f t="shared" si="20"/>
        <v>138</v>
      </c>
      <c r="H138" s="4"/>
      <c r="I138" s="5" t="s">
        <v>181</v>
      </c>
      <c r="J138" s="6"/>
      <c r="K138" s="7">
        <v>28431</v>
      </c>
      <c r="L138" s="6">
        <f t="shared" si="16"/>
        <v>255</v>
      </c>
      <c r="M138" s="7">
        <v>5689</v>
      </c>
      <c r="N138" s="8">
        <f t="shared" si="17"/>
        <v>52</v>
      </c>
      <c r="O138" s="7">
        <v>22742</v>
      </c>
      <c r="P138" s="6">
        <f t="shared" si="18"/>
        <v>203</v>
      </c>
      <c r="Q138" s="9"/>
      <c r="R138" s="6">
        <f t="shared" si="19"/>
        <v>0</v>
      </c>
      <c r="S138" s="10" t="s">
        <v>1</v>
      </c>
      <c r="T138" s="2" t="s">
        <v>180</v>
      </c>
    </row>
    <row r="139" spans="1:20" ht="37.5" customHeight="1" x14ac:dyDescent="0.25">
      <c r="A139" s="2" t="s">
        <v>182</v>
      </c>
      <c r="B139">
        <f t="shared" si="14"/>
        <v>19943</v>
      </c>
      <c r="C139">
        <v>3355</v>
      </c>
      <c r="D139">
        <v>16588</v>
      </c>
      <c r="F139">
        <f t="shared" si="15"/>
        <v>738</v>
      </c>
      <c r="G139" s="3">
        <f t="shared" si="20"/>
        <v>139</v>
      </c>
      <c r="H139" s="4"/>
      <c r="I139" s="5" t="s">
        <v>183</v>
      </c>
      <c r="J139" s="6"/>
      <c r="K139" s="7">
        <v>19205</v>
      </c>
      <c r="L139" s="6">
        <f t="shared" si="16"/>
        <v>738</v>
      </c>
      <c r="M139" s="7">
        <v>3240</v>
      </c>
      <c r="N139" s="8">
        <f t="shared" si="17"/>
        <v>115</v>
      </c>
      <c r="O139" s="7">
        <v>15965</v>
      </c>
      <c r="P139" s="6">
        <f t="shared" si="18"/>
        <v>623</v>
      </c>
      <c r="Q139" s="9"/>
      <c r="R139" s="6">
        <f t="shared" si="19"/>
        <v>0</v>
      </c>
      <c r="S139" s="10" t="s">
        <v>1</v>
      </c>
      <c r="T139" s="2" t="s">
        <v>182</v>
      </c>
    </row>
    <row r="140" spans="1:20" ht="37.5" customHeight="1" x14ac:dyDescent="0.25">
      <c r="A140" s="2" t="s">
        <v>184</v>
      </c>
      <c r="B140">
        <f t="shared" si="14"/>
        <v>93406</v>
      </c>
      <c r="C140">
        <v>33999</v>
      </c>
      <c r="D140">
        <v>59407</v>
      </c>
      <c r="F140">
        <f t="shared" si="15"/>
        <v>304</v>
      </c>
      <c r="G140" s="3">
        <f t="shared" si="20"/>
        <v>140</v>
      </c>
      <c r="H140" s="4"/>
      <c r="I140" s="5" t="s">
        <v>185</v>
      </c>
      <c r="J140" s="6"/>
      <c r="K140" s="7">
        <v>93102</v>
      </c>
      <c r="L140" s="6">
        <f t="shared" si="16"/>
        <v>304</v>
      </c>
      <c r="M140" s="7">
        <v>33995</v>
      </c>
      <c r="N140" s="8">
        <f t="shared" si="17"/>
        <v>4</v>
      </c>
      <c r="O140" s="7">
        <v>59107</v>
      </c>
      <c r="P140" s="6">
        <f t="shared" si="18"/>
        <v>300</v>
      </c>
      <c r="Q140" s="9"/>
      <c r="R140" s="6">
        <f t="shared" si="19"/>
        <v>0</v>
      </c>
      <c r="S140" s="10" t="s">
        <v>1</v>
      </c>
      <c r="T140" s="2" t="s">
        <v>184</v>
      </c>
    </row>
    <row r="141" spans="1:20" ht="37.5" customHeight="1" x14ac:dyDescent="0.25">
      <c r="A141" s="2" t="s">
        <v>186</v>
      </c>
      <c r="B141">
        <f t="shared" si="14"/>
        <v>39595</v>
      </c>
      <c r="C141">
        <v>5142</v>
      </c>
      <c r="D141">
        <v>34453</v>
      </c>
      <c r="F141">
        <f t="shared" si="15"/>
        <v>272</v>
      </c>
      <c r="G141" s="3">
        <f t="shared" si="20"/>
        <v>141</v>
      </c>
      <c r="H141" s="4"/>
      <c r="I141" s="5" t="s">
        <v>187</v>
      </c>
      <c r="J141" s="6"/>
      <c r="K141" s="7">
        <v>39323</v>
      </c>
      <c r="L141" s="6">
        <f t="shared" si="16"/>
        <v>272</v>
      </c>
      <c r="M141" s="7">
        <v>5102</v>
      </c>
      <c r="N141" s="8">
        <f t="shared" si="17"/>
        <v>40</v>
      </c>
      <c r="O141" s="7">
        <v>34221</v>
      </c>
      <c r="P141" s="6">
        <f t="shared" si="18"/>
        <v>232</v>
      </c>
      <c r="Q141" s="9"/>
      <c r="R141" s="6">
        <f t="shared" si="19"/>
        <v>0</v>
      </c>
      <c r="S141" s="10" t="s">
        <v>1</v>
      </c>
      <c r="T141" s="2" t="s">
        <v>186</v>
      </c>
    </row>
    <row r="142" spans="1:20" ht="37.5" customHeight="1" x14ac:dyDescent="0.25">
      <c r="A142" s="2" t="s">
        <v>188</v>
      </c>
      <c r="B142">
        <f t="shared" si="14"/>
        <v>3039</v>
      </c>
      <c r="C142">
        <v>556</v>
      </c>
      <c r="D142">
        <v>2483</v>
      </c>
      <c r="E142">
        <v>5535</v>
      </c>
      <c r="F142">
        <f t="shared" si="15"/>
        <v>192</v>
      </c>
      <c r="G142" s="3">
        <f t="shared" si="20"/>
        <v>142</v>
      </c>
      <c r="H142" s="4"/>
      <c r="I142" s="5">
        <v>110</v>
      </c>
      <c r="J142" s="6"/>
      <c r="K142" s="7">
        <f>M142+O142</f>
        <v>2847</v>
      </c>
      <c r="L142" s="6">
        <f t="shared" si="16"/>
        <v>192</v>
      </c>
      <c r="M142" s="7">
        <v>500</v>
      </c>
      <c r="N142" s="8">
        <f t="shared" si="17"/>
        <v>56</v>
      </c>
      <c r="O142" s="7">
        <v>2347</v>
      </c>
      <c r="P142" s="6">
        <f t="shared" si="18"/>
        <v>136</v>
      </c>
      <c r="Q142" s="9">
        <v>4810</v>
      </c>
      <c r="R142" s="6">
        <f t="shared" si="19"/>
        <v>725</v>
      </c>
      <c r="S142" s="10" t="s">
        <v>1</v>
      </c>
      <c r="T142" s="2" t="s">
        <v>188</v>
      </c>
    </row>
    <row r="143" spans="1:20" ht="37.5" customHeight="1" x14ac:dyDescent="0.25">
      <c r="A143" s="2" t="s">
        <v>189</v>
      </c>
      <c r="B143">
        <f t="shared" si="14"/>
        <v>27973</v>
      </c>
      <c r="C143">
        <v>4298</v>
      </c>
      <c r="D143">
        <v>23675</v>
      </c>
      <c r="F143">
        <f t="shared" si="15"/>
        <v>644</v>
      </c>
      <c r="G143" s="3">
        <f t="shared" si="20"/>
        <v>143</v>
      </c>
      <c r="H143" s="4"/>
      <c r="I143" s="5">
        <v>111</v>
      </c>
      <c r="J143" s="6"/>
      <c r="K143" s="7">
        <v>27329</v>
      </c>
      <c r="L143" s="6">
        <f t="shared" si="16"/>
        <v>644</v>
      </c>
      <c r="M143" s="7">
        <v>4194</v>
      </c>
      <c r="N143" s="8">
        <f t="shared" si="17"/>
        <v>104</v>
      </c>
      <c r="O143" s="7">
        <v>23135</v>
      </c>
      <c r="P143" s="6">
        <f t="shared" si="18"/>
        <v>540</v>
      </c>
      <c r="Q143" s="9"/>
      <c r="R143" s="6">
        <f t="shared" si="19"/>
        <v>0</v>
      </c>
      <c r="S143" s="10" t="s">
        <v>1</v>
      </c>
      <c r="T143" s="2" t="s">
        <v>189</v>
      </c>
    </row>
    <row r="144" spans="1:20" ht="37.5" customHeight="1" x14ac:dyDescent="0.25">
      <c r="A144" s="2" t="s">
        <v>190</v>
      </c>
      <c r="B144">
        <f t="shared" si="14"/>
        <v>2617</v>
      </c>
      <c r="C144">
        <v>650</v>
      </c>
      <c r="D144">
        <v>1967</v>
      </c>
      <c r="E144">
        <v>4041</v>
      </c>
      <c r="F144">
        <f t="shared" si="15"/>
        <v>206</v>
      </c>
      <c r="G144" s="3">
        <f t="shared" si="20"/>
        <v>144</v>
      </c>
      <c r="H144" s="4"/>
      <c r="I144" s="5">
        <v>112</v>
      </c>
      <c r="J144" s="6"/>
      <c r="K144" s="7">
        <f>M144+O144</f>
        <v>2411</v>
      </c>
      <c r="L144" s="6">
        <f t="shared" si="16"/>
        <v>206</v>
      </c>
      <c r="M144" s="7">
        <v>540</v>
      </c>
      <c r="N144" s="8">
        <f t="shared" si="17"/>
        <v>110</v>
      </c>
      <c r="O144" s="7">
        <v>1871</v>
      </c>
      <c r="P144" s="6">
        <f t="shared" si="18"/>
        <v>96</v>
      </c>
      <c r="Q144" s="9">
        <v>3185</v>
      </c>
      <c r="R144" s="6">
        <f t="shared" si="19"/>
        <v>856</v>
      </c>
      <c r="S144" s="10" t="s">
        <v>1</v>
      </c>
      <c r="T144" s="2" t="s">
        <v>190</v>
      </c>
    </row>
    <row r="145" spans="1:20" ht="37.5" customHeight="1" x14ac:dyDescent="0.25">
      <c r="A145" s="2" t="s">
        <v>191</v>
      </c>
      <c r="B145">
        <f t="shared" si="14"/>
        <v>24224</v>
      </c>
      <c r="C145">
        <v>3999</v>
      </c>
      <c r="D145">
        <v>20225</v>
      </c>
      <c r="F145">
        <f t="shared" si="15"/>
        <v>6</v>
      </c>
      <c r="G145" s="3">
        <f t="shared" si="20"/>
        <v>145</v>
      </c>
      <c r="H145" s="4"/>
      <c r="I145" s="5">
        <v>113</v>
      </c>
      <c r="J145" s="6"/>
      <c r="K145" s="7">
        <v>24218</v>
      </c>
      <c r="L145" s="6">
        <f t="shared" si="16"/>
        <v>6</v>
      </c>
      <c r="M145" s="7">
        <v>3998</v>
      </c>
      <c r="N145" s="8">
        <f t="shared" si="17"/>
        <v>1</v>
      </c>
      <c r="O145" s="7">
        <v>20220</v>
      </c>
      <c r="P145" s="6">
        <f t="shared" si="18"/>
        <v>5</v>
      </c>
      <c r="Q145" s="9"/>
      <c r="R145" s="6">
        <f t="shared" si="19"/>
        <v>0</v>
      </c>
      <c r="S145" s="10" t="s">
        <v>1</v>
      </c>
      <c r="T145" s="2" t="s">
        <v>191</v>
      </c>
    </row>
    <row r="146" spans="1:20" ht="37.5" customHeight="1" x14ac:dyDescent="0.25">
      <c r="A146" s="2" t="s">
        <v>192</v>
      </c>
      <c r="B146">
        <f t="shared" si="14"/>
        <v>50943</v>
      </c>
      <c r="C146">
        <v>9408</v>
      </c>
      <c r="D146">
        <v>41535</v>
      </c>
      <c r="F146">
        <f t="shared" si="15"/>
        <v>5</v>
      </c>
      <c r="G146" s="3">
        <f t="shared" si="20"/>
        <v>146</v>
      </c>
      <c r="H146" s="4"/>
      <c r="I146" s="5">
        <v>114</v>
      </c>
      <c r="J146" s="6"/>
      <c r="K146" s="7">
        <v>50938</v>
      </c>
      <c r="L146" s="6">
        <f t="shared" si="16"/>
        <v>5</v>
      </c>
      <c r="M146" s="7">
        <v>9406</v>
      </c>
      <c r="N146" s="8">
        <f t="shared" si="17"/>
        <v>2</v>
      </c>
      <c r="O146" s="7">
        <v>41532</v>
      </c>
      <c r="P146" s="6">
        <f t="shared" si="18"/>
        <v>3</v>
      </c>
      <c r="Q146" s="9"/>
      <c r="R146" s="6">
        <f t="shared" si="19"/>
        <v>0</v>
      </c>
      <c r="S146" s="10" t="s">
        <v>1</v>
      </c>
      <c r="T146" s="2" t="s">
        <v>192</v>
      </c>
    </row>
    <row r="147" spans="1:20" ht="37.5" customHeight="1" x14ac:dyDescent="0.25">
      <c r="A147" s="2" t="s">
        <v>193</v>
      </c>
      <c r="B147">
        <f t="shared" si="14"/>
        <v>23851</v>
      </c>
      <c r="C147">
        <v>3857</v>
      </c>
      <c r="D147">
        <v>19994</v>
      </c>
      <c r="F147">
        <f t="shared" si="15"/>
        <v>257</v>
      </c>
      <c r="G147" s="3">
        <f t="shared" si="20"/>
        <v>147</v>
      </c>
      <c r="H147" s="4"/>
      <c r="I147" s="5">
        <v>115</v>
      </c>
      <c r="J147" s="6"/>
      <c r="K147" s="7">
        <v>23594</v>
      </c>
      <c r="L147" s="6">
        <f t="shared" si="16"/>
        <v>257</v>
      </c>
      <c r="M147" s="7">
        <v>3808</v>
      </c>
      <c r="N147" s="8">
        <f t="shared" si="17"/>
        <v>49</v>
      </c>
      <c r="O147" s="7">
        <v>19786</v>
      </c>
      <c r="P147" s="6">
        <f t="shared" si="18"/>
        <v>208</v>
      </c>
      <c r="Q147" s="9"/>
      <c r="R147" s="6">
        <f t="shared" si="19"/>
        <v>0</v>
      </c>
      <c r="S147" s="10" t="s">
        <v>1</v>
      </c>
      <c r="T147" s="2" t="s">
        <v>193</v>
      </c>
    </row>
    <row r="148" spans="1:20" ht="37.5" customHeight="1" x14ac:dyDescent="0.25">
      <c r="A148" s="2" t="s">
        <v>194</v>
      </c>
      <c r="B148">
        <f t="shared" si="14"/>
        <v>87309</v>
      </c>
      <c r="C148">
        <v>14422</v>
      </c>
      <c r="D148">
        <v>72887</v>
      </c>
      <c r="F148">
        <f t="shared" si="15"/>
        <v>347</v>
      </c>
      <c r="G148" s="3">
        <f t="shared" si="20"/>
        <v>148</v>
      </c>
      <c r="H148" s="4"/>
      <c r="I148" s="5">
        <v>116</v>
      </c>
      <c r="J148" s="6"/>
      <c r="K148" s="7">
        <v>86962</v>
      </c>
      <c r="L148" s="6">
        <f t="shared" si="16"/>
        <v>347</v>
      </c>
      <c r="M148" s="7">
        <v>14370</v>
      </c>
      <c r="N148" s="8">
        <f t="shared" si="17"/>
        <v>52</v>
      </c>
      <c r="O148" s="7">
        <v>72592</v>
      </c>
      <c r="P148" s="6">
        <f t="shared" si="18"/>
        <v>295</v>
      </c>
      <c r="Q148" s="9"/>
      <c r="R148" s="6">
        <f t="shared" si="19"/>
        <v>0</v>
      </c>
      <c r="S148" s="10" t="s">
        <v>1</v>
      </c>
      <c r="T148" s="2" t="s">
        <v>194</v>
      </c>
    </row>
    <row r="149" spans="1:20" ht="37.5" customHeight="1" x14ac:dyDescent="0.25">
      <c r="A149" s="2" t="s">
        <v>195</v>
      </c>
      <c r="B149">
        <f t="shared" si="14"/>
        <v>27320</v>
      </c>
      <c r="C149">
        <v>4456</v>
      </c>
      <c r="D149">
        <v>22864</v>
      </c>
      <c r="F149">
        <f t="shared" si="15"/>
        <v>203</v>
      </c>
      <c r="G149" s="3">
        <f t="shared" si="20"/>
        <v>149</v>
      </c>
      <c r="H149" s="4"/>
      <c r="I149" s="5">
        <v>117</v>
      </c>
      <c r="J149" s="6"/>
      <c r="K149" s="7">
        <v>27117</v>
      </c>
      <c r="L149" s="6">
        <f t="shared" si="16"/>
        <v>203</v>
      </c>
      <c r="M149" s="7">
        <v>4416</v>
      </c>
      <c r="N149" s="8">
        <f t="shared" si="17"/>
        <v>40</v>
      </c>
      <c r="O149" s="7">
        <v>22701</v>
      </c>
      <c r="P149" s="6">
        <f t="shared" si="18"/>
        <v>163</v>
      </c>
      <c r="Q149" s="9"/>
      <c r="R149" s="6">
        <f t="shared" si="19"/>
        <v>0</v>
      </c>
      <c r="S149" s="10" t="s">
        <v>1</v>
      </c>
      <c r="T149" s="2" t="s">
        <v>195</v>
      </c>
    </row>
    <row r="150" spans="1:20" ht="37.5" customHeight="1" x14ac:dyDescent="0.25">
      <c r="A150" s="2" t="s">
        <v>196</v>
      </c>
      <c r="B150">
        <f t="shared" si="14"/>
        <v>4770</v>
      </c>
      <c r="C150">
        <v>1537</v>
      </c>
      <c r="D150">
        <v>3233</v>
      </c>
      <c r="E150">
        <v>10094</v>
      </c>
      <c r="F150">
        <f t="shared" si="15"/>
        <v>405</v>
      </c>
      <c r="G150" s="3">
        <f t="shared" si="20"/>
        <v>150</v>
      </c>
      <c r="H150" s="4"/>
      <c r="I150" s="5">
        <v>118</v>
      </c>
      <c r="J150" s="6"/>
      <c r="K150" s="7">
        <f>M150+O150</f>
        <v>4365</v>
      </c>
      <c r="L150" s="6">
        <f t="shared" si="16"/>
        <v>405</v>
      </c>
      <c r="M150" s="7">
        <v>1414</v>
      </c>
      <c r="N150" s="8">
        <f t="shared" si="17"/>
        <v>123</v>
      </c>
      <c r="O150" s="7">
        <v>2951</v>
      </c>
      <c r="P150" s="6">
        <f t="shared" si="18"/>
        <v>282</v>
      </c>
      <c r="Q150" s="9">
        <v>9199</v>
      </c>
      <c r="R150" s="6">
        <f t="shared" si="19"/>
        <v>895</v>
      </c>
      <c r="S150" s="10" t="s">
        <v>1</v>
      </c>
      <c r="T150" s="2" t="s">
        <v>196</v>
      </c>
    </row>
    <row r="151" spans="1:20" ht="37.5" customHeight="1" x14ac:dyDescent="0.25">
      <c r="A151" s="2" t="s">
        <v>197</v>
      </c>
      <c r="B151">
        <f t="shared" si="14"/>
        <v>8679</v>
      </c>
      <c r="C151">
        <v>1252</v>
      </c>
      <c r="D151">
        <v>7427</v>
      </c>
      <c r="E151">
        <v>14661</v>
      </c>
      <c r="F151">
        <f t="shared" si="15"/>
        <v>290</v>
      </c>
      <c r="G151" s="3">
        <f t="shared" si="20"/>
        <v>151</v>
      </c>
      <c r="H151" s="4"/>
      <c r="I151" s="5">
        <v>119</v>
      </c>
      <c r="J151" s="6"/>
      <c r="K151" s="7">
        <f>M151+O151</f>
        <v>8389</v>
      </c>
      <c r="L151" s="6">
        <f t="shared" si="16"/>
        <v>290</v>
      </c>
      <c r="M151" s="7">
        <v>1206</v>
      </c>
      <c r="N151" s="8">
        <f t="shared" si="17"/>
        <v>46</v>
      </c>
      <c r="O151" s="7">
        <v>7183</v>
      </c>
      <c r="P151" s="6">
        <f t="shared" si="18"/>
        <v>244</v>
      </c>
      <c r="Q151" s="9">
        <v>13724</v>
      </c>
      <c r="R151" s="6">
        <f t="shared" si="19"/>
        <v>937</v>
      </c>
      <c r="S151" s="10" t="s">
        <v>1</v>
      </c>
      <c r="T151" s="2" t="s">
        <v>197</v>
      </c>
    </row>
    <row r="152" spans="1:20" ht="37.5" customHeight="1" x14ac:dyDescent="0.25">
      <c r="A152" s="2" t="s">
        <v>198</v>
      </c>
      <c r="B152">
        <f t="shared" si="14"/>
        <v>53820</v>
      </c>
      <c r="C152">
        <v>9882</v>
      </c>
      <c r="D152">
        <v>43938</v>
      </c>
      <c r="F152">
        <f t="shared" si="15"/>
        <v>303</v>
      </c>
      <c r="G152" s="3">
        <f t="shared" si="20"/>
        <v>152</v>
      </c>
      <c r="H152" s="4"/>
      <c r="I152" s="5">
        <v>120</v>
      </c>
      <c r="J152" s="6"/>
      <c r="K152" s="7">
        <v>53517</v>
      </c>
      <c r="L152" s="6">
        <f t="shared" si="16"/>
        <v>303</v>
      </c>
      <c r="M152" s="7">
        <v>9829</v>
      </c>
      <c r="N152" s="8">
        <f t="shared" si="17"/>
        <v>53</v>
      </c>
      <c r="O152" s="7">
        <v>43688</v>
      </c>
      <c r="P152" s="6">
        <f t="shared" si="18"/>
        <v>250</v>
      </c>
      <c r="Q152" s="9"/>
      <c r="R152" s="6">
        <f t="shared" si="19"/>
        <v>0</v>
      </c>
      <c r="S152" s="10" t="s">
        <v>1</v>
      </c>
      <c r="T152" s="2" t="s">
        <v>198</v>
      </c>
    </row>
    <row r="153" spans="1:20" ht="37.5" customHeight="1" x14ac:dyDescent="0.25">
      <c r="A153" s="2" t="s">
        <v>199</v>
      </c>
      <c r="B153">
        <f t="shared" si="14"/>
        <v>99733</v>
      </c>
      <c r="C153">
        <v>18088</v>
      </c>
      <c r="D153">
        <v>81645</v>
      </c>
      <c r="F153">
        <f t="shared" si="15"/>
        <v>946</v>
      </c>
      <c r="G153" s="3">
        <f t="shared" si="20"/>
        <v>153</v>
      </c>
      <c r="H153" s="4"/>
      <c r="I153" s="5" t="s">
        <v>200</v>
      </c>
      <c r="J153" s="6"/>
      <c r="K153" s="7">
        <v>98787</v>
      </c>
      <c r="L153" s="6">
        <f t="shared" si="16"/>
        <v>946</v>
      </c>
      <c r="M153" s="7">
        <v>17949</v>
      </c>
      <c r="N153" s="8">
        <f t="shared" si="17"/>
        <v>139</v>
      </c>
      <c r="O153" s="7">
        <v>80838</v>
      </c>
      <c r="P153" s="6">
        <f t="shared" si="18"/>
        <v>807</v>
      </c>
      <c r="Q153" s="9"/>
      <c r="R153" s="6">
        <f t="shared" si="19"/>
        <v>0</v>
      </c>
      <c r="S153" s="10" t="s">
        <v>1</v>
      </c>
      <c r="T153" s="2" t="s">
        <v>199</v>
      </c>
    </row>
    <row r="154" spans="1:20" ht="37.5" customHeight="1" x14ac:dyDescent="0.25">
      <c r="A154" s="2" t="s">
        <v>201</v>
      </c>
      <c r="B154">
        <f t="shared" si="14"/>
        <v>52420</v>
      </c>
      <c r="C154">
        <v>10157</v>
      </c>
      <c r="D154">
        <v>42263</v>
      </c>
      <c r="F154">
        <f t="shared" si="15"/>
        <v>351</v>
      </c>
      <c r="G154" s="3">
        <f t="shared" si="20"/>
        <v>154</v>
      </c>
      <c r="H154" s="4"/>
      <c r="I154" s="5" t="s">
        <v>202</v>
      </c>
      <c r="J154" s="6"/>
      <c r="K154" s="7">
        <v>52069</v>
      </c>
      <c r="L154" s="6">
        <f t="shared" si="16"/>
        <v>351</v>
      </c>
      <c r="M154" s="7">
        <v>10089</v>
      </c>
      <c r="N154" s="8">
        <f t="shared" si="17"/>
        <v>68</v>
      </c>
      <c r="O154" s="7">
        <v>41980</v>
      </c>
      <c r="P154" s="6">
        <f t="shared" si="18"/>
        <v>283</v>
      </c>
      <c r="Q154" s="9"/>
      <c r="R154" s="6">
        <f t="shared" si="19"/>
        <v>0</v>
      </c>
      <c r="S154" s="10" t="s">
        <v>1</v>
      </c>
      <c r="T154" s="2" t="s">
        <v>201</v>
      </c>
    </row>
    <row r="155" spans="1:20" ht="37.5" customHeight="1" x14ac:dyDescent="0.25">
      <c r="A155" s="2" t="s">
        <v>203</v>
      </c>
      <c r="B155">
        <f t="shared" si="14"/>
        <v>88198</v>
      </c>
      <c r="C155">
        <v>15779</v>
      </c>
      <c r="D155">
        <v>72419</v>
      </c>
      <c r="F155">
        <f t="shared" si="15"/>
        <v>346</v>
      </c>
      <c r="G155" s="3">
        <f t="shared" si="20"/>
        <v>155</v>
      </c>
      <c r="H155" s="4"/>
      <c r="I155" s="5" t="s">
        <v>204</v>
      </c>
      <c r="J155" s="6"/>
      <c r="K155" s="7">
        <v>87852</v>
      </c>
      <c r="L155" s="6">
        <f t="shared" si="16"/>
        <v>346</v>
      </c>
      <c r="M155" s="7">
        <v>15713</v>
      </c>
      <c r="N155" s="8">
        <f t="shared" si="17"/>
        <v>66</v>
      </c>
      <c r="O155" s="7">
        <v>72139</v>
      </c>
      <c r="P155" s="6">
        <f t="shared" si="18"/>
        <v>280</v>
      </c>
      <c r="Q155" s="9"/>
      <c r="R155" s="6">
        <f t="shared" si="19"/>
        <v>0</v>
      </c>
      <c r="S155" s="10" t="s">
        <v>1</v>
      </c>
      <c r="T155" s="2" t="s">
        <v>203</v>
      </c>
    </row>
    <row r="156" spans="1:20" ht="37.5" customHeight="1" x14ac:dyDescent="0.25">
      <c r="A156" s="2" t="s">
        <v>205</v>
      </c>
      <c r="B156">
        <f t="shared" si="14"/>
        <v>58325</v>
      </c>
      <c r="C156">
        <v>11809</v>
      </c>
      <c r="D156">
        <v>46516</v>
      </c>
      <c r="F156">
        <f t="shared" si="15"/>
        <v>147</v>
      </c>
      <c r="G156" s="3">
        <f t="shared" si="20"/>
        <v>156</v>
      </c>
      <c r="H156" s="4"/>
      <c r="I156" s="5" t="s">
        <v>206</v>
      </c>
      <c r="J156" s="6"/>
      <c r="K156" s="7">
        <v>58178</v>
      </c>
      <c r="L156" s="6">
        <f t="shared" si="16"/>
        <v>147</v>
      </c>
      <c r="M156" s="7">
        <v>11786</v>
      </c>
      <c r="N156" s="8">
        <f t="shared" si="17"/>
        <v>23</v>
      </c>
      <c r="O156" s="7">
        <v>46392</v>
      </c>
      <c r="P156" s="6">
        <f t="shared" si="18"/>
        <v>124</v>
      </c>
      <c r="Q156" s="9"/>
      <c r="R156" s="6">
        <f t="shared" si="19"/>
        <v>0</v>
      </c>
      <c r="S156" s="10" t="s">
        <v>1</v>
      </c>
      <c r="T156" s="2" t="s">
        <v>205</v>
      </c>
    </row>
    <row r="157" spans="1:20" ht="37.5" customHeight="1" x14ac:dyDescent="0.25">
      <c r="A157" s="2" t="s">
        <v>207</v>
      </c>
      <c r="B157">
        <f t="shared" si="14"/>
        <v>133946</v>
      </c>
      <c r="C157">
        <v>24187</v>
      </c>
      <c r="D157">
        <v>109759</v>
      </c>
      <c r="F157">
        <f t="shared" si="15"/>
        <v>865</v>
      </c>
      <c r="G157" s="3">
        <f t="shared" si="20"/>
        <v>157</v>
      </c>
      <c r="H157" s="4"/>
      <c r="I157" s="5" t="s">
        <v>208</v>
      </c>
      <c r="J157" s="6"/>
      <c r="K157" s="7">
        <v>133081</v>
      </c>
      <c r="L157" s="6">
        <f t="shared" si="16"/>
        <v>865</v>
      </c>
      <c r="M157" s="7">
        <v>24058</v>
      </c>
      <c r="N157" s="8">
        <f t="shared" si="17"/>
        <v>129</v>
      </c>
      <c r="O157" s="7">
        <v>109023</v>
      </c>
      <c r="P157" s="6">
        <f t="shared" si="18"/>
        <v>736</v>
      </c>
      <c r="Q157" s="9"/>
      <c r="R157" s="6">
        <f t="shared" si="19"/>
        <v>0</v>
      </c>
      <c r="S157" s="10" t="s">
        <v>1</v>
      </c>
      <c r="T157" s="2" t="s">
        <v>207</v>
      </c>
    </row>
    <row r="158" spans="1:20" ht="37.5" customHeight="1" x14ac:dyDescent="0.25">
      <c r="A158" s="2" t="s">
        <v>209</v>
      </c>
      <c r="B158">
        <f t="shared" si="14"/>
        <v>67561</v>
      </c>
      <c r="C158">
        <v>10960</v>
      </c>
      <c r="D158">
        <v>56601</v>
      </c>
      <c r="F158">
        <f t="shared" si="15"/>
        <v>221</v>
      </c>
      <c r="G158" s="3">
        <f t="shared" si="20"/>
        <v>158</v>
      </c>
      <c r="H158" s="4"/>
      <c r="I158" s="5" t="s">
        <v>210</v>
      </c>
      <c r="J158" s="6"/>
      <c r="K158" s="7">
        <v>67340</v>
      </c>
      <c r="L158" s="6">
        <f t="shared" si="16"/>
        <v>221</v>
      </c>
      <c r="M158" s="7">
        <v>10900</v>
      </c>
      <c r="N158" s="8">
        <f t="shared" si="17"/>
        <v>60</v>
      </c>
      <c r="O158" s="7">
        <v>56440</v>
      </c>
      <c r="P158" s="6">
        <f t="shared" si="18"/>
        <v>161</v>
      </c>
      <c r="Q158" s="9"/>
      <c r="R158" s="6">
        <f t="shared" si="19"/>
        <v>0</v>
      </c>
      <c r="S158" s="10" t="s">
        <v>1</v>
      </c>
      <c r="T158" s="2" t="s">
        <v>209</v>
      </c>
    </row>
    <row r="159" spans="1:20" ht="37.5" customHeight="1" x14ac:dyDescent="0.25">
      <c r="A159" s="2" t="s">
        <v>211</v>
      </c>
      <c r="B159">
        <f t="shared" si="14"/>
        <v>81584</v>
      </c>
      <c r="C159">
        <v>13897</v>
      </c>
      <c r="D159">
        <v>67687</v>
      </c>
      <c r="F159">
        <f t="shared" si="15"/>
        <v>393</v>
      </c>
      <c r="G159" s="3">
        <f t="shared" si="20"/>
        <v>159</v>
      </c>
      <c r="H159" s="4"/>
      <c r="I159" s="5" t="s">
        <v>212</v>
      </c>
      <c r="J159" s="6"/>
      <c r="K159" s="7">
        <v>81191</v>
      </c>
      <c r="L159" s="6">
        <f t="shared" si="16"/>
        <v>393</v>
      </c>
      <c r="M159" s="7">
        <v>13835</v>
      </c>
      <c r="N159" s="8">
        <f t="shared" si="17"/>
        <v>62</v>
      </c>
      <c r="O159" s="7">
        <v>67356</v>
      </c>
      <c r="P159" s="6">
        <f t="shared" si="18"/>
        <v>331</v>
      </c>
      <c r="Q159" s="9"/>
      <c r="R159" s="6">
        <f t="shared" si="19"/>
        <v>0</v>
      </c>
      <c r="S159" s="10" t="s">
        <v>1</v>
      </c>
      <c r="T159" s="2" t="s">
        <v>211</v>
      </c>
    </row>
    <row r="160" spans="1:20" ht="37.5" customHeight="1" x14ac:dyDescent="0.25">
      <c r="A160" s="2" t="s">
        <v>213</v>
      </c>
      <c r="B160">
        <f t="shared" si="14"/>
        <v>106960</v>
      </c>
      <c r="C160">
        <v>17232</v>
      </c>
      <c r="D160">
        <v>89728</v>
      </c>
      <c r="F160">
        <f t="shared" si="15"/>
        <v>650</v>
      </c>
      <c r="G160" s="3">
        <f t="shared" si="20"/>
        <v>160</v>
      </c>
      <c r="H160" s="4"/>
      <c r="I160" s="5" t="s">
        <v>214</v>
      </c>
      <c r="J160" s="6"/>
      <c r="K160" s="7">
        <v>106310</v>
      </c>
      <c r="L160" s="6">
        <f t="shared" si="16"/>
        <v>650</v>
      </c>
      <c r="M160" s="7">
        <v>17128</v>
      </c>
      <c r="N160" s="8">
        <f t="shared" si="17"/>
        <v>104</v>
      </c>
      <c r="O160" s="7">
        <v>89182</v>
      </c>
      <c r="P160" s="6">
        <f t="shared" si="18"/>
        <v>546</v>
      </c>
      <c r="Q160" s="9"/>
      <c r="R160" s="6">
        <f t="shared" si="19"/>
        <v>0</v>
      </c>
      <c r="S160" s="10" t="s">
        <v>1</v>
      </c>
      <c r="T160" s="2" t="s">
        <v>213</v>
      </c>
    </row>
    <row r="161" spans="1:20" ht="37.5" customHeight="1" x14ac:dyDescent="0.25">
      <c r="A161" s="2" t="s">
        <v>215</v>
      </c>
      <c r="B161">
        <f t="shared" si="14"/>
        <v>124639</v>
      </c>
      <c r="C161">
        <v>19730</v>
      </c>
      <c r="D161">
        <v>104909</v>
      </c>
      <c r="F161">
        <f t="shared" si="15"/>
        <v>147</v>
      </c>
      <c r="G161" s="3">
        <f t="shared" si="20"/>
        <v>161</v>
      </c>
      <c r="H161" s="4"/>
      <c r="I161" s="5" t="s">
        <v>216</v>
      </c>
      <c r="J161" s="6"/>
      <c r="K161" s="7">
        <v>124492</v>
      </c>
      <c r="L161" s="6">
        <f t="shared" si="16"/>
        <v>147</v>
      </c>
      <c r="M161" s="7">
        <v>19704</v>
      </c>
      <c r="N161" s="8">
        <f t="shared" si="17"/>
        <v>26</v>
      </c>
      <c r="O161" s="7">
        <v>104788</v>
      </c>
      <c r="P161" s="6">
        <f t="shared" si="18"/>
        <v>121</v>
      </c>
      <c r="Q161" s="9"/>
      <c r="R161" s="6">
        <f t="shared" si="19"/>
        <v>0</v>
      </c>
      <c r="S161" s="10" t="s">
        <v>1</v>
      </c>
      <c r="T161" s="2" t="s">
        <v>215</v>
      </c>
    </row>
    <row r="162" spans="1:20" ht="37.5" customHeight="1" x14ac:dyDescent="0.25">
      <c r="A162" s="2" t="s">
        <v>217</v>
      </c>
      <c r="B162">
        <f t="shared" si="14"/>
        <v>2256</v>
      </c>
      <c r="C162">
        <v>763</v>
      </c>
      <c r="D162">
        <v>1493</v>
      </c>
      <c r="F162">
        <f t="shared" si="15"/>
        <v>504</v>
      </c>
      <c r="G162" s="3">
        <f t="shared" si="20"/>
        <v>162</v>
      </c>
      <c r="H162" s="4"/>
      <c r="I162" s="5" t="s">
        <v>218</v>
      </c>
      <c r="J162" s="6"/>
      <c r="K162" s="7">
        <v>1752</v>
      </c>
      <c r="L162" s="6">
        <f t="shared" si="16"/>
        <v>504</v>
      </c>
      <c r="M162" s="7">
        <v>682</v>
      </c>
      <c r="N162" s="8">
        <f t="shared" si="17"/>
        <v>81</v>
      </c>
      <c r="O162" s="7">
        <v>1070</v>
      </c>
      <c r="P162" s="6">
        <f t="shared" si="18"/>
        <v>423</v>
      </c>
      <c r="Q162" s="9"/>
      <c r="R162" s="6">
        <f t="shared" si="19"/>
        <v>0</v>
      </c>
      <c r="S162" s="10" t="s">
        <v>1</v>
      </c>
      <c r="T162" s="2" t="s">
        <v>217</v>
      </c>
    </row>
    <row r="163" spans="1:20" ht="37.5" customHeight="1" x14ac:dyDescent="0.25">
      <c r="A163" s="2" t="s">
        <v>219</v>
      </c>
      <c r="B163">
        <f t="shared" si="14"/>
        <v>16444</v>
      </c>
      <c r="C163">
        <v>3412</v>
      </c>
      <c r="D163">
        <v>13032</v>
      </c>
      <c r="F163">
        <f t="shared" si="15"/>
        <v>224</v>
      </c>
      <c r="G163" s="3">
        <f t="shared" si="20"/>
        <v>163</v>
      </c>
      <c r="H163" s="4"/>
      <c r="I163" s="5">
        <v>121</v>
      </c>
      <c r="J163" s="6"/>
      <c r="K163" s="7">
        <v>16220</v>
      </c>
      <c r="L163" s="6">
        <f t="shared" si="16"/>
        <v>224</v>
      </c>
      <c r="M163" s="7">
        <v>3358</v>
      </c>
      <c r="N163" s="8">
        <f t="shared" si="17"/>
        <v>54</v>
      </c>
      <c r="O163" s="7">
        <v>12862</v>
      </c>
      <c r="P163" s="6">
        <f t="shared" si="18"/>
        <v>170</v>
      </c>
      <c r="Q163" s="9"/>
      <c r="R163" s="6">
        <f t="shared" si="19"/>
        <v>0</v>
      </c>
      <c r="S163" s="10" t="s">
        <v>1</v>
      </c>
      <c r="T163" s="2" t="s">
        <v>219</v>
      </c>
    </row>
    <row r="164" spans="1:20" ht="37.5" customHeight="1" x14ac:dyDescent="0.25">
      <c r="A164" s="2" t="s">
        <v>220</v>
      </c>
      <c r="B164">
        <f t="shared" si="14"/>
        <v>40647</v>
      </c>
      <c r="C164">
        <v>6614</v>
      </c>
      <c r="D164">
        <v>34033</v>
      </c>
      <c r="F164">
        <f t="shared" si="15"/>
        <v>111</v>
      </c>
      <c r="G164" s="3">
        <f t="shared" si="20"/>
        <v>164</v>
      </c>
      <c r="H164" s="4"/>
      <c r="I164" s="5" t="s">
        <v>221</v>
      </c>
      <c r="J164" s="6"/>
      <c r="K164" s="7">
        <v>40536</v>
      </c>
      <c r="L164" s="6">
        <f t="shared" si="16"/>
        <v>111</v>
      </c>
      <c r="M164" s="7">
        <v>6604</v>
      </c>
      <c r="N164" s="8">
        <f t="shared" si="17"/>
        <v>10</v>
      </c>
      <c r="O164" s="7">
        <v>33932</v>
      </c>
      <c r="P164" s="6">
        <f t="shared" si="18"/>
        <v>101</v>
      </c>
      <c r="Q164" s="9"/>
      <c r="R164" s="6">
        <f t="shared" si="19"/>
        <v>0</v>
      </c>
      <c r="S164" s="10" t="s">
        <v>1</v>
      </c>
      <c r="T164" s="2" t="s">
        <v>220</v>
      </c>
    </row>
    <row r="165" spans="1:20" ht="37.5" customHeight="1" x14ac:dyDescent="0.25">
      <c r="A165" s="2" t="s">
        <v>222</v>
      </c>
      <c r="B165">
        <f t="shared" si="14"/>
        <v>42876</v>
      </c>
      <c r="C165">
        <v>7256</v>
      </c>
      <c r="D165">
        <v>35620</v>
      </c>
      <c r="F165">
        <f t="shared" si="15"/>
        <v>360</v>
      </c>
      <c r="G165" s="3">
        <f t="shared" si="20"/>
        <v>165</v>
      </c>
      <c r="H165" s="4"/>
      <c r="I165" s="5" t="s">
        <v>223</v>
      </c>
      <c r="J165" s="6"/>
      <c r="K165" s="7">
        <v>42516</v>
      </c>
      <c r="L165" s="6">
        <f t="shared" si="16"/>
        <v>360</v>
      </c>
      <c r="M165" s="7">
        <v>7176</v>
      </c>
      <c r="N165" s="8">
        <f t="shared" si="17"/>
        <v>80</v>
      </c>
      <c r="O165" s="7">
        <v>35340</v>
      </c>
      <c r="P165" s="6">
        <f t="shared" si="18"/>
        <v>280</v>
      </c>
      <c r="Q165" s="9"/>
      <c r="R165" s="6">
        <f t="shared" si="19"/>
        <v>0</v>
      </c>
      <c r="S165" s="10" t="s">
        <v>1</v>
      </c>
      <c r="T165" s="2" t="s">
        <v>222</v>
      </c>
    </row>
    <row r="166" spans="1:20" ht="37.5" customHeight="1" x14ac:dyDescent="0.25">
      <c r="A166" s="2" t="s">
        <v>224</v>
      </c>
      <c r="B166">
        <f t="shared" si="14"/>
        <v>3264</v>
      </c>
      <c r="C166">
        <v>1016</v>
      </c>
      <c r="D166">
        <v>2248</v>
      </c>
      <c r="E166">
        <v>4847</v>
      </c>
      <c r="F166">
        <f t="shared" si="15"/>
        <v>372</v>
      </c>
      <c r="G166" s="3">
        <f t="shared" si="20"/>
        <v>166</v>
      </c>
      <c r="H166" s="4"/>
      <c r="I166" s="5" t="s">
        <v>225</v>
      </c>
      <c r="J166" s="6"/>
      <c r="K166" s="7">
        <f>M166+O166</f>
        <v>2892</v>
      </c>
      <c r="L166" s="6">
        <f t="shared" si="16"/>
        <v>372</v>
      </c>
      <c r="M166" s="7">
        <v>885</v>
      </c>
      <c r="N166" s="8">
        <f t="shared" si="17"/>
        <v>131</v>
      </c>
      <c r="O166" s="7">
        <v>2007</v>
      </c>
      <c r="P166" s="6">
        <f t="shared" si="18"/>
        <v>241</v>
      </c>
      <c r="Q166" s="9">
        <v>4056</v>
      </c>
      <c r="R166" s="6">
        <f t="shared" si="19"/>
        <v>791</v>
      </c>
      <c r="S166" s="10" t="s">
        <v>1</v>
      </c>
      <c r="T166" s="2" t="s">
        <v>224</v>
      </c>
    </row>
    <row r="167" spans="1:20" ht="37.5" customHeight="1" x14ac:dyDescent="0.25">
      <c r="A167" s="2" t="s">
        <v>226</v>
      </c>
      <c r="B167">
        <f t="shared" si="14"/>
        <v>2938</v>
      </c>
      <c r="C167">
        <v>749</v>
      </c>
      <c r="D167">
        <v>2189</v>
      </c>
      <c r="E167">
        <v>5010</v>
      </c>
      <c r="F167">
        <f t="shared" si="15"/>
        <v>261</v>
      </c>
      <c r="G167" s="3">
        <f t="shared" si="20"/>
        <v>167</v>
      </c>
      <c r="H167" s="4"/>
      <c r="I167" s="5" t="s">
        <v>227</v>
      </c>
      <c r="J167" s="6"/>
      <c r="K167" s="7">
        <f>M167+O167</f>
        <v>2677</v>
      </c>
      <c r="L167" s="6">
        <f t="shared" si="16"/>
        <v>261</v>
      </c>
      <c r="M167" s="7">
        <v>678</v>
      </c>
      <c r="N167" s="8">
        <f t="shared" si="17"/>
        <v>71</v>
      </c>
      <c r="O167" s="7">
        <v>1999</v>
      </c>
      <c r="P167" s="6">
        <f t="shared" si="18"/>
        <v>190</v>
      </c>
      <c r="Q167" s="9">
        <v>4116</v>
      </c>
      <c r="R167" s="6">
        <f t="shared" si="19"/>
        <v>894</v>
      </c>
      <c r="S167" s="10" t="s">
        <v>1</v>
      </c>
      <c r="T167" s="2" t="s">
        <v>226</v>
      </c>
    </row>
    <row r="168" spans="1:20" ht="37.5" customHeight="1" x14ac:dyDescent="0.25">
      <c r="A168" s="2" t="s">
        <v>228</v>
      </c>
      <c r="B168">
        <f t="shared" si="14"/>
        <v>54789</v>
      </c>
      <c r="C168">
        <v>10264</v>
      </c>
      <c r="D168">
        <v>44525</v>
      </c>
      <c r="F168">
        <f t="shared" si="15"/>
        <v>622</v>
      </c>
      <c r="G168" s="3">
        <f t="shared" si="20"/>
        <v>168</v>
      </c>
      <c r="H168" s="4"/>
      <c r="I168" s="5" t="s">
        <v>229</v>
      </c>
      <c r="J168" s="6"/>
      <c r="K168" s="7">
        <v>54167</v>
      </c>
      <c r="L168" s="6">
        <f t="shared" si="16"/>
        <v>622</v>
      </c>
      <c r="M168" s="7">
        <v>10150</v>
      </c>
      <c r="N168" s="8">
        <f t="shared" si="17"/>
        <v>114</v>
      </c>
      <c r="O168" s="7">
        <v>44017</v>
      </c>
      <c r="P168" s="6">
        <f t="shared" si="18"/>
        <v>508</v>
      </c>
      <c r="Q168" s="9"/>
      <c r="R168" s="6">
        <f t="shared" si="19"/>
        <v>0</v>
      </c>
      <c r="S168" s="10" t="s">
        <v>1</v>
      </c>
      <c r="T168" s="2" t="s">
        <v>228</v>
      </c>
    </row>
    <row r="169" spans="1:20" ht="37.5" customHeight="1" x14ac:dyDescent="0.25">
      <c r="A169" s="2" t="s">
        <v>230</v>
      </c>
      <c r="B169">
        <f t="shared" si="14"/>
        <v>28218</v>
      </c>
      <c r="C169">
        <v>4194</v>
      </c>
      <c r="D169">
        <v>24024</v>
      </c>
      <c r="F169">
        <f t="shared" si="15"/>
        <v>186</v>
      </c>
      <c r="G169" s="3">
        <f t="shared" si="20"/>
        <v>169</v>
      </c>
      <c r="H169" s="4"/>
      <c r="I169" s="5" t="s">
        <v>231</v>
      </c>
      <c r="J169" s="6"/>
      <c r="K169" s="7">
        <v>28032</v>
      </c>
      <c r="L169" s="6">
        <f t="shared" si="16"/>
        <v>186</v>
      </c>
      <c r="M169" s="7">
        <v>4161</v>
      </c>
      <c r="N169" s="8">
        <f t="shared" si="17"/>
        <v>33</v>
      </c>
      <c r="O169" s="7">
        <v>23871</v>
      </c>
      <c r="P169" s="6">
        <f t="shared" si="18"/>
        <v>153</v>
      </c>
      <c r="Q169" s="9"/>
      <c r="R169" s="6">
        <f t="shared" si="19"/>
        <v>0</v>
      </c>
      <c r="S169" s="10" t="s">
        <v>1</v>
      </c>
      <c r="T169" s="2" t="s">
        <v>230</v>
      </c>
    </row>
    <row r="170" spans="1:20" ht="37.5" customHeight="1" x14ac:dyDescent="0.25">
      <c r="A170" s="2" t="s">
        <v>232</v>
      </c>
      <c r="B170">
        <f t="shared" si="14"/>
        <v>158757</v>
      </c>
      <c r="C170">
        <v>32433</v>
      </c>
      <c r="D170">
        <v>126324</v>
      </c>
      <c r="F170">
        <f t="shared" si="15"/>
        <v>495</v>
      </c>
      <c r="G170" s="3">
        <f t="shared" si="20"/>
        <v>170</v>
      </c>
      <c r="H170" s="4"/>
      <c r="I170" s="5" t="s">
        <v>233</v>
      </c>
      <c r="J170" s="6"/>
      <c r="K170" s="7">
        <v>158262</v>
      </c>
      <c r="L170" s="6">
        <f t="shared" si="16"/>
        <v>495</v>
      </c>
      <c r="M170" s="7">
        <v>32325</v>
      </c>
      <c r="N170" s="8">
        <f t="shared" si="17"/>
        <v>108</v>
      </c>
      <c r="O170" s="7">
        <v>125937</v>
      </c>
      <c r="P170" s="6">
        <f t="shared" si="18"/>
        <v>387</v>
      </c>
      <c r="Q170" s="9"/>
      <c r="R170" s="6">
        <f t="shared" si="19"/>
        <v>0</v>
      </c>
      <c r="S170" s="10" t="s">
        <v>1</v>
      </c>
      <c r="T170" s="2" t="s">
        <v>232</v>
      </c>
    </row>
    <row r="171" spans="1:20" ht="37.5" customHeight="1" x14ac:dyDescent="0.25">
      <c r="A171" s="2" t="s">
        <v>234</v>
      </c>
      <c r="B171">
        <f t="shared" si="14"/>
        <v>87748</v>
      </c>
      <c r="C171">
        <v>17217</v>
      </c>
      <c r="D171">
        <v>70531</v>
      </c>
      <c r="F171">
        <f t="shared" si="15"/>
        <v>222</v>
      </c>
      <c r="G171" s="3">
        <f t="shared" si="20"/>
        <v>171</v>
      </c>
      <c r="H171" s="4"/>
      <c r="I171" s="5" t="s">
        <v>235</v>
      </c>
      <c r="J171" s="6"/>
      <c r="K171" s="7">
        <v>87526</v>
      </c>
      <c r="L171" s="6">
        <f t="shared" si="16"/>
        <v>222</v>
      </c>
      <c r="M171" s="7">
        <v>17166</v>
      </c>
      <c r="N171" s="8">
        <f t="shared" si="17"/>
        <v>51</v>
      </c>
      <c r="O171" s="7">
        <v>70360</v>
      </c>
      <c r="P171" s="6">
        <f t="shared" si="18"/>
        <v>171</v>
      </c>
      <c r="Q171" s="9"/>
      <c r="R171" s="6">
        <f t="shared" si="19"/>
        <v>0</v>
      </c>
      <c r="S171" s="10" t="s">
        <v>1</v>
      </c>
      <c r="T171" s="2" t="s">
        <v>234</v>
      </c>
    </row>
    <row r="172" spans="1:20" ht="37.5" customHeight="1" x14ac:dyDescent="0.25">
      <c r="A172" s="2" t="s">
        <v>236</v>
      </c>
      <c r="B172">
        <f t="shared" si="14"/>
        <v>56721</v>
      </c>
      <c r="C172">
        <v>8761</v>
      </c>
      <c r="D172">
        <v>47960</v>
      </c>
      <c r="F172">
        <f t="shared" si="15"/>
        <v>6</v>
      </c>
      <c r="G172" s="3">
        <f t="shared" si="20"/>
        <v>172</v>
      </c>
      <c r="H172" s="4"/>
      <c r="I172" s="5" t="s">
        <v>237</v>
      </c>
      <c r="J172" s="6"/>
      <c r="K172" s="7">
        <v>56715</v>
      </c>
      <c r="L172" s="6">
        <f t="shared" si="16"/>
        <v>6</v>
      </c>
      <c r="M172" s="7">
        <v>8760</v>
      </c>
      <c r="N172" s="8">
        <f t="shared" si="17"/>
        <v>1</v>
      </c>
      <c r="O172" s="7">
        <v>47955</v>
      </c>
      <c r="P172" s="6">
        <f t="shared" si="18"/>
        <v>5</v>
      </c>
      <c r="Q172" s="9"/>
      <c r="R172" s="6">
        <f t="shared" si="19"/>
        <v>0</v>
      </c>
      <c r="S172" s="10" t="s">
        <v>1</v>
      </c>
      <c r="T172" s="2" t="s">
        <v>236</v>
      </c>
    </row>
    <row r="173" spans="1:20" ht="37.5" customHeight="1" x14ac:dyDescent="0.25">
      <c r="A173" s="2" t="s">
        <v>238</v>
      </c>
      <c r="B173">
        <f t="shared" si="14"/>
        <v>20274</v>
      </c>
      <c r="C173">
        <v>3459</v>
      </c>
      <c r="D173">
        <v>16815</v>
      </c>
      <c r="F173">
        <f t="shared" si="15"/>
        <v>390</v>
      </c>
      <c r="G173" s="3">
        <f t="shared" si="20"/>
        <v>173</v>
      </c>
      <c r="H173" s="4"/>
      <c r="I173" s="5" t="s">
        <v>239</v>
      </c>
      <c r="J173" s="6"/>
      <c r="K173" s="7">
        <v>19884</v>
      </c>
      <c r="L173" s="6">
        <f t="shared" si="16"/>
        <v>390</v>
      </c>
      <c r="M173" s="7">
        <v>3387</v>
      </c>
      <c r="N173" s="8">
        <f t="shared" si="17"/>
        <v>72</v>
      </c>
      <c r="O173" s="7">
        <v>16497</v>
      </c>
      <c r="P173" s="6">
        <f t="shared" si="18"/>
        <v>318</v>
      </c>
      <c r="Q173" s="9"/>
      <c r="R173" s="6">
        <f t="shared" si="19"/>
        <v>0</v>
      </c>
      <c r="S173" s="10" t="s">
        <v>1</v>
      </c>
      <c r="T173" s="2" t="s">
        <v>238</v>
      </c>
    </row>
    <row r="174" spans="1:20" ht="37.5" customHeight="1" x14ac:dyDescent="0.25">
      <c r="A174" s="2" t="s">
        <v>240</v>
      </c>
      <c r="B174">
        <f t="shared" si="14"/>
        <v>14883</v>
      </c>
      <c r="C174">
        <v>2914</v>
      </c>
      <c r="D174">
        <v>11969</v>
      </c>
      <c r="F174">
        <f t="shared" si="15"/>
        <v>189</v>
      </c>
      <c r="G174" s="3">
        <f t="shared" si="20"/>
        <v>174</v>
      </c>
      <c r="H174" s="4"/>
      <c r="I174" s="5">
        <v>122</v>
      </c>
      <c r="J174" s="6"/>
      <c r="K174" s="7">
        <v>14694</v>
      </c>
      <c r="L174" s="6">
        <f t="shared" si="16"/>
        <v>189</v>
      </c>
      <c r="M174" s="7"/>
      <c r="N174" s="8">
        <f t="shared" si="17"/>
        <v>2914</v>
      </c>
      <c r="O174" s="7"/>
      <c r="P174" s="6">
        <f t="shared" si="18"/>
        <v>11969</v>
      </c>
      <c r="Q174" s="9"/>
      <c r="R174" s="6">
        <f t="shared" si="19"/>
        <v>0</v>
      </c>
      <c r="S174" s="10" t="s">
        <v>1</v>
      </c>
      <c r="T174" s="2" t="s">
        <v>240</v>
      </c>
    </row>
    <row r="175" spans="1:20" ht="37.5" customHeight="1" x14ac:dyDescent="0.25">
      <c r="A175" s="2" t="s">
        <v>241</v>
      </c>
      <c r="B175">
        <f t="shared" si="14"/>
        <v>15760</v>
      </c>
      <c r="C175">
        <v>2464</v>
      </c>
      <c r="D175">
        <v>13296</v>
      </c>
      <c r="F175">
        <f t="shared" si="15"/>
        <v>137</v>
      </c>
      <c r="G175" s="3">
        <f t="shared" si="20"/>
        <v>175</v>
      </c>
      <c r="H175" s="4"/>
      <c r="I175" s="5" t="s">
        <v>242</v>
      </c>
      <c r="J175" s="6"/>
      <c r="K175" s="7">
        <v>15623</v>
      </c>
      <c r="L175" s="6">
        <f t="shared" si="16"/>
        <v>137</v>
      </c>
      <c r="M175" s="7">
        <v>2435</v>
      </c>
      <c r="N175" s="8">
        <f t="shared" si="17"/>
        <v>29</v>
      </c>
      <c r="O175" s="7">
        <v>13188</v>
      </c>
      <c r="P175" s="6">
        <f t="shared" si="18"/>
        <v>108</v>
      </c>
      <c r="Q175" s="9"/>
      <c r="R175" s="6">
        <f t="shared" si="19"/>
        <v>0</v>
      </c>
      <c r="S175" s="10" t="s">
        <v>1</v>
      </c>
      <c r="T175" s="2" t="s">
        <v>241</v>
      </c>
    </row>
    <row r="176" spans="1:20" ht="37.5" customHeight="1" x14ac:dyDescent="0.25">
      <c r="A176" s="2" t="s">
        <v>243</v>
      </c>
      <c r="B176">
        <f t="shared" si="14"/>
        <v>19573</v>
      </c>
      <c r="C176">
        <v>3143</v>
      </c>
      <c r="D176">
        <v>16430</v>
      </c>
      <c r="F176">
        <f t="shared" si="15"/>
        <v>315</v>
      </c>
      <c r="G176" s="3">
        <f t="shared" si="20"/>
        <v>176</v>
      </c>
      <c r="H176" s="4"/>
      <c r="I176" s="5" t="s">
        <v>244</v>
      </c>
      <c r="J176" s="6"/>
      <c r="K176" s="7">
        <v>19258</v>
      </c>
      <c r="L176" s="6">
        <f t="shared" si="16"/>
        <v>315</v>
      </c>
      <c r="M176" s="7">
        <v>3110</v>
      </c>
      <c r="N176" s="8">
        <f t="shared" si="17"/>
        <v>33</v>
      </c>
      <c r="O176" s="7">
        <v>16148</v>
      </c>
      <c r="P176" s="6">
        <f t="shared" si="18"/>
        <v>282</v>
      </c>
      <c r="Q176" s="9"/>
      <c r="R176" s="6">
        <f t="shared" si="19"/>
        <v>0</v>
      </c>
      <c r="S176" s="10" t="s">
        <v>1</v>
      </c>
      <c r="T176" s="2" t="s">
        <v>243</v>
      </c>
    </row>
    <row r="177" spans="1:20" ht="37.5" customHeight="1" x14ac:dyDescent="0.25">
      <c r="A177" s="2" t="s">
        <v>245</v>
      </c>
      <c r="B177">
        <f t="shared" si="14"/>
        <v>30774</v>
      </c>
      <c r="C177">
        <v>5348</v>
      </c>
      <c r="D177">
        <v>25426</v>
      </c>
      <c r="F177">
        <f t="shared" si="15"/>
        <v>20</v>
      </c>
      <c r="G177" s="3">
        <f t="shared" si="20"/>
        <v>177</v>
      </c>
      <c r="H177" s="4"/>
      <c r="I177" s="5" t="s">
        <v>246</v>
      </c>
      <c r="J177" s="6"/>
      <c r="K177" s="7">
        <v>30754</v>
      </c>
      <c r="L177" s="6">
        <f t="shared" si="16"/>
        <v>20</v>
      </c>
      <c r="M177" s="7">
        <v>5344</v>
      </c>
      <c r="N177" s="8">
        <f t="shared" si="17"/>
        <v>4</v>
      </c>
      <c r="O177" s="7">
        <v>25410</v>
      </c>
      <c r="P177" s="6">
        <f t="shared" si="18"/>
        <v>16</v>
      </c>
      <c r="Q177" s="9"/>
      <c r="R177" s="6">
        <f t="shared" si="19"/>
        <v>0</v>
      </c>
      <c r="S177" s="10" t="s">
        <v>1</v>
      </c>
      <c r="T177" s="2" t="s">
        <v>245</v>
      </c>
    </row>
    <row r="178" spans="1:20" ht="37.5" customHeight="1" x14ac:dyDescent="0.25">
      <c r="A178" s="2" t="s">
        <v>247</v>
      </c>
      <c r="B178">
        <f t="shared" si="14"/>
        <v>18665</v>
      </c>
      <c r="C178">
        <v>3070</v>
      </c>
      <c r="D178">
        <v>15595</v>
      </c>
      <c r="F178">
        <f t="shared" si="15"/>
        <v>416</v>
      </c>
      <c r="G178" s="3">
        <f t="shared" si="20"/>
        <v>178</v>
      </c>
      <c r="H178" s="4"/>
      <c r="I178" s="5" t="s">
        <v>248</v>
      </c>
      <c r="J178" s="6"/>
      <c r="K178" s="7">
        <v>18249</v>
      </c>
      <c r="L178" s="6">
        <f t="shared" si="16"/>
        <v>416</v>
      </c>
      <c r="M178" s="7">
        <v>3016</v>
      </c>
      <c r="N178" s="8">
        <f t="shared" si="17"/>
        <v>54</v>
      </c>
      <c r="O178" s="7">
        <v>15233</v>
      </c>
      <c r="P178" s="6">
        <f t="shared" si="18"/>
        <v>362</v>
      </c>
      <c r="Q178" s="9"/>
      <c r="R178" s="6">
        <f t="shared" si="19"/>
        <v>0</v>
      </c>
      <c r="S178" s="10" t="s">
        <v>1</v>
      </c>
      <c r="T178" s="2" t="s">
        <v>247</v>
      </c>
    </row>
    <row r="179" spans="1:20" ht="37.5" customHeight="1" x14ac:dyDescent="0.25">
      <c r="A179" s="2" t="s">
        <v>249</v>
      </c>
      <c r="B179">
        <f t="shared" si="14"/>
        <v>6559</v>
      </c>
      <c r="C179">
        <v>1009</v>
      </c>
      <c r="D179">
        <v>5550</v>
      </c>
      <c r="F179">
        <f t="shared" si="15"/>
        <v>208</v>
      </c>
      <c r="G179" s="3">
        <f t="shared" si="20"/>
        <v>179</v>
      </c>
      <c r="H179" s="4"/>
      <c r="I179" s="5" t="s">
        <v>250</v>
      </c>
      <c r="J179" s="6"/>
      <c r="K179" s="7">
        <v>6351</v>
      </c>
      <c r="L179" s="6">
        <f t="shared" si="16"/>
        <v>208</v>
      </c>
      <c r="M179" s="7">
        <v>976</v>
      </c>
      <c r="N179" s="8">
        <f t="shared" si="17"/>
        <v>33</v>
      </c>
      <c r="O179" s="7">
        <v>5375</v>
      </c>
      <c r="P179" s="6">
        <f t="shared" si="18"/>
        <v>175</v>
      </c>
      <c r="Q179" s="9"/>
      <c r="R179" s="6">
        <f t="shared" si="19"/>
        <v>0</v>
      </c>
      <c r="S179" s="10" t="s">
        <v>1</v>
      </c>
      <c r="T179" s="2" t="s">
        <v>249</v>
      </c>
    </row>
    <row r="180" spans="1:20" ht="37.5" customHeight="1" x14ac:dyDescent="0.25">
      <c r="A180" s="2" t="s">
        <v>251</v>
      </c>
      <c r="B180">
        <f t="shared" si="14"/>
        <v>1165</v>
      </c>
      <c r="C180">
        <v>389</v>
      </c>
      <c r="D180">
        <v>776</v>
      </c>
      <c r="E180">
        <v>4834</v>
      </c>
      <c r="F180">
        <f t="shared" si="15"/>
        <v>270</v>
      </c>
      <c r="G180" s="3">
        <f t="shared" si="20"/>
        <v>180</v>
      </c>
      <c r="H180" s="4"/>
      <c r="I180" s="5" t="s">
        <v>252</v>
      </c>
      <c r="J180" s="6"/>
      <c r="K180" s="7">
        <f>M180+O180</f>
        <v>895</v>
      </c>
      <c r="L180" s="6">
        <f t="shared" si="16"/>
        <v>270</v>
      </c>
      <c r="M180" s="7">
        <v>314</v>
      </c>
      <c r="N180" s="8">
        <f t="shared" si="17"/>
        <v>75</v>
      </c>
      <c r="O180" s="7">
        <v>581</v>
      </c>
      <c r="P180" s="6">
        <f t="shared" si="18"/>
        <v>195</v>
      </c>
      <c r="Q180" s="9">
        <v>3823</v>
      </c>
      <c r="R180" s="6">
        <f t="shared" si="19"/>
        <v>1011</v>
      </c>
      <c r="S180" s="10" t="s">
        <v>1</v>
      </c>
      <c r="T180" s="2" t="s">
        <v>251</v>
      </c>
    </row>
    <row r="181" spans="1:20" ht="37.5" customHeight="1" x14ac:dyDescent="0.25">
      <c r="A181" s="2" t="s">
        <v>253</v>
      </c>
      <c r="B181">
        <f t="shared" si="14"/>
        <v>2979</v>
      </c>
      <c r="C181">
        <v>584</v>
      </c>
      <c r="D181">
        <v>2395</v>
      </c>
      <c r="E181">
        <v>5327</v>
      </c>
      <c r="F181">
        <f t="shared" si="15"/>
        <v>238</v>
      </c>
      <c r="G181" s="3">
        <f t="shared" si="20"/>
        <v>181</v>
      </c>
      <c r="H181" s="4"/>
      <c r="I181" s="5" t="s">
        <v>254</v>
      </c>
      <c r="J181" s="6"/>
      <c r="K181" s="7">
        <f>M181+O181</f>
        <v>2741</v>
      </c>
      <c r="L181" s="6">
        <f t="shared" si="16"/>
        <v>238</v>
      </c>
      <c r="M181" s="7">
        <v>531</v>
      </c>
      <c r="N181" s="8">
        <f t="shared" si="17"/>
        <v>53</v>
      </c>
      <c r="O181" s="7">
        <v>2210</v>
      </c>
      <c r="P181" s="6">
        <f t="shared" si="18"/>
        <v>185</v>
      </c>
      <c r="Q181" s="9">
        <v>4398</v>
      </c>
      <c r="R181" s="6">
        <f t="shared" si="19"/>
        <v>929</v>
      </c>
      <c r="S181" s="10" t="s">
        <v>1</v>
      </c>
      <c r="T181" s="2" t="s">
        <v>253</v>
      </c>
    </row>
    <row r="182" spans="1:20" ht="37.5" customHeight="1" x14ac:dyDescent="0.25">
      <c r="A182" s="2" t="s">
        <v>255</v>
      </c>
      <c r="B182">
        <f t="shared" si="14"/>
        <v>7816</v>
      </c>
      <c r="C182">
        <v>1561</v>
      </c>
      <c r="D182">
        <v>6255</v>
      </c>
      <c r="E182">
        <v>10078</v>
      </c>
      <c r="F182">
        <f t="shared" si="15"/>
        <v>510</v>
      </c>
      <c r="G182" s="3">
        <f t="shared" si="20"/>
        <v>182</v>
      </c>
      <c r="H182" s="4"/>
      <c r="I182" s="5" t="s">
        <v>256</v>
      </c>
      <c r="J182" s="6"/>
      <c r="K182" s="7">
        <f>M182+O182</f>
        <v>7306</v>
      </c>
      <c r="L182" s="6">
        <f t="shared" si="16"/>
        <v>510</v>
      </c>
      <c r="M182" s="7">
        <v>1458</v>
      </c>
      <c r="N182" s="8">
        <f t="shared" si="17"/>
        <v>103</v>
      </c>
      <c r="O182" s="7">
        <v>5848</v>
      </c>
      <c r="P182" s="6">
        <f t="shared" si="18"/>
        <v>407</v>
      </c>
      <c r="Q182" s="9">
        <v>9101</v>
      </c>
      <c r="R182" s="6">
        <f t="shared" si="19"/>
        <v>977</v>
      </c>
      <c r="S182" s="10" t="s">
        <v>1</v>
      </c>
      <c r="T182" s="2" t="s">
        <v>255</v>
      </c>
    </row>
    <row r="183" spans="1:20" ht="37.5" customHeight="1" x14ac:dyDescent="0.25">
      <c r="A183" s="2" t="s">
        <v>257</v>
      </c>
      <c r="B183">
        <f t="shared" si="14"/>
        <v>3715</v>
      </c>
      <c r="C183">
        <v>808</v>
      </c>
      <c r="D183">
        <v>2907</v>
      </c>
      <c r="E183">
        <v>6139</v>
      </c>
      <c r="F183">
        <f t="shared" si="15"/>
        <v>533</v>
      </c>
      <c r="G183" s="3">
        <f t="shared" si="20"/>
        <v>183</v>
      </c>
      <c r="H183" s="4"/>
      <c r="I183" s="5" t="s">
        <v>258</v>
      </c>
      <c r="J183" s="6"/>
      <c r="K183" s="7">
        <f>M183+O183</f>
        <v>3182</v>
      </c>
      <c r="L183" s="6">
        <f t="shared" si="16"/>
        <v>533</v>
      </c>
      <c r="M183" s="7">
        <v>691</v>
      </c>
      <c r="N183" s="8">
        <f t="shared" si="17"/>
        <v>117</v>
      </c>
      <c r="O183" s="7">
        <v>2491</v>
      </c>
      <c r="P183" s="6">
        <f t="shared" si="18"/>
        <v>416</v>
      </c>
      <c r="Q183" s="9">
        <v>4989</v>
      </c>
      <c r="R183" s="6">
        <f t="shared" si="19"/>
        <v>1150</v>
      </c>
      <c r="S183" s="10" t="s">
        <v>1</v>
      </c>
      <c r="T183" s="2" t="s">
        <v>257</v>
      </c>
    </row>
    <row r="184" spans="1:20" ht="37.5" customHeight="1" x14ac:dyDescent="0.25">
      <c r="A184" s="2" t="s">
        <v>259</v>
      </c>
      <c r="B184">
        <f t="shared" si="14"/>
        <v>69308</v>
      </c>
      <c r="C184">
        <v>12331</v>
      </c>
      <c r="D184">
        <v>56977</v>
      </c>
      <c r="F184">
        <f t="shared" si="15"/>
        <v>289</v>
      </c>
      <c r="G184" s="3">
        <f t="shared" si="20"/>
        <v>184</v>
      </c>
      <c r="H184" s="4"/>
      <c r="I184" s="5" t="s">
        <v>260</v>
      </c>
      <c r="J184" s="6"/>
      <c r="K184" s="7">
        <v>69019</v>
      </c>
      <c r="L184" s="6">
        <f t="shared" si="16"/>
        <v>289</v>
      </c>
      <c r="M184" s="7">
        <v>12286</v>
      </c>
      <c r="N184" s="8">
        <f t="shared" si="17"/>
        <v>45</v>
      </c>
      <c r="O184" s="7">
        <v>56733</v>
      </c>
      <c r="P184" s="6">
        <f t="shared" si="18"/>
        <v>244</v>
      </c>
      <c r="Q184" s="9"/>
      <c r="R184" s="6">
        <f t="shared" si="19"/>
        <v>0</v>
      </c>
      <c r="S184" s="10" t="s">
        <v>1</v>
      </c>
      <c r="T184" s="2" t="s">
        <v>259</v>
      </c>
    </row>
    <row r="185" spans="1:20" ht="37.5" customHeight="1" x14ac:dyDescent="0.25">
      <c r="A185" s="2" t="s">
        <v>261</v>
      </c>
      <c r="B185">
        <f t="shared" si="14"/>
        <v>67782</v>
      </c>
      <c r="C185">
        <v>14049</v>
      </c>
      <c r="D185">
        <v>53733</v>
      </c>
      <c r="F185">
        <f t="shared" si="15"/>
        <v>147</v>
      </c>
      <c r="G185" s="3">
        <f t="shared" si="20"/>
        <v>185</v>
      </c>
      <c r="H185" s="4"/>
      <c r="I185" s="5">
        <v>123</v>
      </c>
      <c r="J185" s="6"/>
      <c r="K185" s="7">
        <v>67635</v>
      </c>
      <c r="L185" s="6">
        <f t="shared" si="16"/>
        <v>147</v>
      </c>
      <c r="M185" s="7">
        <v>14029</v>
      </c>
      <c r="N185" s="8">
        <f t="shared" si="17"/>
        <v>20</v>
      </c>
      <c r="O185" s="7">
        <v>53606</v>
      </c>
      <c r="P185" s="6">
        <f t="shared" si="18"/>
        <v>127</v>
      </c>
      <c r="Q185" s="9"/>
      <c r="R185" s="6">
        <f t="shared" si="19"/>
        <v>0</v>
      </c>
      <c r="S185" s="10" t="s">
        <v>1</v>
      </c>
      <c r="T185" s="2" t="s">
        <v>261</v>
      </c>
    </row>
    <row r="186" spans="1:20" ht="37.5" customHeight="1" x14ac:dyDescent="0.25">
      <c r="A186" s="2" t="s">
        <v>262</v>
      </c>
      <c r="B186">
        <f t="shared" si="14"/>
        <v>76042</v>
      </c>
      <c r="C186">
        <v>23465</v>
      </c>
      <c r="D186">
        <v>52577</v>
      </c>
      <c r="F186">
        <f t="shared" si="15"/>
        <v>354</v>
      </c>
      <c r="G186" s="3">
        <f t="shared" si="20"/>
        <v>186</v>
      </c>
      <c r="H186" s="4"/>
      <c r="I186" s="5" t="s">
        <v>263</v>
      </c>
      <c r="J186" s="6"/>
      <c r="K186" s="7">
        <v>75688</v>
      </c>
      <c r="L186" s="6">
        <f t="shared" si="16"/>
        <v>354</v>
      </c>
      <c r="M186" s="7">
        <v>23419</v>
      </c>
      <c r="N186" s="8">
        <f t="shared" si="17"/>
        <v>46</v>
      </c>
      <c r="O186" s="7">
        <v>52269</v>
      </c>
      <c r="P186" s="6">
        <f t="shared" si="18"/>
        <v>308</v>
      </c>
      <c r="Q186" s="9"/>
      <c r="R186" s="6">
        <f t="shared" si="19"/>
        <v>0</v>
      </c>
      <c r="S186" s="10" t="s">
        <v>1</v>
      </c>
      <c r="T186" s="2" t="s">
        <v>262</v>
      </c>
    </row>
    <row r="187" spans="1:20" ht="37.5" customHeight="1" x14ac:dyDescent="0.25">
      <c r="A187" s="2" t="s">
        <v>264</v>
      </c>
      <c r="B187">
        <f t="shared" si="14"/>
        <v>1403</v>
      </c>
      <c r="C187">
        <v>411</v>
      </c>
      <c r="D187">
        <v>992</v>
      </c>
      <c r="E187">
        <v>4119</v>
      </c>
      <c r="F187">
        <f t="shared" si="15"/>
        <v>166</v>
      </c>
      <c r="G187" s="3">
        <f t="shared" si="20"/>
        <v>187</v>
      </c>
      <c r="H187" s="4"/>
      <c r="I187" s="5" t="s">
        <v>265</v>
      </c>
      <c r="J187" s="6"/>
      <c r="K187" s="7">
        <f>M187+O187</f>
        <v>1237</v>
      </c>
      <c r="L187" s="6">
        <f t="shared" si="16"/>
        <v>166</v>
      </c>
      <c r="M187" s="7">
        <v>366</v>
      </c>
      <c r="N187" s="8">
        <f t="shared" si="17"/>
        <v>45</v>
      </c>
      <c r="O187" s="7">
        <v>871</v>
      </c>
      <c r="P187" s="6">
        <f t="shared" si="18"/>
        <v>121</v>
      </c>
      <c r="Q187" s="9">
        <v>3432</v>
      </c>
      <c r="R187" s="6">
        <f t="shared" si="19"/>
        <v>687</v>
      </c>
      <c r="S187" s="10" t="s">
        <v>1</v>
      </c>
      <c r="T187" s="2" t="s">
        <v>264</v>
      </c>
    </row>
    <row r="188" spans="1:20" ht="37.5" customHeight="1" x14ac:dyDescent="0.25">
      <c r="A188" s="2" t="s">
        <v>266</v>
      </c>
      <c r="B188">
        <f t="shared" si="14"/>
        <v>57277</v>
      </c>
      <c r="C188">
        <v>15701</v>
      </c>
      <c r="D188">
        <v>41576</v>
      </c>
      <c r="F188">
        <f t="shared" si="15"/>
        <v>24</v>
      </c>
      <c r="G188" s="3">
        <f t="shared" si="20"/>
        <v>188</v>
      </c>
      <c r="H188" s="4"/>
      <c r="I188" s="5" t="s">
        <v>267</v>
      </c>
      <c r="J188" s="6"/>
      <c r="K188" s="7">
        <v>57253</v>
      </c>
      <c r="L188" s="6">
        <f t="shared" si="16"/>
        <v>24</v>
      </c>
      <c r="M188" s="7">
        <v>15698</v>
      </c>
      <c r="N188" s="8">
        <f t="shared" si="17"/>
        <v>3</v>
      </c>
      <c r="O188" s="7">
        <v>41555</v>
      </c>
      <c r="P188" s="6">
        <f t="shared" si="18"/>
        <v>21</v>
      </c>
      <c r="Q188" s="9"/>
      <c r="R188" s="6">
        <f t="shared" si="19"/>
        <v>0</v>
      </c>
      <c r="S188" s="10" t="s">
        <v>1</v>
      </c>
      <c r="T188" s="2" t="s">
        <v>266</v>
      </c>
    </row>
    <row r="189" spans="1:20" ht="37.5" customHeight="1" x14ac:dyDescent="0.25">
      <c r="A189" s="2" t="s">
        <v>268</v>
      </c>
      <c r="B189">
        <f t="shared" si="14"/>
        <v>90363</v>
      </c>
      <c r="C189">
        <v>13761</v>
      </c>
      <c r="D189">
        <v>76602</v>
      </c>
      <c r="F189">
        <f t="shared" si="15"/>
        <v>665</v>
      </c>
      <c r="G189" s="3">
        <f t="shared" si="20"/>
        <v>189</v>
      </c>
      <c r="H189" s="4"/>
      <c r="I189" s="5" t="s">
        <v>269</v>
      </c>
      <c r="J189" s="6"/>
      <c r="K189" s="7">
        <v>89698</v>
      </c>
      <c r="L189" s="6">
        <f t="shared" si="16"/>
        <v>665</v>
      </c>
      <c r="M189" s="7">
        <v>13652</v>
      </c>
      <c r="N189" s="8">
        <f t="shared" si="17"/>
        <v>109</v>
      </c>
      <c r="O189" s="7">
        <v>76046</v>
      </c>
      <c r="P189" s="6">
        <f t="shared" si="18"/>
        <v>556</v>
      </c>
      <c r="Q189" s="9"/>
      <c r="R189" s="6">
        <f t="shared" si="19"/>
        <v>0</v>
      </c>
      <c r="S189" s="10" t="s">
        <v>1</v>
      </c>
      <c r="T189" s="2" t="s">
        <v>268</v>
      </c>
    </row>
    <row r="190" spans="1:20" ht="37.5" customHeight="1" x14ac:dyDescent="0.25">
      <c r="A190" s="2" t="s">
        <v>270</v>
      </c>
      <c r="B190">
        <f t="shared" si="14"/>
        <v>25123</v>
      </c>
      <c r="C190">
        <v>3809</v>
      </c>
      <c r="D190">
        <v>21314</v>
      </c>
      <c r="F190">
        <f t="shared" si="15"/>
        <v>136</v>
      </c>
      <c r="G190" s="3">
        <f t="shared" si="20"/>
        <v>190</v>
      </c>
      <c r="H190" s="4"/>
      <c r="I190" s="5" t="s">
        <v>271</v>
      </c>
      <c r="J190" s="6"/>
      <c r="K190" s="7">
        <v>24987</v>
      </c>
      <c r="L190" s="6">
        <f t="shared" si="16"/>
        <v>136</v>
      </c>
      <c r="M190" s="7">
        <v>3783</v>
      </c>
      <c r="N190" s="8">
        <f t="shared" si="17"/>
        <v>26</v>
      </c>
      <c r="O190" s="7">
        <v>21204</v>
      </c>
      <c r="P190" s="6">
        <f t="shared" si="18"/>
        <v>110</v>
      </c>
      <c r="Q190" s="9"/>
      <c r="R190" s="6">
        <f t="shared" si="19"/>
        <v>0</v>
      </c>
      <c r="S190" s="10" t="s">
        <v>1</v>
      </c>
      <c r="T190" s="2" t="s">
        <v>270</v>
      </c>
    </row>
    <row r="191" spans="1:20" ht="37.5" customHeight="1" x14ac:dyDescent="0.25">
      <c r="A191" s="2" t="s">
        <v>272</v>
      </c>
      <c r="B191">
        <f t="shared" si="14"/>
        <v>32410</v>
      </c>
      <c r="C191">
        <v>4468</v>
      </c>
      <c r="D191">
        <v>27942</v>
      </c>
      <c r="F191">
        <f t="shared" si="15"/>
        <v>422</v>
      </c>
      <c r="G191" s="3">
        <f t="shared" si="20"/>
        <v>191</v>
      </c>
      <c r="H191" s="4"/>
      <c r="I191" s="5" t="s">
        <v>273</v>
      </c>
      <c r="J191" s="6"/>
      <c r="K191" s="7">
        <v>31988</v>
      </c>
      <c r="L191" s="6">
        <f t="shared" si="16"/>
        <v>422</v>
      </c>
      <c r="M191" s="7">
        <v>4399</v>
      </c>
      <c r="N191" s="8">
        <f t="shared" si="17"/>
        <v>69</v>
      </c>
      <c r="O191" s="7">
        <v>27589</v>
      </c>
      <c r="P191" s="6">
        <f t="shared" si="18"/>
        <v>353</v>
      </c>
      <c r="Q191" s="9"/>
      <c r="R191" s="6">
        <f t="shared" si="19"/>
        <v>0</v>
      </c>
      <c r="S191" s="10" t="s">
        <v>1</v>
      </c>
      <c r="T191" s="2" t="s">
        <v>272</v>
      </c>
    </row>
    <row r="192" spans="1:20" ht="37.5" customHeight="1" x14ac:dyDescent="0.25">
      <c r="A192" s="2" t="s">
        <v>274</v>
      </c>
      <c r="B192">
        <f t="shared" si="14"/>
        <v>52153</v>
      </c>
      <c r="C192">
        <v>9837</v>
      </c>
      <c r="D192">
        <v>42316</v>
      </c>
      <c r="F192">
        <f t="shared" si="15"/>
        <v>720</v>
      </c>
      <c r="G192" s="3">
        <f t="shared" si="20"/>
        <v>192</v>
      </c>
      <c r="H192" s="4"/>
      <c r="I192" s="5" t="s">
        <v>275</v>
      </c>
      <c r="J192" s="6"/>
      <c r="K192" s="7">
        <v>51433</v>
      </c>
      <c r="L192" s="6">
        <f t="shared" si="16"/>
        <v>720</v>
      </c>
      <c r="M192" s="7">
        <v>9718</v>
      </c>
      <c r="N192" s="8">
        <f t="shared" si="17"/>
        <v>119</v>
      </c>
      <c r="O192" s="7">
        <v>41715</v>
      </c>
      <c r="P192" s="6">
        <f t="shared" si="18"/>
        <v>601</v>
      </c>
      <c r="Q192" s="9"/>
      <c r="R192" s="6">
        <f t="shared" si="19"/>
        <v>0</v>
      </c>
      <c r="S192" s="10" t="s">
        <v>1</v>
      </c>
      <c r="T192" s="2" t="s">
        <v>274</v>
      </c>
    </row>
    <row r="193" spans="1:20" ht="37.5" customHeight="1" x14ac:dyDescent="0.25">
      <c r="A193" s="2" t="s">
        <v>276</v>
      </c>
      <c r="B193">
        <f t="shared" si="14"/>
        <v>63600</v>
      </c>
      <c r="C193">
        <v>20722</v>
      </c>
      <c r="D193">
        <v>42878</v>
      </c>
      <c r="F193">
        <f t="shared" si="15"/>
        <v>0</v>
      </c>
      <c r="G193" s="3">
        <f t="shared" si="20"/>
        <v>193</v>
      </c>
      <c r="H193" s="4"/>
      <c r="I193" s="5" t="s">
        <v>277</v>
      </c>
      <c r="J193" s="6"/>
      <c r="K193" s="7">
        <v>63600</v>
      </c>
      <c r="L193" s="6">
        <f t="shared" si="16"/>
        <v>0</v>
      </c>
      <c r="M193" s="7">
        <v>20722</v>
      </c>
      <c r="N193" s="8">
        <f t="shared" si="17"/>
        <v>0</v>
      </c>
      <c r="O193" s="7">
        <v>42878</v>
      </c>
      <c r="P193" s="6">
        <f t="shared" si="18"/>
        <v>0</v>
      </c>
      <c r="Q193" s="9"/>
      <c r="R193" s="6">
        <f t="shared" si="19"/>
        <v>0</v>
      </c>
      <c r="S193" s="10" t="s">
        <v>1</v>
      </c>
      <c r="T193" s="2" t="s">
        <v>276</v>
      </c>
    </row>
    <row r="194" spans="1:20" ht="37.5" customHeight="1" x14ac:dyDescent="0.25">
      <c r="A194" s="2" t="s">
        <v>278</v>
      </c>
      <c r="B194">
        <f t="shared" ref="B194:B257" si="21">C194+D194</f>
        <v>83174</v>
      </c>
      <c r="C194">
        <v>25269</v>
      </c>
      <c r="D194">
        <v>57905</v>
      </c>
      <c r="F194">
        <f t="shared" ref="F194:F257" si="22">L194</f>
        <v>270</v>
      </c>
      <c r="G194" s="3">
        <f t="shared" si="20"/>
        <v>194</v>
      </c>
      <c r="H194" s="4"/>
      <c r="I194" s="5" t="s">
        <v>279</v>
      </c>
      <c r="J194" s="6"/>
      <c r="K194" s="7">
        <v>82904</v>
      </c>
      <c r="L194" s="6">
        <f t="shared" ref="L194:L257" si="23">B194-K194</f>
        <v>270</v>
      </c>
      <c r="M194" s="7">
        <v>25153</v>
      </c>
      <c r="N194" s="8">
        <f t="shared" ref="N194:N257" si="24">C194-M194</f>
        <v>116</v>
      </c>
      <c r="O194" s="7">
        <v>57751</v>
      </c>
      <c r="P194" s="6">
        <f t="shared" ref="P194:P257" si="25">D194-O194</f>
        <v>154</v>
      </c>
      <c r="Q194" s="9"/>
      <c r="R194" s="6">
        <f t="shared" ref="R194:R257" si="26">E194-Q194</f>
        <v>0</v>
      </c>
      <c r="S194" s="10" t="s">
        <v>1</v>
      </c>
      <c r="T194" s="2" t="s">
        <v>278</v>
      </c>
    </row>
    <row r="195" spans="1:20" ht="37.5" customHeight="1" x14ac:dyDescent="0.25">
      <c r="A195" s="2" t="s">
        <v>280</v>
      </c>
      <c r="B195">
        <f t="shared" si="21"/>
        <v>69748</v>
      </c>
      <c r="C195">
        <v>12784</v>
      </c>
      <c r="D195">
        <v>56964</v>
      </c>
      <c r="F195">
        <f t="shared" si="22"/>
        <v>554</v>
      </c>
      <c r="G195" s="3">
        <f t="shared" ref="G195:G258" si="27">G194+1</f>
        <v>195</v>
      </c>
      <c r="H195" s="4"/>
      <c r="I195" s="5" t="s">
        <v>281</v>
      </c>
      <c r="J195" s="6"/>
      <c r="K195" s="7">
        <v>69194</v>
      </c>
      <c r="L195" s="6">
        <f t="shared" si="23"/>
        <v>554</v>
      </c>
      <c r="M195" s="7">
        <v>12686</v>
      </c>
      <c r="N195" s="8">
        <f t="shared" si="24"/>
        <v>98</v>
      </c>
      <c r="O195" s="7">
        <v>56508</v>
      </c>
      <c r="P195" s="6">
        <f t="shared" si="25"/>
        <v>456</v>
      </c>
      <c r="Q195" s="9"/>
      <c r="R195" s="6">
        <f t="shared" si="26"/>
        <v>0</v>
      </c>
      <c r="S195" s="10" t="s">
        <v>1</v>
      </c>
      <c r="T195" s="2" t="s">
        <v>280</v>
      </c>
    </row>
    <row r="196" spans="1:20" ht="37.5" customHeight="1" x14ac:dyDescent="0.25">
      <c r="A196" s="2" t="s">
        <v>282</v>
      </c>
      <c r="B196">
        <v>101443</v>
      </c>
      <c r="C196" s="23"/>
      <c r="D196" s="23"/>
      <c r="F196">
        <f t="shared" si="22"/>
        <v>132</v>
      </c>
      <c r="G196" s="3">
        <f t="shared" si="27"/>
        <v>196</v>
      </c>
      <c r="H196" s="4"/>
      <c r="I196" s="5">
        <v>124</v>
      </c>
      <c r="J196" s="6"/>
      <c r="K196" s="7">
        <v>101311</v>
      </c>
      <c r="L196" s="6">
        <f t="shared" si="23"/>
        <v>132</v>
      </c>
      <c r="M196" s="7">
        <v>17038</v>
      </c>
      <c r="N196" s="8">
        <f t="shared" si="24"/>
        <v>-17038</v>
      </c>
      <c r="O196" s="7">
        <v>84273</v>
      </c>
      <c r="P196" s="6">
        <f t="shared" si="25"/>
        <v>-84273</v>
      </c>
      <c r="Q196" s="9"/>
      <c r="R196" s="6">
        <f t="shared" si="26"/>
        <v>0</v>
      </c>
      <c r="S196" s="10" t="s">
        <v>1</v>
      </c>
      <c r="T196" s="2" t="s">
        <v>282</v>
      </c>
    </row>
    <row r="197" spans="1:20" ht="37.5" customHeight="1" x14ac:dyDescent="0.25">
      <c r="A197" s="2" t="s">
        <v>283</v>
      </c>
      <c r="B197">
        <f t="shared" si="21"/>
        <v>60170</v>
      </c>
      <c r="C197">
        <v>9853</v>
      </c>
      <c r="D197">
        <v>50317</v>
      </c>
      <c r="F197">
        <f t="shared" si="22"/>
        <v>118</v>
      </c>
      <c r="G197" s="3">
        <f t="shared" si="27"/>
        <v>197</v>
      </c>
      <c r="H197" s="4"/>
      <c r="I197" s="5" t="s">
        <v>284</v>
      </c>
      <c r="J197" s="6"/>
      <c r="K197" s="7">
        <v>60052</v>
      </c>
      <c r="L197" s="6">
        <f t="shared" si="23"/>
        <v>118</v>
      </c>
      <c r="M197" s="7">
        <v>9841</v>
      </c>
      <c r="N197" s="8">
        <f t="shared" si="24"/>
        <v>12</v>
      </c>
      <c r="O197" s="7">
        <v>50211</v>
      </c>
      <c r="P197" s="6">
        <f t="shared" si="25"/>
        <v>106</v>
      </c>
      <c r="Q197" s="9"/>
      <c r="R197" s="6">
        <f t="shared" si="26"/>
        <v>0</v>
      </c>
      <c r="S197" s="10" t="s">
        <v>1</v>
      </c>
      <c r="T197" s="2" t="s">
        <v>283</v>
      </c>
    </row>
    <row r="198" spans="1:20" ht="37.5" customHeight="1" x14ac:dyDescent="0.25">
      <c r="A198" s="2" t="s">
        <v>285</v>
      </c>
      <c r="B198">
        <f t="shared" si="21"/>
        <v>47123</v>
      </c>
      <c r="C198">
        <v>6984</v>
      </c>
      <c r="D198">
        <v>40139</v>
      </c>
      <c r="F198">
        <f t="shared" si="22"/>
        <v>426</v>
      </c>
      <c r="G198" s="3">
        <f t="shared" si="27"/>
        <v>198</v>
      </c>
      <c r="H198" s="4"/>
      <c r="I198" s="5" t="s">
        <v>286</v>
      </c>
      <c r="J198" s="6"/>
      <c r="K198" s="7">
        <v>46697</v>
      </c>
      <c r="L198" s="6">
        <f t="shared" si="23"/>
        <v>426</v>
      </c>
      <c r="M198" s="7">
        <v>6911</v>
      </c>
      <c r="N198" s="8">
        <f t="shared" si="24"/>
        <v>73</v>
      </c>
      <c r="O198" s="7">
        <v>39786</v>
      </c>
      <c r="P198" s="6">
        <f t="shared" si="25"/>
        <v>353</v>
      </c>
      <c r="Q198" s="9"/>
      <c r="R198" s="6">
        <f t="shared" si="26"/>
        <v>0</v>
      </c>
      <c r="S198" s="10" t="s">
        <v>1</v>
      </c>
      <c r="T198" s="2" t="s">
        <v>285</v>
      </c>
    </row>
    <row r="199" spans="1:20" ht="37.5" customHeight="1" x14ac:dyDescent="0.25">
      <c r="A199" s="2" t="s">
        <v>287</v>
      </c>
      <c r="B199">
        <f t="shared" si="21"/>
        <v>31612</v>
      </c>
      <c r="C199">
        <v>5596</v>
      </c>
      <c r="D199">
        <v>26016</v>
      </c>
      <c r="F199">
        <f t="shared" si="22"/>
        <v>360</v>
      </c>
      <c r="G199" s="3">
        <f t="shared" si="27"/>
        <v>199</v>
      </c>
      <c r="H199" s="4"/>
      <c r="I199" s="5" t="s">
        <v>288</v>
      </c>
      <c r="J199" s="6"/>
      <c r="K199" s="7">
        <v>31252</v>
      </c>
      <c r="L199" s="6">
        <f t="shared" si="23"/>
        <v>360</v>
      </c>
      <c r="M199" s="7">
        <v>5535</v>
      </c>
      <c r="N199" s="8">
        <f t="shared" si="24"/>
        <v>61</v>
      </c>
      <c r="O199" s="7">
        <v>25717</v>
      </c>
      <c r="P199" s="6">
        <f t="shared" si="25"/>
        <v>299</v>
      </c>
      <c r="Q199" s="9"/>
      <c r="R199" s="6">
        <f t="shared" si="26"/>
        <v>0</v>
      </c>
      <c r="S199" s="10" t="s">
        <v>1</v>
      </c>
      <c r="T199" s="2" t="s">
        <v>287</v>
      </c>
    </row>
    <row r="200" spans="1:20" ht="37.5" customHeight="1" x14ac:dyDescent="0.25">
      <c r="A200" s="2" t="s">
        <v>289</v>
      </c>
      <c r="B200">
        <f t="shared" si="21"/>
        <v>52992</v>
      </c>
      <c r="C200">
        <v>8789</v>
      </c>
      <c r="D200">
        <v>44203</v>
      </c>
      <c r="F200">
        <f t="shared" si="22"/>
        <v>317</v>
      </c>
      <c r="G200" s="3">
        <f t="shared" si="27"/>
        <v>200</v>
      </c>
      <c r="H200" s="4"/>
      <c r="I200" s="5" t="s">
        <v>290</v>
      </c>
      <c r="J200" s="6"/>
      <c r="K200" s="7">
        <v>52675</v>
      </c>
      <c r="L200" s="6">
        <f t="shared" si="23"/>
        <v>317</v>
      </c>
      <c r="M200" s="7">
        <v>8736</v>
      </c>
      <c r="N200" s="8">
        <f t="shared" si="24"/>
        <v>53</v>
      </c>
      <c r="O200" s="7">
        <v>43939</v>
      </c>
      <c r="P200" s="6">
        <f t="shared" si="25"/>
        <v>264</v>
      </c>
      <c r="Q200" s="9"/>
      <c r="R200" s="6">
        <f t="shared" si="26"/>
        <v>0</v>
      </c>
      <c r="S200" s="10" t="s">
        <v>1</v>
      </c>
      <c r="T200" s="2" t="s">
        <v>289</v>
      </c>
    </row>
    <row r="201" spans="1:20" ht="37.5" customHeight="1" x14ac:dyDescent="0.25">
      <c r="A201" s="2" t="s">
        <v>291</v>
      </c>
      <c r="B201">
        <f t="shared" si="21"/>
        <v>92983</v>
      </c>
      <c r="C201">
        <v>25740</v>
      </c>
      <c r="D201">
        <v>67243</v>
      </c>
      <c r="F201">
        <f t="shared" si="22"/>
        <v>417</v>
      </c>
      <c r="G201" s="3">
        <f t="shared" si="27"/>
        <v>201</v>
      </c>
      <c r="H201" s="4"/>
      <c r="I201" s="5" t="s">
        <v>292</v>
      </c>
      <c r="J201" s="6"/>
      <c r="K201" s="7">
        <v>92566</v>
      </c>
      <c r="L201" s="6">
        <f t="shared" si="23"/>
        <v>417</v>
      </c>
      <c r="M201" s="7">
        <v>25672</v>
      </c>
      <c r="N201" s="8">
        <f t="shared" si="24"/>
        <v>68</v>
      </c>
      <c r="O201" s="7">
        <v>66894</v>
      </c>
      <c r="P201" s="6">
        <f t="shared" si="25"/>
        <v>349</v>
      </c>
      <c r="Q201" s="9"/>
      <c r="R201" s="6">
        <f t="shared" si="26"/>
        <v>0</v>
      </c>
      <c r="S201" s="10" t="s">
        <v>1</v>
      </c>
      <c r="T201" s="2" t="s">
        <v>291</v>
      </c>
    </row>
    <row r="202" spans="1:20" ht="37.5" customHeight="1" x14ac:dyDescent="0.25">
      <c r="A202" s="2" t="s">
        <v>293</v>
      </c>
      <c r="B202">
        <f t="shared" si="21"/>
        <v>41577</v>
      </c>
      <c r="C202">
        <v>7172</v>
      </c>
      <c r="D202">
        <v>34405</v>
      </c>
      <c r="F202">
        <f t="shared" si="22"/>
        <v>256</v>
      </c>
      <c r="G202" s="3">
        <f t="shared" si="27"/>
        <v>202</v>
      </c>
      <c r="H202" s="4"/>
      <c r="I202" s="5" t="s">
        <v>294</v>
      </c>
      <c r="J202" s="6"/>
      <c r="K202" s="7">
        <v>41321</v>
      </c>
      <c r="L202" s="6">
        <f t="shared" si="23"/>
        <v>256</v>
      </c>
      <c r="M202" s="7">
        <v>7123</v>
      </c>
      <c r="N202" s="8">
        <f t="shared" si="24"/>
        <v>49</v>
      </c>
      <c r="O202" s="7">
        <v>34198</v>
      </c>
      <c r="P202" s="6">
        <f t="shared" si="25"/>
        <v>207</v>
      </c>
      <c r="Q202" s="9"/>
      <c r="R202" s="6">
        <f t="shared" si="26"/>
        <v>0</v>
      </c>
      <c r="S202" s="10" t="s">
        <v>1</v>
      </c>
      <c r="T202" s="2" t="s">
        <v>293</v>
      </c>
    </row>
    <row r="203" spans="1:20" ht="37.5" customHeight="1" x14ac:dyDescent="0.25">
      <c r="A203" s="2" t="s">
        <v>295</v>
      </c>
      <c r="B203">
        <f t="shared" si="21"/>
        <v>5009</v>
      </c>
      <c r="C203">
        <v>506</v>
      </c>
      <c r="D203">
        <v>4503</v>
      </c>
      <c r="F203">
        <f t="shared" si="22"/>
        <v>131</v>
      </c>
      <c r="G203" s="3">
        <f t="shared" si="27"/>
        <v>203</v>
      </c>
      <c r="H203" s="4"/>
      <c r="I203" s="5" t="s">
        <v>296</v>
      </c>
      <c r="J203" s="6"/>
      <c r="K203" s="7">
        <v>4878</v>
      </c>
      <c r="L203" s="6">
        <f t="shared" si="23"/>
        <v>131</v>
      </c>
      <c r="M203" s="7">
        <v>490</v>
      </c>
      <c r="N203" s="8">
        <f t="shared" si="24"/>
        <v>16</v>
      </c>
      <c r="O203" s="7">
        <v>4388</v>
      </c>
      <c r="P203" s="6">
        <f t="shared" si="25"/>
        <v>115</v>
      </c>
      <c r="Q203" s="9"/>
      <c r="R203" s="6">
        <f t="shared" si="26"/>
        <v>0</v>
      </c>
      <c r="S203" s="10" t="s">
        <v>1</v>
      </c>
      <c r="T203" s="2" t="s">
        <v>295</v>
      </c>
    </row>
    <row r="204" spans="1:20" ht="37.5" customHeight="1" x14ac:dyDescent="0.25">
      <c r="A204" s="2" t="s">
        <v>297</v>
      </c>
      <c r="B204">
        <f t="shared" si="21"/>
        <v>74176</v>
      </c>
      <c r="C204">
        <v>30452</v>
      </c>
      <c r="D204">
        <v>43724</v>
      </c>
      <c r="F204">
        <f t="shared" si="22"/>
        <v>245</v>
      </c>
      <c r="G204" s="3">
        <f t="shared" si="27"/>
        <v>204</v>
      </c>
      <c r="H204" s="4"/>
      <c r="I204" s="5" t="s">
        <v>298</v>
      </c>
      <c r="J204" s="6"/>
      <c r="K204" s="7">
        <v>73931</v>
      </c>
      <c r="L204" s="6">
        <f t="shared" si="23"/>
        <v>245</v>
      </c>
      <c r="M204" s="7">
        <v>30425</v>
      </c>
      <c r="N204" s="8">
        <f t="shared" si="24"/>
        <v>27</v>
      </c>
      <c r="O204" s="7">
        <v>43506</v>
      </c>
      <c r="P204" s="6">
        <f t="shared" si="25"/>
        <v>218</v>
      </c>
      <c r="Q204" s="9"/>
      <c r="R204" s="6">
        <f t="shared" si="26"/>
        <v>0</v>
      </c>
      <c r="S204" s="10" t="s">
        <v>1</v>
      </c>
      <c r="T204" s="2" t="s">
        <v>297</v>
      </c>
    </row>
    <row r="205" spans="1:20" ht="37.5" customHeight="1" x14ac:dyDescent="0.25">
      <c r="A205" s="2" t="s">
        <v>299</v>
      </c>
      <c r="B205">
        <f t="shared" si="21"/>
        <v>13445</v>
      </c>
      <c r="C205">
        <v>1903</v>
      </c>
      <c r="D205">
        <v>11542</v>
      </c>
      <c r="F205">
        <f t="shared" si="22"/>
        <v>277</v>
      </c>
      <c r="G205" s="3">
        <f t="shared" si="27"/>
        <v>205</v>
      </c>
      <c r="H205" s="4"/>
      <c r="I205" s="5" t="s">
        <v>300</v>
      </c>
      <c r="J205" s="6"/>
      <c r="K205" s="7">
        <v>13168</v>
      </c>
      <c r="L205" s="6">
        <f t="shared" si="23"/>
        <v>277</v>
      </c>
      <c r="M205" s="7">
        <v>1879</v>
      </c>
      <c r="N205" s="8">
        <f t="shared" si="24"/>
        <v>24</v>
      </c>
      <c r="O205" s="7">
        <v>11289</v>
      </c>
      <c r="P205" s="6">
        <f t="shared" si="25"/>
        <v>253</v>
      </c>
      <c r="Q205" s="9"/>
      <c r="R205" s="6">
        <f t="shared" si="26"/>
        <v>0</v>
      </c>
      <c r="S205" s="10" t="s">
        <v>1</v>
      </c>
      <c r="T205" s="2" t="s">
        <v>299</v>
      </c>
    </row>
    <row r="206" spans="1:20" ht="37.5" customHeight="1" x14ac:dyDescent="0.25">
      <c r="A206" s="2" t="s">
        <v>301</v>
      </c>
      <c r="B206">
        <f t="shared" si="21"/>
        <v>71475</v>
      </c>
      <c r="C206">
        <v>24437</v>
      </c>
      <c r="D206">
        <v>47038</v>
      </c>
      <c r="F206">
        <f t="shared" si="22"/>
        <v>116</v>
      </c>
      <c r="G206" s="3">
        <f t="shared" si="27"/>
        <v>206</v>
      </c>
      <c r="H206" s="4"/>
      <c r="I206" s="5" t="s">
        <v>302</v>
      </c>
      <c r="J206" s="6"/>
      <c r="K206" s="7">
        <v>71359</v>
      </c>
      <c r="L206" s="6">
        <f t="shared" si="23"/>
        <v>116</v>
      </c>
      <c r="M206" s="7">
        <v>24413</v>
      </c>
      <c r="N206" s="8">
        <f t="shared" si="24"/>
        <v>24</v>
      </c>
      <c r="O206" s="7">
        <v>46946</v>
      </c>
      <c r="P206" s="6">
        <f t="shared" si="25"/>
        <v>92</v>
      </c>
      <c r="Q206" s="9"/>
      <c r="R206" s="6">
        <f t="shared" si="26"/>
        <v>0</v>
      </c>
      <c r="S206" s="10" t="s">
        <v>1</v>
      </c>
      <c r="T206" s="2" t="s">
        <v>301</v>
      </c>
    </row>
    <row r="207" spans="1:20" ht="37.5" customHeight="1" x14ac:dyDescent="0.25">
      <c r="A207" s="2" t="s">
        <v>303</v>
      </c>
      <c r="B207">
        <f t="shared" si="21"/>
        <v>61274</v>
      </c>
      <c r="C207">
        <v>7542</v>
      </c>
      <c r="D207">
        <v>53732</v>
      </c>
      <c r="F207">
        <f t="shared" si="22"/>
        <v>606</v>
      </c>
      <c r="G207" s="3">
        <f t="shared" si="27"/>
        <v>207</v>
      </c>
      <c r="H207" s="4"/>
      <c r="I207" s="5" t="s">
        <v>304</v>
      </c>
      <c r="J207" s="6"/>
      <c r="K207" s="7">
        <v>60668</v>
      </c>
      <c r="L207" s="6">
        <f t="shared" si="23"/>
        <v>606</v>
      </c>
      <c r="M207" s="7">
        <v>7391</v>
      </c>
      <c r="N207" s="8">
        <f t="shared" si="24"/>
        <v>151</v>
      </c>
      <c r="O207" s="7">
        <v>53277</v>
      </c>
      <c r="P207" s="6">
        <f t="shared" si="25"/>
        <v>455</v>
      </c>
      <c r="Q207" s="9"/>
      <c r="R207" s="6">
        <f t="shared" si="26"/>
        <v>0</v>
      </c>
      <c r="S207" s="10" t="s">
        <v>1</v>
      </c>
      <c r="T207" s="2" t="s">
        <v>303</v>
      </c>
    </row>
    <row r="208" spans="1:20" ht="37.5" customHeight="1" x14ac:dyDescent="0.25">
      <c r="A208" s="2" t="s">
        <v>305</v>
      </c>
      <c r="B208">
        <f t="shared" si="21"/>
        <v>11273</v>
      </c>
      <c r="C208">
        <v>1482</v>
      </c>
      <c r="D208">
        <v>9791</v>
      </c>
      <c r="F208">
        <f t="shared" si="22"/>
        <v>240</v>
      </c>
      <c r="G208" s="3">
        <f t="shared" si="27"/>
        <v>208</v>
      </c>
      <c r="H208" s="4"/>
      <c r="I208" s="5" t="s">
        <v>306</v>
      </c>
      <c r="J208" s="6"/>
      <c r="K208" s="7">
        <v>11033</v>
      </c>
      <c r="L208" s="6">
        <f t="shared" si="23"/>
        <v>240</v>
      </c>
      <c r="M208" s="7">
        <v>1439</v>
      </c>
      <c r="N208" s="8">
        <f t="shared" si="24"/>
        <v>43</v>
      </c>
      <c r="O208" s="7">
        <v>9594</v>
      </c>
      <c r="P208" s="6">
        <f t="shared" si="25"/>
        <v>197</v>
      </c>
      <c r="Q208" s="9"/>
      <c r="R208" s="6">
        <f t="shared" si="26"/>
        <v>0</v>
      </c>
      <c r="S208" s="10" t="s">
        <v>1</v>
      </c>
      <c r="T208" s="2" t="s">
        <v>305</v>
      </c>
    </row>
    <row r="209" spans="1:20" ht="37.5" customHeight="1" x14ac:dyDescent="0.25">
      <c r="A209" s="2" t="s">
        <v>307</v>
      </c>
      <c r="B209">
        <f t="shared" si="21"/>
        <v>26885</v>
      </c>
      <c r="C209">
        <v>4563</v>
      </c>
      <c r="D209">
        <v>22322</v>
      </c>
      <c r="F209">
        <f t="shared" si="22"/>
        <v>473</v>
      </c>
      <c r="G209" s="3">
        <f t="shared" si="27"/>
        <v>209</v>
      </c>
      <c r="H209" s="4"/>
      <c r="I209" s="5" t="s">
        <v>308</v>
      </c>
      <c r="J209" s="6"/>
      <c r="K209" s="7">
        <v>26412</v>
      </c>
      <c r="L209" s="6">
        <f t="shared" si="23"/>
        <v>473</v>
      </c>
      <c r="M209" s="7">
        <v>4484</v>
      </c>
      <c r="N209" s="8">
        <f t="shared" si="24"/>
        <v>79</v>
      </c>
      <c r="O209" s="7">
        <v>21928</v>
      </c>
      <c r="P209" s="6">
        <f t="shared" si="25"/>
        <v>394</v>
      </c>
      <c r="Q209" s="9"/>
      <c r="R209" s="6">
        <f t="shared" si="26"/>
        <v>0</v>
      </c>
      <c r="S209" s="10" t="s">
        <v>1</v>
      </c>
      <c r="T209" s="2" t="s">
        <v>307</v>
      </c>
    </row>
    <row r="210" spans="1:20" ht="37.5" customHeight="1" x14ac:dyDescent="0.25">
      <c r="A210" s="2" t="s">
        <v>309</v>
      </c>
      <c r="B210">
        <f t="shared" si="21"/>
        <v>10611</v>
      </c>
      <c r="C210">
        <v>1782</v>
      </c>
      <c r="D210">
        <v>8829</v>
      </c>
      <c r="F210">
        <f t="shared" si="22"/>
        <v>207</v>
      </c>
      <c r="G210" s="3">
        <f t="shared" si="27"/>
        <v>210</v>
      </c>
      <c r="H210" s="4"/>
      <c r="I210" s="5" t="s">
        <v>310</v>
      </c>
      <c r="J210" s="6"/>
      <c r="K210" s="7">
        <v>10404</v>
      </c>
      <c r="L210" s="6">
        <f t="shared" si="23"/>
        <v>207</v>
      </c>
      <c r="M210" s="7">
        <v>1746</v>
      </c>
      <c r="N210" s="8">
        <f t="shared" si="24"/>
        <v>36</v>
      </c>
      <c r="O210" s="7">
        <v>8658</v>
      </c>
      <c r="P210" s="6">
        <f t="shared" si="25"/>
        <v>171</v>
      </c>
      <c r="Q210" s="9"/>
      <c r="R210" s="6">
        <f t="shared" si="26"/>
        <v>0</v>
      </c>
      <c r="S210" s="10" t="s">
        <v>1</v>
      </c>
      <c r="T210" s="2" t="s">
        <v>309</v>
      </c>
    </row>
    <row r="211" spans="1:20" ht="37.5" customHeight="1" x14ac:dyDescent="0.25">
      <c r="A211" s="2" t="s">
        <v>311</v>
      </c>
      <c r="B211">
        <f t="shared" si="21"/>
        <v>63228</v>
      </c>
      <c r="C211">
        <v>12581</v>
      </c>
      <c r="D211">
        <v>50647</v>
      </c>
      <c r="F211">
        <f t="shared" si="22"/>
        <v>985</v>
      </c>
      <c r="G211" s="3">
        <f t="shared" si="27"/>
        <v>211</v>
      </c>
      <c r="H211" s="4"/>
      <c r="I211" s="5" t="s">
        <v>312</v>
      </c>
      <c r="J211" s="6"/>
      <c r="K211" s="7">
        <v>62243</v>
      </c>
      <c r="L211" s="6">
        <f t="shared" si="23"/>
        <v>985</v>
      </c>
      <c r="M211" s="7">
        <v>12457</v>
      </c>
      <c r="N211" s="8">
        <f t="shared" si="24"/>
        <v>124</v>
      </c>
      <c r="O211" s="7">
        <v>49786</v>
      </c>
      <c r="P211" s="6">
        <f t="shared" si="25"/>
        <v>861</v>
      </c>
      <c r="Q211" s="9"/>
      <c r="R211" s="6">
        <f t="shared" si="26"/>
        <v>0</v>
      </c>
      <c r="S211" s="10" t="s">
        <v>1</v>
      </c>
      <c r="T211" s="2" t="s">
        <v>311</v>
      </c>
    </row>
    <row r="212" spans="1:20" ht="37.5" customHeight="1" x14ac:dyDescent="0.25">
      <c r="A212" s="2" t="s">
        <v>313</v>
      </c>
      <c r="B212">
        <f t="shared" si="21"/>
        <v>133645</v>
      </c>
      <c r="C212">
        <v>54082</v>
      </c>
      <c r="D212">
        <v>79563</v>
      </c>
      <c r="F212">
        <f t="shared" si="22"/>
        <v>450</v>
      </c>
      <c r="G212" s="3">
        <f t="shared" si="27"/>
        <v>212</v>
      </c>
      <c r="H212" s="4"/>
      <c r="I212" s="5" t="s">
        <v>314</v>
      </c>
      <c r="J212" s="6"/>
      <c r="K212" s="7">
        <v>133195</v>
      </c>
      <c r="L212" s="6">
        <f t="shared" si="23"/>
        <v>450</v>
      </c>
      <c r="M212" s="7">
        <v>53951</v>
      </c>
      <c r="N212" s="8">
        <f t="shared" si="24"/>
        <v>131</v>
      </c>
      <c r="O212" s="7">
        <v>79244</v>
      </c>
      <c r="P212" s="6">
        <f t="shared" si="25"/>
        <v>319</v>
      </c>
      <c r="Q212" s="9"/>
      <c r="R212" s="6">
        <f t="shared" si="26"/>
        <v>0</v>
      </c>
      <c r="S212" s="10" t="s">
        <v>1</v>
      </c>
      <c r="T212" s="2" t="s">
        <v>313</v>
      </c>
    </row>
    <row r="213" spans="1:20" ht="37.5" customHeight="1" x14ac:dyDescent="0.25">
      <c r="A213" s="2" t="s">
        <v>315</v>
      </c>
      <c r="B213">
        <f t="shared" si="21"/>
        <v>24664</v>
      </c>
      <c r="C213">
        <v>3330</v>
      </c>
      <c r="D213">
        <v>21334</v>
      </c>
      <c r="F213">
        <f t="shared" si="22"/>
        <v>350</v>
      </c>
      <c r="G213" s="3">
        <f t="shared" si="27"/>
        <v>213</v>
      </c>
      <c r="H213" s="4"/>
      <c r="I213" s="5" t="s">
        <v>316</v>
      </c>
      <c r="J213" s="6"/>
      <c r="K213" s="7">
        <v>24314</v>
      </c>
      <c r="L213" s="6">
        <f t="shared" si="23"/>
        <v>350</v>
      </c>
      <c r="M213" s="7">
        <v>3276</v>
      </c>
      <c r="N213" s="8">
        <f t="shared" si="24"/>
        <v>54</v>
      </c>
      <c r="O213" s="7">
        <v>21038</v>
      </c>
      <c r="P213" s="6">
        <f t="shared" si="25"/>
        <v>296</v>
      </c>
      <c r="Q213" s="9"/>
      <c r="R213" s="6">
        <f t="shared" si="26"/>
        <v>0</v>
      </c>
      <c r="S213" s="10" t="s">
        <v>1</v>
      </c>
      <c r="T213" s="2" t="s">
        <v>315</v>
      </c>
    </row>
    <row r="214" spans="1:20" ht="37.5" customHeight="1" x14ac:dyDescent="0.25">
      <c r="A214" s="2" t="s">
        <v>317</v>
      </c>
      <c r="B214">
        <f t="shared" si="21"/>
        <v>31605</v>
      </c>
      <c r="C214">
        <v>4654</v>
      </c>
      <c r="D214">
        <v>26951</v>
      </c>
      <c r="F214">
        <f t="shared" si="22"/>
        <v>183</v>
      </c>
      <c r="G214" s="3">
        <f t="shared" si="27"/>
        <v>214</v>
      </c>
      <c r="H214" s="4"/>
      <c r="I214" s="5" t="s">
        <v>318</v>
      </c>
      <c r="J214" s="6"/>
      <c r="K214" s="7">
        <v>31422</v>
      </c>
      <c r="L214" s="6">
        <f t="shared" si="23"/>
        <v>183</v>
      </c>
      <c r="M214" s="7">
        <v>4601</v>
      </c>
      <c r="N214" s="8">
        <f t="shared" si="24"/>
        <v>53</v>
      </c>
      <c r="O214" s="7">
        <v>26821</v>
      </c>
      <c r="P214" s="6">
        <f t="shared" si="25"/>
        <v>130</v>
      </c>
      <c r="Q214" s="9"/>
      <c r="R214" s="6">
        <f t="shared" si="26"/>
        <v>0</v>
      </c>
      <c r="S214" s="10" t="s">
        <v>1</v>
      </c>
      <c r="T214" s="2" t="s">
        <v>317</v>
      </c>
    </row>
    <row r="215" spans="1:20" ht="37.5" customHeight="1" x14ac:dyDescent="0.25">
      <c r="A215" s="2" t="s">
        <v>319</v>
      </c>
      <c r="B215">
        <f t="shared" si="21"/>
        <v>27495</v>
      </c>
      <c r="C215">
        <v>4836</v>
      </c>
      <c r="D215">
        <v>22659</v>
      </c>
      <c r="F215">
        <f t="shared" si="22"/>
        <v>201</v>
      </c>
      <c r="G215" s="3">
        <f t="shared" si="27"/>
        <v>215</v>
      </c>
      <c r="H215" s="4"/>
      <c r="I215" s="5" t="s">
        <v>320</v>
      </c>
      <c r="J215" s="6"/>
      <c r="K215" s="7">
        <v>27294</v>
      </c>
      <c r="L215" s="6">
        <f t="shared" si="23"/>
        <v>201</v>
      </c>
      <c r="M215" s="7">
        <v>4804</v>
      </c>
      <c r="N215" s="8">
        <f t="shared" si="24"/>
        <v>32</v>
      </c>
      <c r="O215" s="7">
        <v>22490</v>
      </c>
      <c r="P215" s="6">
        <f t="shared" si="25"/>
        <v>169</v>
      </c>
      <c r="Q215" s="9"/>
      <c r="R215" s="6">
        <f t="shared" si="26"/>
        <v>0</v>
      </c>
      <c r="S215" s="10" t="s">
        <v>1</v>
      </c>
      <c r="T215" s="2" t="s">
        <v>319</v>
      </c>
    </row>
    <row r="216" spans="1:20" ht="37.5" customHeight="1" x14ac:dyDescent="0.25">
      <c r="A216" s="2" t="s">
        <v>321</v>
      </c>
      <c r="B216">
        <f t="shared" si="21"/>
        <v>784</v>
      </c>
      <c r="C216">
        <v>314</v>
      </c>
      <c r="D216">
        <v>470</v>
      </c>
      <c r="E216">
        <v>3659</v>
      </c>
      <c r="F216">
        <f t="shared" si="22"/>
        <v>228</v>
      </c>
      <c r="G216" s="3">
        <f t="shared" si="27"/>
        <v>216</v>
      </c>
      <c r="H216" s="4"/>
      <c r="I216" s="5" t="s">
        <v>322</v>
      </c>
      <c r="J216" s="6"/>
      <c r="K216" s="7">
        <f>M216+O216</f>
        <v>556</v>
      </c>
      <c r="L216" s="6">
        <f t="shared" si="23"/>
        <v>228</v>
      </c>
      <c r="M216" s="7">
        <v>229</v>
      </c>
      <c r="N216" s="8">
        <f t="shared" si="24"/>
        <v>85</v>
      </c>
      <c r="O216" s="7">
        <v>327</v>
      </c>
      <c r="P216" s="6">
        <f t="shared" si="25"/>
        <v>143</v>
      </c>
      <c r="Q216" s="9">
        <v>2775</v>
      </c>
      <c r="R216" s="6">
        <f t="shared" si="26"/>
        <v>884</v>
      </c>
      <c r="S216" s="10" t="s">
        <v>1</v>
      </c>
      <c r="T216" s="2" t="s">
        <v>321</v>
      </c>
    </row>
    <row r="217" spans="1:20" ht="37.5" customHeight="1" x14ac:dyDescent="0.25">
      <c r="A217" s="2" t="s">
        <v>323</v>
      </c>
      <c r="B217">
        <f t="shared" si="21"/>
        <v>8712</v>
      </c>
      <c r="C217">
        <v>2295</v>
      </c>
      <c r="D217">
        <v>6417</v>
      </c>
      <c r="E217">
        <v>7649</v>
      </c>
      <c r="F217">
        <f t="shared" si="22"/>
        <v>395</v>
      </c>
      <c r="G217" s="3">
        <f t="shared" si="27"/>
        <v>217</v>
      </c>
      <c r="H217" s="4"/>
      <c r="I217" s="5" t="s">
        <v>324</v>
      </c>
      <c r="J217" s="6"/>
      <c r="K217" s="7">
        <f>M217+O217</f>
        <v>8317</v>
      </c>
      <c r="L217" s="6">
        <f t="shared" si="23"/>
        <v>395</v>
      </c>
      <c r="M217" s="7">
        <v>2173</v>
      </c>
      <c r="N217" s="8">
        <f t="shared" si="24"/>
        <v>122</v>
      </c>
      <c r="O217" s="7">
        <v>6144</v>
      </c>
      <c r="P217" s="6">
        <f t="shared" si="25"/>
        <v>273</v>
      </c>
      <c r="Q217" s="9">
        <v>6778</v>
      </c>
      <c r="R217" s="6">
        <f t="shared" si="26"/>
        <v>871</v>
      </c>
      <c r="S217" s="10" t="s">
        <v>1</v>
      </c>
      <c r="T217" s="2" t="s">
        <v>323</v>
      </c>
    </row>
    <row r="218" spans="1:20" ht="37.5" customHeight="1" x14ac:dyDescent="0.25">
      <c r="A218" s="2" t="s">
        <v>325</v>
      </c>
      <c r="B218">
        <f t="shared" si="21"/>
        <v>3143</v>
      </c>
      <c r="C218">
        <v>698</v>
      </c>
      <c r="D218">
        <v>2445</v>
      </c>
      <c r="E218">
        <v>4371</v>
      </c>
      <c r="F218">
        <f t="shared" si="22"/>
        <v>245</v>
      </c>
      <c r="G218" s="3">
        <f t="shared" si="27"/>
        <v>218</v>
      </c>
      <c r="H218" s="4"/>
      <c r="I218" s="5" t="s">
        <v>326</v>
      </c>
      <c r="J218" s="6"/>
      <c r="K218" s="7">
        <f>M218+O218</f>
        <v>2898</v>
      </c>
      <c r="L218" s="6">
        <f t="shared" si="23"/>
        <v>245</v>
      </c>
      <c r="M218" s="7">
        <v>637</v>
      </c>
      <c r="N218" s="8">
        <f t="shared" si="24"/>
        <v>61</v>
      </c>
      <c r="O218" s="7">
        <v>2261</v>
      </c>
      <c r="P218" s="6">
        <f t="shared" si="25"/>
        <v>184</v>
      </c>
      <c r="Q218" s="9">
        <v>3637</v>
      </c>
      <c r="R218" s="6">
        <f t="shared" si="26"/>
        <v>734</v>
      </c>
      <c r="S218" s="10" t="s">
        <v>1</v>
      </c>
      <c r="T218" s="2" t="s">
        <v>325</v>
      </c>
    </row>
    <row r="219" spans="1:20" ht="37.5" customHeight="1" x14ac:dyDescent="0.25">
      <c r="A219" s="2" t="s">
        <v>327</v>
      </c>
      <c r="B219">
        <f t="shared" si="21"/>
        <v>104366</v>
      </c>
      <c r="C219">
        <v>24346</v>
      </c>
      <c r="D219">
        <v>80020</v>
      </c>
      <c r="F219">
        <f t="shared" si="22"/>
        <v>123</v>
      </c>
      <c r="G219" s="3">
        <f t="shared" si="27"/>
        <v>219</v>
      </c>
      <c r="H219" s="4"/>
      <c r="I219" s="5">
        <v>125</v>
      </c>
      <c r="J219" s="6"/>
      <c r="K219" s="7">
        <v>104243</v>
      </c>
      <c r="L219" s="6">
        <f t="shared" si="23"/>
        <v>123</v>
      </c>
      <c r="M219" s="7">
        <v>24328</v>
      </c>
      <c r="N219" s="8">
        <f t="shared" si="24"/>
        <v>18</v>
      </c>
      <c r="O219" s="7">
        <v>79915</v>
      </c>
      <c r="P219" s="6">
        <f t="shared" si="25"/>
        <v>105</v>
      </c>
      <c r="Q219" s="9"/>
      <c r="R219" s="6">
        <f t="shared" si="26"/>
        <v>0</v>
      </c>
      <c r="S219" s="10" t="s">
        <v>1</v>
      </c>
      <c r="T219" s="2" t="s">
        <v>327</v>
      </c>
    </row>
    <row r="220" spans="1:20" ht="37.5" customHeight="1" x14ac:dyDescent="0.25">
      <c r="A220" s="2" t="s">
        <v>328</v>
      </c>
      <c r="B220">
        <f t="shared" si="21"/>
        <v>128117</v>
      </c>
      <c r="C220">
        <v>18607</v>
      </c>
      <c r="D220">
        <v>109510</v>
      </c>
      <c r="F220">
        <f t="shared" si="22"/>
        <v>0</v>
      </c>
      <c r="G220" s="3">
        <f t="shared" si="27"/>
        <v>220</v>
      </c>
      <c r="H220" s="4"/>
      <c r="I220" s="5" t="s">
        <v>329</v>
      </c>
      <c r="J220" s="6"/>
      <c r="K220" s="7">
        <v>128117</v>
      </c>
      <c r="L220" s="6">
        <f t="shared" si="23"/>
        <v>0</v>
      </c>
      <c r="M220" s="7">
        <v>18607</v>
      </c>
      <c r="N220" s="8">
        <f t="shared" si="24"/>
        <v>0</v>
      </c>
      <c r="O220" s="7">
        <v>109510</v>
      </c>
      <c r="P220" s="6">
        <f t="shared" si="25"/>
        <v>0</v>
      </c>
      <c r="Q220" s="9"/>
      <c r="R220" s="6">
        <f t="shared" si="26"/>
        <v>0</v>
      </c>
      <c r="S220" s="10" t="s">
        <v>1</v>
      </c>
      <c r="T220" s="2" t="s">
        <v>328</v>
      </c>
    </row>
    <row r="221" spans="1:20" ht="37.5" customHeight="1" x14ac:dyDescent="0.25">
      <c r="A221" s="2" t="s">
        <v>330</v>
      </c>
      <c r="B221">
        <f t="shared" si="21"/>
        <v>17881</v>
      </c>
      <c r="C221">
        <v>3041</v>
      </c>
      <c r="D221">
        <v>14840</v>
      </c>
      <c r="F221">
        <f t="shared" si="22"/>
        <v>329</v>
      </c>
      <c r="G221" s="3">
        <f t="shared" si="27"/>
        <v>221</v>
      </c>
      <c r="H221" s="4"/>
      <c r="I221" s="5" t="s">
        <v>331</v>
      </c>
      <c r="J221" s="6"/>
      <c r="K221" s="7">
        <v>17552</v>
      </c>
      <c r="L221" s="6">
        <f t="shared" si="23"/>
        <v>329</v>
      </c>
      <c r="M221" s="7">
        <v>2984</v>
      </c>
      <c r="N221" s="8">
        <f t="shared" si="24"/>
        <v>57</v>
      </c>
      <c r="O221" s="7">
        <v>14568</v>
      </c>
      <c r="P221" s="6">
        <f t="shared" si="25"/>
        <v>272</v>
      </c>
      <c r="Q221" s="9"/>
      <c r="R221" s="6">
        <f t="shared" si="26"/>
        <v>0</v>
      </c>
      <c r="S221" s="10" t="s">
        <v>1</v>
      </c>
      <c r="T221" s="2" t="s">
        <v>330</v>
      </c>
    </row>
    <row r="222" spans="1:20" ht="37.5" customHeight="1" x14ac:dyDescent="0.25">
      <c r="A222" s="2" t="s">
        <v>332</v>
      </c>
      <c r="B222">
        <f t="shared" si="21"/>
        <v>19722</v>
      </c>
      <c r="C222">
        <v>2377</v>
      </c>
      <c r="D222">
        <v>17345</v>
      </c>
      <c r="F222">
        <f t="shared" si="22"/>
        <v>400</v>
      </c>
      <c r="G222" s="3">
        <f t="shared" si="27"/>
        <v>222</v>
      </c>
      <c r="H222" s="4"/>
      <c r="I222" s="5" t="s">
        <v>333</v>
      </c>
      <c r="J222" s="6"/>
      <c r="K222" s="7">
        <v>19322</v>
      </c>
      <c r="L222" s="6">
        <f t="shared" si="23"/>
        <v>400</v>
      </c>
      <c r="M222" s="7">
        <v>2331</v>
      </c>
      <c r="N222" s="8">
        <f t="shared" si="24"/>
        <v>46</v>
      </c>
      <c r="O222" s="7">
        <v>16991</v>
      </c>
      <c r="P222" s="6">
        <f t="shared" si="25"/>
        <v>354</v>
      </c>
      <c r="Q222" s="9"/>
      <c r="R222" s="6">
        <f t="shared" si="26"/>
        <v>0</v>
      </c>
      <c r="S222" s="10" t="s">
        <v>1</v>
      </c>
      <c r="T222" s="2" t="s">
        <v>332</v>
      </c>
    </row>
    <row r="223" spans="1:20" ht="37.5" customHeight="1" x14ac:dyDescent="0.25">
      <c r="A223" s="2" t="s">
        <v>334</v>
      </c>
      <c r="B223">
        <f t="shared" si="21"/>
        <v>109319</v>
      </c>
      <c r="C223">
        <v>17859</v>
      </c>
      <c r="D223">
        <v>91460</v>
      </c>
      <c r="F223">
        <f t="shared" si="22"/>
        <v>579</v>
      </c>
      <c r="G223" s="3">
        <f t="shared" si="27"/>
        <v>223</v>
      </c>
      <c r="H223" s="4"/>
      <c r="I223" s="5" t="s">
        <v>335</v>
      </c>
      <c r="J223" s="6"/>
      <c r="K223" s="7">
        <v>108740</v>
      </c>
      <c r="L223" s="6">
        <f t="shared" si="23"/>
        <v>579</v>
      </c>
      <c r="M223" s="7">
        <v>17786</v>
      </c>
      <c r="N223" s="8">
        <f t="shared" si="24"/>
        <v>73</v>
      </c>
      <c r="O223" s="7">
        <v>90954</v>
      </c>
      <c r="P223" s="6">
        <f t="shared" si="25"/>
        <v>506</v>
      </c>
      <c r="Q223" s="9"/>
      <c r="R223" s="6">
        <f t="shared" si="26"/>
        <v>0</v>
      </c>
      <c r="S223" s="10" t="s">
        <v>1</v>
      </c>
      <c r="T223" s="2" t="s">
        <v>334</v>
      </c>
    </row>
    <row r="224" spans="1:20" ht="37.5" customHeight="1" x14ac:dyDescent="0.25">
      <c r="A224" s="2" t="s">
        <v>336</v>
      </c>
      <c r="B224">
        <f t="shared" si="21"/>
        <v>683</v>
      </c>
      <c r="C224">
        <v>139</v>
      </c>
      <c r="D224">
        <v>544</v>
      </c>
      <c r="F224">
        <f t="shared" si="22"/>
        <v>86</v>
      </c>
      <c r="G224" s="3">
        <f t="shared" si="27"/>
        <v>224</v>
      </c>
      <c r="H224" s="4"/>
      <c r="I224" s="5" t="s">
        <v>337</v>
      </c>
      <c r="J224" s="6"/>
      <c r="K224" s="7">
        <v>597</v>
      </c>
      <c r="L224" s="6">
        <f t="shared" si="23"/>
        <v>86</v>
      </c>
      <c r="M224" s="7">
        <v>119</v>
      </c>
      <c r="N224" s="8">
        <f t="shared" si="24"/>
        <v>20</v>
      </c>
      <c r="O224" s="7">
        <v>478</v>
      </c>
      <c r="P224" s="6">
        <f t="shared" si="25"/>
        <v>66</v>
      </c>
      <c r="Q224" s="9"/>
      <c r="R224" s="6">
        <f t="shared" si="26"/>
        <v>0</v>
      </c>
      <c r="S224" s="10" t="s">
        <v>1</v>
      </c>
      <c r="T224" s="2" t="s">
        <v>336</v>
      </c>
    </row>
    <row r="225" spans="1:20" ht="37.5" customHeight="1" x14ac:dyDescent="0.25">
      <c r="A225" s="2" t="s">
        <v>338</v>
      </c>
      <c r="B225">
        <f t="shared" si="21"/>
        <v>77362</v>
      </c>
      <c r="C225">
        <v>16545</v>
      </c>
      <c r="D225">
        <v>60817</v>
      </c>
      <c r="F225">
        <f t="shared" si="22"/>
        <v>153</v>
      </c>
      <c r="G225" s="3">
        <f t="shared" si="27"/>
        <v>225</v>
      </c>
      <c r="H225" s="4"/>
      <c r="I225" s="5" t="s">
        <v>339</v>
      </c>
      <c r="J225" s="6"/>
      <c r="K225" s="7">
        <v>77209</v>
      </c>
      <c r="L225" s="6">
        <f t="shared" si="23"/>
        <v>153</v>
      </c>
      <c r="M225" s="7">
        <v>16521</v>
      </c>
      <c r="N225" s="8">
        <f t="shared" si="24"/>
        <v>24</v>
      </c>
      <c r="O225" s="7">
        <v>60688</v>
      </c>
      <c r="P225" s="6">
        <f t="shared" si="25"/>
        <v>129</v>
      </c>
      <c r="Q225" s="9"/>
      <c r="R225" s="6">
        <f t="shared" si="26"/>
        <v>0</v>
      </c>
      <c r="S225" s="10" t="s">
        <v>1</v>
      </c>
      <c r="T225" s="2" t="s">
        <v>338</v>
      </c>
    </row>
    <row r="226" spans="1:20" ht="37.5" customHeight="1" x14ac:dyDescent="0.25">
      <c r="A226" s="2" t="s">
        <v>340</v>
      </c>
      <c r="B226">
        <f t="shared" si="21"/>
        <v>156301</v>
      </c>
      <c r="C226">
        <v>36318</v>
      </c>
      <c r="D226">
        <v>119983</v>
      </c>
      <c r="F226">
        <f t="shared" si="22"/>
        <v>405</v>
      </c>
      <c r="G226" s="3">
        <f t="shared" si="27"/>
        <v>226</v>
      </c>
      <c r="H226" s="4"/>
      <c r="I226" s="5" t="s">
        <v>341</v>
      </c>
      <c r="J226" s="6"/>
      <c r="K226" s="7">
        <v>155896</v>
      </c>
      <c r="L226" s="6">
        <f t="shared" si="23"/>
        <v>405</v>
      </c>
      <c r="M226" s="7">
        <v>36270</v>
      </c>
      <c r="N226" s="8">
        <f t="shared" si="24"/>
        <v>48</v>
      </c>
      <c r="O226" s="7">
        <v>119626</v>
      </c>
      <c r="P226" s="6">
        <f t="shared" si="25"/>
        <v>357</v>
      </c>
      <c r="Q226" s="9"/>
      <c r="R226" s="6">
        <f t="shared" si="26"/>
        <v>0</v>
      </c>
      <c r="S226" s="10" t="s">
        <v>1</v>
      </c>
      <c r="T226" s="2" t="s">
        <v>340</v>
      </c>
    </row>
    <row r="227" spans="1:20" ht="37.5" customHeight="1" x14ac:dyDescent="0.25">
      <c r="A227" s="2" t="s">
        <v>342</v>
      </c>
      <c r="B227">
        <f t="shared" si="21"/>
        <v>119567</v>
      </c>
      <c r="C227">
        <v>27585</v>
      </c>
      <c r="D227">
        <v>91982</v>
      </c>
      <c r="F227">
        <f t="shared" si="22"/>
        <v>41</v>
      </c>
      <c r="G227" s="3">
        <f t="shared" si="27"/>
        <v>227</v>
      </c>
      <c r="H227" s="4"/>
      <c r="I227" s="5" t="s">
        <v>343</v>
      </c>
      <c r="J227" s="6"/>
      <c r="K227" s="7">
        <v>119526</v>
      </c>
      <c r="L227" s="6">
        <f t="shared" si="23"/>
        <v>41</v>
      </c>
      <c r="M227" s="7">
        <v>27577</v>
      </c>
      <c r="N227" s="8">
        <f t="shared" si="24"/>
        <v>8</v>
      </c>
      <c r="O227" s="7">
        <v>91949</v>
      </c>
      <c r="P227" s="6">
        <f t="shared" si="25"/>
        <v>33</v>
      </c>
      <c r="Q227" s="9"/>
      <c r="R227" s="6">
        <f t="shared" si="26"/>
        <v>0</v>
      </c>
      <c r="S227" s="10" t="s">
        <v>1</v>
      </c>
      <c r="T227" s="2" t="s">
        <v>342</v>
      </c>
    </row>
    <row r="228" spans="1:20" ht="37.5" customHeight="1" x14ac:dyDescent="0.25">
      <c r="A228" s="2" t="s">
        <v>344</v>
      </c>
      <c r="B228">
        <f t="shared" si="21"/>
        <v>90502</v>
      </c>
      <c r="C228">
        <v>19049</v>
      </c>
      <c r="D228">
        <v>71453</v>
      </c>
      <c r="F228">
        <f t="shared" si="22"/>
        <v>529</v>
      </c>
      <c r="G228" s="3">
        <f t="shared" si="27"/>
        <v>228</v>
      </c>
      <c r="H228" s="4"/>
      <c r="I228" s="5" t="s">
        <v>345</v>
      </c>
      <c r="J228" s="6"/>
      <c r="K228" s="7">
        <v>89973</v>
      </c>
      <c r="L228" s="6">
        <f t="shared" si="23"/>
        <v>529</v>
      </c>
      <c r="M228" s="7">
        <v>18961</v>
      </c>
      <c r="N228" s="8">
        <f t="shared" si="24"/>
        <v>88</v>
      </c>
      <c r="O228" s="7">
        <v>71012</v>
      </c>
      <c r="P228" s="6">
        <f t="shared" si="25"/>
        <v>441</v>
      </c>
      <c r="Q228" s="9"/>
      <c r="R228" s="6">
        <f t="shared" si="26"/>
        <v>0</v>
      </c>
      <c r="S228" s="10" t="s">
        <v>1</v>
      </c>
      <c r="T228" s="2" t="s">
        <v>344</v>
      </c>
    </row>
    <row r="229" spans="1:20" ht="37.5" customHeight="1" x14ac:dyDescent="0.25">
      <c r="A229" s="2" t="s">
        <v>346</v>
      </c>
      <c r="B229">
        <f t="shared" si="21"/>
        <v>65287</v>
      </c>
      <c r="C229">
        <v>11686</v>
      </c>
      <c r="D229">
        <v>53601</v>
      </c>
      <c r="F229">
        <f t="shared" si="22"/>
        <v>101</v>
      </c>
      <c r="G229" s="3">
        <f t="shared" si="27"/>
        <v>229</v>
      </c>
      <c r="H229" s="4"/>
      <c r="I229" s="5" t="s">
        <v>347</v>
      </c>
      <c r="J229" s="6"/>
      <c r="K229" s="7">
        <v>65186</v>
      </c>
      <c r="L229" s="6">
        <f t="shared" si="23"/>
        <v>101</v>
      </c>
      <c r="M229" s="7">
        <v>11668</v>
      </c>
      <c r="N229" s="8">
        <f t="shared" si="24"/>
        <v>18</v>
      </c>
      <c r="O229" s="7">
        <v>53518</v>
      </c>
      <c r="P229" s="6">
        <f t="shared" si="25"/>
        <v>83</v>
      </c>
      <c r="Q229" s="9"/>
      <c r="R229" s="6">
        <f t="shared" si="26"/>
        <v>0</v>
      </c>
      <c r="S229" s="10" t="s">
        <v>1</v>
      </c>
      <c r="T229" s="2" t="s">
        <v>346</v>
      </c>
    </row>
    <row r="230" spans="1:20" ht="37.5" customHeight="1" x14ac:dyDescent="0.25">
      <c r="A230" s="2" t="s">
        <v>348</v>
      </c>
      <c r="B230">
        <f t="shared" si="21"/>
        <v>120817</v>
      </c>
      <c r="C230">
        <v>25487</v>
      </c>
      <c r="D230">
        <v>95330</v>
      </c>
      <c r="F230">
        <f t="shared" si="22"/>
        <v>279</v>
      </c>
      <c r="G230" s="3">
        <f t="shared" si="27"/>
        <v>230</v>
      </c>
      <c r="H230" s="4"/>
      <c r="I230" s="5" t="s">
        <v>349</v>
      </c>
      <c r="J230" s="6"/>
      <c r="K230" s="7">
        <v>120538</v>
      </c>
      <c r="L230" s="6">
        <f t="shared" si="23"/>
        <v>279</v>
      </c>
      <c r="M230" s="7">
        <v>25455</v>
      </c>
      <c r="N230" s="8">
        <f t="shared" si="24"/>
        <v>32</v>
      </c>
      <c r="O230" s="7">
        <v>95083</v>
      </c>
      <c r="P230" s="6">
        <f t="shared" si="25"/>
        <v>247</v>
      </c>
      <c r="Q230" s="9"/>
      <c r="R230" s="6">
        <f t="shared" si="26"/>
        <v>0</v>
      </c>
      <c r="S230" s="10" t="s">
        <v>1</v>
      </c>
      <c r="T230" s="2" t="s">
        <v>348</v>
      </c>
    </row>
    <row r="231" spans="1:20" ht="37.5" customHeight="1" x14ac:dyDescent="0.25">
      <c r="A231" s="2" t="s">
        <v>350</v>
      </c>
      <c r="B231">
        <f t="shared" si="21"/>
        <v>27512</v>
      </c>
      <c r="C231">
        <v>4106</v>
      </c>
      <c r="D231">
        <v>23406</v>
      </c>
      <c r="F231">
        <f t="shared" si="22"/>
        <v>304</v>
      </c>
      <c r="G231" s="3">
        <f t="shared" si="27"/>
        <v>231</v>
      </c>
      <c r="H231" s="4"/>
      <c r="I231" s="5" t="s">
        <v>351</v>
      </c>
      <c r="J231" s="6"/>
      <c r="K231" s="7">
        <v>27208</v>
      </c>
      <c r="L231" s="6">
        <f t="shared" si="23"/>
        <v>304</v>
      </c>
      <c r="M231" s="7">
        <v>4074</v>
      </c>
      <c r="N231" s="8">
        <f t="shared" si="24"/>
        <v>32</v>
      </c>
      <c r="O231" s="7">
        <v>23134</v>
      </c>
      <c r="P231" s="6">
        <f t="shared" si="25"/>
        <v>272</v>
      </c>
      <c r="Q231" s="9"/>
      <c r="R231" s="6">
        <f t="shared" si="26"/>
        <v>0</v>
      </c>
      <c r="S231" s="10" t="s">
        <v>1</v>
      </c>
      <c r="T231" s="2" t="s">
        <v>350</v>
      </c>
    </row>
    <row r="232" spans="1:20" ht="37.5" customHeight="1" x14ac:dyDescent="0.25">
      <c r="A232" s="2" t="s">
        <v>352</v>
      </c>
      <c r="B232">
        <f t="shared" si="21"/>
        <v>9879</v>
      </c>
      <c r="C232">
        <v>1507</v>
      </c>
      <c r="D232">
        <v>8372</v>
      </c>
      <c r="F232">
        <f t="shared" si="22"/>
        <v>405</v>
      </c>
      <c r="G232" s="3">
        <f t="shared" si="27"/>
        <v>232</v>
      </c>
      <c r="H232" s="4"/>
      <c r="I232" s="5" t="s">
        <v>353</v>
      </c>
      <c r="J232" s="6"/>
      <c r="K232" s="7">
        <v>9474</v>
      </c>
      <c r="L232" s="6">
        <f t="shared" si="23"/>
        <v>405</v>
      </c>
      <c r="M232" s="7">
        <v>1442</v>
      </c>
      <c r="N232" s="8">
        <f t="shared" si="24"/>
        <v>65</v>
      </c>
      <c r="O232" s="7">
        <v>8032</v>
      </c>
      <c r="P232" s="6">
        <f t="shared" si="25"/>
        <v>340</v>
      </c>
      <c r="Q232" s="9"/>
      <c r="R232" s="6">
        <f t="shared" si="26"/>
        <v>0</v>
      </c>
      <c r="S232" s="10" t="s">
        <v>1</v>
      </c>
      <c r="T232" s="2" t="s">
        <v>352</v>
      </c>
    </row>
    <row r="233" spans="1:20" ht="37.5" customHeight="1" x14ac:dyDescent="0.25">
      <c r="A233" s="2" t="s">
        <v>354</v>
      </c>
      <c r="B233">
        <f t="shared" si="21"/>
        <v>69547</v>
      </c>
      <c r="C233">
        <v>14777</v>
      </c>
      <c r="D233">
        <v>54770</v>
      </c>
      <c r="F233">
        <f t="shared" si="22"/>
        <v>232</v>
      </c>
      <c r="G233" s="3">
        <f t="shared" si="27"/>
        <v>233</v>
      </c>
      <c r="H233" s="4"/>
      <c r="I233" s="5" t="s">
        <v>355</v>
      </c>
      <c r="J233" s="6"/>
      <c r="K233" s="7">
        <v>69315</v>
      </c>
      <c r="L233" s="6">
        <f t="shared" si="23"/>
        <v>232</v>
      </c>
      <c r="M233" s="7">
        <v>14739</v>
      </c>
      <c r="N233" s="8">
        <f t="shared" si="24"/>
        <v>38</v>
      </c>
      <c r="O233" s="7">
        <v>54576</v>
      </c>
      <c r="P233" s="6">
        <f t="shared" si="25"/>
        <v>194</v>
      </c>
      <c r="Q233" s="9"/>
      <c r="R233" s="6">
        <f t="shared" si="26"/>
        <v>0</v>
      </c>
      <c r="S233" s="10" t="s">
        <v>1</v>
      </c>
      <c r="T233" s="2" t="s">
        <v>354</v>
      </c>
    </row>
    <row r="234" spans="1:20" ht="37.5" customHeight="1" x14ac:dyDescent="0.25">
      <c r="A234" s="2" t="s">
        <v>356</v>
      </c>
      <c r="B234">
        <f t="shared" si="21"/>
        <v>8476</v>
      </c>
      <c r="C234">
        <v>695</v>
      </c>
      <c r="D234">
        <v>7781</v>
      </c>
      <c r="F234">
        <f t="shared" si="22"/>
        <v>184</v>
      </c>
      <c r="G234" s="3">
        <f t="shared" si="27"/>
        <v>234</v>
      </c>
      <c r="H234" s="4"/>
      <c r="I234" s="5" t="s">
        <v>357</v>
      </c>
      <c r="J234" s="6"/>
      <c r="K234" s="7">
        <v>8292</v>
      </c>
      <c r="L234" s="6">
        <f t="shared" si="23"/>
        <v>184</v>
      </c>
      <c r="M234" s="7">
        <v>668</v>
      </c>
      <c r="N234" s="8">
        <f t="shared" si="24"/>
        <v>27</v>
      </c>
      <c r="O234" s="7">
        <v>7624</v>
      </c>
      <c r="P234" s="6">
        <f t="shared" si="25"/>
        <v>157</v>
      </c>
      <c r="Q234" s="9"/>
      <c r="R234" s="6">
        <f t="shared" si="26"/>
        <v>0</v>
      </c>
      <c r="S234" s="10" t="s">
        <v>1</v>
      </c>
      <c r="T234" s="2" t="s">
        <v>356</v>
      </c>
    </row>
    <row r="235" spans="1:20" ht="37.5" customHeight="1" x14ac:dyDescent="0.25">
      <c r="A235" s="2" t="s">
        <v>358</v>
      </c>
      <c r="B235">
        <f t="shared" si="21"/>
        <v>30249</v>
      </c>
      <c r="C235">
        <v>5325</v>
      </c>
      <c r="D235">
        <v>24924</v>
      </c>
      <c r="F235">
        <f t="shared" si="22"/>
        <v>605</v>
      </c>
      <c r="G235" s="3">
        <f t="shared" si="27"/>
        <v>235</v>
      </c>
      <c r="H235" s="4"/>
      <c r="I235" s="5" t="s">
        <v>359</v>
      </c>
      <c r="J235" s="6"/>
      <c r="K235" s="7">
        <v>29644</v>
      </c>
      <c r="L235" s="6">
        <f t="shared" si="23"/>
        <v>605</v>
      </c>
      <c r="M235" s="7">
        <v>5217</v>
      </c>
      <c r="N235" s="8">
        <f t="shared" si="24"/>
        <v>108</v>
      </c>
      <c r="O235" s="7">
        <v>24427</v>
      </c>
      <c r="P235" s="6">
        <f t="shared" si="25"/>
        <v>497</v>
      </c>
      <c r="Q235" s="9"/>
      <c r="R235" s="6">
        <f t="shared" si="26"/>
        <v>0</v>
      </c>
      <c r="S235" s="10" t="s">
        <v>1</v>
      </c>
      <c r="T235" s="2" t="s">
        <v>358</v>
      </c>
    </row>
    <row r="236" spans="1:20" ht="37.5" customHeight="1" x14ac:dyDescent="0.25">
      <c r="A236" s="2" t="s">
        <v>360</v>
      </c>
      <c r="B236">
        <f t="shared" si="21"/>
        <v>21597</v>
      </c>
      <c r="C236">
        <v>4109</v>
      </c>
      <c r="D236">
        <v>17488</v>
      </c>
      <c r="F236">
        <f t="shared" si="22"/>
        <v>250</v>
      </c>
      <c r="G236" s="3">
        <f t="shared" si="27"/>
        <v>236</v>
      </c>
      <c r="H236" s="4"/>
      <c r="I236" s="5" t="s">
        <v>361</v>
      </c>
      <c r="J236" s="6"/>
      <c r="K236" s="7">
        <v>21347</v>
      </c>
      <c r="L236" s="6">
        <f t="shared" si="23"/>
        <v>250</v>
      </c>
      <c r="M236" s="7">
        <v>4071</v>
      </c>
      <c r="N236" s="8">
        <f t="shared" si="24"/>
        <v>38</v>
      </c>
      <c r="O236" s="7">
        <v>17276</v>
      </c>
      <c r="P236" s="6">
        <f t="shared" si="25"/>
        <v>212</v>
      </c>
      <c r="Q236" s="9"/>
      <c r="R236" s="6">
        <f t="shared" si="26"/>
        <v>0</v>
      </c>
      <c r="S236" s="10" t="s">
        <v>1</v>
      </c>
      <c r="T236" s="2" t="s">
        <v>360</v>
      </c>
    </row>
    <row r="237" spans="1:20" ht="37.5" customHeight="1" x14ac:dyDescent="0.25">
      <c r="A237" s="2" t="s">
        <v>362</v>
      </c>
      <c r="B237">
        <f t="shared" si="21"/>
        <v>20270</v>
      </c>
      <c r="C237">
        <v>4121</v>
      </c>
      <c r="D237">
        <v>16149</v>
      </c>
      <c r="E237">
        <v>12786</v>
      </c>
      <c r="F237">
        <f t="shared" si="22"/>
        <v>669</v>
      </c>
      <c r="G237" s="3">
        <f t="shared" si="27"/>
        <v>237</v>
      </c>
      <c r="H237" s="4"/>
      <c r="I237" s="5" t="s">
        <v>363</v>
      </c>
      <c r="J237" s="6"/>
      <c r="K237" s="7">
        <f>M237+O237</f>
        <v>19601</v>
      </c>
      <c r="L237" s="6">
        <f t="shared" si="23"/>
        <v>669</v>
      </c>
      <c r="M237" s="7">
        <v>3980</v>
      </c>
      <c r="N237" s="8">
        <f t="shared" si="24"/>
        <v>141</v>
      </c>
      <c r="O237" s="7">
        <v>15621</v>
      </c>
      <c r="P237" s="6">
        <f t="shared" si="25"/>
        <v>528</v>
      </c>
      <c r="Q237" s="9">
        <v>12070</v>
      </c>
      <c r="R237" s="6">
        <f t="shared" si="26"/>
        <v>716</v>
      </c>
      <c r="S237" s="10" t="s">
        <v>1</v>
      </c>
      <c r="T237" s="2" t="s">
        <v>362</v>
      </c>
    </row>
    <row r="238" spans="1:20" ht="37.5" customHeight="1" x14ac:dyDescent="0.25">
      <c r="A238" s="2" t="s">
        <v>364</v>
      </c>
      <c r="B238">
        <f t="shared" si="21"/>
        <v>2910</v>
      </c>
      <c r="C238">
        <v>747</v>
      </c>
      <c r="D238">
        <v>2163</v>
      </c>
      <c r="E238">
        <v>5043</v>
      </c>
      <c r="F238">
        <f t="shared" si="22"/>
        <v>281</v>
      </c>
      <c r="G238" s="3">
        <f t="shared" si="27"/>
        <v>238</v>
      </c>
      <c r="H238" s="4"/>
      <c r="I238" s="5" t="s">
        <v>365</v>
      </c>
      <c r="J238" s="6"/>
      <c r="K238" s="7">
        <f>M238+O238</f>
        <v>2629</v>
      </c>
      <c r="L238" s="6">
        <f t="shared" si="23"/>
        <v>281</v>
      </c>
      <c r="M238" s="7">
        <v>676</v>
      </c>
      <c r="N238" s="8">
        <f t="shared" si="24"/>
        <v>71</v>
      </c>
      <c r="O238" s="7">
        <v>1953</v>
      </c>
      <c r="P238" s="6">
        <f t="shared" si="25"/>
        <v>210</v>
      </c>
      <c r="Q238" s="9">
        <v>4176</v>
      </c>
      <c r="R238" s="6">
        <f t="shared" si="26"/>
        <v>867</v>
      </c>
      <c r="S238" s="10" t="s">
        <v>1</v>
      </c>
      <c r="T238" s="2" t="s">
        <v>364</v>
      </c>
    </row>
    <row r="239" spans="1:20" ht="37.5" customHeight="1" x14ac:dyDescent="0.25">
      <c r="A239" s="2" t="s">
        <v>366</v>
      </c>
      <c r="B239">
        <f t="shared" si="21"/>
        <v>20861</v>
      </c>
      <c r="C239">
        <v>4883</v>
      </c>
      <c r="D239">
        <v>15978</v>
      </c>
      <c r="E239">
        <v>10281</v>
      </c>
      <c r="F239">
        <f t="shared" si="22"/>
        <v>720</v>
      </c>
      <c r="G239" s="3">
        <f t="shared" si="27"/>
        <v>239</v>
      </c>
      <c r="H239" s="4"/>
      <c r="I239" s="5" t="s">
        <v>367</v>
      </c>
      <c r="J239" s="6"/>
      <c r="K239" s="7">
        <f>M239+O239</f>
        <v>20141</v>
      </c>
      <c r="L239" s="6">
        <f t="shared" si="23"/>
        <v>720</v>
      </c>
      <c r="M239" s="7">
        <v>4698</v>
      </c>
      <c r="N239" s="8">
        <f t="shared" si="24"/>
        <v>185</v>
      </c>
      <c r="O239" s="7">
        <v>15443</v>
      </c>
      <c r="P239" s="6">
        <f t="shared" si="25"/>
        <v>535</v>
      </c>
      <c r="Q239" s="9">
        <v>9812</v>
      </c>
      <c r="R239" s="6">
        <f t="shared" si="26"/>
        <v>469</v>
      </c>
      <c r="S239" s="10" t="s">
        <v>1</v>
      </c>
      <c r="T239" s="2" t="s">
        <v>366</v>
      </c>
    </row>
    <row r="240" spans="1:20" ht="37.5" customHeight="1" x14ac:dyDescent="0.25">
      <c r="A240" s="2" t="s">
        <v>368</v>
      </c>
      <c r="B240">
        <f t="shared" si="21"/>
        <v>12853</v>
      </c>
      <c r="C240">
        <v>2612</v>
      </c>
      <c r="D240">
        <v>10241</v>
      </c>
      <c r="E240">
        <v>9967</v>
      </c>
      <c r="F240">
        <f t="shared" si="22"/>
        <v>591</v>
      </c>
      <c r="G240" s="3">
        <f t="shared" si="27"/>
        <v>240</v>
      </c>
      <c r="H240" s="4"/>
      <c r="I240" s="5" t="s">
        <v>369</v>
      </c>
      <c r="J240" s="6"/>
      <c r="K240" s="7">
        <f>M240+O240</f>
        <v>12262</v>
      </c>
      <c r="L240" s="6">
        <f t="shared" si="23"/>
        <v>591</v>
      </c>
      <c r="M240" s="7">
        <v>2486</v>
      </c>
      <c r="N240" s="8">
        <f t="shared" si="24"/>
        <v>126</v>
      </c>
      <c r="O240" s="7">
        <v>9776</v>
      </c>
      <c r="P240" s="6">
        <f t="shared" si="25"/>
        <v>465</v>
      </c>
      <c r="Q240" s="9">
        <v>9604</v>
      </c>
      <c r="R240" s="6">
        <f t="shared" si="26"/>
        <v>363</v>
      </c>
      <c r="S240" s="10" t="s">
        <v>1</v>
      </c>
      <c r="T240" s="2" t="s">
        <v>368</v>
      </c>
    </row>
    <row r="241" spans="1:20" ht="37.5" customHeight="1" x14ac:dyDescent="0.25">
      <c r="A241" s="2" t="s">
        <v>370</v>
      </c>
      <c r="B241">
        <f t="shared" si="21"/>
        <v>73073</v>
      </c>
      <c r="C241">
        <v>17015</v>
      </c>
      <c r="D241">
        <v>56058</v>
      </c>
      <c r="F241">
        <f t="shared" si="22"/>
        <v>57</v>
      </c>
      <c r="G241" s="3">
        <f t="shared" si="27"/>
        <v>241</v>
      </c>
      <c r="H241" s="4"/>
      <c r="I241" s="5">
        <v>126</v>
      </c>
      <c r="J241" s="6"/>
      <c r="K241" s="7">
        <v>73016</v>
      </c>
      <c r="L241" s="6">
        <f t="shared" si="23"/>
        <v>57</v>
      </c>
      <c r="M241" s="7">
        <v>17006</v>
      </c>
      <c r="N241" s="8">
        <f t="shared" si="24"/>
        <v>9</v>
      </c>
      <c r="O241" s="7">
        <v>56010</v>
      </c>
      <c r="P241" s="6">
        <f t="shared" si="25"/>
        <v>48</v>
      </c>
      <c r="Q241" s="9"/>
      <c r="R241" s="6">
        <f t="shared" si="26"/>
        <v>0</v>
      </c>
      <c r="S241" s="10" t="s">
        <v>1</v>
      </c>
      <c r="T241" s="2" t="s">
        <v>370</v>
      </c>
    </row>
    <row r="242" spans="1:20" ht="37.5" customHeight="1" x14ac:dyDescent="0.25">
      <c r="A242" s="2" t="s">
        <v>371</v>
      </c>
      <c r="B242">
        <f t="shared" si="21"/>
        <v>80615</v>
      </c>
      <c r="C242">
        <v>14962</v>
      </c>
      <c r="D242">
        <v>65653</v>
      </c>
      <c r="F242">
        <f t="shared" si="22"/>
        <v>480</v>
      </c>
      <c r="G242" s="3">
        <f t="shared" si="27"/>
        <v>242</v>
      </c>
      <c r="H242" s="4"/>
      <c r="I242" s="5">
        <v>127</v>
      </c>
      <c r="J242" s="6"/>
      <c r="K242" s="7">
        <v>80135</v>
      </c>
      <c r="L242" s="6">
        <f t="shared" si="23"/>
        <v>480</v>
      </c>
      <c r="M242" s="7">
        <v>14880</v>
      </c>
      <c r="N242" s="8">
        <f t="shared" si="24"/>
        <v>82</v>
      </c>
      <c r="O242" s="7">
        <v>65255</v>
      </c>
      <c r="P242" s="6">
        <f t="shared" si="25"/>
        <v>398</v>
      </c>
      <c r="Q242" s="9"/>
      <c r="R242" s="6">
        <f t="shared" si="26"/>
        <v>0</v>
      </c>
      <c r="S242" s="10" t="s">
        <v>1</v>
      </c>
      <c r="T242" s="2" t="s">
        <v>371</v>
      </c>
    </row>
    <row r="243" spans="1:20" ht="37.5" customHeight="1" x14ac:dyDescent="0.25">
      <c r="A243" s="2" t="s">
        <v>372</v>
      </c>
      <c r="B243">
        <f t="shared" si="21"/>
        <v>84955</v>
      </c>
      <c r="C243">
        <v>17078</v>
      </c>
      <c r="D243">
        <v>67877</v>
      </c>
      <c r="F243">
        <f t="shared" si="22"/>
        <v>230</v>
      </c>
      <c r="G243" s="3">
        <f t="shared" si="27"/>
        <v>243</v>
      </c>
      <c r="H243" s="4"/>
      <c r="I243" s="5">
        <v>128</v>
      </c>
      <c r="J243" s="6"/>
      <c r="K243" s="7">
        <v>84725</v>
      </c>
      <c r="L243" s="6">
        <f t="shared" si="23"/>
        <v>230</v>
      </c>
      <c r="M243" s="7">
        <v>17046</v>
      </c>
      <c r="N243" s="8">
        <f t="shared" si="24"/>
        <v>32</v>
      </c>
      <c r="O243" s="7">
        <v>67679</v>
      </c>
      <c r="P243" s="6">
        <f t="shared" si="25"/>
        <v>198</v>
      </c>
      <c r="Q243" s="9"/>
      <c r="R243" s="6">
        <f t="shared" si="26"/>
        <v>0</v>
      </c>
      <c r="S243" s="10" t="s">
        <v>1</v>
      </c>
      <c r="T243" s="2" t="s">
        <v>372</v>
      </c>
    </row>
    <row r="244" spans="1:20" ht="37.5" customHeight="1" x14ac:dyDescent="0.25">
      <c r="A244" s="2" t="s">
        <v>373</v>
      </c>
      <c r="B244">
        <f t="shared" si="21"/>
        <v>62009</v>
      </c>
      <c r="C244">
        <v>9622</v>
      </c>
      <c r="D244">
        <v>52387</v>
      </c>
      <c r="F244">
        <f t="shared" si="22"/>
        <v>411</v>
      </c>
      <c r="G244" s="3">
        <f t="shared" si="27"/>
        <v>244</v>
      </c>
      <c r="H244" s="4"/>
      <c r="I244" s="5">
        <v>129</v>
      </c>
      <c r="J244" s="6"/>
      <c r="K244" s="7">
        <v>61598</v>
      </c>
      <c r="L244" s="6">
        <f t="shared" si="23"/>
        <v>411</v>
      </c>
      <c r="M244" s="7">
        <v>9521</v>
      </c>
      <c r="N244" s="8">
        <f t="shared" si="24"/>
        <v>101</v>
      </c>
      <c r="O244" s="7">
        <v>52077</v>
      </c>
      <c r="P244" s="6">
        <f t="shared" si="25"/>
        <v>310</v>
      </c>
      <c r="Q244" s="9"/>
      <c r="R244" s="6">
        <f t="shared" si="26"/>
        <v>0</v>
      </c>
      <c r="S244" s="10" t="s">
        <v>1</v>
      </c>
      <c r="T244" s="2" t="s">
        <v>373</v>
      </c>
    </row>
    <row r="245" spans="1:20" ht="37.5" customHeight="1" x14ac:dyDescent="0.25">
      <c r="A245" s="2" t="s">
        <v>374</v>
      </c>
      <c r="B245">
        <f t="shared" si="21"/>
        <v>55607</v>
      </c>
      <c r="C245">
        <v>8469</v>
      </c>
      <c r="D245">
        <v>47138</v>
      </c>
      <c r="F245">
        <f t="shared" si="22"/>
        <v>402</v>
      </c>
      <c r="G245" s="3">
        <f t="shared" si="27"/>
        <v>245</v>
      </c>
      <c r="H245" s="4"/>
      <c r="I245" s="5" t="s">
        <v>375</v>
      </c>
      <c r="J245" s="6"/>
      <c r="K245" s="7">
        <v>55205</v>
      </c>
      <c r="L245" s="6">
        <f t="shared" si="23"/>
        <v>402</v>
      </c>
      <c r="M245" s="7">
        <v>8406</v>
      </c>
      <c r="N245" s="8">
        <f t="shared" si="24"/>
        <v>63</v>
      </c>
      <c r="O245" s="7">
        <v>46799</v>
      </c>
      <c r="P245" s="6">
        <f t="shared" si="25"/>
        <v>339</v>
      </c>
      <c r="Q245" s="9"/>
      <c r="R245" s="6">
        <f t="shared" si="26"/>
        <v>0</v>
      </c>
      <c r="S245" s="10" t="s">
        <v>1</v>
      </c>
      <c r="T245" s="2" t="s">
        <v>374</v>
      </c>
    </row>
    <row r="246" spans="1:20" ht="37.5" customHeight="1" x14ac:dyDescent="0.25">
      <c r="A246" s="2" t="s">
        <v>376</v>
      </c>
      <c r="B246">
        <f t="shared" si="21"/>
        <v>57101</v>
      </c>
      <c r="C246">
        <v>8404</v>
      </c>
      <c r="D246">
        <v>48697</v>
      </c>
      <c r="F246">
        <f t="shared" si="22"/>
        <v>482</v>
      </c>
      <c r="G246" s="3">
        <f t="shared" si="27"/>
        <v>246</v>
      </c>
      <c r="H246" s="4"/>
      <c r="I246" s="5" t="s">
        <v>377</v>
      </c>
      <c r="J246" s="6"/>
      <c r="K246" s="7">
        <v>56619</v>
      </c>
      <c r="L246" s="6">
        <f t="shared" si="23"/>
        <v>482</v>
      </c>
      <c r="M246" s="7">
        <v>8323</v>
      </c>
      <c r="N246" s="8">
        <f t="shared" si="24"/>
        <v>81</v>
      </c>
      <c r="O246" s="7">
        <v>48296</v>
      </c>
      <c r="P246" s="6">
        <f t="shared" si="25"/>
        <v>401</v>
      </c>
      <c r="Q246" s="9"/>
      <c r="R246" s="6">
        <f t="shared" si="26"/>
        <v>0</v>
      </c>
      <c r="S246" s="10" t="s">
        <v>1</v>
      </c>
      <c r="T246" s="2" t="s">
        <v>376</v>
      </c>
    </row>
    <row r="247" spans="1:20" ht="37.5" customHeight="1" x14ac:dyDescent="0.25">
      <c r="A247" s="2" t="s">
        <v>378</v>
      </c>
      <c r="B247">
        <f t="shared" si="21"/>
        <v>77206</v>
      </c>
      <c r="C247">
        <v>16349</v>
      </c>
      <c r="D247">
        <v>60857</v>
      </c>
      <c r="F247">
        <f t="shared" si="22"/>
        <v>590</v>
      </c>
      <c r="G247" s="3">
        <f t="shared" si="27"/>
        <v>247</v>
      </c>
      <c r="H247" s="4"/>
      <c r="I247" s="5">
        <v>130</v>
      </c>
      <c r="J247" s="6"/>
      <c r="K247" s="7">
        <v>76616</v>
      </c>
      <c r="L247" s="6">
        <f t="shared" si="23"/>
        <v>590</v>
      </c>
      <c r="M247" s="7">
        <v>16253</v>
      </c>
      <c r="N247" s="8">
        <f t="shared" si="24"/>
        <v>96</v>
      </c>
      <c r="O247" s="7">
        <v>60363</v>
      </c>
      <c r="P247" s="6">
        <f t="shared" si="25"/>
        <v>494</v>
      </c>
      <c r="Q247" s="9"/>
      <c r="R247" s="6">
        <f t="shared" si="26"/>
        <v>0</v>
      </c>
      <c r="S247" s="10" t="s">
        <v>1</v>
      </c>
      <c r="T247" s="2" t="s">
        <v>378</v>
      </c>
    </row>
    <row r="248" spans="1:20" ht="37.5" customHeight="1" x14ac:dyDescent="0.25">
      <c r="A248" s="2" t="s">
        <v>379</v>
      </c>
      <c r="B248">
        <f t="shared" si="21"/>
        <v>96285</v>
      </c>
      <c r="C248">
        <v>15647</v>
      </c>
      <c r="D248">
        <v>80638</v>
      </c>
      <c r="F248">
        <f t="shared" si="22"/>
        <v>591</v>
      </c>
      <c r="G248" s="3">
        <f t="shared" si="27"/>
        <v>248</v>
      </c>
      <c r="H248" s="4"/>
      <c r="I248" s="5">
        <v>131</v>
      </c>
      <c r="J248" s="6"/>
      <c r="K248" s="7">
        <v>95694</v>
      </c>
      <c r="L248" s="6">
        <f t="shared" si="23"/>
        <v>591</v>
      </c>
      <c r="M248" s="7">
        <v>15553</v>
      </c>
      <c r="N248" s="8">
        <f t="shared" si="24"/>
        <v>94</v>
      </c>
      <c r="O248" s="7">
        <v>80141</v>
      </c>
      <c r="P248" s="6">
        <f t="shared" si="25"/>
        <v>497</v>
      </c>
      <c r="Q248" s="9"/>
      <c r="R248" s="6">
        <f t="shared" si="26"/>
        <v>0</v>
      </c>
      <c r="S248" s="10" t="s">
        <v>1</v>
      </c>
      <c r="T248" s="2" t="s">
        <v>379</v>
      </c>
    </row>
    <row r="249" spans="1:20" ht="37.5" customHeight="1" x14ac:dyDescent="0.25">
      <c r="A249" s="2" t="s">
        <v>380</v>
      </c>
      <c r="B249">
        <f t="shared" si="21"/>
        <v>84054</v>
      </c>
      <c r="C249">
        <v>15234</v>
      </c>
      <c r="D249">
        <v>68820</v>
      </c>
      <c r="F249">
        <f t="shared" si="22"/>
        <v>389</v>
      </c>
      <c r="G249" s="3">
        <f t="shared" si="27"/>
        <v>249</v>
      </c>
      <c r="H249" s="4"/>
      <c r="I249" s="5">
        <v>132</v>
      </c>
      <c r="J249" s="6"/>
      <c r="K249" s="7">
        <v>83665</v>
      </c>
      <c r="L249" s="6">
        <f t="shared" si="23"/>
        <v>389</v>
      </c>
      <c r="M249" s="7">
        <v>15180</v>
      </c>
      <c r="N249" s="8">
        <f t="shared" si="24"/>
        <v>54</v>
      </c>
      <c r="O249" s="7">
        <v>68485</v>
      </c>
      <c r="P249" s="6">
        <f t="shared" si="25"/>
        <v>335</v>
      </c>
      <c r="Q249" s="9"/>
      <c r="R249" s="6">
        <f t="shared" si="26"/>
        <v>0</v>
      </c>
      <c r="S249" s="10" t="s">
        <v>1</v>
      </c>
      <c r="T249" s="2" t="s">
        <v>380</v>
      </c>
    </row>
    <row r="250" spans="1:20" ht="37.5" customHeight="1" x14ac:dyDescent="0.25">
      <c r="A250" s="2" t="s">
        <v>381</v>
      </c>
      <c r="B250">
        <f t="shared" si="21"/>
        <v>72060</v>
      </c>
      <c r="C250">
        <v>14698</v>
      </c>
      <c r="D250">
        <v>57362</v>
      </c>
      <c r="F250">
        <f t="shared" si="22"/>
        <v>422</v>
      </c>
      <c r="G250" s="3">
        <f t="shared" si="27"/>
        <v>250</v>
      </c>
      <c r="H250" s="4"/>
      <c r="I250" s="5">
        <v>133</v>
      </c>
      <c r="J250" s="6"/>
      <c r="K250" s="7">
        <v>71638</v>
      </c>
      <c r="L250" s="6">
        <f t="shared" si="23"/>
        <v>422</v>
      </c>
      <c r="M250" s="7">
        <v>14627</v>
      </c>
      <c r="N250" s="8">
        <f t="shared" si="24"/>
        <v>71</v>
      </c>
      <c r="O250" s="7">
        <v>57011</v>
      </c>
      <c r="P250" s="6">
        <f t="shared" si="25"/>
        <v>351</v>
      </c>
      <c r="Q250" s="9"/>
      <c r="R250" s="6">
        <f t="shared" si="26"/>
        <v>0</v>
      </c>
      <c r="S250" s="10" t="s">
        <v>1</v>
      </c>
      <c r="T250" s="2" t="s">
        <v>381</v>
      </c>
    </row>
    <row r="251" spans="1:20" ht="37.5" customHeight="1" x14ac:dyDescent="0.25">
      <c r="A251" s="2" t="s">
        <v>382</v>
      </c>
      <c r="B251">
        <f t="shared" si="21"/>
        <v>1384</v>
      </c>
      <c r="C251">
        <v>403</v>
      </c>
      <c r="D251">
        <v>981</v>
      </c>
      <c r="E251">
        <v>3533</v>
      </c>
      <c r="F251">
        <f t="shared" si="22"/>
        <v>250</v>
      </c>
      <c r="G251" s="3">
        <f t="shared" si="27"/>
        <v>251</v>
      </c>
      <c r="H251" s="4"/>
      <c r="I251" s="5">
        <v>134</v>
      </c>
      <c r="J251" s="6"/>
      <c r="K251" s="7">
        <f>M251+O251</f>
        <v>1134</v>
      </c>
      <c r="L251" s="6">
        <f t="shared" si="23"/>
        <v>250</v>
      </c>
      <c r="M251" s="7">
        <v>327</v>
      </c>
      <c r="N251" s="8">
        <f t="shared" si="24"/>
        <v>76</v>
      </c>
      <c r="O251" s="7">
        <v>807</v>
      </c>
      <c r="P251" s="6">
        <f t="shared" si="25"/>
        <v>174</v>
      </c>
      <c r="Q251" s="9">
        <v>2784</v>
      </c>
      <c r="R251" s="6">
        <f t="shared" si="26"/>
        <v>749</v>
      </c>
      <c r="S251" s="10" t="s">
        <v>1</v>
      </c>
      <c r="T251" s="2" t="s">
        <v>382</v>
      </c>
    </row>
    <row r="252" spans="1:20" ht="37.5" customHeight="1" x14ac:dyDescent="0.25">
      <c r="A252" s="2" t="s">
        <v>383</v>
      </c>
      <c r="B252">
        <f t="shared" si="21"/>
        <v>120980</v>
      </c>
      <c r="C252">
        <v>22791</v>
      </c>
      <c r="D252">
        <v>98189</v>
      </c>
      <c r="F252">
        <f t="shared" si="22"/>
        <v>486</v>
      </c>
      <c r="G252" s="3">
        <f t="shared" si="27"/>
        <v>252</v>
      </c>
      <c r="H252" s="4"/>
      <c r="I252" s="5">
        <v>135</v>
      </c>
      <c r="J252" s="6"/>
      <c r="K252" s="7">
        <v>120494</v>
      </c>
      <c r="L252" s="6">
        <f t="shared" si="23"/>
        <v>486</v>
      </c>
      <c r="M252" s="7">
        <v>22676</v>
      </c>
      <c r="N252" s="8">
        <f t="shared" si="24"/>
        <v>115</v>
      </c>
      <c r="O252" s="7">
        <v>97818</v>
      </c>
      <c r="P252" s="6">
        <f t="shared" si="25"/>
        <v>371</v>
      </c>
      <c r="Q252" s="9"/>
      <c r="R252" s="6">
        <f t="shared" si="26"/>
        <v>0</v>
      </c>
      <c r="S252" s="10" t="s">
        <v>1</v>
      </c>
      <c r="T252" s="2" t="s">
        <v>383</v>
      </c>
    </row>
    <row r="253" spans="1:20" ht="37.5" customHeight="1" x14ac:dyDescent="0.25">
      <c r="A253" s="2" t="s">
        <v>384</v>
      </c>
      <c r="B253">
        <f t="shared" si="21"/>
        <v>50143</v>
      </c>
      <c r="C253">
        <v>9267</v>
      </c>
      <c r="D253">
        <v>40876</v>
      </c>
      <c r="F253">
        <f t="shared" si="22"/>
        <v>79</v>
      </c>
      <c r="G253" s="3">
        <f t="shared" si="27"/>
        <v>253</v>
      </c>
      <c r="H253" s="4"/>
      <c r="I253" s="5">
        <v>136</v>
      </c>
      <c r="J253" s="6"/>
      <c r="K253" s="7">
        <v>50064</v>
      </c>
      <c r="L253" s="6">
        <f t="shared" si="23"/>
        <v>79</v>
      </c>
      <c r="M253" s="7">
        <v>9254</v>
      </c>
      <c r="N253" s="8">
        <f t="shared" si="24"/>
        <v>13</v>
      </c>
      <c r="O253" s="7">
        <v>40810</v>
      </c>
      <c r="P253" s="6">
        <f t="shared" si="25"/>
        <v>66</v>
      </c>
      <c r="Q253" s="9"/>
      <c r="R253" s="6">
        <f t="shared" si="26"/>
        <v>0</v>
      </c>
      <c r="S253" s="10" t="s">
        <v>1</v>
      </c>
      <c r="T253" s="2" t="s">
        <v>384</v>
      </c>
    </row>
    <row r="254" spans="1:20" ht="37.5" customHeight="1" x14ac:dyDescent="0.25">
      <c r="A254" s="2" t="s">
        <v>385</v>
      </c>
      <c r="B254">
        <f t="shared" si="21"/>
        <v>51949</v>
      </c>
      <c r="C254">
        <v>9419</v>
      </c>
      <c r="D254">
        <v>42530</v>
      </c>
      <c r="F254">
        <f t="shared" si="22"/>
        <v>240</v>
      </c>
      <c r="G254" s="3">
        <f t="shared" si="27"/>
        <v>254</v>
      </c>
      <c r="H254" s="4"/>
      <c r="I254" s="5">
        <v>137</v>
      </c>
      <c r="J254" s="6"/>
      <c r="K254" s="7">
        <v>51709</v>
      </c>
      <c r="L254" s="6">
        <f t="shared" si="23"/>
        <v>240</v>
      </c>
      <c r="M254" s="7">
        <v>9361</v>
      </c>
      <c r="N254" s="8">
        <f t="shared" si="24"/>
        <v>58</v>
      </c>
      <c r="O254" s="7">
        <v>42348</v>
      </c>
      <c r="P254" s="6">
        <f t="shared" si="25"/>
        <v>182</v>
      </c>
      <c r="Q254" s="9"/>
      <c r="R254" s="6">
        <f t="shared" si="26"/>
        <v>0</v>
      </c>
      <c r="S254" s="10" t="s">
        <v>1</v>
      </c>
      <c r="T254" s="2" t="s">
        <v>385</v>
      </c>
    </row>
    <row r="255" spans="1:20" ht="37.5" customHeight="1" x14ac:dyDescent="0.25">
      <c r="A255" s="2" t="s">
        <v>386</v>
      </c>
      <c r="B255">
        <f t="shared" si="21"/>
        <v>89393</v>
      </c>
      <c r="C255">
        <v>14994</v>
      </c>
      <c r="D255">
        <v>74399</v>
      </c>
      <c r="F255">
        <f t="shared" si="22"/>
        <v>222</v>
      </c>
      <c r="G255" s="3">
        <f t="shared" si="27"/>
        <v>255</v>
      </c>
      <c r="H255" s="4"/>
      <c r="I255" s="5">
        <v>138</v>
      </c>
      <c r="J255" s="6"/>
      <c r="K255" s="7">
        <v>89171</v>
      </c>
      <c r="L255" s="6">
        <f t="shared" si="23"/>
        <v>222</v>
      </c>
      <c r="M255" s="7">
        <v>14951</v>
      </c>
      <c r="N255" s="8">
        <f t="shared" si="24"/>
        <v>43</v>
      </c>
      <c r="O255" s="7">
        <v>74220</v>
      </c>
      <c r="P255" s="6">
        <f t="shared" si="25"/>
        <v>179</v>
      </c>
      <c r="Q255" s="9"/>
      <c r="R255" s="6">
        <f t="shared" si="26"/>
        <v>0</v>
      </c>
      <c r="S255" s="10" t="s">
        <v>1</v>
      </c>
      <c r="T255" s="2" t="s">
        <v>386</v>
      </c>
    </row>
    <row r="256" spans="1:20" ht="37.5" customHeight="1" x14ac:dyDescent="0.25">
      <c r="A256" s="2" t="s">
        <v>387</v>
      </c>
      <c r="B256">
        <f t="shared" si="21"/>
        <v>53621</v>
      </c>
      <c r="C256">
        <v>9459</v>
      </c>
      <c r="D256">
        <v>44162</v>
      </c>
      <c r="F256">
        <f t="shared" si="22"/>
        <v>319</v>
      </c>
      <c r="G256" s="3">
        <f t="shared" si="27"/>
        <v>256</v>
      </c>
      <c r="H256" s="4"/>
      <c r="I256" s="5">
        <v>139</v>
      </c>
      <c r="J256" s="6"/>
      <c r="K256" s="7">
        <v>53302</v>
      </c>
      <c r="L256" s="6">
        <f t="shared" si="23"/>
        <v>319</v>
      </c>
      <c r="M256" s="7">
        <v>9380</v>
      </c>
      <c r="N256" s="8">
        <f t="shared" si="24"/>
        <v>79</v>
      </c>
      <c r="O256" s="7">
        <v>43922</v>
      </c>
      <c r="P256" s="6">
        <f t="shared" si="25"/>
        <v>240</v>
      </c>
      <c r="Q256" s="9"/>
      <c r="R256" s="6">
        <f t="shared" si="26"/>
        <v>0</v>
      </c>
      <c r="S256" s="10" t="s">
        <v>1</v>
      </c>
      <c r="T256" s="2" t="s">
        <v>387</v>
      </c>
    </row>
    <row r="257" spans="1:20" ht="37.5" customHeight="1" x14ac:dyDescent="0.25">
      <c r="A257" s="2" t="s">
        <v>388</v>
      </c>
      <c r="B257">
        <f t="shared" si="21"/>
        <v>94300</v>
      </c>
      <c r="C257">
        <v>16288</v>
      </c>
      <c r="D257">
        <v>78012</v>
      </c>
      <c r="F257">
        <f t="shared" si="22"/>
        <v>140</v>
      </c>
      <c r="G257" s="3">
        <f t="shared" si="27"/>
        <v>257</v>
      </c>
      <c r="H257" s="4"/>
      <c r="I257" s="5">
        <v>140</v>
      </c>
      <c r="J257" s="6"/>
      <c r="K257" s="7">
        <v>94160</v>
      </c>
      <c r="L257" s="6">
        <f t="shared" si="23"/>
        <v>140</v>
      </c>
      <c r="M257" s="7">
        <v>16243</v>
      </c>
      <c r="N257" s="8">
        <f t="shared" si="24"/>
        <v>45</v>
      </c>
      <c r="O257" s="7">
        <v>77917</v>
      </c>
      <c r="P257" s="6">
        <f t="shared" si="25"/>
        <v>95</v>
      </c>
      <c r="Q257" s="9"/>
      <c r="R257" s="6">
        <f t="shared" si="26"/>
        <v>0</v>
      </c>
      <c r="S257" s="10" t="s">
        <v>1</v>
      </c>
      <c r="T257" s="2" t="s">
        <v>388</v>
      </c>
    </row>
    <row r="258" spans="1:20" ht="37.5" customHeight="1" x14ac:dyDescent="0.25">
      <c r="A258" s="2" t="s">
        <v>389</v>
      </c>
      <c r="B258">
        <f t="shared" ref="B258:B321" si="28">C258+D258</f>
        <v>33718</v>
      </c>
      <c r="C258">
        <v>6061</v>
      </c>
      <c r="D258">
        <v>27657</v>
      </c>
      <c r="F258">
        <f t="shared" ref="F258:F321" si="29">L258</f>
        <v>6</v>
      </c>
      <c r="G258" s="3">
        <f t="shared" si="27"/>
        <v>258</v>
      </c>
      <c r="H258" s="4"/>
      <c r="I258" s="5">
        <v>141</v>
      </c>
      <c r="J258" s="6"/>
      <c r="K258" s="7">
        <v>33712</v>
      </c>
      <c r="L258" s="6">
        <f t="shared" ref="L258:L321" si="30">B258-K258</f>
        <v>6</v>
      </c>
      <c r="M258" s="7">
        <v>6060</v>
      </c>
      <c r="N258" s="8">
        <f t="shared" ref="N258:N321" si="31">C258-M258</f>
        <v>1</v>
      </c>
      <c r="O258" s="7">
        <v>27652</v>
      </c>
      <c r="P258" s="6">
        <f t="shared" ref="P258:P321" si="32">D258-O258</f>
        <v>5</v>
      </c>
      <c r="Q258" s="9"/>
      <c r="R258" s="6">
        <f t="shared" ref="R258:R321" si="33">E258-Q258</f>
        <v>0</v>
      </c>
      <c r="S258" s="10" t="s">
        <v>1</v>
      </c>
      <c r="T258" s="2" t="s">
        <v>389</v>
      </c>
    </row>
    <row r="259" spans="1:20" ht="37.5" customHeight="1" x14ac:dyDescent="0.25">
      <c r="A259" s="2" t="s">
        <v>390</v>
      </c>
      <c r="B259">
        <f t="shared" si="28"/>
        <v>85944</v>
      </c>
      <c r="C259">
        <v>13307</v>
      </c>
      <c r="D259">
        <v>72637</v>
      </c>
      <c r="F259">
        <f t="shared" si="29"/>
        <v>456</v>
      </c>
      <c r="G259" s="3">
        <f t="shared" ref="G259:G322" si="34">G258+1</f>
        <v>259</v>
      </c>
      <c r="H259" s="4"/>
      <c r="I259" s="5">
        <v>142</v>
      </c>
      <c r="J259" s="6"/>
      <c r="K259" s="7">
        <v>85488</v>
      </c>
      <c r="L259" s="6">
        <f t="shared" si="30"/>
        <v>456</v>
      </c>
      <c r="M259" s="7">
        <v>13185</v>
      </c>
      <c r="N259" s="8">
        <f t="shared" si="31"/>
        <v>122</v>
      </c>
      <c r="O259" s="7">
        <v>72303</v>
      </c>
      <c r="P259" s="6">
        <f t="shared" si="32"/>
        <v>334</v>
      </c>
      <c r="Q259" s="9"/>
      <c r="R259" s="6">
        <f t="shared" si="33"/>
        <v>0</v>
      </c>
      <c r="S259" s="10" t="s">
        <v>1</v>
      </c>
      <c r="T259" s="2" t="s">
        <v>390</v>
      </c>
    </row>
    <row r="260" spans="1:20" ht="37.5" customHeight="1" x14ac:dyDescent="0.25">
      <c r="A260" s="2" t="s">
        <v>391</v>
      </c>
      <c r="B260">
        <f t="shared" si="28"/>
        <v>94736</v>
      </c>
      <c r="C260">
        <v>17490</v>
      </c>
      <c r="D260">
        <v>77246</v>
      </c>
      <c r="F260">
        <f t="shared" si="29"/>
        <v>213</v>
      </c>
      <c r="G260" s="3">
        <f t="shared" si="34"/>
        <v>260</v>
      </c>
      <c r="H260" s="4"/>
      <c r="I260" s="5">
        <v>143</v>
      </c>
      <c r="J260" s="6"/>
      <c r="K260" s="7">
        <v>94523</v>
      </c>
      <c r="L260" s="6">
        <f t="shared" si="30"/>
        <v>213</v>
      </c>
      <c r="M260" s="7">
        <v>17449</v>
      </c>
      <c r="N260" s="8">
        <f t="shared" si="31"/>
        <v>41</v>
      </c>
      <c r="O260" s="7">
        <v>77074</v>
      </c>
      <c r="P260" s="6">
        <f t="shared" si="32"/>
        <v>172</v>
      </c>
      <c r="Q260" s="9"/>
      <c r="R260" s="6">
        <f t="shared" si="33"/>
        <v>0</v>
      </c>
      <c r="S260" s="10" t="s">
        <v>1</v>
      </c>
      <c r="T260" s="2" t="s">
        <v>391</v>
      </c>
    </row>
    <row r="261" spans="1:20" ht="37.5" customHeight="1" x14ac:dyDescent="0.25">
      <c r="A261" s="2" t="s">
        <v>392</v>
      </c>
      <c r="B261">
        <f t="shared" si="28"/>
        <v>3485</v>
      </c>
      <c r="C261">
        <v>921</v>
      </c>
      <c r="D261">
        <v>2564</v>
      </c>
      <c r="E261">
        <v>6045</v>
      </c>
      <c r="F261">
        <f t="shared" si="29"/>
        <v>188</v>
      </c>
      <c r="G261" s="3">
        <f t="shared" si="34"/>
        <v>261</v>
      </c>
      <c r="H261" s="4"/>
      <c r="I261" s="5">
        <v>144</v>
      </c>
      <c r="J261" s="6"/>
      <c r="K261" s="7">
        <f>M261+O261</f>
        <v>3297</v>
      </c>
      <c r="L261" s="6">
        <f t="shared" si="30"/>
        <v>188</v>
      </c>
      <c r="M261" s="7">
        <v>866</v>
      </c>
      <c r="N261" s="8">
        <f t="shared" si="31"/>
        <v>55</v>
      </c>
      <c r="O261" s="7">
        <v>2431</v>
      </c>
      <c r="P261" s="6">
        <f t="shared" si="32"/>
        <v>133</v>
      </c>
      <c r="Q261" s="9">
        <v>5407</v>
      </c>
      <c r="R261" s="6">
        <f t="shared" si="33"/>
        <v>638</v>
      </c>
      <c r="S261" s="10" t="s">
        <v>1</v>
      </c>
      <c r="T261" s="2" t="s">
        <v>392</v>
      </c>
    </row>
    <row r="262" spans="1:20" ht="37.5" customHeight="1" x14ac:dyDescent="0.25">
      <c r="A262" s="2" t="s">
        <v>393</v>
      </c>
      <c r="B262">
        <f t="shared" si="28"/>
        <v>11800</v>
      </c>
      <c r="C262">
        <v>1861</v>
      </c>
      <c r="D262">
        <v>9939</v>
      </c>
      <c r="F262">
        <f t="shared" si="29"/>
        <v>1348</v>
      </c>
      <c r="G262" s="3">
        <f t="shared" si="34"/>
        <v>262</v>
      </c>
      <c r="H262" s="4"/>
      <c r="I262" s="5">
        <v>145</v>
      </c>
      <c r="J262" s="6"/>
      <c r="K262" s="7">
        <v>10452</v>
      </c>
      <c r="L262" s="6">
        <f t="shared" si="30"/>
        <v>1348</v>
      </c>
      <c r="M262" s="7">
        <v>1797</v>
      </c>
      <c r="N262" s="8">
        <f t="shared" si="31"/>
        <v>64</v>
      </c>
      <c r="O262" s="7">
        <v>8655</v>
      </c>
      <c r="P262" s="6">
        <f t="shared" si="32"/>
        <v>1284</v>
      </c>
      <c r="Q262" s="9"/>
      <c r="R262" s="6">
        <f t="shared" si="33"/>
        <v>0</v>
      </c>
      <c r="S262" s="10" t="s">
        <v>1</v>
      </c>
      <c r="T262" s="2" t="s">
        <v>393</v>
      </c>
    </row>
    <row r="263" spans="1:20" ht="37.5" customHeight="1" x14ac:dyDescent="0.25">
      <c r="A263" s="2" t="s">
        <v>394</v>
      </c>
      <c r="B263">
        <f t="shared" si="28"/>
        <v>51724</v>
      </c>
      <c r="C263">
        <v>11101</v>
      </c>
      <c r="D263">
        <v>40623</v>
      </c>
      <c r="F263">
        <f t="shared" si="29"/>
        <v>182</v>
      </c>
      <c r="G263" s="3">
        <f t="shared" si="34"/>
        <v>263</v>
      </c>
      <c r="H263" s="4"/>
      <c r="I263" s="5">
        <v>146</v>
      </c>
      <c r="J263" s="6"/>
      <c r="K263" s="7">
        <v>51542</v>
      </c>
      <c r="L263" s="6">
        <f t="shared" si="30"/>
        <v>182</v>
      </c>
      <c r="M263" s="7">
        <v>11064</v>
      </c>
      <c r="N263" s="8">
        <f t="shared" si="31"/>
        <v>37</v>
      </c>
      <c r="O263" s="7">
        <v>40478</v>
      </c>
      <c r="P263" s="6">
        <f t="shared" si="32"/>
        <v>145</v>
      </c>
      <c r="Q263" s="9"/>
      <c r="R263" s="6">
        <f t="shared" si="33"/>
        <v>0</v>
      </c>
      <c r="S263" s="10" t="s">
        <v>1</v>
      </c>
      <c r="T263" s="2" t="s">
        <v>394</v>
      </c>
    </row>
    <row r="264" spans="1:20" ht="37.5" customHeight="1" x14ac:dyDescent="0.25">
      <c r="A264" s="2" t="s">
        <v>395</v>
      </c>
      <c r="B264">
        <f t="shared" si="28"/>
        <v>7822</v>
      </c>
      <c r="C264">
        <v>1680</v>
      </c>
      <c r="D264">
        <v>6142</v>
      </c>
      <c r="E264">
        <v>8663</v>
      </c>
      <c r="F264">
        <f t="shared" si="29"/>
        <v>387</v>
      </c>
      <c r="G264" s="3">
        <f t="shared" si="34"/>
        <v>264</v>
      </c>
      <c r="H264" s="4"/>
      <c r="I264" s="5">
        <v>147</v>
      </c>
      <c r="J264" s="6"/>
      <c r="K264" s="7">
        <f>M264+O264</f>
        <v>7435</v>
      </c>
      <c r="L264" s="6">
        <f t="shared" si="30"/>
        <v>387</v>
      </c>
      <c r="M264" s="7">
        <v>1569</v>
      </c>
      <c r="N264" s="8">
        <f t="shared" si="31"/>
        <v>111</v>
      </c>
      <c r="O264" s="7">
        <v>5866</v>
      </c>
      <c r="P264" s="6">
        <f t="shared" si="32"/>
        <v>276</v>
      </c>
      <c r="Q264" s="9">
        <v>7866</v>
      </c>
      <c r="R264" s="6">
        <f t="shared" si="33"/>
        <v>797</v>
      </c>
      <c r="S264" s="10" t="s">
        <v>1</v>
      </c>
      <c r="T264" s="2" t="s">
        <v>395</v>
      </c>
    </row>
    <row r="265" spans="1:20" ht="37.5" customHeight="1" x14ac:dyDescent="0.25">
      <c r="A265" s="2" t="s">
        <v>396</v>
      </c>
      <c r="B265">
        <f t="shared" si="28"/>
        <v>6899</v>
      </c>
      <c r="C265">
        <v>1637</v>
      </c>
      <c r="D265">
        <v>5262</v>
      </c>
      <c r="E265">
        <v>9188</v>
      </c>
      <c r="F265">
        <f t="shared" si="29"/>
        <v>493</v>
      </c>
      <c r="G265" s="3">
        <f t="shared" si="34"/>
        <v>265</v>
      </c>
      <c r="H265" s="4"/>
      <c r="I265" s="5">
        <v>148</v>
      </c>
      <c r="J265" s="6"/>
      <c r="K265" s="7">
        <f>M265+O265</f>
        <v>6406</v>
      </c>
      <c r="L265" s="6">
        <f t="shared" si="30"/>
        <v>493</v>
      </c>
      <c r="M265" s="7">
        <v>1523</v>
      </c>
      <c r="N265" s="8">
        <f t="shared" si="31"/>
        <v>114</v>
      </c>
      <c r="O265" s="7">
        <v>4883</v>
      </c>
      <c r="P265" s="6">
        <f t="shared" si="32"/>
        <v>379</v>
      </c>
      <c r="Q265" s="9">
        <v>8354</v>
      </c>
      <c r="R265" s="6">
        <f t="shared" si="33"/>
        <v>834</v>
      </c>
      <c r="S265" s="10" t="s">
        <v>1</v>
      </c>
      <c r="T265" s="2" t="s">
        <v>396</v>
      </c>
    </row>
    <row r="266" spans="1:20" ht="37.5" customHeight="1" x14ac:dyDescent="0.25">
      <c r="A266" s="2" t="s">
        <v>397</v>
      </c>
      <c r="B266">
        <f t="shared" si="28"/>
        <v>95707</v>
      </c>
      <c r="C266">
        <v>16298</v>
      </c>
      <c r="D266">
        <v>79409</v>
      </c>
      <c r="F266">
        <f t="shared" si="29"/>
        <v>248</v>
      </c>
      <c r="G266" s="3">
        <f t="shared" si="34"/>
        <v>266</v>
      </c>
      <c r="H266" s="4"/>
      <c r="I266" s="5">
        <v>149</v>
      </c>
      <c r="J266" s="6"/>
      <c r="K266" s="7">
        <v>95459</v>
      </c>
      <c r="L266" s="6">
        <f t="shared" si="30"/>
        <v>248</v>
      </c>
      <c r="M266" s="7">
        <v>16261</v>
      </c>
      <c r="N266" s="8">
        <f t="shared" si="31"/>
        <v>37</v>
      </c>
      <c r="O266" s="7">
        <v>79198</v>
      </c>
      <c r="P266" s="6">
        <f t="shared" si="32"/>
        <v>211</v>
      </c>
      <c r="Q266" s="9"/>
      <c r="R266" s="6">
        <f t="shared" si="33"/>
        <v>0</v>
      </c>
      <c r="S266" s="10" t="s">
        <v>1</v>
      </c>
      <c r="T266" s="2" t="s">
        <v>397</v>
      </c>
    </row>
    <row r="267" spans="1:20" ht="37.5" customHeight="1" x14ac:dyDescent="0.25">
      <c r="A267" s="2" t="s">
        <v>398</v>
      </c>
      <c r="B267">
        <f t="shared" si="28"/>
        <v>25923</v>
      </c>
      <c r="C267">
        <v>5388</v>
      </c>
      <c r="D267">
        <v>20535</v>
      </c>
      <c r="F267">
        <f t="shared" si="29"/>
        <v>84</v>
      </c>
      <c r="G267" s="3">
        <f t="shared" si="34"/>
        <v>267</v>
      </c>
      <c r="H267" s="4"/>
      <c r="I267" s="5">
        <v>150</v>
      </c>
      <c r="J267" s="6"/>
      <c r="K267" s="7">
        <v>25839</v>
      </c>
      <c r="L267" s="6">
        <f t="shared" si="30"/>
        <v>84</v>
      </c>
      <c r="M267" s="7">
        <v>5364</v>
      </c>
      <c r="N267" s="8">
        <f t="shared" si="31"/>
        <v>24</v>
      </c>
      <c r="O267" s="7">
        <v>20475</v>
      </c>
      <c r="P267" s="6">
        <f t="shared" si="32"/>
        <v>60</v>
      </c>
      <c r="Q267" s="9"/>
      <c r="R267" s="6">
        <f t="shared" si="33"/>
        <v>0</v>
      </c>
      <c r="S267" s="10" t="s">
        <v>1</v>
      </c>
      <c r="T267" s="2" t="s">
        <v>398</v>
      </c>
    </row>
    <row r="268" spans="1:20" ht="37.5" customHeight="1" x14ac:dyDescent="0.25">
      <c r="A268" s="2" t="s">
        <v>399</v>
      </c>
      <c r="B268">
        <f t="shared" si="28"/>
        <v>34848</v>
      </c>
      <c r="C268">
        <v>5625</v>
      </c>
      <c r="D268">
        <v>29223</v>
      </c>
      <c r="F268">
        <f t="shared" si="29"/>
        <v>14</v>
      </c>
      <c r="G268" s="3">
        <f t="shared" si="34"/>
        <v>268</v>
      </c>
      <c r="H268" s="4"/>
      <c r="I268" s="5">
        <v>151</v>
      </c>
      <c r="J268" s="6"/>
      <c r="K268" s="7">
        <v>34834</v>
      </c>
      <c r="L268" s="6">
        <f t="shared" si="30"/>
        <v>14</v>
      </c>
      <c r="M268" s="7">
        <v>5624</v>
      </c>
      <c r="N268" s="8">
        <f t="shared" si="31"/>
        <v>1</v>
      </c>
      <c r="O268" s="7">
        <v>29210</v>
      </c>
      <c r="P268" s="6">
        <f t="shared" si="32"/>
        <v>13</v>
      </c>
      <c r="Q268" s="9"/>
      <c r="R268" s="6">
        <f t="shared" si="33"/>
        <v>0</v>
      </c>
      <c r="S268" s="10" t="s">
        <v>1</v>
      </c>
      <c r="T268" s="2" t="s">
        <v>399</v>
      </c>
    </row>
    <row r="269" spans="1:20" ht="37.5" customHeight="1" x14ac:dyDescent="0.25">
      <c r="A269" s="2" t="s">
        <v>400</v>
      </c>
      <c r="B269">
        <f t="shared" si="28"/>
        <v>64258</v>
      </c>
      <c r="C269">
        <v>10688</v>
      </c>
      <c r="D269">
        <v>53570</v>
      </c>
      <c r="F269">
        <f t="shared" si="29"/>
        <v>379</v>
      </c>
      <c r="G269" s="3">
        <f t="shared" si="34"/>
        <v>269</v>
      </c>
      <c r="H269" s="4"/>
      <c r="I269" s="5">
        <v>152</v>
      </c>
      <c r="J269" s="6"/>
      <c r="K269" s="7">
        <v>63879</v>
      </c>
      <c r="L269" s="6">
        <f t="shared" si="30"/>
        <v>379</v>
      </c>
      <c r="M269" s="7">
        <v>10623</v>
      </c>
      <c r="N269" s="8">
        <f t="shared" si="31"/>
        <v>65</v>
      </c>
      <c r="O269" s="7">
        <v>53256</v>
      </c>
      <c r="P269" s="6">
        <f t="shared" si="32"/>
        <v>314</v>
      </c>
      <c r="Q269" s="9"/>
      <c r="R269" s="6">
        <f t="shared" si="33"/>
        <v>0</v>
      </c>
      <c r="S269" s="10" t="s">
        <v>1</v>
      </c>
      <c r="T269" s="2" t="s">
        <v>400</v>
      </c>
    </row>
    <row r="270" spans="1:20" ht="37.5" customHeight="1" x14ac:dyDescent="0.25">
      <c r="A270" s="2" t="s">
        <v>401</v>
      </c>
      <c r="B270">
        <f t="shared" si="28"/>
        <v>42636</v>
      </c>
      <c r="C270">
        <v>7369</v>
      </c>
      <c r="D270">
        <v>35267</v>
      </c>
      <c r="F270">
        <f t="shared" si="29"/>
        <v>142</v>
      </c>
      <c r="G270" s="3">
        <f t="shared" si="34"/>
        <v>270</v>
      </c>
      <c r="H270" s="4"/>
      <c r="I270" s="5">
        <v>153</v>
      </c>
      <c r="J270" s="6"/>
      <c r="K270" s="7">
        <v>42494</v>
      </c>
      <c r="L270" s="6">
        <f t="shared" si="30"/>
        <v>142</v>
      </c>
      <c r="M270" s="7">
        <v>7354</v>
      </c>
      <c r="N270" s="8">
        <f t="shared" si="31"/>
        <v>15</v>
      </c>
      <c r="O270" s="7">
        <v>35140</v>
      </c>
      <c r="P270" s="6">
        <f t="shared" si="32"/>
        <v>127</v>
      </c>
      <c r="Q270" s="9"/>
      <c r="R270" s="6">
        <f t="shared" si="33"/>
        <v>0</v>
      </c>
      <c r="S270" s="10" t="s">
        <v>1</v>
      </c>
      <c r="T270" s="2" t="s">
        <v>401</v>
      </c>
    </row>
    <row r="271" spans="1:20" ht="37.5" customHeight="1" x14ac:dyDescent="0.25">
      <c r="A271" s="2" t="s">
        <v>402</v>
      </c>
      <c r="B271">
        <f t="shared" si="28"/>
        <v>63671</v>
      </c>
      <c r="C271">
        <v>9368</v>
      </c>
      <c r="D271">
        <v>54303</v>
      </c>
      <c r="F271">
        <f t="shared" si="29"/>
        <v>4</v>
      </c>
      <c r="G271" s="3">
        <f t="shared" si="34"/>
        <v>271</v>
      </c>
      <c r="H271" s="4"/>
      <c r="I271" s="5">
        <v>154</v>
      </c>
      <c r="J271" s="6"/>
      <c r="K271" s="7">
        <v>63667</v>
      </c>
      <c r="L271" s="6">
        <f t="shared" si="30"/>
        <v>4</v>
      </c>
      <c r="M271" s="7">
        <v>9368</v>
      </c>
      <c r="N271" s="8">
        <f t="shared" si="31"/>
        <v>0</v>
      </c>
      <c r="O271" s="7">
        <v>54299</v>
      </c>
      <c r="P271" s="6">
        <f t="shared" si="32"/>
        <v>4</v>
      </c>
      <c r="Q271" s="9"/>
      <c r="R271" s="6">
        <f t="shared" si="33"/>
        <v>0</v>
      </c>
      <c r="S271" s="10" t="s">
        <v>1</v>
      </c>
      <c r="T271" s="2" t="s">
        <v>402</v>
      </c>
    </row>
    <row r="272" spans="1:20" ht="37.5" customHeight="1" x14ac:dyDescent="0.25">
      <c r="A272" s="2" t="s">
        <v>403</v>
      </c>
      <c r="B272">
        <f t="shared" si="28"/>
        <v>60413</v>
      </c>
      <c r="C272">
        <v>10866</v>
      </c>
      <c r="D272">
        <v>49547</v>
      </c>
      <c r="F272">
        <f t="shared" si="29"/>
        <v>405</v>
      </c>
      <c r="G272" s="3">
        <f t="shared" si="34"/>
        <v>272</v>
      </c>
      <c r="H272" s="4"/>
      <c r="I272" s="5">
        <v>155</v>
      </c>
      <c r="J272" s="6"/>
      <c r="K272" s="7">
        <v>60008</v>
      </c>
      <c r="L272" s="6">
        <f t="shared" si="30"/>
        <v>405</v>
      </c>
      <c r="M272" s="7">
        <v>10809</v>
      </c>
      <c r="N272" s="8">
        <f t="shared" si="31"/>
        <v>57</v>
      </c>
      <c r="O272" s="7">
        <v>49199</v>
      </c>
      <c r="P272" s="6">
        <f t="shared" si="32"/>
        <v>348</v>
      </c>
      <c r="Q272" s="9"/>
      <c r="R272" s="6">
        <f t="shared" si="33"/>
        <v>0</v>
      </c>
      <c r="S272" s="10" t="s">
        <v>1</v>
      </c>
      <c r="T272" s="2" t="s">
        <v>403</v>
      </c>
    </row>
    <row r="273" spans="1:20" ht="37.5" customHeight="1" x14ac:dyDescent="0.25">
      <c r="A273" s="2" t="s">
        <v>404</v>
      </c>
      <c r="B273">
        <f t="shared" si="28"/>
        <v>26206</v>
      </c>
      <c r="C273">
        <v>4572</v>
      </c>
      <c r="D273">
        <v>21634</v>
      </c>
      <c r="F273">
        <f t="shared" si="29"/>
        <v>78</v>
      </c>
      <c r="G273" s="3">
        <f t="shared" si="34"/>
        <v>273</v>
      </c>
      <c r="H273" s="4"/>
      <c r="I273" s="5">
        <v>156</v>
      </c>
      <c r="J273" s="6"/>
      <c r="K273" s="7">
        <v>26128</v>
      </c>
      <c r="L273" s="6">
        <f t="shared" si="30"/>
        <v>78</v>
      </c>
      <c r="M273" s="7">
        <v>4558</v>
      </c>
      <c r="N273" s="8">
        <f t="shared" si="31"/>
        <v>14</v>
      </c>
      <c r="O273" s="7">
        <v>21570</v>
      </c>
      <c r="P273" s="6">
        <f t="shared" si="32"/>
        <v>64</v>
      </c>
      <c r="Q273" s="9"/>
      <c r="R273" s="6">
        <f t="shared" si="33"/>
        <v>0</v>
      </c>
      <c r="S273" s="10" t="s">
        <v>1</v>
      </c>
      <c r="T273" s="2" t="s">
        <v>404</v>
      </c>
    </row>
    <row r="274" spans="1:20" ht="37.5" customHeight="1" x14ac:dyDescent="0.25">
      <c r="A274" s="2" t="s">
        <v>405</v>
      </c>
      <c r="B274">
        <f t="shared" si="28"/>
        <v>60621</v>
      </c>
      <c r="C274">
        <v>10409</v>
      </c>
      <c r="D274">
        <v>50212</v>
      </c>
      <c r="F274">
        <f t="shared" si="29"/>
        <v>469</v>
      </c>
      <c r="G274" s="3">
        <f t="shared" si="34"/>
        <v>274</v>
      </c>
      <c r="H274" s="4"/>
      <c r="I274" s="5">
        <v>157</v>
      </c>
      <c r="J274" s="6"/>
      <c r="K274" s="7">
        <v>60152</v>
      </c>
      <c r="L274" s="6">
        <f t="shared" si="30"/>
        <v>469</v>
      </c>
      <c r="M274" s="7">
        <v>10331</v>
      </c>
      <c r="N274" s="8">
        <f t="shared" si="31"/>
        <v>78</v>
      </c>
      <c r="O274" s="7">
        <v>49821</v>
      </c>
      <c r="P274" s="6">
        <f t="shared" si="32"/>
        <v>391</v>
      </c>
      <c r="Q274" s="9"/>
      <c r="R274" s="6">
        <f t="shared" si="33"/>
        <v>0</v>
      </c>
      <c r="S274" s="10" t="s">
        <v>1</v>
      </c>
      <c r="T274" s="2" t="s">
        <v>405</v>
      </c>
    </row>
    <row r="275" spans="1:20" ht="37.5" customHeight="1" x14ac:dyDescent="0.25">
      <c r="A275" s="2" t="s">
        <v>406</v>
      </c>
      <c r="B275">
        <f t="shared" si="28"/>
        <v>810</v>
      </c>
      <c r="C275">
        <v>153</v>
      </c>
      <c r="D275">
        <v>657</v>
      </c>
      <c r="F275">
        <f t="shared" si="29"/>
        <v>0</v>
      </c>
      <c r="G275" s="3">
        <f t="shared" si="34"/>
        <v>275</v>
      </c>
      <c r="H275" s="4"/>
      <c r="I275" s="5">
        <v>158</v>
      </c>
      <c r="J275" s="6"/>
      <c r="K275" s="7">
        <v>810</v>
      </c>
      <c r="L275" s="6">
        <f t="shared" si="30"/>
        <v>0</v>
      </c>
      <c r="M275" s="7">
        <v>153</v>
      </c>
      <c r="N275" s="8">
        <f t="shared" si="31"/>
        <v>0</v>
      </c>
      <c r="O275" s="7">
        <v>657</v>
      </c>
      <c r="P275" s="6">
        <f t="shared" si="32"/>
        <v>0</v>
      </c>
      <c r="Q275" s="9"/>
      <c r="R275" s="6">
        <f t="shared" si="33"/>
        <v>0</v>
      </c>
      <c r="S275" s="10" t="s">
        <v>1</v>
      </c>
      <c r="T275" s="2" t="s">
        <v>406</v>
      </c>
    </row>
    <row r="276" spans="1:20" ht="37.5" customHeight="1" x14ac:dyDescent="0.25">
      <c r="A276" s="2" t="s">
        <v>407</v>
      </c>
      <c r="B276">
        <f t="shared" si="28"/>
        <v>25088</v>
      </c>
      <c r="C276">
        <v>4411</v>
      </c>
      <c r="D276">
        <v>20677</v>
      </c>
      <c r="F276">
        <f t="shared" si="29"/>
        <v>406</v>
      </c>
      <c r="G276" s="3">
        <f t="shared" si="34"/>
        <v>276</v>
      </c>
      <c r="H276" s="4"/>
      <c r="I276" s="5">
        <v>159</v>
      </c>
      <c r="J276" s="6"/>
      <c r="K276" s="7">
        <v>24682</v>
      </c>
      <c r="L276" s="6">
        <f t="shared" si="30"/>
        <v>406</v>
      </c>
      <c r="M276" s="7">
        <v>4335</v>
      </c>
      <c r="N276" s="8">
        <f t="shared" si="31"/>
        <v>76</v>
      </c>
      <c r="O276" s="7">
        <v>20347</v>
      </c>
      <c r="P276" s="6">
        <f t="shared" si="32"/>
        <v>330</v>
      </c>
      <c r="Q276" s="9"/>
      <c r="R276" s="6">
        <f t="shared" si="33"/>
        <v>0</v>
      </c>
      <c r="S276" s="10" t="s">
        <v>1</v>
      </c>
      <c r="T276" s="2" t="s">
        <v>407</v>
      </c>
    </row>
    <row r="277" spans="1:20" ht="37.5" customHeight="1" x14ac:dyDescent="0.25">
      <c r="A277" s="2" t="s">
        <v>408</v>
      </c>
      <c r="B277">
        <f t="shared" si="28"/>
        <v>3098</v>
      </c>
      <c r="C277">
        <v>833</v>
      </c>
      <c r="D277">
        <v>2265</v>
      </c>
      <c r="E277">
        <v>9500</v>
      </c>
      <c r="F277">
        <f t="shared" si="29"/>
        <v>168</v>
      </c>
      <c r="G277" s="3">
        <f t="shared" si="34"/>
        <v>277</v>
      </c>
      <c r="H277" s="4"/>
      <c r="I277" s="5">
        <v>160</v>
      </c>
      <c r="J277" s="6"/>
      <c r="K277" s="7">
        <f>M277+O277</f>
        <v>2930</v>
      </c>
      <c r="L277" s="6">
        <f t="shared" si="30"/>
        <v>168</v>
      </c>
      <c r="M277" s="7">
        <v>784</v>
      </c>
      <c r="N277" s="8">
        <f t="shared" si="31"/>
        <v>49</v>
      </c>
      <c r="O277" s="7">
        <v>2146</v>
      </c>
      <c r="P277" s="6">
        <f t="shared" si="32"/>
        <v>119</v>
      </c>
      <c r="Q277" s="9">
        <v>8430</v>
      </c>
      <c r="R277" s="6">
        <f t="shared" si="33"/>
        <v>1070</v>
      </c>
      <c r="S277" s="10" t="s">
        <v>1</v>
      </c>
      <c r="T277" s="2" t="s">
        <v>408</v>
      </c>
    </row>
    <row r="278" spans="1:20" ht="37.5" customHeight="1" x14ac:dyDescent="0.25">
      <c r="A278" s="2" t="s">
        <v>409</v>
      </c>
      <c r="B278">
        <f t="shared" si="28"/>
        <v>51524</v>
      </c>
      <c r="C278">
        <v>9640</v>
      </c>
      <c r="D278">
        <v>41884</v>
      </c>
      <c r="F278">
        <f t="shared" si="29"/>
        <v>282</v>
      </c>
      <c r="G278" s="3">
        <f t="shared" si="34"/>
        <v>278</v>
      </c>
      <c r="H278" s="4"/>
      <c r="I278" s="5">
        <v>161</v>
      </c>
      <c r="J278" s="6"/>
      <c r="K278" s="7">
        <v>51242</v>
      </c>
      <c r="L278" s="6">
        <f t="shared" si="30"/>
        <v>282</v>
      </c>
      <c r="M278" s="7">
        <v>9581</v>
      </c>
      <c r="N278" s="8">
        <f t="shared" si="31"/>
        <v>59</v>
      </c>
      <c r="O278" s="7">
        <v>41661</v>
      </c>
      <c r="P278" s="6">
        <f t="shared" si="32"/>
        <v>223</v>
      </c>
      <c r="Q278" s="9"/>
      <c r="R278" s="6">
        <f t="shared" si="33"/>
        <v>0</v>
      </c>
      <c r="S278" s="10" t="s">
        <v>1</v>
      </c>
      <c r="T278" s="2" t="s">
        <v>409</v>
      </c>
    </row>
    <row r="279" spans="1:20" ht="37.5" customHeight="1" x14ac:dyDescent="0.25">
      <c r="A279" s="2" t="s">
        <v>410</v>
      </c>
      <c r="B279">
        <f t="shared" si="28"/>
        <v>22739</v>
      </c>
      <c r="C279">
        <v>3795</v>
      </c>
      <c r="D279">
        <v>18944</v>
      </c>
      <c r="F279">
        <f t="shared" si="29"/>
        <v>290</v>
      </c>
      <c r="G279" s="3">
        <f t="shared" si="34"/>
        <v>279</v>
      </c>
      <c r="H279" s="4"/>
      <c r="I279" s="5">
        <v>162</v>
      </c>
      <c r="J279" s="6"/>
      <c r="K279" s="7">
        <v>22449</v>
      </c>
      <c r="L279" s="6">
        <f t="shared" si="30"/>
        <v>290</v>
      </c>
      <c r="M279" s="7">
        <v>3750</v>
      </c>
      <c r="N279" s="8">
        <f t="shared" si="31"/>
        <v>45</v>
      </c>
      <c r="O279" s="7">
        <v>18699</v>
      </c>
      <c r="P279" s="6">
        <f t="shared" si="32"/>
        <v>245</v>
      </c>
      <c r="Q279" s="9"/>
      <c r="R279" s="6">
        <f t="shared" si="33"/>
        <v>0</v>
      </c>
      <c r="S279" s="10" t="s">
        <v>1</v>
      </c>
      <c r="T279" s="2" t="s">
        <v>410</v>
      </c>
    </row>
    <row r="280" spans="1:20" ht="37.5" customHeight="1" x14ac:dyDescent="0.25">
      <c r="A280" s="2" t="s">
        <v>411</v>
      </c>
      <c r="B280">
        <f t="shared" si="28"/>
        <v>39016</v>
      </c>
      <c r="C280">
        <v>6152</v>
      </c>
      <c r="D280">
        <v>32864</v>
      </c>
      <c r="F280">
        <f t="shared" si="29"/>
        <v>403</v>
      </c>
      <c r="G280" s="3">
        <f t="shared" si="34"/>
        <v>280</v>
      </c>
      <c r="H280" s="4"/>
      <c r="I280" s="5">
        <v>167</v>
      </c>
      <c r="J280" s="6"/>
      <c r="K280" s="7">
        <v>38613</v>
      </c>
      <c r="L280" s="6">
        <f t="shared" si="30"/>
        <v>403</v>
      </c>
      <c r="M280" s="7">
        <v>6081</v>
      </c>
      <c r="N280" s="8">
        <f t="shared" si="31"/>
        <v>71</v>
      </c>
      <c r="O280" s="7">
        <v>32532</v>
      </c>
      <c r="P280" s="6">
        <f t="shared" si="32"/>
        <v>332</v>
      </c>
      <c r="Q280" s="9"/>
      <c r="R280" s="6">
        <f t="shared" si="33"/>
        <v>0</v>
      </c>
      <c r="S280" s="10" t="s">
        <v>1</v>
      </c>
      <c r="T280" s="2" t="s">
        <v>411</v>
      </c>
    </row>
    <row r="281" spans="1:20" ht="37.5" customHeight="1" x14ac:dyDescent="0.25">
      <c r="A281" s="2" t="s">
        <v>412</v>
      </c>
      <c r="B281">
        <f t="shared" si="28"/>
        <v>25111</v>
      </c>
      <c r="C281">
        <v>3868</v>
      </c>
      <c r="D281">
        <v>21243</v>
      </c>
      <c r="F281">
        <f t="shared" si="29"/>
        <v>493</v>
      </c>
      <c r="G281" s="3">
        <f t="shared" si="34"/>
        <v>281</v>
      </c>
      <c r="H281" s="4"/>
      <c r="I281" s="5">
        <v>168</v>
      </c>
      <c r="J281" s="6"/>
      <c r="K281" s="7">
        <v>24618</v>
      </c>
      <c r="L281" s="6">
        <f t="shared" si="30"/>
        <v>493</v>
      </c>
      <c r="M281" s="7">
        <v>3799</v>
      </c>
      <c r="N281" s="8">
        <f t="shared" si="31"/>
        <v>69</v>
      </c>
      <c r="O281" s="7">
        <v>20819</v>
      </c>
      <c r="P281" s="6">
        <f t="shared" si="32"/>
        <v>424</v>
      </c>
      <c r="Q281" s="9"/>
      <c r="R281" s="6">
        <f t="shared" si="33"/>
        <v>0</v>
      </c>
      <c r="S281" s="10" t="s">
        <v>1</v>
      </c>
      <c r="T281" s="2" t="s">
        <v>412</v>
      </c>
    </row>
    <row r="282" spans="1:20" ht="37.5" customHeight="1" x14ac:dyDescent="0.25">
      <c r="A282" s="2" t="s">
        <v>413</v>
      </c>
      <c r="B282">
        <f t="shared" si="28"/>
        <v>33184</v>
      </c>
      <c r="C282">
        <v>5769</v>
      </c>
      <c r="D282">
        <v>27415</v>
      </c>
      <c r="F282">
        <f t="shared" si="29"/>
        <v>192</v>
      </c>
      <c r="G282" s="3">
        <f t="shared" si="34"/>
        <v>282</v>
      </c>
      <c r="H282" s="4"/>
      <c r="I282" s="5">
        <v>169</v>
      </c>
      <c r="J282" s="6"/>
      <c r="K282" s="7">
        <v>32992</v>
      </c>
      <c r="L282" s="6">
        <f t="shared" si="30"/>
        <v>192</v>
      </c>
      <c r="M282" s="7">
        <v>5723</v>
      </c>
      <c r="N282" s="8">
        <f t="shared" si="31"/>
        <v>46</v>
      </c>
      <c r="O282" s="7">
        <v>27269</v>
      </c>
      <c r="P282" s="6">
        <f t="shared" si="32"/>
        <v>146</v>
      </c>
      <c r="Q282" s="9"/>
      <c r="R282" s="6">
        <f t="shared" si="33"/>
        <v>0</v>
      </c>
      <c r="S282" s="10" t="s">
        <v>1</v>
      </c>
      <c r="T282" s="2" t="s">
        <v>413</v>
      </c>
    </row>
    <row r="283" spans="1:20" ht="37.5" customHeight="1" x14ac:dyDescent="0.25">
      <c r="A283" s="2" t="s">
        <v>414</v>
      </c>
      <c r="B283">
        <v>5811</v>
      </c>
      <c r="C283">
        <f>B283-D283</f>
        <v>1798</v>
      </c>
      <c r="D283">
        <v>4013</v>
      </c>
      <c r="E283">
        <v>6638</v>
      </c>
      <c r="F283">
        <f t="shared" si="29"/>
        <v>305</v>
      </c>
      <c r="G283" s="3">
        <f t="shared" si="34"/>
        <v>283</v>
      </c>
      <c r="H283" s="4"/>
      <c r="I283" s="5">
        <v>170</v>
      </c>
      <c r="J283" s="6"/>
      <c r="K283" s="7">
        <f>M283+O283</f>
        <v>5506</v>
      </c>
      <c r="L283" s="6">
        <f t="shared" si="30"/>
        <v>305</v>
      </c>
      <c r="M283" s="7">
        <v>1689</v>
      </c>
      <c r="N283" s="8">
        <f t="shared" si="31"/>
        <v>109</v>
      </c>
      <c r="O283" s="7">
        <v>3817</v>
      </c>
      <c r="P283" s="6">
        <f t="shared" si="32"/>
        <v>196</v>
      </c>
      <c r="Q283" s="9">
        <v>5550</v>
      </c>
      <c r="R283" s="6">
        <f t="shared" si="33"/>
        <v>1088</v>
      </c>
      <c r="S283" s="10" t="s">
        <v>1</v>
      </c>
      <c r="T283" s="2" t="s">
        <v>414</v>
      </c>
    </row>
    <row r="284" spans="1:20" ht="37.5" customHeight="1" x14ac:dyDescent="0.25">
      <c r="A284" s="2" t="s">
        <v>415</v>
      </c>
      <c r="B284">
        <f t="shared" si="28"/>
        <v>12617</v>
      </c>
      <c r="C284">
        <v>2007</v>
      </c>
      <c r="D284">
        <v>10610</v>
      </c>
      <c r="F284">
        <f t="shared" si="29"/>
        <v>207</v>
      </c>
      <c r="G284" s="3">
        <f t="shared" si="34"/>
        <v>284</v>
      </c>
      <c r="H284" s="4"/>
      <c r="I284" s="5">
        <v>171</v>
      </c>
      <c r="J284" s="6"/>
      <c r="K284" s="7">
        <v>12410</v>
      </c>
      <c r="L284" s="6">
        <f t="shared" si="30"/>
        <v>207</v>
      </c>
      <c r="M284" s="7">
        <v>1965</v>
      </c>
      <c r="N284" s="8">
        <f t="shared" si="31"/>
        <v>42</v>
      </c>
      <c r="O284" s="7">
        <v>10445</v>
      </c>
      <c r="P284" s="6">
        <f t="shared" si="32"/>
        <v>165</v>
      </c>
      <c r="Q284" s="9"/>
      <c r="R284" s="6">
        <f t="shared" si="33"/>
        <v>0</v>
      </c>
      <c r="S284" s="10" t="s">
        <v>1</v>
      </c>
      <c r="T284" s="2" t="s">
        <v>415</v>
      </c>
    </row>
    <row r="285" spans="1:20" ht="37.5" customHeight="1" x14ac:dyDescent="0.25">
      <c r="A285" s="2" t="s">
        <v>416</v>
      </c>
      <c r="B285">
        <f t="shared" si="28"/>
        <v>56867</v>
      </c>
      <c r="C285">
        <v>8311</v>
      </c>
      <c r="D285">
        <v>48556</v>
      </c>
      <c r="F285">
        <f t="shared" si="29"/>
        <v>228</v>
      </c>
      <c r="G285" s="3">
        <f t="shared" si="34"/>
        <v>285</v>
      </c>
      <c r="H285" s="4"/>
      <c r="I285" s="5">
        <v>172</v>
      </c>
      <c r="J285" s="6"/>
      <c r="K285" s="7">
        <v>56639</v>
      </c>
      <c r="L285" s="6">
        <f t="shared" si="30"/>
        <v>228</v>
      </c>
      <c r="M285" s="7">
        <v>8285</v>
      </c>
      <c r="N285" s="8">
        <f t="shared" si="31"/>
        <v>26</v>
      </c>
      <c r="O285" s="7">
        <v>48354</v>
      </c>
      <c r="P285" s="6">
        <f t="shared" si="32"/>
        <v>202</v>
      </c>
      <c r="Q285" s="9"/>
      <c r="R285" s="6">
        <f t="shared" si="33"/>
        <v>0</v>
      </c>
      <c r="S285" s="10" t="s">
        <v>1</v>
      </c>
      <c r="T285" s="2" t="s">
        <v>416</v>
      </c>
    </row>
    <row r="286" spans="1:20" ht="37.5" customHeight="1" x14ac:dyDescent="0.25">
      <c r="A286" s="2" t="s">
        <v>417</v>
      </c>
      <c r="B286">
        <f t="shared" si="28"/>
        <v>45520</v>
      </c>
      <c r="C286">
        <v>7203</v>
      </c>
      <c r="D286">
        <v>38317</v>
      </c>
      <c r="F286">
        <f t="shared" si="29"/>
        <v>154</v>
      </c>
      <c r="G286" s="3">
        <f t="shared" si="34"/>
        <v>286</v>
      </c>
      <c r="H286" s="4"/>
      <c r="I286" s="5">
        <v>173</v>
      </c>
      <c r="J286" s="6"/>
      <c r="K286" s="7">
        <v>45366</v>
      </c>
      <c r="L286" s="6">
        <f t="shared" si="30"/>
        <v>154</v>
      </c>
      <c r="M286" s="7">
        <v>7177</v>
      </c>
      <c r="N286" s="8">
        <f t="shared" si="31"/>
        <v>26</v>
      </c>
      <c r="O286" s="7">
        <v>38189</v>
      </c>
      <c r="P286" s="6">
        <f t="shared" si="32"/>
        <v>128</v>
      </c>
      <c r="Q286" s="9"/>
      <c r="R286" s="6">
        <f t="shared" si="33"/>
        <v>0</v>
      </c>
      <c r="S286" s="10" t="s">
        <v>1</v>
      </c>
      <c r="T286" s="2" t="s">
        <v>417</v>
      </c>
    </row>
    <row r="287" spans="1:20" ht="37.5" customHeight="1" x14ac:dyDescent="0.25">
      <c r="A287" s="2" t="s">
        <v>418</v>
      </c>
      <c r="B287">
        <f t="shared" si="28"/>
        <v>71959</v>
      </c>
      <c r="C287">
        <v>10249</v>
      </c>
      <c r="D287">
        <v>61710</v>
      </c>
      <c r="F287">
        <f t="shared" si="29"/>
        <v>282</v>
      </c>
      <c r="G287" s="3">
        <f t="shared" si="34"/>
        <v>287</v>
      </c>
      <c r="H287" s="4"/>
      <c r="I287" s="5">
        <v>174</v>
      </c>
      <c r="J287" s="6"/>
      <c r="K287" s="7">
        <v>71677</v>
      </c>
      <c r="L287" s="6">
        <f t="shared" si="30"/>
        <v>282</v>
      </c>
      <c r="M287" s="7">
        <v>10214</v>
      </c>
      <c r="N287" s="8">
        <f t="shared" si="31"/>
        <v>35</v>
      </c>
      <c r="O287" s="7">
        <v>61463</v>
      </c>
      <c r="P287" s="6">
        <f t="shared" si="32"/>
        <v>247</v>
      </c>
      <c r="Q287" s="9"/>
      <c r="R287" s="6">
        <f t="shared" si="33"/>
        <v>0</v>
      </c>
      <c r="S287" s="10" t="s">
        <v>1</v>
      </c>
      <c r="T287" s="2" t="s">
        <v>418</v>
      </c>
    </row>
    <row r="288" spans="1:20" ht="37.5" customHeight="1" x14ac:dyDescent="0.25">
      <c r="A288" s="2" t="s">
        <v>419</v>
      </c>
      <c r="B288">
        <f t="shared" si="28"/>
        <v>96279</v>
      </c>
      <c r="C288">
        <v>30999</v>
      </c>
      <c r="D288">
        <v>65280</v>
      </c>
      <c r="F288">
        <f t="shared" si="29"/>
        <v>62</v>
      </c>
      <c r="G288" s="3">
        <f t="shared" si="34"/>
        <v>288</v>
      </c>
      <c r="H288" s="4"/>
      <c r="I288" s="5">
        <v>175</v>
      </c>
      <c r="J288" s="6"/>
      <c r="K288" s="7">
        <v>96217</v>
      </c>
      <c r="L288" s="6">
        <f t="shared" si="30"/>
        <v>62</v>
      </c>
      <c r="M288" s="7">
        <v>30985</v>
      </c>
      <c r="N288" s="8">
        <f t="shared" si="31"/>
        <v>14</v>
      </c>
      <c r="O288" s="7">
        <v>65232</v>
      </c>
      <c r="P288" s="6">
        <f t="shared" si="32"/>
        <v>48</v>
      </c>
      <c r="Q288" s="9"/>
      <c r="R288" s="6">
        <f t="shared" si="33"/>
        <v>0</v>
      </c>
      <c r="S288" s="10" t="s">
        <v>1</v>
      </c>
      <c r="T288" s="2" t="s">
        <v>419</v>
      </c>
    </row>
    <row r="289" spans="1:20" ht="37.5" customHeight="1" x14ac:dyDescent="0.25">
      <c r="A289" s="2" t="s">
        <v>420</v>
      </c>
      <c r="B289">
        <f t="shared" si="28"/>
        <v>63095</v>
      </c>
      <c r="C289">
        <v>10143</v>
      </c>
      <c r="D289">
        <v>52952</v>
      </c>
      <c r="F289">
        <f t="shared" si="29"/>
        <v>5</v>
      </c>
      <c r="G289" s="3">
        <f t="shared" si="34"/>
        <v>289</v>
      </c>
      <c r="H289" s="4"/>
      <c r="I289" s="5">
        <v>176</v>
      </c>
      <c r="J289" s="6"/>
      <c r="K289" s="7">
        <v>63090</v>
      </c>
      <c r="L289" s="6">
        <f t="shared" si="30"/>
        <v>5</v>
      </c>
      <c r="M289" s="7">
        <v>10142</v>
      </c>
      <c r="N289" s="8">
        <f t="shared" si="31"/>
        <v>1</v>
      </c>
      <c r="O289" s="7">
        <v>52948</v>
      </c>
      <c r="P289" s="6">
        <f t="shared" si="32"/>
        <v>4</v>
      </c>
      <c r="Q289" s="9"/>
      <c r="R289" s="6">
        <f t="shared" si="33"/>
        <v>0</v>
      </c>
      <c r="S289" s="10" t="s">
        <v>1</v>
      </c>
      <c r="T289" s="2" t="s">
        <v>420</v>
      </c>
    </row>
    <row r="290" spans="1:20" ht="37.5" customHeight="1" x14ac:dyDescent="0.25">
      <c r="A290" s="2" t="s">
        <v>421</v>
      </c>
      <c r="B290">
        <f t="shared" si="28"/>
        <v>60729</v>
      </c>
      <c r="C290">
        <v>10484</v>
      </c>
      <c r="D290">
        <v>50245</v>
      </c>
      <c r="F290">
        <f t="shared" si="29"/>
        <v>337</v>
      </c>
      <c r="G290" s="3">
        <f t="shared" si="34"/>
        <v>290</v>
      </c>
      <c r="H290" s="4"/>
      <c r="I290" s="5">
        <v>177</v>
      </c>
      <c r="J290" s="6"/>
      <c r="K290" s="7">
        <v>60392</v>
      </c>
      <c r="L290" s="6">
        <f t="shared" si="30"/>
        <v>337</v>
      </c>
      <c r="M290" s="7">
        <v>10403</v>
      </c>
      <c r="N290" s="8">
        <f t="shared" si="31"/>
        <v>81</v>
      </c>
      <c r="O290" s="7">
        <v>49989</v>
      </c>
      <c r="P290" s="6">
        <f t="shared" si="32"/>
        <v>256</v>
      </c>
      <c r="Q290" s="9"/>
      <c r="R290" s="6">
        <f t="shared" si="33"/>
        <v>0</v>
      </c>
      <c r="S290" s="10" t="s">
        <v>1</v>
      </c>
      <c r="T290" s="2" t="s">
        <v>421</v>
      </c>
    </row>
    <row r="291" spans="1:20" ht="37.5" customHeight="1" x14ac:dyDescent="0.25">
      <c r="A291" s="2" t="s">
        <v>422</v>
      </c>
      <c r="B291">
        <f t="shared" si="28"/>
        <v>2602</v>
      </c>
      <c r="C291">
        <v>338</v>
      </c>
      <c r="D291">
        <v>2264</v>
      </c>
      <c r="F291">
        <f t="shared" si="29"/>
        <v>19</v>
      </c>
      <c r="G291" s="3">
        <f t="shared" si="34"/>
        <v>291</v>
      </c>
      <c r="H291" s="4"/>
      <c r="I291" s="5">
        <v>178</v>
      </c>
      <c r="J291" s="6"/>
      <c r="K291" s="7">
        <v>2583</v>
      </c>
      <c r="L291" s="6">
        <f t="shared" si="30"/>
        <v>19</v>
      </c>
      <c r="M291" s="7">
        <v>317</v>
      </c>
      <c r="N291" s="8">
        <f t="shared" si="31"/>
        <v>21</v>
      </c>
      <c r="O291" s="7">
        <v>2226</v>
      </c>
      <c r="P291" s="6">
        <f t="shared" si="32"/>
        <v>38</v>
      </c>
      <c r="Q291" s="9"/>
      <c r="R291" s="6">
        <f t="shared" si="33"/>
        <v>0</v>
      </c>
      <c r="S291" s="10" t="s">
        <v>1</v>
      </c>
      <c r="T291" s="2" t="s">
        <v>422</v>
      </c>
    </row>
    <row r="292" spans="1:20" ht="37.5" customHeight="1" x14ac:dyDescent="0.25">
      <c r="A292" s="2" t="s">
        <v>423</v>
      </c>
      <c r="B292">
        <f t="shared" si="28"/>
        <v>38407</v>
      </c>
      <c r="C292">
        <v>6262</v>
      </c>
      <c r="D292">
        <v>32145</v>
      </c>
      <c r="F292">
        <f t="shared" si="29"/>
        <v>179</v>
      </c>
      <c r="G292" s="3">
        <f t="shared" si="34"/>
        <v>292</v>
      </c>
      <c r="H292" s="4"/>
      <c r="I292" s="5">
        <v>179</v>
      </c>
      <c r="J292" s="6"/>
      <c r="K292" s="7">
        <v>38228</v>
      </c>
      <c r="L292" s="6">
        <f t="shared" si="30"/>
        <v>179</v>
      </c>
      <c r="M292" s="7">
        <v>6232</v>
      </c>
      <c r="N292" s="8">
        <f t="shared" si="31"/>
        <v>30</v>
      </c>
      <c r="O292" s="7">
        <v>31996</v>
      </c>
      <c r="P292" s="6">
        <f t="shared" si="32"/>
        <v>149</v>
      </c>
      <c r="Q292" s="9"/>
      <c r="R292" s="6">
        <f t="shared" si="33"/>
        <v>0</v>
      </c>
      <c r="S292" s="10" t="s">
        <v>1</v>
      </c>
      <c r="T292" s="2" t="s">
        <v>423</v>
      </c>
    </row>
    <row r="293" spans="1:20" ht="37.5" customHeight="1" x14ac:dyDescent="0.25">
      <c r="A293" s="2" t="s">
        <v>424</v>
      </c>
      <c r="B293">
        <f t="shared" si="28"/>
        <v>7032</v>
      </c>
      <c r="C293">
        <v>1129</v>
      </c>
      <c r="D293">
        <v>5903</v>
      </c>
      <c r="F293">
        <f t="shared" si="29"/>
        <v>303</v>
      </c>
      <c r="G293" s="3">
        <f t="shared" si="34"/>
        <v>293</v>
      </c>
      <c r="H293" s="4"/>
      <c r="I293" s="5">
        <v>180</v>
      </c>
      <c r="J293" s="6"/>
      <c r="K293" s="7">
        <v>6729</v>
      </c>
      <c r="L293" s="6">
        <f t="shared" si="30"/>
        <v>303</v>
      </c>
      <c r="M293" s="7">
        <v>1083</v>
      </c>
      <c r="N293" s="8">
        <f t="shared" si="31"/>
        <v>46</v>
      </c>
      <c r="O293" s="7">
        <v>5646</v>
      </c>
      <c r="P293" s="6">
        <f t="shared" si="32"/>
        <v>257</v>
      </c>
      <c r="Q293" s="9"/>
      <c r="R293" s="6">
        <f t="shared" si="33"/>
        <v>0</v>
      </c>
      <c r="S293" s="10" t="s">
        <v>1</v>
      </c>
      <c r="T293" s="2" t="s">
        <v>424</v>
      </c>
    </row>
    <row r="294" spans="1:20" ht="37.5" customHeight="1" x14ac:dyDescent="0.25">
      <c r="A294" s="2" t="s">
        <v>425</v>
      </c>
      <c r="B294">
        <f t="shared" si="28"/>
        <v>41701</v>
      </c>
      <c r="C294">
        <v>7658</v>
      </c>
      <c r="D294">
        <v>34043</v>
      </c>
      <c r="F294">
        <f t="shared" si="29"/>
        <v>222</v>
      </c>
      <c r="G294" s="3">
        <f t="shared" si="34"/>
        <v>294</v>
      </c>
      <c r="H294" s="4"/>
      <c r="I294" s="5">
        <v>181</v>
      </c>
      <c r="J294" s="6"/>
      <c r="K294" s="7">
        <v>41479</v>
      </c>
      <c r="L294" s="6">
        <f t="shared" si="30"/>
        <v>222</v>
      </c>
      <c r="M294" s="7">
        <v>7623</v>
      </c>
      <c r="N294" s="8">
        <f t="shared" si="31"/>
        <v>35</v>
      </c>
      <c r="O294" s="7">
        <v>33856</v>
      </c>
      <c r="P294" s="6">
        <f t="shared" si="32"/>
        <v>187</v>
      </c>
      <c r="Q294" s="9"/>
      <c r="R294" s="6">
        <f t="shared" si="33"/>
        <v>0</v>
      </c>
      <c r="S294" s="10" t="s">
        <v>1</v>
      </c>
      <c r="T294" s="2" t="s">
        <v>425</v>
      </c>
    </row>
    <row r="295" spans="1:20" ht="37.5" customHeight="1" x14ac:dyDescent="0.25">
      <c r="A295" s="2" t="s">
        <v>426</v>
      </c>
      <c r="B295">
        <f t="shared" si="28"/>
        <v>17720</v>
      </c>
      <c r="C295">
        <v>3289</v>
      </c>
      <c r="D295">
        <v>14431</v>
      </c>
      <c r="F295">
        <f t="shared" si="29"/>
        <v>7</v>
      </c>
      <c r="G295" s="3">
        <f t="shared" si="34"/>
        <v>295</v>
      </c>
      <c r="H295" s="4"/>
      <c r="I295" s="5">
        <v>182</v>
      </c>
      <c r="J295" s="6"/>
      <c r="K295" s="7">
        <v>17713</v>
      </c>
      <c r="L295" s="6">
        <f t="shared" si="30"/>
        <v>7</v>
      </c>
      <c r="M295" s="7">
        <v>3288</v>
      </c>
      <c r="N295" s="8">
        <f t="shared" si="31"/>
        <v>1</v>
      </c>
      <c r="O295" s="7">
        <v>14425</v>
      </c>
      <c r="P295" s="6">
        <f t="shared" si="32"/>
        <v>6</v>
      </c>
      <c r="Q295" s="9"/>
      <c r="R295" s="6">
        <f t="shared" si="33"/>
        <v>0</v>
      </c>
      <c r="S295" s="10" t="s">
        <v>1</v>
      </c>
      <c r="T295" s="2" t="s">
        <v>426</v>
      </c>
    </row>
    <row r="296" spans="1:20" ht="37.5" customHeight="1" x14ac:dyDescent="0.25">
      <c r="A296" s="2" t="s">
        <v>427</v>
      </c>
      <c r="B296">
        <f t="shared" si="28"/>
        <v>4872</v>
      </c>
      <c r="C296">
        <v>1285</v>
      </c>
      <c r="D296">
        <v>3587</v>
      </c>
      <c r="E296">
        <v>6814</v>
      </c>
      <c r="F296">
        <f t="shared" si="29"/>
        <v>338</v>
      </c>
      <c r="G296" s="3">
        <f t="shared" si="34"/>
        <v>296</v>
      </c>
      <c r="H296" s="4"/>
      <c r="I296" s="5">
        <v>183</v>
      </c>
      <c r="J296" s="6"/>
      <c r="K296" s="7">
        <f>M296+O296</f>
        <v>4534</v>
      </c>
      <c r="L296" s="6">
        <f t="shared" si="30"/>
        <v>338</v>
      </c>
      <c r="M296" s="7">
        <v>1206</v>
      </c>
      <c r="N296" s="8">
        <f t="shared" si="31"/>
        <v>79</v>
      </c>
      <c r="O296" s="7">
        <v>3328</v>
      </c>
      <c r="P296" s="6">
        <f t="shared" si="32"/>
        <v>259</v>
      </c>
      <c r="Q296" s="9">
        <v>5787</v>
      </c>
      <c r="R296" s="6">
        <f t="shared" si="33"/>
        <v>1027</v>
      </c>
      <c r="S296" s="10" t="s">
        <v>1</v>
      </c>
      <c r="T296" s="2" t="s">
        <v>427</v>
      </c>
    </row>
    <row r="297" spans="1:20" ht="37.5" customHeight="1" x14ac:dyDescent="0.25">
      <c r="A297" s="2" t="s">
        <v>428</v>
      </c>
      <c r="B297">
        <f t="shared" si="28"/>
        <v>95810</v>
      </c>
      <c r="C297">
        <v>17001</v>
      </c>
      <c r="D297">
        <v>78809</v>
      </c>
      <c r="F297">
        <f t="shared" si="29"/>
        <v>349</v>
      </c>
      <c r="G297" s="3">
        <f t="shared" si="34"/>
        <v>297</v>
      </c>
      <c r="H297" s="4"/>
      <c r="I297" s="5">
        <v>184</v>
      </c>
      <c r="J297" s="6"/>
      <c r="K297" s="7">
        <v>95461</v>
      </c>
      <c r="L297" s="6">
        <f t="shared" si="30"/>
        <v>349</v>
      </c>
      <c r="M297" s="7">
        <v>16952</v>
      </c>
      <c r="N297" s="8">
        <f t="shared" si="31"/>
        <v>49</v>
      </c>
      <c r="O297" s="7">
        <v>78509</v>
      </c>
      <c r="P297" s="6">
        <f t="shared" si="32"/>
        <v>300</v>
      </c>
      <c r="Q297" s="9"/>
      <c r="R297" s="6">
        <f t="shared" si="33"/>
        <v>0</v>
      </c>
      <c r="S297" s="10" t="s">
        <v>1</v>
      </c>
      <c r="T297" s="2" t="s">
        <v>428</v>
      </c>
    </row>
    <row r="298" spans="1:20" ht="37.5" customHeight="1" x14ac:dyDescent="0.25">
      <c r="A298" s="2" t="s">
        <v>429</v>
      </c>
      <c r="B298">
        <f t="shared" si="28"/>
        <v>20160</v>
      </c>
      <c r="C298">
        <v>3447</v>
      </c>
      <c r="D298">
        <v>16713</v>
      </c>
      <c r="F298">
        <f t="shared" si="29"/>
        <v>200</v>
      </c>
      <c r="G298" s="3">
        <f t="shared" si="34"/>
        <v>298</v>
      </c>
      <c r="H298" s="4"/>
      <c r="I298" s="5">
        <v>185</v>
      </c>
      <c r="J298" s="6"/>
      <c r="K298" s="7">
        <v>19960</v>
      </c>
      <c r="L298" s="6">
        <f t="shared" si="30"/>
        <v>200</v>
      </c>
      <c r="M298" s="7">
        <v>3419</v>
      </c>
      <c r="N298" s="8">
        <f t="shared" si="31"/>
        <v>28</v>
      </c>
      <c r="O298" s="7">
        <v>16541</v>
      </c>
      <c r="P298" s="6">
        <f t="shared" si="32"/>
        <v>172</v>
      </c>
      <c r="Q298" s="9"/>
      <c r="R298" s="6">
        <f t="shared" si="33"/>
        <v>0</v>
      </c>
      <c r="S298" s="10" t="s">
        <v>1</v>
      </c>
      <c r="T298" s="2" t="s">
        <v>429</v>
      </c>
    </row>
    <row r="299" spans="1:20" ht="37.5" customHeight="1" x14ac:dyDescent="0.25">
      <c r="A299" s="2" t="s">
        <v>430</v>
      </c>
      <c r="B299">
        <f t="shared" si="28"/>
        <v>7899</v>
      </c>
      <c r="C299">
        <v>1554</v>
      </c>
      <c r="D299">
        <v>6345</v>
      </c>
      <c r="F299">
        <f t="shared" si="29"/>
        <v>0</v>
      </c>
      <c r="G299" s="3">
        <f t="shared" si="34"/>
        <v>299</v>
      </c>
      <c r="H299" s="4"/>
      <c r="I299" s="5">
        <v>186</v>
      </c>
      <c r="J299" s="6"/>
      <c r="K299" s="7">
        <v>7899</v>
      </c>
      <c r="L299" s="6">
        <f t="shared" si="30"/>
        <v>0</v>
      </c>
      <c r="M299" s="7">
        <v>1554</v>
      </c>
      <c r="N299" s="8">
        <f t="shared" si="31"/>
        <v>0</v>
      </c>
      <c r="O299" s="7">
        <v>6345</v>
      </c>
      <c r="P299" s="6">
        <f t="shared" si="32"/>
        <v>0</v>
      </c>
      <c r="Q299" s="9"/>
      <c r="R299" s="6">
        <f t="shared" si="33"/>
        <v>0</v>
      </c>
      <c r="S299" s="10" t="s">
        <v>1</v>
      </c>
      <c r="T299" s="2" t="s">
        <v>430</v>
      </c>
    </row>
    <row r="300" spans="1:20" ht="37.5" customHeight="1" x14ac:dyDescent="0.25">
      <c r="A300" s="2" t="s">
        <v>431</v>
      </c>
      <c r="B300">
        <f t="shared" si="28"/>
        <v>11699</v>
      </c>
      <c r="C300">
        <v>2319</v>
      </c>
      <c r="D300">
        <v>9380</v>
      </c>
      <c r="F300">
        <f t="shared" si="29"/>
        <v>425</v>
      </c>
      <c r="G300" s="3">
        <f t="shared" si="34"/>
        <v>300</v>
      </c>
      <c r="H300" s="4"/>
      <c r="I300" s="5">
        <v>187</v>
      </c>
      <c r="J300" s="6"/>
      <c r="K300" s="7">
        <v>11274</v>
      </c>
      <c r="L300" s="6">
        <f t="shared" si="30"/>
        <v>425</v>
      </c>
      <c r="M300" s="7">
        <v>2227</v>
      </c>
      <c r="N300" s="8">
        <f t="shared" si="31"/>
        <v>92</v>
      </c>
      <c r="O300" s="7">
        <v>9047</v>
      </c>
      <c r="P300" s="6">
        <f t="shared" si="32"/>
        <v>333</v>
      </c>
      <c r="Q300" s="9"/>
      <c r="R300" s="6">
        <f t="shared" si="33"/>
        <v>0</v>
      </c>
      <c r="S300" s="10" t="s">
        <v>1</v>
      </c>
      <c r="T300" s="2" t="s">
        <v>431</v>
      </c>
    </row>
    <row r="301" spans="1:20" ht="37.5" customHeight="1" x14ac:dyDescent="0.25">
      <c r="A301" s="2" t="s">
        <v>432</v>
      </c>
      <c r="B301">
        <f t="shared" si="28"/>
        <v>80289</v>
      </c>
      <c r="C301">
        <v>12649</v>
      </c>
      <c r="D301">
        <v>67640</v>
      </c>
      <c r="F301">
        <f t="shared" si="29"/>
        <v>222</v>
      </c>
      <c r="G301" s="3">
        <f t="shared" si="34"/>
        <v>301</v>
      </c>
      <c r="H301" s="4"/>
      <c r="I301" s="5">
        <v>188</v>
      </c>
      <c r="J301" s="6"/>
      <c r="K301" s="7">
        <v>80067</v>
      </c>
      <c r="L301" s="6">
        <f t="shared" si="30"/>
        <v>222</v>
      </c>
      <c r="M301" s="7">
        <v>12616</v>
      </c>
      <c r="N301" s="8">
        <f t="shared" si="31"/>
        <v>33</v>
      </c>
      <c r="O301" s="7">
        <v>67451</v>
      </c>
      <c r="P301" s="6">
        <f t="shared" si="32"/>
        <v>189</v>
      </c>
      <c r="Q301" s="9"/>
      <c r="R301" s="6">
        <f t="shared" si="33"/>
        <v>0</v>
      </c>
      <c r="S301" s="10" t="s">
        <v>1</v>
      </c>
      <c r="T301" s="2" t="s">
        <v>432</v>
      </c>
    </row>
    <row r="302" spans="1:20" ht="37.5" customHeight="1" x14ac:dyDescent="0.25">
      <c r="A302" s="2" t="s">
        <v>433</v>
      </c>
      <c r="B302">
        <f t="shared" si="28"/>
        <v>36549</v>
      </c>
      <c r="C302">
        <v>5565</v>
      </c>
      <c r="D302">
        <v>30984</v>
      </c>
      <c r="F302">
        <f t="shared" si="29"/>
        <v>118</v>
      </c>
      <c r="G302" s="3">
        <f t="shared" si="34"/>
        <v>302</v>
      </c>
      <c r="H302" s="4"/>
      <c r="I302" s="5">
        <v>189</v>
      </c>
      <c r="J302" s="6"/>
      <c r="K302" s="7">
        <v>36431</v>
      </c>
      <c r="L302" s="6">
        <f t="shared" si="30"/>
        <v>118</v>
      </c>
      <c r="M302" s="7">
        <v>5550</v>
      </c>
      <c r="N302" s="8">
        <f t="shared" si="31"/>
        <v>15</v>
      </c>
      <c r="O302" s="7">
        <v>30881</v>
      </c>
      <c r="P302" s="6">
        <f t="shared" si="32"/>
        <v>103</v>
      </c>
      <c r="Q302" s="9"/>
      <c r="R302" s="6">
        <f t="shared" si="33"/>
        <v>0</v>
      </c>
      <c r="S302" s="10" t="s">
        <v>1</v>
      </c>
      <c r="T302" s="2" t="s">
        <v>433</v>
      </c>
    </row>
    <row r="303" spans="1:20" ht="37.5" customHeight="1" x14ac:dyDescent="0.25">
      <c r="A303" s="2" t="s">
        <v>434</v>
      </c>
      <c r="B303">
        <f t="shared" si="28"/>
        <v>11637</v>
      </c>
      <c r="C303">
        <v>1547</v>
      </c>
      <c r="D303">
        <v>10090</v>
      </c>
      <c r="F303">
        <f t="shared" si="29"/>
        <v>271</v>
      </c>
      <c r="G303" s="3">
        <f t="shared" si="34"/>
        <v>303</v>
      </c>
      <c r="H303" s="4"/>
      <c r="I303" s="5">
        <v>190</v>
      </c>
      <c r="J303" s="6"/>
      <c r="K303" s="7">
        <v>11366</v>
      </c>
      <c r="L303" s="6">
        <f t="shared" si="30"/>
        <v>271</v>
      </c>
      <c r="M303" s="7">
        <v>1517</v>
      </c>
      <c r="N303" s="8">
        <f t="shared" si="31"/>
        <v>30</v>
      </c>
      <c r="O303" s="7">
        <v>9849</v>
      </c>
      <c r="P303" s="6">
        <f t="shared" si="32"/>
        <v>241</v>
      </c>
      <c r="Q303" s="9"/>
      <c r="R303" s="6">
        <f t="shared" si="33"/>
        <v>0</v>
      </c>
      <c r="S303" s="10" t="s">
        <v>1</v>
      </c>
      <c r="T303" s="2" t="s">
        <v>434</v>
      </c>
    </row>
    <row r="304" spans="1:20" ht="37.5" customHeight="1" x14ac:dyDescent="0.25">
      <c r="A304" s="2" t="s">
        <v>435</v>
      </c>
      <c r="B304">
        <f t="shared" si="28"/>
        <v>10824</v>
      </c>
      <c r="C304">
        <v>2558</v>
      </c>
      <c r="D304">
        <v>8266</v>
      </c>
      <c r="F304">
        <f t="shared" si="29"/>
        <v>61</v>
      </c>
      <c r="G304" s="3">
        <f t="shared" si="34"/>
        <v>304</v>
      </c>
      <c r="H304" s="4"/>
      <c r="I304" s="5">
        <v>191</v>
      </c>
      <c r="J304" s="6"/>
      <c r="K304" s="7">
        <v>10763</v>
      </c>
      <c r="L304" s="6">
        <f t="shared" si="30"/>
        <v>61</v>
      </c>
      <c r="M304" s="7"/>
      <c r="N304" s="8">
        <f t="shared" si="31"/>
        <v>2558</v>
      </c>
      <c r="O304" s="7"/>
      <c r="P304" s="6">
        <f t="shared" si="32"/>
        <v>8266</v>
      </c>
      <c r="Q304" s="9"/>
      <c r="R304" s="6">
        <f t="shared" si="33"/>
        <v>0</v>
      </c>
      <c r="S304" s="10" t="s">
        <v>1</v>
      </c>
      <c r="T304" s="2" t="s">
        <v>435</v>
      </c>
    </row>
    <row r="305" spans="1:20" ht="37.5" customHeight="1" x14ac:dyDescent="0.25">
      <c r="A305" s="2" t="s">
        <v>436</v>
      </c>
      <c r="B305">
        <f t="shared" si="28"/>
        <v>34789</v>
      </c>
      <c r="C305">
        <v>6682</v>
      </c>
      <c r="D305">
        <v>28107</v>
      </c>
      <c r="F305">
        <f t="shared" si="29"/>
        <v>434</v>
      </c>
      <c r="G305" s="3">
        <f t="shared" si="34"/>
        <v>305</v>
      </c>
      <c r="H305" s="4"/>
      <c r="I305" s="5">
        <v>192</v>
      </c>
      <c r="J305" s="6"/>
      <c r="K305" s="7">
        <v>34355</v>
      </c>
      <c r="L305" s="6">
        <f t="shared" si="30"/>
        <v>434</v>
      </c>
      <c r="M305" s="7">
        <v>6587</v>
      </c>
      <c r="N305" s="8">
        <f t="shared" si="31"/>
        <v>95</v>
      </c>
      <c r="O305" s="7">
        <v>27768</v>
      </c>
      <c r="P305" s="6">
        <f t="shared" si="32"/>
        <v>339</v>
      </c>
      <c r="Q305" s="9"/>
      <c r="R305" s="6">
        <f t="shared" si="33"/>
        <v>0</v>
      </c>
      <c r="S305" s="10" t="s">
        <v>1</v>
      </c>
      <c r="T305" s="2" t="s">
        <v>436</v>
      </c>
    </row>
    <row r="306" spans="1:20" ht="37.5" customHeight="1" x14ac:dyDescent="0.25">
      <c r="A306" s="2" t="s">
        <v>437</v>
      </c>
      <c r="B306">
        <f t="shared" si="28"/>
        <v>57727</v>
      </c>
      <c r="C306">
        <v>9063</v>
      </c>
      <c r="D306">
        <v>48664</v>
      </c>
      <c r="F306">
        <f t="shared" si="29"/>
        <v>268</v>
      </c>
      <c r="G306" s="3">
        <f t="shared" si="34"/>
        <v>306</v>
      </c>
      <c r="H306" s="4"/>
      <c r="I306" s="5">
        <v>193</v>
      </c>
      <c r="J306" s="6"/>
      <c r="K306" s="7">
        <v>57459</v>
      </c>
      <c r="L306" s="6">
        <f t="shared" si="30"/>
        <v>268</v>
      </c>
      <c r="M306" s="7">
        <v>9000</v>
      </c>
      <c r="N306" s="8">
        <f t="shared" si="31"/>
        <v>63</v>
      </c>
      <c r="O306" s="7">
        <v>48459</v>
      </c>
      <c r="P306" s="6">
        <f t="shared" si="32"/>
        <v>205</v>
      </c>
      <c r="Q306" s="9"/>
      <c r="R306" s="6">
        <f t="shared" si="33"/>
        <v>0</v>
      </c>
      <c r="S306" s="10" t="s">
        <v>1</v>
      </c>
      <c r="T306" s="2" t="s">
        <v>437</v>
      </c>
    </row>
    <row r="307" spans="1:20" ht="37.5" customHeight="1" x14ac:dyDescent="0.25">
      <c r="A307" s="2" t="s">
        <v>438</v>
      </c>
      <c r="B307">
        <f t="shared" si="28"/>
        <v>23538</v>
      </c>
      <c r="C307">
        <v>4488</v>
      </c>
      <c r="D307">
        <v>19050</v>
      </c>
      <c r="F307">
        <f t="shared" si="29"/>
        <v>324</v>
      </c>
      <c r="G307" s="3">
        <f t="shared" si="34"/>
        <v>307</v>
      </c>
      <c r="H307" s="4"/>
      <c r="I307" s="5">
        <v>194</v>
      </c>
      <c r="J307" s="6"/>
      <c r="K307" s="7">
        <v>23214</v>
      </c>
      <c r="L307" s="6">
        <f t="shared" si="30"/>
        <v>324</v>
      </c>
      <c r="M307" s="7">
        <v>4428</v>
      </c>
      <c r="N307" s="8">
        <f t="shared" si="31"/>
        <v>60</v>
      </c>
      <c r="O307" s="7">
        <v>18786</v>
      </c>
      <c r="P307" s="6">
        <f t="shared" si="32"/>
        <v>264</v>
      </c>
      <c r="Q307" s="9"/>
      <c r="R307" s="6">
        <f t="shared" si="33"/>
        <v>0</v>
      </c>
      <c r="S307" s="10" t="s">
        <v>1</v>
      </c>
      <c r="T307" s="2" t="s">
        <v>438</v>
      </c>
    </row>
    <row r="308" spans="1:20" ht="37.5" customHeight="1" x14ac:dyDescent="0.25">
      <c r="A308" s="2" t="s">
        <v>439</v>
      </c>
      <c r="B308">
        <f t="shared" si="28"/>
        <v>108167</v>
      </c>
      <c r="C308">
        <v>20045</v>
      </c>
      <c r="D308">
        <v>88122</v>
      </c>
      <c r="F308">
        <f t="shared" si="29"/>
        <v>179</v>
      </c>
      <c r="G308" s="3">
        <f t="shared" si="34"/>
        <v>308</v>
      </c>
      <c r="H308" s="4"/>
      <c r="I308" s="5">
        <v>195</v>
      </c>
      <c r="J308" s="6"/>
      <c r="K308" s="7">
        <v>107988</v>
      </c>
      <c r="L308" s="6">
        <f t="shared" si="30"/>
        <v>179</v>
      </c>
      <c r="M308" s="7">
        <v>20019</v>
      </c>
      <c r="N308" s="8">
        <f t="shared" si="31"/>
        <v>26</v>
      </c>
      <c r="O308" s="7">
        <v>87969</v>
      </c>
      <c r="P308" s="6">
        <f t="shared" si="32"/>
        <v>153</v>
      </c>
      <c r="Q308" s="9"/>
      <c r="R308" s="6">
        <f t="shared" si="33"/>
        <v>0</v>
      </c>
      <c r="S308" s="10" t="s">
        <v>1</v>
      </c>
      <c r="T308" s="2" t="s">
        <v>439</v>
      </c>
    </row>
    <row r="309" spans="1:20" ht="37.5" customHeight="1" x14ac:dyDescent="0.25">
      <c r="A309" s="2" t="s">
        <v>440</v>
      </c>
      <c r="B309">
        <f t="shared" si="28"/>
        <v>54285</v>
      </c>
      <c r="C309">
        <v>8862</v>
      </c>
      <c r="D309">
        <v>45423</v>
      </c>
      <c r="F309">
        <f t="shared" si="29"/>
        <v>210</v>
      </c>
      <c r="G309" s="3">
        <f t="shared" si="34"/>
        <v>309</v>
      </c>
      <c r="H309" s="4"/>
      <c r="I309" s="5">
        <v>196</v>
      </c>
      <c r="J309" s="6"/>
      <c r="K309" s="7">
        <v>54075</v>
      </c>
      <c r="L309" s="6">
        <f t="shared" si="30"/>
        <v>210</v>
      </c>
      <c r="M309" s="7">
        <v>8838</v>
      </c>
      <c r="N309" s="8">
        <f t="shared" si="31"/>
        <v>24</v>
      </c>
      <c r="O309" s="7">
        <v>45237</v>
      </c>
      <c r="P309" s="6">
        <f t="shared" si="32"/>
        <v>186</v>
      </c>
      <c r="Q309" s="9"/>
      <c r="R309" s="6">
        <f t="shared" si="33"/>
        <v>0</v>
      </c>
      <c r="S309" s="10" t="s">
        <v>1</v>
      </c>
      <c r="T309" s="2" t="s">
        <v>440</v>
      </c>
    </row>
    <row r="310" spans="1:20" ht="37.5" customHeight="1" x14ac:dyDescent="0.25">
      <c r="A310" s="2" t="s">
        <v>441</v>
      </c>
      <c r="B310">
        <f t="shared" si="28"/>
        <v>26247</v>
      </c>
      <c r="C310">
        <v>4256</v>
      </c>
      <c r="D310">
        <v>21991</v>
      </c>
      <c r="F310">
        <f t="shared" si="29"/>
        <v>215</v>
      </c>
      <c r="G310" s="3">
        <f t="shared" si="34"/>
        <v>310</v>
      </c>
      <c r="H310" s="4"/>
      <c r="I310" s="5">
        <v>197</v>
      </c>
      <c r="J310" s="6"/>
      <c r="K310" s="7">
        <v>26032</v>
      </c>
      <c r="L310" s="6">
        <f t="shared" si="30"/>
        <v>215</v>
      </c>
      <c r="M310" s="7">
        <v>4213</v>
      </c>
      <c r="N310" s="8">
        <f t="shared" si="31"/>
        <v>43</v>
      </c>
      <c r="O310" s="7">
        <v>21819</v>
      </c>
      <c r="P310" s="6">
        <f t="shared" si="32"/>
        <v>172</v>
      </c>
      <c r="Q310" s="9"/>
      <c r="R310" s="6">
        <f t="shared" si="33"/>
        <v>0</v>
      </c>
      <c r="S310" s="10" t="s">
        <v>1</v>
      </c>
      <c r="T310" s="2" t="s">
        <v>441</v>
      </c>
    </row>
    <row r="311" spans="1:20" ht="37.5" customHeight="1" x14ac:dyDescent="0.25">
      <c r="A311" s="2" t="s">
        <v>442</v>
      </c>
      <c r="B311">
        <f t="shared" si="28"/>
        <v>32714</v>
      </c>
      <c r="C311">
        <v>5612</v>
      </c>
      <c r="D311">
        <v>27102</v>
      </c>
      <c r="F311">
        <f t="shared" si="29"/>
        <v>399</v>
      </c>
      <c r="G311" s="3">
        <f t="shared" si="34"/>
        <v>311</v>
      </c>
      <c r="H311" s="4"/>
      <c r="I311" s="5">
        <v>198</v>
      </c>
      <c r="J311" s="6"/>
      <c r="K311" s="7">
        <v>32315</v>
      </c>
      <c r="L311" s="6">
        <f t="shared" si="30"/>
        <v>399</v>
      </c>
      <c r="M311" s="7">
        <v>5555</v>
      </c>
      <c r="N311" s="8">
        <f t="shared" si="31"/>
        <v>57</v>
      </c>
      <c r="O311" s="7">
        <v>26760</v>
      </c>
      <c r="P311" s="6">
        <f t="shared" si="32"/>
        <v>342</v>
      </c>
      <c r="Q311" s="9"/>
      <c r="R311" s="6">
        <f t="shared" si="33"/>
        <v>0</v>
      </c>
      <c r="S311" s="10" t="s">
        <v>1</v>
      </c>
      <c r="T311" s="2" t="s">
        <v>442</v>
      </c>
    </row>
    <row r="312" spans="1:20" ht="37.5" customHeight="1" x14ac:dyDescent="0.25">
      <c r="A312" s="2" t="s">
        <v>443</v>
      </c>
      <c r="B312">
        <f t="shared" si="28"/>
        <v>56809</v>
      </c>
      <c r="C312">
        <v>10104</v>
      </c>
      <c r="D312">
        <v>46705</v>
      </c>
      <c r="F312">
        <f t="shared" si="29"/>
        <v>152</v>
      </c>
      <c r="G312" s="3">
        <f t="shared" si="34"/>
        <v>312</v>
      </c>
      <c r="H312" s="4"/>
      <c r="I312" s="5">
        <v>199</v>
      </c>
      <c r="J312" s="6"/>
      <c r="K312" s="7">
        <v>56657</v>
      </c>
      <c r="L312" s="6">
        <f t="shared" si="30"/>
        <v>152</v>
      </c>
      <c r="M312" s="7">
        <v>10073</v>
      </c>
      <c r="N312" s="8">
        <f t="shared" si="31"/>
        <v>31</v>
      </c>
      <c r="O312" s="7">
        <v>46584</v>
      </c>
      <c r="P312" s="6">
        <f t="shared" si="32"/>
        <v>121</v>
      </c>
      <c r="Q312" s="9"/>
      <c r="R312" s="6">
        <f t="shared" si="33"/>
        <v>0</v>
      </c>
      <c r="S312" s="10" t="s">
        <v>1</v>
      </c>
      <c r="T312" s="2" t="s">
        <v>443</v>
      </c>
    </row>
    <row r="313" spans="1:20" ht="37.5" customHeight="1" x14ac:dyDescent="0.25">
      <c r="A313" s="2" t="s">
        <v>444</v>
      </c>
      <c r="B313">
        <f t="shared" si="28"/>
        <v>26470</v>
      </c>
      <c r="C313">
        <v>4593</v>
      </c>
      <c r="D313">
        <v>21877</v>
      </c>
      <c r="F313">
        <f t="shared" si="29"/>
        <v>441</v>
      </c>
      <c r="G313" s="3">
        <f t="shared" si="34"/>
        <v>313</v>
      </c>
      <c r="H313" s="4"/>
      <c r="I313" s="5">
        <v>200</v>
      </c>
      <c r="J313" s="6"/>
      <c r="K313" s="7">
        <v>26029</v>
      </c>
      <c r="L313" s="6">
        <f t="shared" si="30"/>
        <v>441</v>
      </c>
      <c r="M313" s="7">
        <v>4518</v>
      </c>
      <c r="N313" s="8">
        <f t="shared" si="31"/>
        <v>75</v>
      </c>
      <c r="O313" s="7">
        <v>21511</v>
      </c>
      <c r="P313" s="6">
        <f t="shared" si="32"/>
        <v>366</v>
      </c>
      <c r="Q313" s="9"/>
      <c r="R313" s="6">
        <f t="shared" si="33"/>
        <v>0</v>
      </c>
      <c r="S313" s="10" t="s">
        <v>1</v>
      </c>
      <c r="T313" s="2" t="s">
        <v>444</v>
      </c>
    </row>
    <row r="314" spans="1:20" ht="37.5" customHeight="1" x14ac:dyDescent="0.25">
      <c r="A314" s="2" t="s">
        <v>445</v>
      </c>
      <c r="B314">
        <f t="shared" si="28"/>
        <v>54504</v>
      </c>
      <c r="C314">
        <v>10230</v>
      </c>
      <c r="D314">
        <v>44274</v>
      </c>
      <c r="F314">
        <f t="shared" si="29"/>
        <v>41</v>
      </c>
      <c r="G314" s="3">
        <f t="shared" si="34"/>
        <v>314</v>
      </c>
      <c r="H314" s="4"/>
      <c r="I314" s="5">
        <v>201</v>
      </c>
      <c r="J314" s="6"/>
      <c r="K314" s="7">
        <v>54463</v>
      </c>
      <c r="L314" s="6">
        <f t="shared" si="30"/>
        <v>41</v>
      </c>
      <c r="M314" s="7">
        <v>10180</v>
      </c>
      <c r="N314" s="8">
        <f t="shared" si="31"/>
        <v>50</v>
      </c>
      <c r="O314" s="7">
        <v>44051</v>
      </c>
      <c r="P314" s="6">
        <f t="shared" si="32"/>
        <v>223</v>
      </c>
      <c r="Q314" s="9"/>
      <c r="R314" s="6">
        <f t="shared" si="33"/>
        <v>0</v>
      </c>
      <c r="S314" s="10" t="s">
        <v>1</v>
      </c>
      <c r="T314" s="2" t="s">
        <v>445</v>
      </c>
    </row>
    <row r="315" spans="1:20" ht="37.5" customHeight="1" x14ac:dyDescent="0.25">
      <c r="A315" s="2" t="s">
        <v>446</v>
      </c>
      <c r="B315">
        <f t="shared" si="28"/>
        <v>69934</v>
      </c>
      <c r="C315">
        <v>12411</v>
      </c>
      <c r="D315">
        <v>57523</v>
      </c>
      <c r="F315">
        <f t="shared" si="29"/>
        <v>103</v>
      </c>
      <c r="G315" s="3">
        <f t="shared" si="34"/>
        <v>315</v>
      </c>
      <c r="H315" s="4"/>
      <c r="I315" s="5">
        <v>202</v>
      </c>
      <c r="J315" s="6"/>
      <c r="K315" s="7">
        <v>69831</v>
      </c>
      <c r="L315" s="6">
        <f t="shared" si="30"/>
        <v>103</v>
      </c>
      <c r="M315" s="7">
        <v>12390</v>
      </c>
      <c r="N315" s="8">
        <f t="shared" si="31"/>
        <v>21</v>
      </c>
      <c r="O315" s="7">
        <v>57441</v>
      </c>
      <c r="P315" s="6">
        <f t="shared" si="32"/>
        <v>82</v>
      </c>
      <c r="Q315" s="9"/>
      <c r="R315" s="6">
        <f t="shared" si="33"/>
        <v>0</v>
      </c>
      <c r="S315" s="10" t="s">
        <v>1</v>
      </c>
      <c r="T315" s="2" t="s">
        <v>446</v>
      </c>
    </row>
    <row r="316" spans="1:20" ht="37.5" customHeight="1" x14ac:dyDescent="0.25">
      <c r="A316" s="2" t="s">
        <v>447</v>
      </c>
      <c r="B316">
        <f t="shared" si="28"/>
        <v>37929</v>
      </c>
      <c r="C316">
        <v>6354</v>
      </c>
      <c r="D316">
        <v>31575</v>
      </c>
      <c r="F316">
        <f t="shared" si="29"/>
        <v>504</v>
      </c>
      <c r="G316" s="3">
        <f t="shared" si="34"/>
        <v>316</v>
      </c>
      <c r="H316" s="4"/>
      <c r="I316" s="5">
        <v>203</v>
      </c>
      <c r="J316" s="6"/>
      <c r="K316" s="7">
        <v>37425</v>
      </c>
      <c r="L316" s="6">
        <f t="shared" si="30"/>
        <v>504</v>
      </c>
      <c r="M316" s="7">
        <v>6263</v>
      </c>
      <c r="N316" s="8">
        <f t="shared" si="31"/>
        <v>91</v>
      </c>
      <c r="O316" s="7">
        <v>31162</v>
      </c>
      <c r="P316" s="6">
        <f t="shared" si="32"/>
        <v>413</v>
      </c>
      <c r="Q316" s="9"/>
      <c r="R316" s="6">
        <f t="shared" si="33"/>
        <v>0</v>
      </c>
      <c r="S316" s="10" t="s">
        <v>1</v>
      </c>
      <c r="T316" s="2" t="s">
        <v>447</v>
      </c>
    </row>
    <row r="317" spans="1:20" ht="37.5" customHeight="1" x14ac:dyDescent="0.25">
      <c r="A317" s="2" t="s">
        <v>448</v>
      </c>
      <c r="B317">
        <f t="shared" si="28"/>
        <v>54251</v>
      </c>
      <c r="C317">
        <v>8480</v>
      </c>
      <c r="D317">
        <v>45771</v>
      </c>
      <c r="F317">
        <f t="shared" si="29"/>
        <v>38</v>
      </c>
      <c r="G317" s="3">
        <f t="shared" si="34"/>
        <v>317</v>
      </c>
      <c r="H317" s="4"/>
      <c r="I317" s="5">
        <v>204</v>
      </c>
      <c r="J317" s="6"/>
      <c r="K317" s="7">
        <v>54213</v>
      </c>
      <c r="L317" s="6">
        <f t="shared" si="30"/>
        <v>38</v>
      </c>
      <c r="M317" s="7">
        <v>8473</v>
      </c>
      <c r="N317" s="8">
        <f t="shared" si="31"/>
        <v>7</v>
      </c>
      <c r="O317" s="7">
        <v>49739</v>
      </c>
      <c r="P317" s="6">
        <f t="shared" si="32"/>
        <v>-3968</v>
      </c>
      <c r="Q317" s="9"/>
      <c r="R317" s="6">
        <f t="shared" si="33"/>
        <v>0</v>
      </c>
      <c r="S317" s="10" t="s">
        <v>1</v>
      </c>
      <c r="T317" s="2" t="s">
        <v>448</v>
      </c>
    </row>
    <row r="318" spans="1:20" ht="37.5" customHeight="1" x14ac:dyDescent="0.25">
      <c r="A318" s="2" t="s">
        <v>449</v>
      </c>
      <c r="B318">
        <f t="shared" si="28"/>
        <v>1984</v>
      </c>
      <c r="C318">
        <v>435</v>
      </c>
      <c r="D318">
        <v>1549</v>
      </c>
      <c r="E318">
        <v>3298</v>
      </c>
      <c r="F318">
        <f t="shared" si="29"/>
        <v>232</v>
      </c>
      <c r="G318" s="3">
        <f t="shared" si="34"/>
        <v>318</v>
      </c>
      <c r="H318" s="4"/>
      <c r="I318" s="5">
        <v>211</v>
      </c>
      <c r="J318" s="6"/>
      <c r="K318" s="7">
        <f>M318+O318</f>
        <v>1752</v>
      </c>
      <c r="L318" s="6">
        <f t="shared" si="30"/>
        <v>232</v>
      </c>
      <c r="M318" s="7">
        <v>377</v>
      </c>
      <c r="N318" s="8">
        <f t="shared" si="31"/>
        <v>58</v>
      </c>
      <c r="O318" s="7">
        <v>1375</v>
      </c>
      <c r="P318" s="6">
        <f t="shared" si="32"/>
        <v>174</v>
      </c>
      <c r="Q318" s="9">
        <v>2593</v>
      </c>
      <c r="R318" s="6">
        <f t="shared" si="33"/>
        <v>705</v>
      </c>
      <c r="S318" s="10" t="s">
        <v>1</v>
      </c>
      <c r="T318" s="2" t="s">
        <v>449</v>
      </c>
    </row>
    <row r="319" spans="1:20" ht="37.5" customHeight="1" x14ac:dyDescent="0.25">
      <c r="A319" s="2" t="s">
        <v>450</v>
      </c>
      <c r="B319">
        <f t="shared" si="28"/>
        <v>4022</v>
      </c>
      <c r="C319">
        <v>1032</v>
      </c>
      <c r="D319">
        <v>2990</v>
      </c>
      <c r="E319">
        <v>4495</v>
      </c>
      <c r="F319">
        <f t="shared" si="29"/>
        <v>257</v>
      </c>
      <c r="G319" s="3">
        <f t="shared" si="34"/>
        <v>319</v>
      </c>
      <c r="H319" s="4"/>
      <c r="I319" s="5">
        <v>212</v>
      </c>
      <c r="J319" s="6"/>
      <c r="K319" s="7">
        <f>M319+O319</f>
        <v>3765</v>
      </c>
      <c r="L319" s="6">
        <f t="shared" si="30"/>
        <v>257</v>
      </c>
      <c r="M319" s="7">
        <v>972</v>
      </c>
      <c r="N319" s="8">
        <f t="shared" si="31"/>
        <v>60</v>
      </c>
      <c r="O319" s="7">
        <v>2793</v>
      </c>
      <c r="P319" s="6">
        <f t="shared" si="32"/>
        <v>197</v>
      </c>
      <c r="Q319" s="9">
        <v>3861</v>
      </c>
      <c r="R319" s="6">
        <f t="shared" si="33"/>
        <v>634</v>
      </c>
      <c r="S319" s="10" t="s">
        <v>1</v>
      </c>
      <c r="T319" s="2" t="s">
        <v>450</v>
      </c>
    </row>
    <row r="320" spans="1:20" ht="37.5" customHeight="1" x14ac:dyDescent="0.25">
      <c r="A320" s="2" t="s">
        <v>451</v>
      </c>
      <c r="B320">
        <f t="shared" si="28"/>
        <v>34748</v>
      </c>
      <c r="C320">
        <v>6812</v>
      </c>
      <c r="D320">
        <v>27936</v>
      </c>
      <c r="F320">
        <f t="shared" si="29"/>
        <v>362</v>
      </c>
      <c r="G320" s="3">
        <f t="shared" si="34"/>
        <v>320</v>
      </c>
      <c r="H320" s="4"/>
      <c r="I320" s="5">
        <v>213</v>
      </c>
      <c r="J320" s="6"/>
      <c r="K320" s="7">
        <v>34386</v>
      </c>
      <c r="L320" s="6">
        <f t="shared" si="30"/>
        <v>362</v>
      </c>
      <c r="M320" s="7">
        <v>6755</v>
      </c>
      <c r="N320" s="8">
        <f t="shared" si="31"/>
        <v>57</v>
      </c>
      <c r="O320" s="7">
        <v>27631</v>
      </c>
      <c r="P320" s="6">
        <f t="shared" si="32"/>
        <v>305</v>
      </c>
      <c r="Q320" s="9"/>
      <c r="R320" s="6">
        <f t="shared" si="33"/>
        <v>0</v>
      </c>
      <c r="S320" s="10" t="s">
        <v>1</v>
      </c>
      <c r="T320" s="2" t="s">
        <v>451</v>
      </c>
    </row>
    <row r="321" spans="1:20" ht="37.5" customHeight="1" x14ac:dyDescent="0.25">
      <c r="A321" s="2" t="s">
        <v>452</v>
      </c>
      <c r="B321">
        <f t="shared" si="28"/>
        <v>8381</v>
      </c>
      <c r="C321">
        <v>979</v>
      </c>
      <c r="D321">
        <v>7402</v>
      </c>
      <c r="F321">
        <f t="shared" si="29"/>
        <v>2</v>
      </c>
      <c r="G321" s="3">
        <f t="shared" si="34"/>
        <v>321</v>
      </c>
      <c r="H321" s="4"/>
      <c r="I321" s="5">
        <v>214</v>
      </c>
      <c r="J321" s="6"/>
      <c r="K321" s="7">
        <v>8379</v>
      </c>
      <c r="L321" s="6">
        <f t="shared" si="30"/>
        <v>2</v>
      </c>
      <c r="M321" s="7">
        <v>979</v>
      </c>
      <c r="N321" s="8">
        <f t="shared" si="31"/>
        <v>0</v>
      </c>
      <c r="O321" s="7">
        <v>7400</v>
      </c>
      <c r="P321" s="6">
        <f t="shared" si="32"/>
        <v>2</v>
      </c>
      <c r="Q321" s="9"/>
      <c r="R321" s="6">
        <f t="shared" si="33"/>
        <v>0</v>
      </c>
      <c r="S321" s="10" t="s">
        <v>1</v>
      </c>
      <c r="T321" s="2" t="s">
        <v>452</v>
      </c>
    </row>
    <row r="322" spans="1:20" ht="37.5" customHeight="1" x14ac:dyDescent="0.25">
      <c r="A322" s="2" t="s">
        <v>453</v>
      </c>
      <c r="B322">
        <f t="shared" ref="B322:B385" si="35">C322+D322</f>
        <v>3489</v>
      </c>
      <c r="C322">
        <v>965</v>
      </c>
      <c r="D322">
        <v>2524</v>
      </c>
      <c r="E322">
        <v>4738</v>
      </c>
      <c r="F322">
        <f t="shared" ref="F322:F385" si="36">L322</f>
        <v>415</v>
      </c>
      <c r="G322" s="3">
        <f t="shared" si="34"/>
        <v>322</v>
      </c>
      <c r="H322" s="4"/>
      <c r="I322" s="5">
        <v>215</v>
      </c>
      <c r="J322" s="6"/>
      <c r="K322" s="7">
        <f>M322+O322</f>
        <v>3074</v>
      </c>
      <c r="L322" s="6">
        <f t="shared" ref="L322:L385" si="37">B322-K322</f>
        <v>415</v>
      </c>
      <c r="M322" s="7">
        <v>864</v>
      </c>
      <c r="N322" s="8">
        <f t="shared" ref="N322:N385" si="38">C322-M322</f>
        <v>101</v>
      </c>
      <c r="O322" s="7">
        <v>2210</v>
      </c>
      <c r="P322" s="6">
        <f t="shared" ref="P322:P385" si="39">D322-O322</f>
        <v>314</v>
      </c>
      <c r="Q322" s="9">
        <v>3862</v>
      </c>
      <c r="R322" s="6">
        <f t="shared" ref="R322:R385" si="40">E322-Q322</f>
        <v>876</v>
      </c>
      <c r="S322" s="10" t="s">
        <v>1</v>
      </c>
      <c r="T322" s="2" t="s">
        <v>453</v>
      </c>
    </row>
    <row r="323" spans="1:20" ht="37.5" customHeight="1" x14ac:dyDescent="0.25">
      <c r="A323" s="2" t="s">
        <v>454</v>
      </c>
      <c r="B323">
        <f t="shared" si="35"/>
        <v>9721</v>
      </c>
      <c r="C323">
        <v>1369</v>
      </c>
      <c r="D323">
        <v>8352</v>
      </c>
      <c r="F323">
        <f t="shared" si="36"/>
        <v>305</v>
      </c>
      <c r="G323" s="3">
        <f t="shared" ref="G323:G386" si="41">G322+1</f>
        <v>323</v>
      </c>
      <c r="H323" s="4"/>
      <c r="I323" s="5">
        <v>216</v>
      </c>
      <c r="J323" s="6"/>
      <c r="K323" s="7">
        <v>9416</v>
      </c>
      <c r="L323" s="6">
        <f t="shared" si="37"/>
        <v>305</v>
      </c>
      <c r="M323" s="7">
        <v>1312</v>
      </c>
      <c r="N323" s="8">
        <f t="shared" si="38"/>
        <v>57</v>
      </c>
      <c r="O323" s="7">
        <v>8104</v>
      </c>
      <c r="P323" s="6">
        <f t="shared" si="39"/>
        <v>248</v>
      </c>
      <c r="Q323" s="9"/>
      <c r="R323" s="6">
        <f t="shared" si="40"/>
        <v>0</v>
      </c>
      <c r="S323" s="10" t="s">
        <v>1</v>
      </c>
      <c r="T323" s="2" t="s">
        <v>454</v>
      </c>
    </row>
    <row r="324" spans="1:20" ht="37.5" customHeight="1" x14ac:dyDescent="0.25">
      <c r="A324" s="2" t="s">
        <v>455</v>
      </c>
      <c r="B324">
        <f t="shared" si="35"/>
        <v>20410</v>
      </c>
      <c r="C324">
        <v>3367</v>
      </c>
      <c r="D324">
        <v>17043</v>
      </c>
      <c r="F324">
        <f t="shared" si="36"/>
        <v>341</v>
      </c>
      <c r="G324" s="3">
        <f t="shared" si="41"/>
        <v>324</v>
      </c>
      <c r="H324" s="4"/>
      <c r="I324" s="5">
        <v>217</v>
      </c>
      <c r="J324" s="6"/>
      <c r="K324" s="7">
        <v>20069</v>
      </c>
      <c r="L324" s="6">
        <f t="shared" si="37"/>
        <v>341</v>
      </c>
      <c r="M324" s="7">
        <v>3309</v>
      </c>
      <c r="N324" s="8">
        <f t="shared" si="38"/>
        <v>58</v>
      </c>
      <c r="O324" s="7">
        <v>16760</v>
      </c>
      <c r="P324" s="6">
        <f t="shared" si="39"/>
        <v>283</v>
      </c>
      <c r="Q324" s="9"/>
      <c r="R324" s="6">
        <f t="shared" si="40"/>
        <v>0</v>
      </c>
      <c r="S324" s="10" t="s">
        <v>1</v>
      </c>
      <c r="T324" s="2" t="s">
        <v>455</v>
      </c>
    </row>
    <row r="325" spans="1:20" ht="37.5" customHeight="1" x14ac:dyDescent="0.25">
      <c r="A325" s="2" t="s">
        <v>456</v>
      </c>
      <c r="B325">
        <f t="shared" si="35"/>
        <v>23268</v>
      </c>
      <c r="C325">
        <v>7196</v>
      </c>
      <c r="D325">
        <v>16072</v>
      </c>
      <c r="F325">
        <f t="shared" si="36"/>
        <v>230</v>
      </c>
      <c r="G325" s="3">
        <f t="shared" si="41"/>
        <v>325</v>
      </c>
      <c r="H325" s="4"/>
      <c r="I325" s="5">
        <v>218</v>
      </c>
      <c r="J325" s="6"/>
      <c r="K325" s="7">
        <v>23038</v>
      </c>
      <c r="L325" s="6">
        <f t="shared" si="37"/>
        <v>230</v>
      </c>
      <c r="M325" s="7">
        <v>7163</v>
      </c>
      <c r="N325" s="8">
        <f t="shared" si="38"/>
        <v>33</v>
      </c>
      <c r="O325" s="7">
        <v>15875</v>
      </c>
      <c r="P325" s="6">
        <f t="shared" si="39"/>
        <v>197</v>
      </c>
      <c r="Q325" s="9"/>
      <c r="R325" s="6">
        <f t="shared" si="40"/>
        <v>0</v>
      </c>
      <c r="S325" s="10" t="s">
        <v>1</v>
      </c>
      <c r="T325" s="2" t="s">
        <v>456</v>
      </c>
    </row>
    <row r="326" spans="1:20" ht="37.5" customHeight="1" x14ac:dyDescent="0.25">
      <c r="A326" s="2" t="s">
        <v>457</v>
      </c>
      <c r="B326">
        <f t="shared" si="35"/>
        <v>13824</v>
      </c>
      <c r="C326">
        <v>2327</v>
      </c>
      <c r="D326">
        <v>11497</v>
      </c>
      <c r="F326">
        <f t="shared" si="36"/>
        <v>398</v>
      </c>
      <c r="G326" s="3">
        <f t="shared" si="41"/>
        <v>326</v>
      </c>
      <c r="H326" s="4"/>
      <c r="I326" s="5">
        <v>219</v>
      </c>
      <c r="J326" s="6"/>
      <c r="K326" s="7">
        <v>13426</v>
      </c>
      <c r="L326" s="6">
        <f t="shared" si="37"/>
        <v>398</v>
      </c>
      <c r="M326" s="7">
        <v>2271</v>
      </c>
      <c r="N326" s="8">
        <f t="shared" si="38"/>
        <v>56</v>
      </c>
      <c r="O326" s="7">
        <v>11155</v>
      </c>
      <c r="P326" s="6">
        <f t="shared" si="39"/>
        <v>342</v>
      </c>
      <c r="Q326" s="9"/>
      <c r="R326" s="6">
        <f t="shared" si="40"/>
        <v>0</v>
      </c>
      <c r="S326" s="10" t="s">
        <v>1</v>
      </c>
      <c r="T326" s="2" t="s">
        <v>457</v>
      </c>
    </row>
    <row r="327" spans="1:20" ht="37.5" customHeight="1" x14ac:dyDescent="0.25">
      <c r="A327" s="2" t="s">
        <v>458</v>
      </c>
      <c r="B327">
        <f t="shared" si="35"/>
        <v>127664</v>
      </c>
      <c r="C327">
        <v>42204</v>
      </c>
      <c r="D327">
        <v>85460</v>
      </c>
      <c r="F327">
        <f t="shared" si="36"/>
        <v>111</v>
      </c>
      <c r="G327" s="3">
        <f t="shared" si="41"/>
        <v>327</v>
      </c>
      <c r="H327" s="4"/>
      <c r="I327" s="5">
        <v>220</v>
      </c>
      <c r="J327" s="6"/>
      <c r="K327" s="7">
        <v>127553</v>
      </c>
      <c r="L327" s="6">
        <f t="shared" si="37"/>
        <v>111</v>
      </c>
      <c r="M327" s="7">
        <v>42187</v>
      </c>
      <c r="N327" s="8">
        <f t="shared" si="38"/>
        <v>17</v>
      </c>
      <c r="O327" s="7">
        <v>85366</v>
      </c>
      <c r="P327" s="6">
        <f t="shared" si="39"/>
        <v>94</v>
      </c>
      <c r="Q327" s="9"/>
      <c r="R327" s="6">
        <f t="shared" si="40"/>
        <v>0</v>
      </c>
      <c r="S327" s="10" t="s">
        <v>1</v>
      </c>
      <c r="T327" s="2" t="s">
        <v>458</v>
      </c>
    </row>
    <row r="328" spans="1:20" ht="37.5" customHeight="1" x14ac:dyDescent="0.25">
      <c r="A328" s="2" t="s">
        <v>459</v>
      </c>
      <c r="B328">
        <f t="shared" si="35"/>
        <v>39450</v>
      </c>
      <c r="C328">
        <v>6646</v>
      </c>
      <c r="D328">
        <v>32804</v>
      </c>
      <c r="F328">
        <f t="shared" si="36"/>
        <v>211</v>
      </c>
      <c r="G328" s="3">
        <f t="shared" si="41"/>
        <v>328</v>
      </c>
      <c r="H328" s="4"/>
      <c r="I328" s="5">
        <v>221</v>
      </c>
      <c r="J328" s="6"/>
      <c r="K328" s="7">
        <v>39239</v>
      </c>
      <c r="L328" s="6">
        <f t="shared" si="37"/>
        <v>211</v>
      </c>
      <c r="M328" s="7">
        <v>6611</v>
      </c>
      <c r="N328" s="8">
        <f t="shared" si="38"/>
        <v>35</v>
      </c>
      <c r="O328" s="7">
        <v>32628</v>
      </c>
      <c r="P328" s="6">
        <f t="shared" si="39"/>
        <v>176</v>
      </c>
      <c r="Q328" s="9"/>
      <c r="R328" s="6">
        <f t="shared" si="40"/>
        <v>0</v>
      </c>
      <c r="S328" s="10" t="s">
        <v>1</v>
      </c>
      <c r="T328" s="2" t="s">
        <v>459</v>
      </c>
    </row>
    <row r="329" spans="1:20" ht="37.5" customHeight="1" x14ac:dyDescent="0.25">
      <c r="A329" s="2" t="s">
        <v>460</v>
      </c>
      <c r="B329">
        <v>30391</v>
      </c>
      <c r="F329">
        <f t="shared" si="36"/>
        <v>0</v>
      </c>
      <c r="G329" s="3">
        <f t="shared" si="41"/>
        <v>329</v>
      </c>
      <c r="H329" s="4"/>
      <c r="I329" s="5">
        <v>222</v>
      </c>
      <c r="J329" s="6"/>
      <c r="K329" s="7">
        <v>30391</v>
      </c>
      <c r="L329" s="6">
        <f t="shared" si="37"/>
        <v>0</v>
      </c>
      <c r="M329" s="7"/>
      <c r="N329" s="8">
        <f t="shared" si="38"/>
        <v>0</v>
      </c>
      <c r="O329" s="7"/>
      <c r="P329" s="6">
        <f t="shared" si="39"/>
        <v>0</v>
      </c>
      <c r="Q329" s="9"/>
      <c r="R329" s="6">
        <f t="shared" si="40"/>
        <v>0</v>
      </c>
      <c r="S329" s="10" t="s">
        <v>1</v>
      </c>
      <c r="T329" s="2" t="s">
        <v>460</v>
      </c>
    </row>
    <row r="330" spans="1:20" ht="37.5" customHeight="1" x14ac:dyDescent="0.25">
      <c r="A330" s="2" t="s">
        <v>461</v>
      </c>
      <c r="B330">
        <f t="shared" si="35"/>
        <v>29327</v>
      </c>
      <c r="C330">
        <v>4961</v>
      </c>
      <c r="D330">
        <v>24366</v>
      </c>
      <c r="F330">
        <f t="shared" si="36"/>
        <v>774</v>
      </c>
      <c r="G330" s="3">
        <f t="shared" si="41"/>
        <v>330</v>
      </c>
      <c r="H330" s="4"/>
      <c r="I330" s="5">
        <v>223</v>
      </c>
      <c r="J330" s="6"/>
      <c r="K330" s="7">
        <v>28553</v>
      </c>
      <c r="L330" s="6">
        <f t="shared" si="37"/>
        <v>774</v>
      </c>
      <c r="M330" s="7">
        <v>4836</v>
      </c>
      <c r="N330" s="8">
        <f t="shared" si="38"/>
        <v>125</v>
      </c>
      <c r="O330" s="7">
        <v>23717</v>
      </c>
      <c r="P330" s="6">
        <f t="shared" si="39"/>
        <v>649</v>
      </c>
      <c r="Q330" s="9"/>
      <c r="R330" s="6">
        <f t="shared" si="40"/>
        <v>0</v>
      </c>
      <c r="S330" s="10" t="s">
        <v>1</v>
      </c>
      <c r="T330" s="2" t="s">
        <v>461</v>
      </c>
    </row>
    <row r="331" spans="1:20" ht="37.5" customHeight="1" x14ac:dyDescent="0.25">
      <c r="A331" s="2" t="s">
        <v>462</v>
      </c>
      <c r="B331">
        <f t="shared" si="35"/>
        <v>938</v>
      </c>
      <c r="C331">
        <v>278</v>
      </c>
      <c r="D331">
        <v>660</v>
      </c>
      <c r="E331">
        <v>3587</v>
      </c>
      <c r="F331">
        <f t="shared" si="36"/>
        <v>244</v>
      </c>
      <c r="G331" s="3">
        <f t="shared" si="41"/>
        <v>331</v>
      </c>
      <c r="H331" s="4"/>
      <c r="I331" s="5">
        <v>224</v>
      </c>
      <c r="J331" s="6"/>
      <c r="K331" s="7">
        <f>M331+O331</f>
        <v>694</v>
      </c>
      <c r="L331" s="6">
        <f t="shared" si="37"/>
        <v>244</v>
      </c>
      <c r="M331" s="7">
        <v>222</v>
      </c>
      <c r="N331" s="8">
        <f t="shared" si="38"/>
        <v>56</v>
      </c>
      <c r="O331" s="7">
        <v>472</v>
      </c>
      <c r="P331" s="6">
        <f t="shared" si="39"/>
        <v>188</v>
      </c>
      <c r="Q331" s="9">
        <v>2463</v>
      </c>
      <c r="R331" s="6">
        <f t="shared" si="40"/>
        <v>1124</v>
      </c>
      <c r="S331" s="10" t="s">
        <v>1</v>
      </c>
      <c r="T331" s="2" t="s">
        <v>462</v>
      </c>
    </row>
    <row r="332" spans="1:20" ht="37.5" customHeight="1" x14ac:dyDescent="0.25">
      <c r="A332" s="2" t="s">
        <v>463</v>
      </c>
      <c r="B332">
        <f t="shared" si="35"/>
        <v>44468</v>
      </c>
      <c r="C332">
        <v>7657</v>
      </c>
      <c r="D332">
        <v>36811</v>
      </c>
      <c r="F332">
        <f t="shared" si="36"/>
        <v>320</v>
      </c>
      <c r="G332" s="3">
        <f t="shared" si="41"/>
        <v>332</v>
      </c>
      <c r="H332" s="4"/>
      <c r="I332" s="5">
        <v>225</v>
      </c>
      <c r="J332" s="6"/>
      <c r="K332" s="7">
        <v>44148</v>
      </c>
      <c r="L332" s="6">
        <f t="shared" si="37"/>
        <v>320</v>
      </c>
      <c r="M332" s="7">
        <v>7595</v>
      </c>
      <c r="N332" s="8">
        <f t="shared" si="38"/>
        <v>62</v>
      </c>
      <c r="O332" s="7">
        <v>36553</v>
      </c>
      <c r="P332" s="6">
        <f t="shared" si="39"/>
        <v>258</v>
      </c>
      <c r="Q332" s="9"/>
      <c r="R332" s="6">
        <f t="shared" si="40"/>
        <v>0</v>
      </c>
      <c r="S332" s="10" t="s">
        <v>1</v>
      </c>
      <c r="T332" s="2" t="s">
        <v>463</v>
      </c>
    </row>
    <row r="333" spans="1:20" ht="37.5" customHeight="1" x14ac:dyDescent="0.25">
      <c r="A333" s="2" t="s">
        <v>464</v>
      </c>
      <c r="B333">
        <f t="shared" si="35"/>
        <v>66568</v>
      </c>
      <c r="C333">
        <v>11757</v>
      </c>
      <c r="D333">
        <v>54811</v>
      </c>
      <c r="F333">
        <f t="shared" si="36"/>
        <v>203</v>
      </c>
      <c r="G333" s="3">
        <f t="shared" si="41"/>
        <v>333</v>
      </c>
      <c r="H333" s="4"/>
      <c r="I333" s="5">
        <v>226</v>
      </c>
      <c r="J333" s="6"/>
      <c r="K333" s="7">
        <v>66365</v>
      </c>
      <c r="L333" s="6">
        <f t="shared" si="37"/>
        <v>203</v>
      </c>
      <c r="M333" s="7">
        <v>11722</v>
      </c>
      <c r="N333" s="8">
        <f t="shared" si="38"/>
        <v>35</v>
      </c>
      <c r="O333" s="7">
        <v>54643</v>
      </c>
      <c r="P333" s="6">
        <f t="shared" si="39"/>
        <v>168</v>
      </c>
      <c r="Q333" s="9"/>
      <c r="R333" s="6">
        <f t="shared" si="40"/>
        <v>0</v>
      </c>
      <c r="S333" s="10" t="s">
        <v>1</v>
      </c>
      <c r="T333" s="2" t="s">
        <v>464</v>
      </c>
    </row>
    <row r="334" spans="1:20" ht="37.5" customHeight="1" x14ac:dyDescent="0.25">
      <c r="A334" s="2" t="s">
        <v>465</v>
      </c>
      <c r="B334">
        <f t="shared" si="35"/>
        <v>40229</v>
      </c>
      <c r="C334">
        <v>18848</v>
      </c>
      <c r="D334">
        <v>21381</v>
      </c>
      <c r="F334">
        <f t="shared" si="36"/>
        <v>171</v>
      </c>
      <c r="G334" s="3">
        <f t="shared" si="41"/>
        <v>334</v>
      </c>
      <c r="H334" s="4"/>
      <c r="I334" s="5">
        <v>227</v>
      </c>
      <c r="J334" s="6"/>
      <c r="K334" s="7">
        <v>40058</v>
      </c>
      <c r="L334" s="6">
        <f t="shared" si="37"/>
        <v>171</v>
      </c>
      <c r="M334" s="7">
        <v>18821</v>
      </c>
      <c r="N334" s="8">
        <f t="shared" si="38"/>
        <v>27</v>
      </c>
      <c r="O334" s="7">
        <v>21237</v>
      </c>
      <c r="P334" s="6">
        <f t="shared" si="39"/>
        <v>144</v>
      </c>
      <c r="Q334" s="9"/>
      <c r="R334" s="6">
        <f t="shared" si="40"/>
        <v>0</v>
      </c>
      <c r="S334" s="10" t="s">
        <v>1</v>
      </c>
      <c r="T334" s="2" t="s">
        <v>465</v>
      </c>
    </row>
    <row r="335" spans="1:20" ht="37.5" customHeight="1" x14ac:dyDescent="0.25">
      <c r="A335" s="2" t="s">
        <v>466</v>
      </c>
      <c r="B335">
        <f t="shared" si="35"/>
        <v>84325</v>
      </c>
      <c r="C335">
        <v>21177</v>
      </c>
      <c r="D335">
        <v>63148</v>
      </c>
      <c r="F335">
        <f t="shared" si="36"/>
        <v>458</v>
      </c>
      <c r="G335" s="3">
        <f t="shared" si="41"/>
        <v>335</v>
      </c>
      <c r="H335" s="4"/>
      <c r="I335" s="5">
        <v>228</v>
      </c>
      <c r="J335" s="6"/>
      <c r="K335" s="7">
        <v>83867</v>
      </c>
      <c r="L335" s="6">
        <f t="shared" si="37"/>
        <v>458</v>
      </c>
      <c r="M335" s="7">
        <v>21099</v>
      </c>
      <c r="N335" s="8">
        <f t="shared" si="38"/>
        <v>78</v>
      </c>
      <c r="O335" s="7">
        <v>62768</v>
      </c>
      <c r="P335" s="6">
        <f t="shared" si="39"/>
        <v>380</v>
      </c>
      <c r="Q335" s="9"/>
      <c r="R335" s="6">
        <f t="shared" si="40"/>
        <v>0</v>
      </c>
      <c r="S335" s="10" t="s">
        <v>1</v>
      </c>
      <c r="T335" s="2" t="s">
        <v>466</v>
      </c>
    </row>
    <row r="336" spans="1:20" ht="37.5" customHeight="1" x14ac:dyDescent="0.25">
      <c r="A336" s="2" t="s">
        <v>467</v>
      </c>
      <c r="B336">
        <f t="shared" si="35"/>
        <v>12397</v>
      </c>
      <c r="C336">
        <v>2272</v>
      </c>
      <c r="D336">
        <v>10125</v>
      </c>
      <c r="F336">
        <f t="shared" si="36"/>
        <v>34</v>
      </c>
      <c r="G336" s="3">
        <f t="shared" si="41"/>
        <v>336</v>
      </c>
      <c r="H336" s="4"/>
      <c r="I336" s="5">
        <v>229</v>
      </c>
      <c r="J336" s="6"/>
      <c r="K336" s="7">
        <v>12363</v>
      </c>
      <c r="L336" s="6">
        <f t="shared" si="37"/>
        <v>34</v>
      </c>
      <c r="M336" s="7">
        <v>2265</v>
      </c>
      <c r="N336" s="8">
        <f t="shared" si="38"/>
        <v>7</v>
      </c>
      <c r="O336" s="7">
        <v>10098</v>
      </c>
      <c r="P336" s="6">
        <f t="shared" si="39"/>
        <v>27</v>
      </c>
      <c r="Q336" s="9"/>
      <c r="R336" s="6">
        <f t="shared" si="40"/>
        <v>0</v>
      </c>
      <c r="S336" s="10" t="s">
        <v>1</v>
      </c>
      <c r="T336" s="2" t="s">
        <v>467</v>
      </c>
    </row>
    <row r="337" spans="1:20" ht="37.5" customHeight="1" x14ac:dyDescent="0.25">
      <c r="A337" s="2" t="s">
        <v>468</v>
      </c>
      <c r="B337">
        <f t="shared" si="35"/>
        <v>62261</v>
      </c>
      <c r="C337">
        <v>11176</v>
      </c>
      <c r="D337">
        <v>51085</v>
      </c>
      <c r="F337">
        <f t="shared" si="36"/>
        <v>252</v>
      </c>
      <c r="G337" s="3">
        <f t="shared" si="41"/>
        <v>337</v>
      </c>
      <c r="H337" s="4"/>
      <c r="I337" s="5">
        <v>230</v>
      </c>
      <c r="J337" s="6"/>
      <c r="K337" s="7">
        <v>62009</v>
      </c>
      <c r="L337" s="6">
        <f t="shared" si="37"/>
        <v>252</v>
      </c>
      <c r="M337" s="7">
        <v>11132</v>
      </c>
      <c r="N337" s="8">
        <f t="shared" si="38"/>
        <v>44</v>
      </c>
      <c r="O337" s="7">
        <v>50877</v>
      </c>
      <c r="P337" s="6">
        <f t="shared" si="39"/>
        <v>208</v>
      </c>
      <c r="Q337" s="9"/>
      <c r="R337" s="6">
        <f t="shared" si="40"/>
        <v>0</v>
      </c>
      <c r="S337" s="10" t="s">
        <v>1</v>
      </c>
      <c r="T337" s="2" t="s">
        <v>468</v>
      </c>
    </row>
    <row r="338" spans="1:20" ht="37.5" customHeight="1" x14ac:dyDescent="0.25">
      <c r="A338" s="2" t="s">
        <v>469</v>
      </c>
      <c r="B338">
        <f t="shared" si="35"/>
        <v>6482</v>
      </c>
      <c r="C338">
        <v>827</v>
      </c>
      <c r="D338">
        <v>5655</v>
      </c>
      <c r="F338">
        <f t="shared" si="36"/>
        <v>134</v>
      </c>
      <c r="G338" s="3">
        <f t="shared" si="41"/>
        <v>338</v>
      </c>
      <c r="H338" s="4"/>
      <c r="I338" s="5">
        <v>231</v>
      </c>
      <c r="J338" s="6"/>
      <c r="K338" s="7">
        <v>6348</v>
      </c>
      <c r="L338" s="6">
        <f t="shared" si="37"/>
        <v>134</v>
      </c>
      <c r="M338" s="7">
        <v>799</v>
      </c>
      <c r="N338" s="8">
        <f t="shared" si="38"/>
        <v>28</v>
      </c>
      <c r="O338" s="7">
        <v>5549</v>
      </c>
      <c r="P338" s="6">
        <f t="shared" si="39"/>
        <v>106</v>
      </c>
      <c r="Q338" s="9"/>
      <c r="R338" s="6">
        <f t="shared" si="40"/>
        <v>0</v>
      </c>
      <c r="S338" s="10" t="s">
        <v>1</v>
      </c>
      <c r="T338" s="2" t="s">
        <v>469</v>
      </c>
    </row>
    <row r="339" spans="1:20" ht="37.5" customHeight="1" x14ac:dyDescent="0.25">
      <c r="A339" s="2" t="s">
        <v>470</v>
      </c>
      <c r="B339">
        <f t="shared" si="35"/>
        <v>7616</v>
      </c>
      <c r="C339">
        <v>1126</v>
      </c>
      <c r="D339">
        <v>6490</v>
      </c>
      <c r="F339">
        <f t="shared" si="36"/>
        <v>441</v>
      </c>
      <c r="G339" s="3">
        <f t="shared" si="41"/>
        <v>339</v>
      </c>
      <c r="H339" s="4"/>
      <c r="I339" s="5">
        <v>232</v>
      </c>
      <c r="J339" s="6"/>
      <c r="K339" s="7">
        <v>7175</v>
      </c>
      <c r="L339" s="6">
        <f t="shared" si="37"/>
        <v>441</v>
      </c>
      <c r="M339" s="7">
        <v>1065</v>
      </c>
      <c r="N339" s="8">
        <f t="shared" si="38"/>
        <v>61</v>
      </c>
      <c r="O339" s="7">
        <v>6110</v>
      </c>
      <c r="P339" s="6">
        <f t="shared" si="39"/>
        <v>380</v>
      </c>
      <c r="Q339" s="9"/>
      <c r="R339" s="6">
        <f t="shared" si="40"/>
        <v>0</v>
      </c>
      <c r="S339" s="10" t="s">
        <v>1</v>
      </c>
      <c r="T339" s="2" t="s">
        <v>470</v>
      </c>
    </row>
    <row r="340" spans="1:20" ht="37.5" customHeight="1" x14ac:dyDescent="0.25">
      <c r="A340" s="2" t="s">
        <v>471</v>
      </c>
      <c r="B340">
        <f t="shared" si="35"/>
        <v>2491</v>
      </c>
      <c r="C340">
        <v>625</v>
      </c>
      <c r="D340">
        <v>1866</v>
      </c>
      <c r="E340">
        <v>9046</v>
      </c>
      <c r="F340">
        <f t="shared" si="36"/>
        <v>19</v>
      </c>
      <c r="G340" s="3">
        <f t="shared" si="41"/>
        <v>340</v>
      </c>
      <c r="H340" s="4"/>
      <c r="I340" s="5">
        <v>233</v>
      </c>
      <c r="J340" s="6"/>
      <c r="K340" s="7">
        <f>M340+O340</f>
        <v>2472</v>
      </c>
      <c r="L340" s="6">
        <f t="shared" si="37"/>
        <v>19</v>
      </c>
      <c r="M340" s="7">
        <v>621</v>
      </c>
      <c r="N340" s="8">
        <f t="shared" si="38"/>
        <v>4</v>
      </c>
      <c r="O340" s="7">
        <v>1851</v>
      </c>
      <c r="P340" s="6">
        <f t="shared" si="39"/>
        <v>15</v>
      </c>
      <c r="Q340" s="9">
        <v>8386</v>
      </c>
      <c r="R340" s="6">
        <f t="shared" si="40"/>
        <v>660</v>
      </c>
      <c r="S340" s="10" t="s">
        <v>1</v>
      </c>
      <c r="T340" s="2" t="s">
        <v>471</v>
      </c>
    </row>
    <row r="341" spans="1:20" ht="37.5" customHeight="1" x14ac:dyDescent="0.25">
      <c r="A341" s="2" t="s">
        <v>472</v>
      </c>
      <c r="B341">
        <f t="shared" si="35"/>
        <v>44541</v>
      </c>
      <c r="C341">
        <v>5822</v>
      </c>
      <c r="D341">
        <v>38719</v>
      </c>
      <c r="F341">
        <f t="shared" si="36"/>
        <v>221</v>
      </c>
      <c r="G341" s="3">
        <f t="shared" si="41"/>
        <v>341</v>
      </c>
      <c r="H341" s="4"/>
      <c r="I341" s="5">
        <v>234</v>
      </c>
      <c r="J341" s="6"/>
      <c r="K341" s="7">
        <v>44320</v>
      </c>
      <c r="L341" s="6">
        <f t="shared" si="37"/>
        <v>221</v>
      </c>
      <c r="M341" s="7">
        <v>5788</v>
      </c>
      <c r="N341" s="8">
        <f t="shared" si="38"/>
        <v>34</v>
      </c>
      <c r="O341" s="7">
        <v>38532</v>
      </c>
      <c r="P341" s="6">
        <f t="shared" si="39"/>
        <v>187</v>
      </c>
      <c r="Q341" s="9"/>
      <c r="R341" s="6">
        <f t="shared" si="40"/>
        <v>0</v>
      </c>
      <c r="S341" s="10" t="s">
        <v>1</v>
      </c>
      <c r="T341" s="2" t="s">
        <v>472</v>
      </c>
    </row>
    <row r="342" spans="1:20" ht="37.5" customHeight="1" x14ac:dyDescent="0.25">
      <c r="A342" s="2" t="s">
        <v>473</v>
      </c>
      <c r="B342">
        <f t="shared" si="35"/>
        <v>4907</v>
      </c>
      <c r="C342">
        <v>749</v>
      </c>
      <c r="D342">
        <v>4158</v>
      </c>
      <c r="F342">
        <f t="shared" si="36"/>
        <v>0</v>
      </c>
      <c r="G342" s="3">
        <f t="shared" si="41"/>
        <v>342</v>
      </c>
      <c r="H342" s="4"/>
      <c r="I342" s="5">
        <v>235</v>
      </c>
      <c r="J342" s="6"/>
      <c r="K342" s="7">
        <v>4907</v>
      </c>
      <c r="L342" s="6">
        <f t="shared" si="37"/>
        <v>0</v>
      </c>
      <c r="M342" s="7">
        <v>749</v>
      </c>
      <c r="N342" s="8">
        <f t="shared" si="38"/>
        <v>0</v>
      </c>
      <c r="O342" s="7">
        <v>4158</v>
      </c>
      <c r="P342" s="6">
        <f t="shared" si="39"/>
        <v>0</v>
      </c>
      <c r="Q342" s="9"/>
      <c r="R342" s="6">
        <f t="shared" si="40"/>
        <v>0</v>
      </c>
      <c r="S342" s="10" t="s">
        <v>1</v>
      </c>
      <c r="T342" s="2" t="s">
        <v>473</v>
      </c>
    </row>
    <row r="343" spans="1:20" ht="37.5" customHeight="1" x14ac:dyDescent="0.25">
      <c r="A343" s="2" t="s">
        <v>474</v>
      </c>
      <c r="B343">
        <f t="shared" si="35"/>
        <v>58844</v>
      </c>
      <c r="C343">
        <v>9574</v>
      </c>
      <c r="D343">
        <v>49270</v>
      </c>
      <c r="F343">
        <f t="shared" si="36"/>
        <v>27</v>
      </c>
      <c r="G343" s="3">
        <f t="shared" si="41"/>
        <v>343</v>
      </c>
      <c r="H343" s="4"/>
      <c r="I343" s="5">
        <v>236</v>
      </c>
      <c r="J343" s="6"/>
      <c r="K343" s="7">
        <v>58817</v>
      </c>
      <c r="L343" s="6">
        <f t="shared" si="37"/>
        <v>27</v>
      </c>
      <c r="M343" s="7">
        <v>9570</v>
      </c>
      <c r="N343" s="8">
        <f t="shared" si="38"/>
        <v>4</v>
      </c>
      <c r="O343" s="7">
        <v>49247</v>
      </c>
      <c r="P343" s="6">
        <f t="shared" si="39"/>
        <v>23</v>
      </c>
      <c r="Q343" s="9"/>
      <c r="R343" s="6">
        <f t="shared" si="40"/>
        <v>0</v>
      </c>
      <c r="S343" s="10" t="s">
        <v>1</v>
      </c>
      <c r="T343" s="2" t="s">
        <v>474</v>
      </c>
    </row>
    <row r="344" spans="1:20" ht="37.5" customHeight="1" x14ac:dyDescent="0.25">
      <c r="A344" s="2" t="s">
        <v>475</v>
      </c>
      <c r="B344">
        <f t="shared" si="35"/>
        <v>87289</v>
      </c>
      <c r="C344">
        <v>15914</v>
      </c>
      <c r="D344">
        <v>71375</v>
      </c>
      <c r="F344">
        <f t="shared" si="36"/>
        <v>463</v>
      </c>
      <c r="G344" s="3">
        <f t="shared" si="41"/>
        <v>344</v>
      </c>
      <c r="H344" s="4"/>
      <c r="I344" s="5">
        <v>237</v>
      </c>
      <c r="J344" s="6"/>
      <c r="K344" s="7">
        <v>86826</v>
      </c>
      <c r="L344" s="6">
        <f t="shared" si="37"/>
        <v>463</v>
      </c>
      <c r="M344" s="7">
        <v>15835</v>
      </c>
      <c r="N344" s="8">
        <f t="shared" si="38"/>
        <v>79</v>
      </c>
      <c r="O344" s="7">
        <v>70991</v>
      </c>
      <c r="P344" s="6">
        <f t="shared" si="39"/>
        <v>384</v>
      </c>
      <c r="Q344" s="9"/>
      <c r="R344" s="6">
        <f t="shared" si="40"/>
        <v>0</v>
      </c>
      <c r="S344" s="10" t="s">
        <v>1</v>
      </c>
      <c r="T344" s="2" t="s">
        <v>475</v>
      </c>
    </row>
    <row r="345" spans="1:20" ht="37.5" customHeight="1" x14ac:dyDescent="0.25">
      <c r="A345" s="2" t="s">
        <v>476</v>
      </c>
      <c r="B345">
        <f t="shared" si="35"/>
        <v>19952</v>
      </c>
      <c r="C345">
        <v>3354</v>
      </c>
      <c r="D345">
        <v>16598</v>
      </c>
      <c r="F345">
        <f t="shared" si="36"/>
        <v>0</v>
      </c>
      <c r="G345" s="3">
        <f t="shared" si="41"/>
        <v>345</v>
      </c>
      <c r="H345" s="4"/>
      <c r="I345" s="5">
        <v>238</v>
      </c>
      <c r="J345" s="6"/>
      <c r="K345" s="7">
        <v>19952</v>
      </c>
      <c r="L345" s="6">
        <f t="shared" si="37"/>
        <v>0</v>
      </c>
      <c r="M345" s="7">
        <v>3354</v>
      </c>
      <c r="N345" s="8">
        <f t="shared" si="38"/>
        <v>0</v>
      </c>
      <c r="O345" s="7">
        <v>16598</v>
      </c>
      <c r="P345" s="6">
        <f t="shared" si="39"/>
        <v>0</v>
      </c>
      <c r="Q345" s="9"/>
      <c r="R345" s="6">
        <f t="shared" si="40"/>
        <v>0</v>
      </c>
      <c r="S345" s="10" t="s">
        <v>1</v>
      </c>
      <c r="T345" s="2" t="s">
        <v>476</v>
      </c>
    </row>
    <row r="346" spans="1:20" ht="37.5" customHeight="1" x14ac:dyDescent="0.25">
      <c r="A346" s="2" t="s">
        <v>477</v>
      </c>
      <c r="B346">
        <f t="shared" si="35"/>
        <v>27532</v>
      </c>
      <c r="C346">
        <v>3675</v>
      </c>
      <c r="D346">
        <v>23857</v>
      </c>
      <c r="F346">
        <f t="shared" si="36"/>
        <v>138</v>
      </c>
      <c r="G346" s="3">
        <f t="shared" si="41"/>
        <v>346</v>
      </c>
      <c r="H346" s="4"/>
      <c r="I346" s="5">
        <v>239</v>
      </c>
      <c r="J346" s="6"/>
      <c r="K346" s="7">
        <v>27394</v>
      </c>
      <c r="L346" s="6">
        <f t="shared" si="37"/>
        <v>138</v>
      </c>
      <c r="M346" s="7">
        <v>3646</v>
      </c>
      <c r="N346" s="8">
        <f t="shared" si="38"/>
        <v>29</v>
      </c>
      <c r="O346" s="7">
        <v>23748</v>
      </c>
      <c r="P346" s="6">
        <f t="shared" si="39"/>
        <v>109</v>
      </c>
      <c r="Q346" s="9"/>
      <c r="R346" s="6">
        <f t="shared" si="40"/>
        <v>0</v>
      </c>
      <c r="S346" s="10" t="s">
        <v>1</v>
      </c>
      <c r="T346" s="2" t="s">
        <v>477</v>
      </c>
    </row>
    <row r="347" spans="1:20" ht="37.5" customHeight="1" x14ac:dyDescent="0.25">
      <c r="A347" s="2" t="s">
        <v>478</v>
      </c>
      <c r="B347">
        <f t="shared" si="35"/>
        <v>136286</v>
      </c>
      <c r="C347">
        <v>24975</v>
      </c>
      <c r="D347">
        <v>111311</v>
      </c>
      <c r="F347">
        <f t="shared" si="36"/>
        <v>0</v>
      </c>
      <c r="G347" s="3">
        <f t="shared" si="41"/>
        <v>347</v>
      </c>
      <c r="H347" s="4"/>
      <c r="I347" s="5">
        <v>240</v>
      </c>
      <c r="J347" s="6"/>
      <c r="K347" s="7">
        <v>136286</v>
      </c>
      <c r="L347" s="6">
        <f t="shared" si="37"/>
        <v>0</v>
      </c>
      <c r="M347" s="7">
        <v>24975</v>
      </c>
      <c r="N347" s="8">
        <f t="shared" si="38"/>
        <v>0</v>
      </c>
      <c r="O347" s="7">
        <v>111311</v>
      </c>
      <c r="P347" s="6">
        <f t="shared" si="39"/>
        <v>0</v>
      </c>
      <c r="Q347" s="9"/>
      <c r="R347" s="6">
        <f t="shared" si="40"/>
        <v>0</v>
      </c>
      <c r="S347" s="10" t="s">
        <v>1</v>
      </c>
      <c r="T347" s="2" t="s">
        <v>478</v>
      </c>
    </row>
    <row r="348" spans="1:20" ht="37.5" customHeight="1" x14ac:dyDescent="0.25">
      <c r="A348" s="2" t="s">
        <v>479</v>
      </c>
      <c r="B348">
        <f t="shared" si="35"/>
        <v>11235</v>
      </c>
      <c r="C348">
        <v>1761</v>
      </c>
      <c r="D348">
        <v>9474</v>
      </c>
      <c r="F348">
        <f t="shared" si="36"/>
        <v>127</v>
      </c>
      <c r="G348" s="3">
        <f t="shared" si="41"/>
        <v>348</v>
      </c>
      <c r="H348" s="4"/>
      <c r="I348" s="5">
        <v>241</v>
      </c>
      <c r="J348" s="6"/>
      <c r="K348" s="7">
        <v>11108</v>
      </c>
      <c r="L348" s="6">
        <f t="shared" si="37"/>
        <v>127</v>
      </c>
      <c r="M348" s="7">
        <v>1735</v>
      </c>
      <c r="N348" s="8">
        <f t="shared" si="38"/>
        <v>26</v>
      </c>
      <c r="O348" s="7">
        <v>9373</v>
      </c>
      <c r="P348" s="6">
        <f t="shared" si="39"/>
        <v>101</v>
      </c>
      <c r="Q348" s="9"/>
      <c r="R348" s="6">
        <f t="shared" si="40"/>
        <v>0</v>
      </c>
      <c r="S348" s="10" t="s">
        <v>1</v>
      </c>
      <c r="T348" s="2" t="s">
        <v>479</v>
      </c>
    </row>
    <row r="349" spans="1:20" ht="37.5" customHeight="1" x14ac:dyDescent="0.25">
      <c r="A349" s="2" t="s">
        <v>480</v>
      </c>
      <c r="B349">
        <f t="shared" si="35"/>
        <v>92667</v>
      </c>
      <c r="C349">
        <v>16364</v>
      </c>
      <c r="D349">
        <v>76303</v>
      </c>
      <c r="F349">
        <f t="shared" si="36"/>
        <v>505</v>
      </c>
      <c r="G349" s="3">
        <f t="shared" si="41"/>
        <v>349</v>
      </c>
      <c r="H349" s="4"/>
      <c r="I349" s="5">
        <v>242</v>
      </c>
      <c r="J349" s="6"/>
      <c r="K349" s="7">
        <v>92162</v>
      </c>
      <c r="L349" s="6">
        <f t="shared" si="37"/>
        <v>505</v>
      </c>
      <c r="M349" s="7">
        <v>16263</v>
      </c>
      <c r="N349" s="8">
        <f t="shared" si="38"/>
        <v>101</v>
      </c>
      <c r="O349" s="7">
        <v>75899</v>
      </c>
      <c r="P349" s="6">
        <f t="shared" si="39"/>
        <v>404</v>
      </c>
      <c r="Q349" s="9"/>
      <c r="R349" s="6">
        <f t="shared" si="40"/>
        <v>0</v>
      </c>
      <c r="S349" s="10" t="s">
        <v>1</v>
      </c>
      <c r="T349" s="2" t="s">
        <v>480</v>
      </c>
    </row>
    <row r="350" spans="1:20" ht="37.5" customHeight="1" x14ac:dyDescent="0.25">
      <c r="A350" s="2" t="s">
        <v>481</v>
      </c>
      <c r="B350">
        <f t="shared" si="35"/>
        <v>79952</v>
      </c>
      <c r="C350">
        <v>10847</v>
      </c>
      <c r="D350">
        <v>69105</v>
      </c>
      <c r="F350">
        <f t="shared" si="36"/>
        <v>344</v>
      </c>
      <c r="G350" s="3">
        <f t="shared" si="41"/>
        <v>350</v>
      </c>
      <c r="H350" s="4"/>
      <c r="I350" s="5">
        <v>243</v>
      </c>
      <c r="J350" s="6"/>
      <c r="K350" s="7">
        <v>79608</v>
      </c>
      <c r="L350" s="6">
        <f t="shared" si="37"/>
        <v>344</v>
      </c>
      <c r="M350" s="7">
        <v>10794</v>
      </c>
      <c r="N350" s="8">
        <f t="shared" si="38"/>
        <v>53</v>
      </c>
      <c r="O350" s="7">
        <v>68814</v>
      </c>
      <c r="P350" s="6">
        <f t="shared" si="39"/>
        <v>291</v>
      </c>
      <c r="Q350" s="9"/>
      <c r="R350" s="6">
        <f t="shared" si="40"/>
        <v>0</v>
      </c>
      <c r="S350" s="10" t="s">
        <v>1</v>
      </c>
      <c r="T350" s="2" t="s">
        <v>481</v>
      </c>
    </row>
    <row r="351" spans="1:20" ht="37.5" customHeight="1" x14ac:dyDescent="0.25">
      <c r="A351" s="2" t="s">
        <v>482</v>
      </c>
      <c r="B351">
        <f t="shared" si="35"/>
        <v>12958</v>
      </c>
      <c r="C351">
        <v>2991</v>
      </c>
      <c r="D351">
        <v>9967</v>
      </c>
      <c r="E351">
        <v>7729</v>
      </c>
      <c r="F351">
        <f t="shared" si="36"/>
        <v>356</v>
      </c>
      <c r="G351" s="3">
        <f t="shared" si="41"/>
        <v>351</v>
      </c>
      <c r="H351" s="4"/>
      <c r="I351" s="5">
        <v>244</v>
      </c>
      <c r="J351" s="6"/>
      <c r="K351" s="7">
        <f>M351+O351</f>
        <v>12602</v>
      </c>
      <c r="L351" s="6">
        <f t="shared" si="37"/>
        <v>356</v>
      </c>
      <c r="M351" s="7">
        <v>2896</v>
      </c>
      <c r="N351" s="8">
        <f t="shared" si="38"/>
        <v>95</v>
      </c>
      <c r="O351" s="7">
        <v>9706</v>
      </c>
      <c r="P351" s="6">
        <f t="shared" si="39"/>
        <v>261</v>
      </c>
      <c r="Q351" s="9">
        <v>7313</v>
      </c>
      <c r="R351" s="6">
        <f t="shared" si="40"/>
        <v>416</v>
      </c>
      <c r="S351" s="10" t="s">
        <v>1</v>
      </c>
      <c r="T351" s="2" t="s">
        <v>482</v>
      </c>
    </row>
    <row r="352" spans="1:20" ht="37.5" customHeight="1" x14ac:dyDescent="0.25">
      <c r="A352" s="2" t="s">
        <v>483</v>
      </c>
      <c r="B352">
        <v>9656</v>
      </c>
      <c r="F352">
        <f t="shared" si="36"/>
        <v>0</v>
      </c>
      <c r="G352" s="3">
        <f t="shared" si="41"/>
        <v>352</v>
      </c>
      <c r="H352" s="4"/>
      <c r="I352" s="5">
        <v>245</v>
      </c>
      <c r="J352" s="6"/>
      <c r="K352" s="7">
        <v>9656</v>
      </c>
      <c r="L352" s="6">
        <f t="shared" si="37"/>
        <v>0</v>
      </c>
      <c r="M352" s="7"/>
      <c r="N352" s="8">
        <f t="shared" si="38"/>
        <v>0</v>
      </c>
      <c r="O352" s="7"/>
      <c r="P352" s="6">
        <f t="shared" si="39"/>
        <v>0</v>
      </c>
      <c r="Q352" s="9"/>
      <c r="R352" s="6">
        <f t="shared" si="40"/>
        <v>0</v>
      </c>
      <c r="S352" s="10" t="s">
        <v>1</v>
      </c>
      <c r="T352" s="2" t="s">
        <v>483</v>
      </c>
    </row>
    <row r="353" spans="1:20" ht="37.5" customHeight="1" x14ac:dyDescent="0.25">
      <c r="A353" s="2" t="s">
        <v>484</v>
      </c>
      <c r="B353">
        <f t="shared" si="35"/>
        <v>22143</v>
      </c>
      <c r="C353">
        <v>4681</v>
      </c>
      <c r="D353">
        <v>17462</v>
      </c>
      <c r="E353">
        <v>2671</v>
      </c>
      <c r="F353">
        <f t="shared" si="36"/>
        <v>154</v>
      </c>
      <c r="G353" s="3">
        <f t="shared" si="41"/>
        <v>353</v>
      </c>
      <c r="H353" s="4"/>
      <c r="I353" s="5">
        <v>246</v>
      </c>
      <c r="J353" s="6"/>
      <c r="K353" s="7">
        <f>M353+O353</f>
        <v>21989</v>
      </c>
      <c r="L353" s="6">
        <f t="shared" si="37"/>
        <v>154</v>
      </c>
      <c r="M353" s="7">
        <v>4655</v>
      </c>
      <c r="N353" s="8">
        <f t="shared" si="38"/>
        <v>26</v>
      </c>
      <c r="O353" s="7">
        <v>17334</v>
      </c>
      <c r="P353" s="6">
        <f t="shared" si="39"/>
        <v>128</v>
      </c>
      <c r="Q353" s="9">
        <v>17980</v>
      </c>
      <c r="R353" s="6">
        <f t="shared" si="40"/>
        <v>-15309</v>
      </c>
      <c r="S353" s="10" t="s">
        <v>1</v>
      </c>
      <c r="T353" s="2" t="s">
        <v>484</v>
      </c>
    </row>
    <row r="354" spans="1:20" ht="37.5" customHeight="1" x14ac:dyDescent="0.25">
      <c r="A354" s="2" t="s">
        <v>485</v>
      </c>
      <c r="B354">
        <f t="shared" si="35"/>
        <v>68120</v>
      </c>
      <c r="C354">
        <v>10796</v>
      </c>
      <c r="D354">
        <v>57324</v>
      </c>
      <c r="F354">
        <f t="shared" si="36"/>
        <v>336</v>
      </c>
      <c r="G354" s="3">
        <f t="shared" si="41"/>
        <v>354</v>
      </c>
      <c r="H354" s="4"/>
      <c r="I354" s="5">
        <v>247</v>
      </c>
      <c r="J354" s="6"/>
      <c r="K354" s="7">
        <v>67784</v>
      </c>
      <c r="L354" s="6">
        <f t="shared" si="37"/>
        <v>336</v>
      </c>
      <c r="M354" s="7">
        <v>10741</v>
      </c>
      <c r="N354" s="8">
        <f t="shared" si="38"/>
        <v>55</v>
      </c>
      <c r="O354" s="7">
        <v>57043</v>
      </c>
      <c r="P354" s="6">
        <f t="shared" si="39"/>
        <v>281</v>
      </c>
      <c r="Q354" s="9"/>
      <c r="R354" s="6">
        <f t="shared" si="40"/>
        <v>0</v>
      </c>
      <c r="S354" s="10" t="s">
        <v>1</v>
      </c>
      <c r="T354" s="2" t="s">
        <v>485</v>
      </c>
    </row>
    <row r="355" spans="1:20" ht="37.5" customHeight="1" x14ac:dyDescent="0.25">
      <c r="A355" s="2" t="s">
        <v>486</v>
      </c>
      <c r="B355">
        <f t="shared" si="35"/>
        <v>54670</v>
      </c>
      <c r="C355">
        <v>9145</v>
      </c>
      <c r="D355">
        <v>45525</v>
      </c>
      <c r="F355">
        <f t="shared" si="36"/>
        <v>31</v>
      </c>
      <c r="G355" s="3">
        <f t="shared" si="41"/>
        <v>355</v>
      </c>
      <c r="H355" s="4"/>
      <c r="I355" s="5">
        <v>248</v>
      </c>
      <c r="J355" s="6"/>
      <c r="K355" s="7">
        <v>54639</v>
      </c>
      <c r="L355" s="6">
        <f t="shared" si="37"/>
        <v>31</v>
      </c>
      <c r="M355" s="7">
        <v>9139</v>
      </c>
      <c r="N355" s="8">
        <f t="shared" si="38"/>
        <v>6</v>
      </c>
      <c r="O355" s="7">
        <v>45500</v>
      </c>
      <c r="P355" s="6">
        <f t="shared" si="39"/>
        <v>25</v>
      </c>
      <c r="Q355" s="9"/>
      <c r="R355" s="6">
        <f t="shared" si="40"/>
        <v>0</v>
      </c>
      <c r="S355" s="10" t="s">
        <v>1</v>
      </c>
      <c r="T355" s="2" t="s">
        <v>486</v>
      </c>
    </row>
    <row r="356" spans="1:20" ht="37.5" customHeight="1" x14ac:dyDescent="0.25">
      <c r="A356" s="2" t="s">
        <v>487</v>
      </c>
      <c r="B356">
        <f t="shared" si="35"/>
        <v>14203</v>
      </c>
      <c r="C356">
        <v>2559</v>
      </c>
      <c r="D356">
        <v>11644</v>
      </c>
      <c r="F356">
        <f t="shared" si="36"/>
        <v>134</v>
      </c>
      <c r="G356" s="3">
        <f t="shared" si="41"/>
        <v>356</v>
      </c>
      <c r="H356" s="4"/>
      <c r="I356" s="5">
        <v>251</v>
      </c>
      <c r="J356" s="6"/>
      <c r="K356" s="7">
        <v>14069</v>
      </c>
      <c r="L356" s="6">
        <f t="shared" si="37"/>
        <v>134</v>
      </c>
      <c r="M356" s="7">
        <v>2536</v>
      </c>
      <c r="N356" s="8">
        <f t="shared" si="38"/>
        <v>23</v>
      </c>
      <c r="O356" s="7">
        <v>11533</v>
      </c>
      <c r="P356" s="6">
        <f t="shared" si="39"/>
        <v>111</v>
      </c>
      <c r="Q356" s="9"/>
      <c r="R356" s="6">
        <f t="shared" si="40"/>
        <v>0</v>
      </c>
      <c r="S356" s="10" t="s">
        <v>1</v>
      </c>
      <c r="T356" s="2" t="s">
        <v>487</v>
      </c>
    </row>
    <row r="357" spans="1:20" ht="37.5" customHeight="1" x14ac:dyDescent="0.25">
      <c r="A357" s="2" t="s">
        <v>488</v>
      </c>
      <c r="B357">
        <f t="shared" si="35"/>
        <v>52058</v>
      </c>
      <c r="C357">
        <v>21403</v>
      </c>
      <c r="D357">
        <v>30655</v>
      </c>
      <c r="F357">
        <f t="shared" si="36"/>
        <v>233</v>
      </c>
      <c r="G357" s="3">
        <f t="shared" si="41"/>
        <v>357</v>
      </c>
      <c r="H357" s="4"/>
      <c r="I357" s="5">
        <v>252</v>
      </c>
      <c r="J357" s="6"/>
      <c r="K357" s="7">
        <v>51825</v>
      </c>
      <c r="L357" s="6">
        <f t="shared" si="37"/>
        <v>233</v>
      </c>
      <c r="M357" s="7">
        <v>21363</v>
      </c>
      <c r="N357" s="8">
        <f t="shared" si="38"/>
        <v>40</v>
      </c>
      <c r="O357" s="7">
        <v>30462</v>
      </c>
      <c r="P357" s="6">
        <f t="shared" si="39"/>
        <v>193</v>
      </c>
      <c r="Q357" s="9"/>
      <c r="R357" s="6">
        <f t="shared" si="40"/>
        <v>0</v>
      </c>
      <c r="S357" s="10" t="s">
        <v>1</v>
      </c>
      <c r="T357" s="2" t="s">
        <v>488</v>
      </c>
    </row>
    <row r="358" spans="1:20" ht="37.5" customHeight="1" x14ac:dyDescent="0.25">
      <c r="A358" s="2" t="s">
        <v>489</v>
      </c>
      <c r="B358">
        <f t="shared" si="35"/>
        <v>86863</v>
      </c>
      <c r="C358">
        <v>13678</v>
      </c>
      <c r="D358">
        <v>73185</v>
      </c>
      <c r="F358">
        <f t="shared" si="36"/>
        <v>178</v>
      </c>
      <c r="G358" s="3">
        <f t="shared" si="41"/>
        <v>358</v>
      </c>
      <c r="H358" s="4"/>
      <c r="I358" s="5">
        <v>253</v>
      </c>
      <c r="J358" s="6"/>
      <c r="K358" s="7">
        <v>86685</v>
      </c>
      <c r="L358" s="6">
        <f t="shared" si="37"/>
        <v>178</v>
      </c>
      <c r="M358" s="7">
        <v>13650</v>
      </c>
      <c r="N358" s="8">
        <f t="shared" si="38"/>
        <v>28</v>
      </c>
      <c r="O358" s="7">
        <v>73035</v>
      </c>
      <c r="P358" s="6">
        <f t="shared" si="39"/>
        <v>150</v>
      </c>
      <c r="Q358" s="9"/>
      <c r="R358" s="6">
        <f t="shared" si="40"/>
        <v>0</v>
      </c>
      <c r="S358" s="10" t="s">
        <v>1</v>
      </c>
      <c r="T358" s="2" t="s">
        <v>489</v>
      </c>
    </row>
    <row r="359" spans="1:20" ht="37.5" customHeight="1" x14ac:dyDescent="0.25">
      <c r="A359" s="2" t="s">
        <v>490</v>
      </c>
      <c r="B359">
        <f t="shared" si="35"/>
        <v>8814</v>
      </c>
      <c r="C359">
        <v>1478</v>
      </c>
      <c r="D359">
        <v>7336</v>
      </c>
      <c r="F359">
        <f t="shared" si="36"/>
        <v>297</v>
      </c>
      <c r="G359" s="3">
        <f t="shared" si="41"/>
        <v>359</v>
      </c>
      <c r="H359" s="4"/>
      <c r="I359" s="5">
        <v>254</v>
      </c>
      <c r="J359" s="6"/>
      <c r="K359" s="7">
        <v>8517</v>
      </c>
      <c r="L359" s="6">
        <f t="shared" si="37"/>
        <v>297</v>
      </c>
      <c r="M359" s="7">
        <v>1430</v>
      </c>
      <c r="N359" s="8">
        <f t="shared" si="38"/>
        <v>48</v>
      </c>
      <c r="O359" s="7">
        <v>7087</v>
      </c>
      <c r="P359" s="6">
        <f t="shared" si="39"/>
        <v>249</v>
      </c>
      <c r="Q359" s="9"/>
      <c r="R359" s="6">
        <f t="shared" si="40"/>
        <v>0</v>
      </c>
      <c r="S359" s="10" t="s">
        <v>1</v>
      </c>
      <c r="T359" s="2" t="s">
        <v>490</v>
      </c>
    </row>
    <row r="360" spans="1:20" ht="37.5" customHeight="1" x14ac:dyDescent="0.25">
      <c r="A360" s="2" t="s">
        <v>491</v>
      </c>
      <c r="B360">
        <f t="shared" si="35"/>
        <v>21232</v>
      </c>
      <c r="C360">
        <v>3495</v>
      </c>
      <c r="D360">
        <v>17737</v>
      </c>
      <c r="F360">
        <f t="shared" si="36"/>
        <v>421</v>
      </c>
      <c r="G360" s="3">
        <f t="shared" si="41"/>
        <v>360</v>
      </c>
      <c r="H360" s="4"/>
      <c r="I360" s="5">
        <v>255</v>
      </c>
      <c r="J360" s="6"/>
      <c r="K360" s="7">
        <v>20811</v>
      </c>
      <c r="L360" s="6">
        <f t="shared" si="37"/>
        <v>421</v>
      </c>
      <c r="M360" s="7">
        <v>3449</v>
      </c>
      <c r="N360" s="8">
        <f t="shared" si="38"/>
        <v>46</v>
      </c>
      <c r="O360" s="7">
        <v>17362</v>
      </c>
      <c r="P360" s="6">
        <f t="shared" si="39"/>
        <v>375</v>
      </c>
      <c r="Q360" s="9"/>
      <c r="R360" s="6">
        <f t="shared" si="40"/>
        <v>0</v>
      </c>
      <c r="S360" s="10" t="s">
        <v>1</v>
      </c>
      <c r="T360" s="2" t="s">
        <v>491</v>
      </c>
    </row>
    <row r="361" spans="1:20" ht="37.5" customHeight="1" x14ac:dyDescent="0.25">
      <c r="A361" s="2" t="s">
        <v>492</v>
      </c>
      <c r="B361">
        <f t="shared" si="35"/>
        <v>44788</v>
      </c>
      <c r="C361">
        <v>6622</v>
      </c>
      <c r="D361">
        <v>38166</v>
      </c>
      <c r="F361">
        <f t="shared" si="36"/>
        <v>429</v>
      </c>
      <c r="G361" s="3">
        <f t="shared" si="41"/>
        <v>361</v>
      </c>
      <c r="H361" s="4"/>
      <c r="I361" s="5">
        <v>256</v>
      </c>
      <c r="J361" s="6"/>
      <c r="K361" s="7">
        <v>44359</v>
      </c>
      <c r="L361" s="6">
        <f t="shared" si="37"/>
        <v>429</v>
      </c>
      <c r="M361" s="7">
        <v>6573</v>
      </c>
      <c r="N361" s="8">
        <f t="shared" si="38"/>
        <v>49</v>
      </c>
      <c r="O361" s="7">
        <v>37786</v>
      </c>
      <c r="P361" s="6">
        <f t="shared" si="39"/>
        <v>380</v>
      </c>
      <c r="Q361" s="9"/>
      <c r="R361" s="6">
        <f t="shared" si="40"/>
        <v>0</v>
      </c>
      <c r="S361" s="10" t="s">
        <v>1</v>
      </c>
      <c r="T361" s="2" t="s">
        <v>492</v>
      </c>
    </row>
    <row r="362" spans="1:20" ht="37.5" customHeight="1" x14ac:dyDescent="0.25">
      <c r="A362" s="2" t="s">
        <v>493</v>
      </c>
      <c r="B362">
        <f t="shared" si="35"/>
        <v>2757</v>
      </c>
      <c r="C362">
        <v>727</v>
      </c>
      <c r="D362">
        <v>2030</v>
      </c>
      <c r="E362">
        <v>3285</v>
      </c>
      <c r="F362">
        <f t="shared" si="36"/>
        <v>518</v>
      </c>
      <c r="G362" s="3">
        <f t="shared" si="41"/>
        <v>362</v>
      </c>
      <c r="H362" s="4"/>
      <c r="I362" s="5">
        <v>257</v>
      </c>
      <c r="J362" s="6"/>
      <c r="K362" s="7">
        <f>M362+O362</f>
        <v>2239</v>
      </c>
      <c r="L362" s="6">
        <f t="shared" si="37"/>
        <v>518</v>
      </c>
      <c r="M362" s="7">
        <v>596</v>
      </c>
      <c r="N362" s="8">
        <f t="shared" si="38"/>
        <v>131</v>
      </c>
      <c r="O362" s="7">
        <v>1643</v>
      </c>
      <c r="P362" s="6">
        <f t="shared" si="39"/>
        <v>387</v>
      </c>
      <c r="Q362" s="9">
        <v>2510</v>
      </c>
      <c r="R362" s="6">
        <f t="shared" si="40"/>
        <v>775</v>
      </c>
      <c r="S362" s="10" t="s">
        <v>1</v>
      </c>
      <c r="T362" s="2" t="s">
        <v>493</v>
      </c>
    </row>
    <row r="363" spans="1:20" ht="37.5" customHeight="1" x14ac:dyDescent="0.25">
      <c r="A363" s="2" t="s">
        <v>494</v>
      </c>
      <c r="B363">
        <f t="shared" si="35"/>
        <v>17749</v>
      </c>
      <c r="C363">
        <v>3069</v>
      </c>
      <c r="D363">
        <v>14680</v>
      </c>
      <c r="F363">
        <f t="shared" si="36"/>
        <v>0</v>
      </c>
      <c r="G363" s="3">
        <f t="shared" si="41"/>
        <v>363</v>
      </c>
      <c r="H363" s="4"/>
      <c r="I363" s="5">
        <v>258</v>
      </c>
      <c r="J363" s="6"/>
      <c r="K363" s="7">
        <v>17749</v>
      </c>
      <c r="L363" s="6">
        <f t="shared" si="37"/>
        <v>0</v>
      </c>
      <c r="M363" s="7">
        <v>3069</v>
      </c>
      <c r="N363" s="8">
        <f t="shared" si="38"/>
        <v>0</v>
      </c>
      <c r="O363" s="7">
        <v>14680</v>
      </c>
      <c r="P363" s="6">
        <f t="shared" si="39"/>
        <v>0</v>
      </c>
      <c r="Q363" s="9"/>
      <c r="R363" s="6">
        <f t="shared" si="40"/>
        <v>0</v>
      </c>
      <c r="S363" s="10" t="s">
        <v>1</v>
      </c>
      <c r="T363" s="2" t="s">
        <v>494</v>
      </c>
    </row>
    <row r="364" spans="1:20" ht="37.5" customHeight="1" x14ac:dyDescent="0.25">
      <c r="A364" s="2" t="s">
        <v>495</v>
      </c>
      <c r="B364">
        <f t="shared" si="35"/>
        <v>77534</v>
      </c>
      <c r="C364">
        <v>11945</v>
      </c>
      <c r="D364">
        <v>65589</v>
      </c>
      <c r="F364">
        <f t="shared" si="36"/>
        <v>388</v>
      </c>
      <c r="G364" s="3">
        <f t="shared" si="41"/>
        <v>364</v>
      </c>
      <c r="H364" s="4"/>
      <c r="I364" s="5">
        <v>259</v>
      </c>
      <c r="J364" s="6"/>
      <c r="K364" s="7">
        <v>77146</v>
      </c>
      <c r="L364" s="6">
        <f t="shared" si="37"/>
        <v>388</v>
      </c>
      <c r="M364" s="7">
        <v>11881</v>
      </c>
      <c r="N364" s="8">
        <f t="shared" si="38"/>
        <v>64</v>
      </c>
      <c r="O364" s="7">
        <v>65265</v>
      </c>
      <c r="P364" s="6">
        <f t="shared" si="39"/>
        <v>324</v>
      </c>
      <c r="Q364" s="9"/>
      <c r="R364" s="6">
        <f t="shared" si="40"/>
        <v>0</v>
      </c>
      <c r="S364" s="10" t="s">
        <v>1</v>
      </c>
      <c r="T364" s="2" t="s">
        <v>495</v>
      </c>
    </row>
    <row r="365" spans="1:20" ht="37.5" customHeight="1" x14ac:dyDescent="0.25">
      <c r="A365" s="2" t="s">
        <v>496</v>
      </c>
      <c r="B365">
        <f t="shared" si="35"/>
        <v>5976</v>
      </c>
      <c r="C365">
        <v>1020</v>
      </c>
      <c r="D365">
        <v>4956</v>
      </c>
      <c r="F365">
        <f t="shared" si="36"/>
        <v>133</v>
      </c>
      <c r="G365" s="3">
        <f t="shared" si="41"/>
        <v>365</v>
      </c>
      <c r="H365" s="4"/>
      <c r="I365" s="5">
        <v>260</v>
      </c>
      <c r="J365" s="6"/>
      <c r="K365" s="7">
        <v>5843</v>
      </c>
      <c r="L365" s="6">
        <f t="shared" si="37"/>
        <v>133</v>
      </c>
      <c r="M365" s="7">
        <v>995</v>
      </c>
      <c r="N365" s="8">
        <f t="shared" si="38"/>
        <v>25</v>
      </c>
      <c r="O365" s="7">
        <v>4848</v>
      </c>
      <c r="P365" s="6">
        <f t="shared" si="39"/>
        <v>108</v>
      </c>
      <c r="Q365" s="9"/>
      <c r="R365" s="6">
        <f t="shared" si="40"/>
        <v>0</v>
      </c>
      <c r="S365" s="10" t="s">
        <v>1</v>
      </c>
      <c r="T365" s="2" t="s">
        <v>496</v>
      </c>
    </row>
    <row r="366" spans="1:20" ht="37.5" customHeight="1" x14ac:dyDescent="0.25">
      <c r="A366" s="2" t="s">
        <v>497</v>
      </c>
      <c r="B366">
        <f t="shared" si="35"/>
        <v>3542</v>
      </c>
      <c r="C366">
        <v>939</v>
      </c>
      <c r="D366">
        <v>2603</v>
      </c>
      <c r="E366">
        <v>2595</v>
      </c>
      <c r="F366">
        <f t="shared" si="36"/>
        <v>702</v>
      </c>
      <c r="G366" s="3">
        <f t="shared" si="41"/>
        <v>366</v>
      </c>
      <c r="H366" s="4"/>
      <c r="I366" s="5">
        <v>261</v>
      </c>
      <c r="J366" s="6"/>
      <c r="K366" s="7">
        <f>M366+O366</f>
        <v>2840</v>
      </c>
      <c r="L366" s="6">
        <f t="shared" si="37"/>
        <v>702</v>
      </c>
      <c r="M366" s="7">
        <v>772</v>
      </c>
      <c r="N366" s="8">
        <f t="shared" si="38"/>
        <v>167</v>
      </c>
      <c r="O366" s="7">
        <v>2068</v>
      </c>
      <c r="P366" s="6">
        <f t="shared" si="39"/>
        <v>535</v>
      </c>
      <c r="Q366" s="9">
        <v>2116</v>
      </c>
      <c r="R366" s="6">
        <f t="shared" si="40"/>
        <v>479</v>
      </c>
      <c r="S366" s="10" t="s">
        <v>1</v>
      </c>
      <c r="T366" s="2" t="s">
        <v>497</v>
      </c>
    </row>
    <row r="367" spans="1:20" ht="37.5" customHeight="1" x14ac:dyDescent="0.25">
      <c r="A367" s="2" t="s">
        <v>498</v>
      </c>
      <c r="B367">
        <f t="shared" si="35"/>
        <v>95059</v>
      </c>
      <c r="C367">
        <v>15160</v>
      </c>
      <c r="D367">
        <v>79899</v>
      </c>
      <c r="F367">
        <f t="shared" si="36"/>
        <v>127</v>
      </c>
      <c r="G367" s="3">
        <f t="shared" si="41"/>
        <v>367</v>
      </c>
      <c r="H367" s="4"/>
      <c r="I367" s="5">
        <v>262</v>
      </c>
      <c r="J367" s="6"/>
      <c r="K367" s="7">
        <v>94932</v>
      </c>
      <c r="L367" s="6">
        <f t="shared" si="37"/>
        <v>127</v>
      </c>
      <c r="M367" s="7">
        <v>15150</v>
      </c>
      <c r="N367" s="8">
        <f t="shared" si="38"/>
        <v>10</v>
      </c>
      <c r="O367" s="7">
        <v>79782</v>
      </c>
      <c r="P367" s="6">
        <f t="shared" si="39"/>
        <v>117</v>
      </c>
      <c r="Q367" s="9"/>
      <c r="R367" s="6">
        <f t="shared" si="40"/>
        <v>0</v>
      </c>
      <c r="S367" s="10" t="s">
        <v>1</v>
      </c>
      <c r="T367" s="2" t="s">
        <v>498</v>
      </c>
    </row>
    <row r="368" spans="1:20" ht="37.5" customHeight="1" x14ac:dyDescent="0.25">
      <c r="A368" s="2" t="s">
        <v>499</v>
      </c>
      <c r="B368">
        <f t="shared" si="35"/>
        <v>13110</v>
      </c>
      <c r="C368">
        <v>2178</v>
      </c>
      <c r="D368">
        <v>10932</v>
      </c>
      <c r="F368">
        <f t="shared" si="36"/>
        <v>8</v>
      </c>
      <c r="G368" s="3">
        <f t="shared" si="41"/>
        <v>368</v>
      </c>
      <c r="H368" s="4"/>
      <c r="I368" s="5">
        <v>263</v>
      </c>
      <c r="J368" s="6"/>
      <c r="K368" s="7">
        <v>13102</v>
      </c>
      <c r="L368" s="6">
        <f t="shared" si="37"/>
        <v>8</v>
      </c>
      <c r="M368" s="7">
        <v>2177</v>
      </c>
      <c r="N368" s="8">
        <f t="shared" si="38"/>
        <v>1</v>
      </c>
      <c r="O368" s="7">
        <v>10925</v>
      </c>
      <c r="P368" s="6">
        <f t="shared" si="39"/>
        <v>7</v>
      </c>
      <c r="Q368" s="9"/>
      <c r="R368" s="6">
        <f t="shared" si="40"/>
        <v>0</v>
      </c>
      <c r="S368" s="10" t="s">
        <v>1</v>
      </c>
      <c r="T368" s="2" t="s">
        <v>499</v>
      </c>
    </row>
    <row r="369" spans="1:20" ht="37.5" customHeight="1" x14ac:dyDescent="0.25">
      <c r="A369" s="2" t="s">
        <v>500</v>
      </c>
      <c r="B369">
        <f t="shared" si="35"/>
        <v>945</v>
      </c>
      <c r="C369">
        <v>150</v>
      </c>
      <c r="D369">
        <v>795</v>
      </c>
      <c r="F369">
        <f t="shared" si="36"/>
        <v>0</v>
      </c>
      <c r="G369" s="3">
        <f t="shared" si="41"/>
        <v>369</v>
      </c>
      <c r="H369" s="4"/>
      <c r="I369" s="5">
        <v>264</v>
      </c>
      <c r="J369" s="6"/>
      <c r="K369" s="7">
        <v>945</v>
      </c>
      <c r="L369" s="6">
        <f t="shared" si="37"/>
        <v>0</v>
      </c>
      <c r="M369" s="7">
        <v>150</v>
      </c>
      <c r="N369" s="8">
        <f t="shared" si="38"/>
        <v>0</v>
      </c>
      <c r="O369" s="7">
        <v>795</v>
      </c>
      <c r="P369" s="6">
        <f t="shared" si="39"/>
        <v>0</v>
      </c>
      <c r="Q369" s="9"/>
      <c r="R369" s="6">
        <f t="shared" si="40"/>
        <v>0</v>
      </c>
      <c r="S369" s="10" t="s">
        <v>1</v>
      </c>
      <c r="T369" s="2" t="s">
        <v>500</v>
      </c>
    </row>
    <row r="370" spans="1:20" ht="37.5" customHeight="1" x14ac:dyDescent="0.25">
      <c r="A370" s="2" t="s">
        <v>501</v>
      </c>
      <c r="B370">
        <f t="shared" si="35"/>
        <v>60432</v>
      </c>
      <c r="C370">
        <v>9860</v>
      </c>
      <c r="D370">
        <v>50572</v>
      </c>
      <c r="F370">
        <f t="shared" si="36"/>
        <v>224</v>
      </c>
      <c r="G370" s="3">
        <f t="shared" si="41"/>
        <v>370</v>
      </c>
      <c r="H370" s="4"/>
      <c r="I370" s="5">
        <v>265</v>
      </c>
      <c r="J370" s="6"/>
      <c r="K370" s="7">
        <v>60208</v>
      </c>
      <c r="L370" s="6">
        <f t="shared" si="37"/>
        <v>224</v>
      </c>
      <c r="M370" s="7">
        <v>9818</v>
      </c>
      <c r="N370" s="8">
        <f t="shared" si="38"/>
        <v>42</v>
      </c>
      <c r="O370" s="7">
        <v>50390</v>
      </c>
      <c r="P370" s="6">
        <f t="shared" si="39"/>
        <v>182</v>
      </c>
      <c r="Q370" s="9"/>
      <c r="R370" s="6">
        <f t="shared" si="40"/>
        <v>0</v>
      </c>
      <c r="S370" s="10" t="s">
        <v>1</v>
      </c>
      <c r="T370" s="2" t="s">
        <v>501</v>
      </c>
    </row>
    <row r="371" spans="1:20" ht="37.5" customHeight="1" x14ac:dyDescent="0.25">
      <c r="A371" s="2" t="s">
        <v>502</v>
      </c>
      <c r="B371">
        <f t="shared" si="35"/>
        <v>44447</v>
      </c>
      <c r="C371">
        <v>7352</v>
      </c>
      <c r="D371">
        <v>37095</v>
      </c>
      <c r="F371">
        <f t="shared" si="36"/>
        <v>188</v>
      </c>
      <c r="G371" s="3">
        <f t="shared" si="41"/>
        <v>371</v>
      </c>
      <c r="H371" s="4"/>
      <c r="I371" s="5">
        <v>266</v>
      </c>
      <c r="J371" s="6"/>
      <c r="K371" s="7">
        <v>44259</v>
      </c>
      <c r="L371" s="6">
        <f t="shared" si="37"/>
        <v>188</v>
      </c>
      <c r="M371" s="7">
        <v>7315</v>
      </c>
      <c r="N371" s="8">
        <f t="shared" si="38"/>
        <v>37</v>
      </c>
      <c r="O371" s="7">
        <v>36944</v>
      </c>
      <c r="P371" s="6">
        <f t="shared" si="39"/>
        <v>151</v>
      </c>
      <c r="Q371" s="9"/>
      <c r="R371" s="6">
        <f t="shared" si="40"/>
        <v>0</v>
      </c>
      <c r="S371" s="10" t="s">
        <v>1</v>
      </c>
      <c r="T371" s="2" t="s">
        <v>502</v>
      </c>
    </row>
    <row r="372" spans="1:20" ht="37.5" customHeight="1" x14ac:dyDescent="0.25">
      <c r="A372" s="2" t="s">
        <v>503</v>
      </c>
      <c r="B372">
        <f t="shared" si="35"/>
        <v>55911</v>
      </c>
      <c r="C372">
        <v>8663</v>
      </c>
      <c r="D372">
        <v>47248</v>
      </c>
      <c r="F372">
        <f t="shared" si="36"/>
        <v>947</v>
      </c>
      <c r="G372" s="3">
        <f t="shared" si="41"/>
        <v>372</v>
      </c>
      <c r="H372" s="4"/>
      <c r="I372" s="5">
        <v>267</v>
      </c>
      <c r="J372" s="6"/>
      <c r="K372" s="7">
        <v>54964</v>
      </c>
      <c r="L372" s="6">
        <f t="shared" si="37"/>
        <v>947</v>
      </c>
      <c r="M372" s="7">
        <v>8493</v>
      </c>
      <c r="N372" s="8">
        <f t="shared" si="38"/>
        <v>170</v>
      </c>
      <c r="O372" s="7">
        <v>46471</v>
      </c>
      <c r="P372" s="6">
        <f t="shared" si="39"/>
        <v>777</v>
      </c>
      <c r="Q372" s="9"/>
      <c r="R372" s="6">
        <f t="shared" si="40"/>
        <v>0</v>
      </c>
      <c r="S372" s="10" t="s">
        <v>1</v>
      </c>
      <c r="T372" s="2" t="s">
        <v>503</v>
      </c>
    </row>
    <row r="373" spans="1:20" ht="37.5" customHeight="1" x14ac:dyDescent="0.25">
      <c r="A373" s="2" t="s">
        <v>504</v>
      </c>
      <c r="B373">
        <f t="shared" si="35"/>
        <v>21202</v>
      </c>
      <c r="C373">
        <v>3207</v>
      </c>
      <c r="D373">
        <v>17995</v>
      </c>
      <c r="F373">
        <f t="shared" si="36"/>
        <v>254</v>
      </c>
      <c r="G373" s="3">
        <f t="shared" si="41"/>
        <v>373</v>
      </c>
      <c r="H373" s="4"/>
      <c r="I373" s="5">
        <v>268</v>
      </c>
      <c r="J373" s="6"/>
      <c r="K373" s="7">
        <v>20948</v>
      </c>
      <c r="L373" s="6">
        <f t="shared" si="37"/>
        <v>254</v>
      </c>
      <c r="M373" s="7">
        <v>3166</v>
      </c>
      <c r="N373" s="8">
        <f t="shared" si="38"/>
        <v>41</v>
      </c>
      <c r="O373" s="7">
        <v>17782</v>
      </c>
      <c r="P373" s="6">
        <f t="shared" si="39"/>
        <v>213</v>
      </c>
      <c r="Q373" s="9"/>
      <c r="R373" s="6">
        <f t="shared" si="40"/>
        <v>0</v>
      </c>
      <c r="S373" s="10" t="s">
        <v>1</v>
      </c>
      <c r="T373" s="2" t="s">
        <v>504</v>
      </c>
    </row>
    <row r="374" spans="1:20" ht="37.5" customHeight="1" x14ac:dyDescent="0.25">
      <c r="A374" s="2" t="s">
        <v>505</v>
      </c>
      <c r="B374">
        <f t="shared" si="35"/>
        <v>18413</v>
      </c>
      <c r="C374">
        <v>3340</v>
      </c>
      <c r="D374">
        <v>15073</v>
      </c>
      <c r="F374">
        <f t="shared" si="36"/>
        <v>633</v>
      </c>
      <c r="G374" s="3">
        <f t="shared" si="41"/>
        <v>374</v>
      </c>
      <c r="H374" s="4"/>
      <c r="I374" s="5">
        <v>269</v>
      </c>
      <c r="J374" s="6"/>
      <c r="K374" s="7">
        <v>17780</v>
      </c>
      <c r="L374" s="6">
        <f t="shared" si="37"/>
        <v>633</v>
      </c>
      <c r="M374" s="7">
        <v>3223</v>
      </c>
      <c r="N374" s="8">
        <f t="shared" si="38"/>
        <v>117</v>
      </c>
      <c r="O374" s="7">
        <v>14557</v>
      </c>
      <c r="P374" s="6">
        <f t="shared" si="39"/>
        <v>516</v>
      </c>
      <c r="Q374" s="9"/>
      <c r="R374" s="6">
        <f t="shared" si="40"/>
        <v>0</v>
      </c>
      <c r="S374" s="10" t="s">
        <v>1</v>
      </c>
      <c r="T374" s="2" t="s">
        <v>505</v>
      </c>
    </row>
    <row r="375" spans="1:20" ht="37.5" customHeight="1" x14ac:dyDescent="0.25">
      <c r="A375" s="2" t="s">
        <v>506</v>
      </c>
      <c r="B375">
        <f t="shared" si="35"/>
        <v>73194</v>
      </c>
      <c r="C375">
        <v>10417</v>
      </c>
      <c r="D375">
        <v>62777</v>
      </c>
      <c r="F375">
        <f t="shared" si="36"/>
        <v>364</v>
      </c>
      <c r="G375" s="3">
        <f t="shared" si="41"/>
        <v>375</v>
      </c>
      <c r="H375" s="4"/>
      <c r="I375" s="5">
        <v>270</v>
      </c>
      <c r="J375" s="6"/>
      <c r="K375" s="7">
        <v>72830</v>
      </c>
      <c r="L375" s="6">
        <f t="shared" si="37"/>
        <v>364</v>
      </c>
      <c r="M375" s="7">
        <v>10362</v>
      </c>
      <c r="N375" s="8">
        <f t="shared" si="38"/>
        <v>55</v>
      </c>
      <c r="O375" s="7">
        <v>62468</v>
      </c>
      <c r="P375" s="6">
        <f t="shared" si="39"/>
        <v>309</v>
      </c>
      <c r="Q375" s="9"/>
      <c r="R375" s="6">
        <f t="shared" si="40"/>
        <v>0</v>
      </c>
      <c r="S375" s="10" t="s">
        <v>1</v>
      </c>
      <c r="T375" s="2" t="s">
        <v>506</v>
      </c>
    </row>
    <row r="376" spans="1:20" ht="37.5" customHeight="1" x14ac:dyDescent="0.25">
      <c r="A376" s="2" t="s">
        <v>507</v>
      </c>
      <c r="B376">
        <f t="shared" si="35"/>
        <v>21766</v>
      </c>
      <c r="C376">
        <v>5004</v>
      </c>
      <c r="D376">
        <v>16762</v>
      </c>
      <c r="F376">
        <f t="shared" si="36"/>
        <v>367</v>
      </c>
      <c r="G376" s="3">
        <f t="shared" si="41"/>
        <v>376</v>
      </c>
      <c r="H376" s="4"/>
      <c r="I376" s="5">
        <v>271</v>
      </c>
      <c r="J376" s="6"/>
      <c r="K376" s="7">
        <v>21399</v>
      </c>
      <c r="L376" s="6">
        <f t="shared" si="37"/>
        <v>367</v>
      </c>
      <c r="M376" s="7">
        <v>4949</v>
      </c>
      <c r="N376" s="8">
        <f t="shared" si="38"/>
        <v>55</v>
      </c>
      <c r="O376" s="7">
        <v>16450</v>
      </c>
      <c r="P376" s="6">
        <f t="shared" si="39"/>
        <v>312</v>
      </c>
      <c r="Q376" s="9"/>
      <c r="R376" s="6">
        <f t="shared" si="40"/>
        <v>0</v>
      </c>
      <c r="S376" s="10" t="s">
        <v>1</v>
      </c>
      <c r="T376" s="2" t="s">
        <v>507</v>
      </c>
    </row>
    <row r="377" spans="1:20" ht="37.5" customHeight="1" x14ac:dyDescent="0.25">
      <c r="A377" s="2" t="s">
        <v>508</v>
      </c>
      <c r="B377">
        <f t="shared" si="35"/>
        <v>23099</v>
      </c>
      <c r="C377" s="23">
        <v>4590</v>
      </c>
      <c r="D377" s="23">
        <v>18509</v>
      </c>
      <c r="F377">
        <f t="shared" si="36"/>
        <v>81</v>
      </c>
      <c r="G377" s="3">
        <f t="shared" si="41"/>
        <v>377</v>
      </c>
      <c r="H377" s="4"/>
      <c r="I377" s="5">
        <v>272</v>
      </c>
      <c r="J377" s="6"/>
      <c r="K377" s="7">
        <v>23018</v>
      </c>
      <c r="L377" s="6">
        <f t="shared" si="37"/>
        <v>81</v>
      </c>
      <c r="M377" s="7">
        <v>4577</v>
      </c>
      <c r="N377" s="8">
        <f t="shared" si="38"/>
        <v>13</v>
      </c>
      <c r="O377" s="7">
        <v>18441</v>
      </c>
      <c r="P377" s="6">
        <f t="shared" si="39"/>
        <v>68</v>
      </c>
      <c r="Q377" s="9"/>
      <c r="R377" s="6">
        <f t="shared" si="40"/>
        <v>0</v>
      </c>
      <c r="S377" s="10" t="s">
        <v>1</v>
      </c>
      <c r="T377" s="2" t="s">
        <v>508</v>
      </c>
    </row>
    <row r="378" spans="1:20" ht="37.5" customHeight="1" x14ac:dyDescent="0.25">
      <c r="A378" s="2" t="s">
        <v>509</v>
      </c>
      <c r="B378">
        <f t="shared" si="35"/>
        <v>31072</v>
      </c>
      <c r="C378">
        <v>3950</v>
      </c>
      <c r="D378">
        <v>27122</v>
      </c>
      <c r="F378">
        <f t="shared" si="36"/>
        <v>112</v>
      </c>
      <c r="G378" s="3">
        <f t="shared" si="41"/>
        <v>378</v>
      </c>
      <c r="H378" s="4"/>
      <c r="I378" s="5">
        <v>273</v>
      </c>
      <c r="J378" s="6"/>
      <c r="K378" s="7">
        <v>30960</v>
      </c>
      <c r="L378" s="6">
        <f t="shared" si="37"/>
        <v>112</v>
      </c>
      <c r="M378" s="7">
        <v>3944</v>
      </c>
      <c r="N378" s="8">
        <f t="shared" si="38"/>
        <v>6</v>
      </c>
      <c r="O378" s="7">
        <v>27016</v>
      </c>
      <c r="P378" s="6">
        <f t="shared" si="39"/>
        <v>106</v>
      </c>
      <c r="Q378" s="9"/>
      <c r="R378" s="6">
        <f t="shared" si="40"/>
        <v>0</v>
      </c>
      <c r="S378" s="10" t="s">
        <v>1</v>
      </c>
      <c r="T378" s="2" t="s">
        <v>509</v>
      </c>
    </row>
    <row r="379" spans="1:20" ht="37.5" customHeight="1" x14ac:dyDescent="0.25">
      <c r="A379" s="2" t="s">
        <v>510</v>
      </c>
      <c r="B379">
        <f t="shared" si="35"/>
        <v>27841</v>
      </c>
      <c r="C379">
        <v>4254</v>
      </c>
      <c r="D379">
        <v>23587</v>
      </c>
      <c r="F379">
        <f t="shared" si="36"/>
        <v>338</v>
      </c>
      <c r="G379" s="3">
        <f t="shared" si="41"/>
        <v>379</v>
      </c>
      <c r="H379" s="4"/>
      <c r="I379" s="5">
        <v>274</v>
      </c>
      <c r="J379" s="6"/>
      <c r="K379" s="7">
        <v>27503</v>
      </c>
      <c r="L379" s="6">
        <f t="shared" si="37"/>
        <v>338</v>
      </c>
      <c r="M379" s="7">
        <v>4198</v>
      </c>
      <c r="N379" s="8">
        <f t="shared" si="38"/>
        <v>56</v>
      </c>
      <c r="O379" s="7">
        <v>23305</v>
      </c>
      <c r="P379" s="6">
        <f t="shared" si="39"/>
        <v>282</v>
      </c>
      <c r="Q379" s="9"/>
      <c r="R379" s="6">
        <f t="shared" si="40"/>
        <v>0</v>
      </c>
      <c r="S379" s="10" t="s">
        <v>1</v>
      </c>
      <c r="T379" s="2" t="s">
        <v>510</v>
      </c>
    </row>
    <row r="380" spans="1:20" ht="37.5" customHeight="1" x14ac:dyDescent="0.25">
      <c r="A380" s="2" t="s">
        <v>511</v>
      </c>
      <c r="B380">
        <f t="shared" si="35"/>
        <v>69984</v>
      </c>
      <c r="C380">
        <v>22203</v>
      </c>
      <c r="D380">
        <v>47781</v>
      </c>
      <c r="F380">
        <f t="shared" si="36"/>
        <v>395</v>
      </c>
      <c r="G380" s="3">
        <f t="shared" si="41"/>
        <v>380</v>
      </c>
      <c r="H380" s="4"/>
      <c r="I380" s="5">
        <v>275</v>
      </c>
      <c r="J380" s="6"/>
      <c r="K380" s="7">
        <v>69589</v>
      </c>
      <c r="L380" s="6">
        <f t="shared" si="37"/>
        <v>395</v>
      </c>
      <c r="M380" s="7">
        <v>22149</v>
      </c>
      <c r="N380" s="8">
        <f t="shared" si="38"/>
        <v>54</v>
      </c>
      <c r="O380" s="7">
        <v>47440</v>
      </c>
      <c r="P380" s="6">
        <f t="shared" si="39"/>
        <v>341</v>
      </c>
      <c r="Q380" s="9"/>
      <c r="R380" s="6">
        <f t="shared" si="40"/>
        <v>0</v>
      </c>
      <c r="S380" s="10" t="s">
        <v>1</v>
      </c>
      <c r="T380" s="2" t="s">
        <v>511</v>
      </c>
    </row>
    <row r="381" spans="1:20" ht="37.5" customHeight="1" x14ac:dyDescent="0.25">
      <c r="A381" s="2" t="s">
        <v>512</v>
      </c>
      <c r="B381">
        <f t="shared" si="35"/>
        <v>16730</v>
      </c>
      <c r="C381">
        <v>2764</v>
      </c>
      <c r="D381">
        <v>13966</v>
      </c>
      <c r="F381">
        <f t="shared" si="36"/>
        <v>323</v>
      </c>
      <c r="G381" s="3">
        <f t="shared" si="41"/>
        <v>381</v>
      </c>
      <c r="H381" s="4"/>
      <c r="I381" s="5">
        <v>276</v>
      </c>
      <c r="J381" s="6"/>
      <c r="K381" s="7">
        <v>16407</v>
      </c>
      <c r="L381" s="6">
        <f t="shared" si="37"/>
        <v>323</v>
      </c>
      <c r="M381" s="7">
        <v>2727</v>
      </c>
      <c r="N381" s="8">
        <f t="shared" si="38"/>
        <v>37</v>
      </c>
      <c r="O381" s="7">
        <v>13680</v>
      </c>
      <c r="P381" s="6">
        <f t="shared" si="39"/>
        <v>286</v>
      </c>
      <c r="Q381" s="9"/>
      <c r="R381" s="6">
        <f t="shared" si="40"/>
        <v>0</v>
      </c>
      <c r="S381" s="10" t="s">
        <v>1</v>
      </c>
      <c r="T381" s="2" t="s">
        <v>512</v>
      </c>
    </row>
    <row r="382" spans="1:20" ht="37.5" customHeight="1" x14ac:dyDescent="0.25">
      <c r="A382" s="2" t="s">
        <v>513</v>
      </c>
      <c r="B382">
        <f t="shared" si="35"/>
        <v>109591</v>
      </c>
      <c r="C382">
        <v>18077</v>
      </c>
      <c r="D382">
        <v>91514</v>
      </c>
      <c r="F382">
        <f t="shared" si="36"/>
        <v>380</v>
      </c>
      <c r="G382" s="3">
        <f t="shared" si="41"/>
        <v>382</v>
      </c>
      <c r="H382" s="4"/>
      <c r="I382" s="5">
        <v>277</v>
      </c>
      <c r="J382" s="6"/>
      <c r="K382" s="7">
        <v>109211</v>
      </c>
      <c r="L382" s="6">
        <f t="shared" si="37"/>
        <v>380</v>
      </c>
      <c r="M382" s="7">
        <v>18004</v>
      </c>
      <c r="N382" s="8">
        <f t="shared" si="38"/>
        <v>73</v>
      </c>
      <c r="O382" s="7">
        <v>91207</v>
      </c>
      <c r="P382" s="6">
        <f t="shared" si="39"/>
        <v>307</v>
      </c>
      <c r="Q382" s="9"/>
      <c r="R382" s="6">
        <f t="shared" si="40"/>
        <v>0</v>
      </c>
      <c r="S382" s="10" t="s">
        <v>1</v>
      </c>
      <c r="T382" s="2" t="s">
        <v>513</v>
      </c>
    </row>
    <row r="383" spans="1:20" ht="37.5" customHeight="1" x14ac:dyDescent="0.25">
      <c r="A383" s="2" t="s">
        <v>514</v>
      </c>
      <c r="B383">
        <f t="shared" si="35"/>
        <v>44724</v>
      </c>
      <c r="C383">
        <v>6656</v>
      </c>
      <c r="D383">
        <v>38068</v>
      </c>
      <c r="F383">
        <f t="shared" si="36"/>
        <v>474</v>
      </c>
      <c r="G383" s="3">
        <f t="shared" si="41"/>
        <v>383</v>
      </c>
      <c r="H383" s="4"/>
      <c r="I383" s="5">
        <v>278</v>
      </c>
      <c r="J383" s="6"/>
      <c r="K383" s="7">
        <v>44250</v>
      </c>
      <c r="L383" s="6">
        <f t="shared" si="37"/>
        <v>474</v>
      </c>
      <c r="M383" s="7">
        <v>6543</v>
      </c>
      <c r="N383" s="8">
        <f t="shared" si="38"/>
        <v>113</v>
      </c>
      <c r="O383" s="7">
        <v>37707</v>
      </c>
      <c r="P383" s="6">
        <f t="shared" si="39"/>
        <v>361</v>
      </c>
      <c r="Q383" s="9"/>
      <c r="R383" s="6">
        <f t="shared" si="40"/>
        <v>0</v>
      </c>
      <c r="S383" s="10" t="s">
        <v>1</v>
      </c>
      <c r="T383" s="2" t="s">
        <v>514</v>
      </c>
    </row>
    <row r="384" spans="1:20" ht="37.5" customHeight="1" x14ac:dyDescent="0.25">
      <c r="A384" s="2" t="s">
        <v>515</v>
      </c>
      <c r="B384">
        <f t="shared" si="35"/>
        <v>18214</v>
      </c>
      <c r="C384">
        <v>2823</v>
      </c>
      <c r="D384">
        <v>15391</v>
      </c>
      <c r="F384">
        <f t="shared" si="36"/>
        <v>360</v>
      </c>
      <c r="G384" s="3">
        <f t="shared" si="41"/>
        <v>384</v>
      </c>
      <c r="H384" s="4"/>
      <c r="I384" s="5">
        <v>279</v>
      </c>
      <c r="J384" s="6"/>
      <c r="K384" s="7">
        <v>17854</v>
      </c>
      <c r="L384" s="6">
        <f t="shared" si="37"/>
        <v>360</v>
      </c>
      <c r="M384" s="7">
        <v>2763</v>
      </c>
      <c r="N384" s="8">
        <f t="shared" si="38"/>
        <v>60</v>
      </c>
      <c r="O384" s="7">
        <v>15091</v>
      </c>
      <c r="P384" s="6">
        <f t="shared" si="39"/>
        <v>300</v>
      </c>
      <c r="Q384" s="9"/>
      <c r="R384" s="6">
        <f t="shared" si="40"/>
        <v>0</v>
      </c>
      <c r="S384" s="10" t="s">
        <v>1</v>
      </c>
      <c r="T384" s="2" t="s">
        <v>515</v>
      </c>
    </row>
    <row r="385" spans="1:20" ht="37.5" customHeight="1" x14ac:dyDescent="0.25">
      <c r="A385" s="2" t="s">
        <v>516</v>
      </c>
      <c r="B385">
        <f t="shared" si="35"/>
        <v>23305</v>
      </c>
      <c r="C385">
        <v>4116</v>
      </c>
      <c r="D385">
        <v>19189</v>
      </c>
      <c r="F385">
        <f t="shared" si="36"/>
        <v>303</v>
      </c>
      <c r="G385" s="3">
        <f t="shared" si="41"/>
        <v>385</v>
      </c>
      <c r="H385" s="4"/>
      <c r="I385" s="5">
        <v>280</v>
      </c>
      <c r="J385" s="6"/>
      <c r="K385" s="7">
        <v>23002</v>
      </c>
      <c r="L385" s="6">
        <f t="shared" si="37"/>
        <v>303</v>
      </c>
      <c r="M385" s="7">
        <v>4068</v>
      </c>
      <c r="N385" s="8">
        <f t="shared" si="38"/>
        <v>48</v>
      </c>
      <c r="O385" s="7">
        <v>18934</v>
      </c>
      <c r="P385" s="6">
        <f t="shared" si="39"/>
        <v>255</v>
      </c>
      <c r="Q385" s="9"/>
      <c r="R385" s="6">
        <f t="shared" si="40"/>
        <v>0</v>
      </c>
      <c r="S385" s="10" t="s">
        <v>1</v>
      </c>
      <c r="T385" s="2" t="s">
        <v>516</v>
      </c>
    </row>
    <row r="386" spans="1:20" ht="37.5" customHeight="1" x14ac:dyDescent="0.25">
      <c r="A386" s="2" t="s">
        <v>517</v>
      </c>
      <c r="B386">
        <f t="shared" ref="B386:B449" si="42">C386+D386</f>
        <v>13785</v>
      </c>
      <c r="C386">
        <v>2517</v>
      </c>
      <c r="D386">
        <v>11268</v>
      </c>
      <c r="F386">
        <f t="shared" ref="F386:F449" si="43">L386</f>
        <v>189</v>
      </c>
      <c r="G386" s="3">
        <f t="shared" si="41"/>
        <v>386</v>
      </c>
      <c r="H386" s="4"/>
      <c r="I386" s="5">
        <v>281</v>
      </c>
      <c r="J386" s="6"/>
      <c r="K386" s="7">
        <v>13596</v>
      </c>
      <c r="L386" s="6">
        <f t="shared" ref="L386:L449" si="44">B386-K386</f>
        <v>189</v>
      </c>
      <c r="M386" s="7">
        <v>2487</v>
      </c>
      <c r="N386" s="8">
        <f t="shared" ref="N386:N449" si="45">C386-M386</f>
        <v>30</v>
      </c>
      <c r="O386" s="7">
        <v>11109</v>
      </c>
      <c r="P386" s="6">
        <f t="shared" ref="P386:P449" si="46">D386-O386</f>
        <v>159</v>
      </c>
      <c r="Q386" s="9"/>
      <c r="R386" s="6">
        <f t="shared" ref="R386:R449" si="47">E386-Q386</f>
        <v>0</v>
      </c>
      <c r="S386" s="10" t="s">
        <v>1</v>
      </c>
      <c r="T386" s="2" t="s">
        <v>517</v>
      </c>
    </row>
    <row r="387" spans="1:20" ht="37.5" customHeight="1" x14ac:dyDescent="0.25">
      <c r="A387" s="2" t="s">
        <v>518</v>
      </c>
      <c r="B387">
        <f t="shared" si="42"/>
        <v>10887</v>
      </c>
      <c r="C387">
        <v>1704</v>
      </c>
      <c r="D387">
        <v>9183</v>
      </c>
      <c r="F387">
        <f t="shared" si="43"/>
        <v>351</v>
      </c>
      <c r="G387" s="3">
        <f t="shared" ref="G387:G450" si="48">G386+1</f>
        <v>387</v>
      </c>
      <c r="H387" s="4"/>
      <c r="I387" s="5">
        <v>282</v>
      </c>
      <c r="J387" s="6"/>
      <c r="K387" s="7">
        <v>10536</v>
      </c>
      <c r="L387" s="6">
        <f t="shared" si="44"/>
        <v>351</v>
      </c>
      <c r="M387" s="7">
        <v>1646</v>
      </c>
      <c r="N387" s="8">
        <f t="shared" si="45"/>
        <v>58</v>
      </c>
      <c r="O387" s="7">
        <v>8890</v>
      </c>
      <c r="P387" s="6">
        <f t="shared" si="46"/>
        <v>293</v>
      </c>
      <c r="Q387" s="9"/>
      <c r="R387" s="6">
        <f t="shared" si="47"/>
        <v>0</v>
      </c>
      <c r="S387" s="10" t="s">
        <v>1</v>
      </c>
      <c r="T387" s="2" t="s">
        <v>518</v>
      </c>
    </row>
    <row r="388" spans="1:20" ht="37.5" customHeight="1" x14ac:dyDescent="0.25">
      <c r="A388" s="2" t="s">
        <v>519</v>
      </c>
      <c r="B388">
        <f t="shared" si="42"/>
        <v>49169</v>
      </c>
      <c r="C388">
        <v>8426</v>
      </c>
      <c r="D388">
        <v>40743</v>
      </c>
      <c r="F388">
        <f t="shared" si="43"/>
        <v>410</v>
      </c>
      <c r="G388" s="3">
        <f t="shared" si="48"/>
        <v>388</v>
      </c>
      <c r="H388" s="4"/>
      <c r="I388" s="5">
        <v>283</v>
      </c>
      <c r="J388" s="6"/>
      <c r="K388" s="7">
        <v>48759</v>
      </c>
      <c r="L388" s="6">
        <f t="shared" si="44"/>
        <v>410</v>
      </c>
      <c r="M388" s="7">
        <v>8355</v>
      </c>
      <c r="N388" s="8">
        <f t="shared" si="45"/>
        <v>71</v>
      </c>
      <c r="O388" s="7">
        <v>40404</v>
      </c>
      <c r="P388" s="6">
        <f t="shared" si="46"/>
        <v>339</v>
      </c>
      <c r="Q388" s="9"/>
      <c r="R388" s="6">
        <f t="shared" si="47"/>
        <v>0</v>
      </c>
      <c r="S388" s="10" t="s">
        <v>1</v>
      </c>
      <c r="T388" s="2" t="s">
        <v>519</v>
      </c>
    </row>
    <row r="389" spans="1:20" ht="37.5" customHeight="1" x14ac:dyDescent="0.25">
      <c r="A389" s="2" t="s">
        <v>520</v>
      </c>
      <c r="B389">
        <f t="shared" si="42"/>
        <v>13743</v>
      </c>
      <c r="C389">
        <v>3977</v>
      </c>
      <c r="D389">
        <v>9766</v>
      </c>
      <c r="E389">
        <v>18570</v>
      </c>
      <c r="F389">
        <f t="shared" si="43"/>
        <v>478</v>
      </c>
      <c r="G389" s="3">
        <f t="shared" si="48"/>
        <v>389</v>
      </c>
      <c r="H389" s="4"/>
      <c r="I389" s="5">
        <v>284</v>
      </c>
      <c r="J389" s="6"/>
      <c r="K389" s="7">
        <f>M389+O389</f>
        <v>13265</v>
      </c>
      <c r="L389" s="6">
        <f t="shared" si="44"/>
        <v>478</v>
      </c>
      <c r="M389" s="7">
        <v>3835</v>
      </c>
      <c r="N389" s="8">
        <f t="shared" si="45"/>
        <v>142</v>
      </c>
      <c r="O389" s="7">
        <v>9430</v>
      </c>
      <c r="P389" s="6">
        <f t="shared" si="46"/>
        <v>336</v>
      </c>
      <c r="Q389" s="9">
        <v>17488</v>
      </c>
      <c r="R389" s="6">
        <f t="shared" si="47"/>
        <v>1082</v>
      </c>
      <c r="S389" s="10" t="s">
        <v>1</v>
      </c>
      <c r="T389" s="2" t="s">
        <v>520</v>
      </c>
    </row>
    <row r="390" spans="1:20" ht="37.5" customHeight="1" x14ac:dyDescent="0.25">
      <c r="A390" s="2" t="s">
        <v>521</v>
      </c>
      <c r="B390">
        <f t="shared" si="42"/>
        <v>35256</v>
      </c>
      <c r="C390">
        <v>5911</v>
      </c>
      <c r="D390">
        <v>29345</v>
      </c>
      <c r="F390">
        <f t="shared" si="43"/>
        <v>36</v>
      </c>
      <c r="G390" s="3">
        <f t="shared" si="48"/>
        <v>390</v>
      </c>
      <c r="H390" s="4"/>
      <c r="I390" s="5">
        <v>285</v>
      </c>
      <c r="J390" s="6"/>
      <c r="K390" s="7">
        <v>35220</v>
      </c>
      <c r="L390" s="6">
        <f t="shared" si="44"/>
        <v>36</v>
      </c>
      <c r="M390" s="7">
        <v>5907</v>
      </c>
      <c r="N390" s="8">
        <f t="shared" si="45"/>
        <v>4</v>
      </c>
      <c r="O390" s="7">
        <v>29313</v>
      </c>
      <c r="P390" s="6">
        <f t="shared" si="46"/>
        <v>32</v>
      </c>
      <c r="Q390" s="9"/>
      <c r="R390" s="6">
        <f t="shared" si="47"/>
        <v>0</v>
      </c>
      <c r="S390" s="10" t="s">
        <v>1</v>
      </c>
      <c r="T390" s="2" t="s">
        <v>521</v>
      </c>
    </row>
    <row r="391" spans="1:20" ht="37.5" customHeight="1" x14ac:dyDescent="0.25">
      <c r="A391" s="2" t="s">
        <v>522</v>
      </c>
      <c r="B391">
        <f t="shared" si="42"/>
        <v>4756</v>
      </c>
      <c r="C391">
        <v>824</v>
      </c>
      <c r="D391">
        <v>3932</v>
      </c>
      <c r="E391">
        <v>7029</v>
      </c>
      <c r="F391">
        <f t="shared" si="43"/>
        <v>279</v>
      </c>
      <c r="G391" s="3">
        <f t="shared" si="48"/>
        <v>391</v>
      </c>
      <c r="H391" s="4"/>
      <c r="I391" s="5">
        <v>286</v>
      </c>
      <c r="J391" s="6"/>
      <c r="K391" s="7">
        <f>M391+O391</f>
        <v>4477</v>
      </c>
      <c r="L391" s="6">
        <f t="shared" si="44"/>
        <v>279</v>
      </c>
      <c r="M391" s="7">
        <v>755</v>
      </c>
      <c r="N391" s="8">
        <f t="shared" si="45"/>
        <v>69</v>
      </c>
      <c r="O391" s="7">
        <v>3722</v>
      </c>
      <c r="P391" s="6">
        <f t="shared" si="46"/>
        <v>210</v>
      </c>
      <c r="Q391" s="9">
        <v>6187</v>
      </c>
      <c r="R391" s="6">
        <f t="shared" si="47"/>
        <v>842</v>
      </c>
      <c r="S391" s="10" t="s">
        <v>1</v>
      </c>
      <c r="T391" s="2" t="s">
        <v>522</v>
      </c>
    </row>
    <row r="392" spans="1:20" ht="37.5" customHeight="1" x14ac:dyDescent="0.25">
      <c r="A392" s="2" t="s">
        <v>523</v>
      </c>
      <c r="B392">
        <f t="shared" si="42"/>
        <v>43821</v>
      </c>
      <c r="C392">
        <v>7152</v>
      </c>
      <c r="D392">
        <v>36669</v>
      </c>
      <c r="F392">
        <f t="shared" si="43"/>
        <v>411</v>
      </c>
      <c r="G392" s="3">
        <f t="shared" si="48"/>
        <v>392</v>
      </c>
      <c r="H392" s="4"/>
      <c r="I392" s="5">
        <v>287</v>
      </c>
      <c r="J392" s="6"/>
      <c r="K392" s="7">
        <v>43410</v>
      </c>
      <c r="L392" s="6">
        <f t="shared" si="44"/>
        <v>411</v>
      </c>
      <c r="M392" s="7">
        <v>7085</v>
      </c>
      <c r="N392" s="8">
        <f t="shared" si="45"/>
        <v>67</v>
      </c>
      <c r="O392" s="7">
        <v>36325</v>
      </c>
      <c r="P392" s="6">
        <f t="shared" si="46"/>
        <v>344</v>
      </c>
      <c r="Q392" s="9"/>
      <c r="R392" s="6">
        <f t="shared" si="47"/>
        <v>0</v>
      </c>
      <c r="S392" s="10" t="s">
        <v>1</v>
      </c>
      <c r="T392" s="2" t="s">
        <v>523</v>
      </c>
    </row>
    <row r="393" spans="1:20" ht="37.5" customHeight="1" x14ac:dyDescent="0.25">
      <c r="A393" s="2" t="s">
        <v>524</v>
      </c>
      <c r="B393">
        <f t="shared" si="42"/>
        <v>4857</v>
      </c>
      <c r="C393">
        <v>828</v>
      </c>
      <c r="D393">
        <v>4029</v>
      </c>
      <c r="F393">
        <f t="shared" si="43"/>
        <v>525</v>
      </c>
      <c r="G393" s="3">
        <f t="shared" si="48"/>
        <v>393</v>
      </c>
      <c r="H393" s="4"/>
      <c r="I393" s="5">
        <v>288</v>
      </c>
      <c r="J393" s="6"/>
      <c r="K393" s="7">
        <v>4332</v>
      </c>
      <c r="L393" s="6">
        <f t="shared" si="44"/>
        <v>525</v>
      </c>
      <c r="M393" s="7">
        <v>745</v>
      </c>
      <c r="N393" s="8">
        <f t="shared" si="45"/>
        <v>83</v>
      </c>
      <c r="O393" s="7">
        <v>3587</v>
      </c>
      <c r="P393" s="6">
        <f t="shared" si="46"/>
        <v>442</v>
      </c>
      <c r="Q393" s="9"/>
      <c r="R393" s="6">
        <f t="shared" si="47"/>
        <v>0</v>
      </c>
      <c r="S393" s="10" t="s">
        <v>1</v>
      </c>
      <c r="T393" s="2" t="s">
        <v>524</v>
      </c>
    </row>
    <row r="394" spans="1:20" ht="37.5" customHeight="1" x14ac:dyDescent="0.25">
      <c r="A394" s="2" t="s">
        <v>525</v>
      </c>
      <c r="B394">
        <f t="shared" si="42"/>
        <v>24957</v>
      </c>
      <c r="C394">
        <v>4716</v>
      </c>
      <c r="D394">
        <v>20241</v>
      </c>
      <c r="F394">
        <f t="shared" si="43"/>
        <v>232</v>
      </c>
      <c r="G394" s="3">
        <f t="shared" si="48"/>
        <v>394</v>
      </c>
      <c r="H394" s="4"/>
      <c r="I394" s="5">
        <v>289</v>
      </c>
      <c r="J394" s="6"/>
      <c r="K394" s="7">
        <v>24725</v>
      </c>
      <c r="L394" s="6">
        <f t="shared" si="44"/>
        <v>232</v>
      </c>
      <c r="M394" s="7">
        <v>4678</v>
      </c>
      <c r="N394" s="8">
        <f t="shared" si="45"/>
        <v>38</v>
      </c>
      <c r="O394" s="7">
        <v>20047</v>
      </c>
      <c r="P394" s="6">
        <f t="shared" si="46"/>
        <v>194</v>
      </c>
      <c r="Q394" s="9"/>
      <c r="R394" s="6">
        <f t="shared" si="47"/>
        <v>0</v>
      </c>
      <c r="S394" s="10" t="s">
        <v>1</v>
      </c>
      <c r="T394" s="2" t="s">
        <v>525</v>
      </c>
    </row>
    <row r="395" spans="1:20" ht="37.5" customHeight="1" x14ac:dyDescent="0.25">
      <c r="A395" s="2" t="s">
        <v>526</v>
      </c>
      <c r="B395">
        <f t="shared" si="42"/>
        <v>8088</v>
      </c>
      <c r="C395">
        <v>2224</v>
      </c>
      <c r="D395">
        <v>5864</v>
      </c>
      <c r="E395">
        <v>16996</v>
      </c>
      <c r="F395">
        <f t="shared" si="43"/>
        <v>312</v>
      </c>
      <c r="G395" s="3">
        <f t="shared" si="48"/>
        <v>395</v>
      </c>
      <c r="H395" s="4"/>
      <c r="I395" s="5">
        <v>290</v>
      </c>
      <c r="J395" s="6"/>
      <c r="K395" s="7">
        <f>M395+O395</f>
        <v>7776</v>
      </c>
      <c r="L395" s="6">
        <f t="shared" si="44"/>
        <v>312</v>
      </c>
      <c r="M395" s="7">
        <v>2151</v>
      </c>
      <c r="N395" s="8">
        <f t="shared" si="45"/>
        <v>73</v>
      </c>
      <c r="O395" s="7">
        <v>5625</v>
      </c>
      <c r="P395" s="6">
        <f t="shared" si="46"/>
        <v>239</v>
      </c>
      <c r="Q395" s="9">
        <v>15925</v>
      </c>
      <c r="R395" s="6">
        <f t="shared" si="47"/>
        <v>1071</v>
      </c>
      <c r="S395" s="10" t="s">
        <v>1</v>
      </c>
      <c r="T395" s="2" t="s">
        <v>526</v>
      </c>
    </row>
    <row r="396" spans="1:20" ht="37.5" customHeight="1" x14ac:dyDescent="0.25">
      <c r="A396" s="2" t="s">
        <v>527</v>
      </c>
      <c r="B396">
        <f t="shared" si="42"/>
        <v>164098</v>
      </c>
      <c r="C396">
        <v>51670</v>
      </c>
      <c r="D396">
        <v>112428</v>
      </c>
      <c r="F396">
        <f t="shared" si="43"/>
        <v>877</v>
      </c>
      <c r="G396" s="3">
        <f t="shared" si="48"/>
        <v>396</v>
      </c>
      <c r="H396" s="4"/>
      <c r="I396" s="5">
        <v>291</v>
      </c>
      <c r="J396" s="6"/>
      <c r="K396" s="7">
        <v>163221</v>
      </c>
      <c r="L396" s="6">
        <f t="shared" si="44"/>
        <v>877</v>
      </c>
      <c r="M396" s="7">
        <v>51554</v>
      </c>
      <c r="N396" s="8">
        <f t="shared" si="45"/>
        <v>116</v>
      </c>
      <c r="O396" s="7">
        <v>111667</v>
      </c>
      <c r="P396" s="6">
        <f t="shared" si="46"/>
        <v>761</v>
      </c>
      <c r="Q396" s="9"/>
      <c r="R396" s="6">
        <f t="shared" si="47"/>
        <v>0</v>
      </c>
      <c r="S396" s="10" t="s">
        <v>1</v>
      </c>
      <c r="T396" s="2" t="s">
        <v>527</v>
      </c>
    </row>
    <row r="397" spans="1:20" ht="37.5" customHeight="1" x14ac:dyDescent="0.25">
      <c r="A397" s="2" t="s">
        <v>528</v>
      </c>
      <c r="B397">
        <f t="shared" si="42"/>
        <v>13291</v>
      </c>
      <c r="C397">
        <v>2927</v>
      </c>
      <c r="D397">
        <v>10364</v>
      </c>
      <c r="F397">
        <f t="shared" si="43"/>
        <v>350</v>
      </c>
      <c r="G397" s="3">
        <f t="shared" si="48"/>
        <v>397</v>
      </c>
      <c r="H397" s="4"/>
      <c r="I397" s="5" t="s">
        <v>529</v>
      </c>
      <c r="J397" s="6"/>
      <c r="K397" s="7">
        <v>12941</v>
      </c>
      <c r="L397" s="6">
        <f t="shared" si="44"/>
        <v>350</v>
      </c>
      <c r="M397" s="7">
        <v>2832</v>
      </c>
      <c r="N397" s="8">
        <f t="shared" si="45"/>
        <v>95</v>
      </c>
      <c r="O397" s="7">
        <v>10109</v>
      </c>
      <c r="P397" s="6">
        <f t="shared" si="46"/>
        <v>255</v>
      </c>
      <c r="Q397" s="9"/>
      <c r="R397" s="6">
        <f t="shared" si="47"/>
        <v>0</v>
      </c>
      <c r="S397" s="10" t="s">
        <v>1</v>
      </c>
      <c r="T397" s="2" t="s">
        <v>528</v>
      </c>
    </row>
    <row r="398" spans="1:20" ht="37.5" customHeight="1" x14ac:dyDescent="0.25">
      <c r="A398" s="2" t="s">
        <v>530</v>
      </c>
      <c r="B398">
        <f t="shared" si="42"/>
        <v>13441</v>
      </c>
      <c r="C398">
        <v>2242</v>
      </c>
      <c r="D398">
        <v>11199</v>
      </c>
      <c r="F398">
        <f t="shared" si="43"/>
        <v>139</v>
      </c>
      <c r="G398" s="3">
        <f t="shared" si="48"/>
        <v>398</v>
      </c>
      <c r="H398" s="4"/>
      <c r="I398" s="5" t="s">
        <v>531</v>
      </c>
      <c r="J398" s="6"/>
      <c r="K398" s="7">
        <v>13302</v>
      </c>
      <c r="L398" s="6">
        <f t="shared" si="44"/>
        <v>139</v>
      </c>
      <c r="M398" s="7">
        <v>2212</v>
      </c>
      <c r="N398" s="8">
        <f t="shared" si="45"/>
        <v>30</v>
      </c>
      <c r="O398" s="7">
        <v>11090</v>
      </c>
      <c r="P398" s="6">
        <f t="shared" si="46"/>
        <v>109</v>
      </c>
      <c r="Q398" s="9"/>
      <c r="R398" s="6">
        <f t="shared" si="47"/>
        <v>0</v>
      </c>
      <c r="S398" s="10" t="s">
        <v>1</v>
      </c>
      <c r="T398" s="2" t="s">
        <v>530</v>
      </c>
    </row>
    <row r="399" spans="1:20" ht="37.5" customHeight="1" x14ac:dyDescent="0.25">
      <c r="A399" s="2" t="s">
        <v>532</v>
      </c>
      <c r="B399">
        <f t="shared" si="42"/>
        <v>12299</v>
      </c>
      <c r="C399">
        <v>2155</v>
      </c>
      <c r="D399">
        <v>10144</v>
      </c>
      <c r="F399">
        <f t="shared" si="43"/>
        <v>268</v>
      </c>
      <c r="G399" s="3">
        <f t="shared" si="48"/>
        <v>399</v>
      </c>
      <c r="H399" s="4"/>
      <c r="I399" s="5" t="s">
        <v>533</v>
      </c>
      <c r="J399" s="6"/>
      <c r="K399" s="7">
        <v>12031</v>
      </c>
      <c r="L399" s="6">
        <f t="shared" si="44"/>
        <v>268</v>
      </c>
      <c r="M399" s="7">
        <v>2124</v>
      </c>
      <c r="N399" s="8">
        <f t="shared" si="45"/>
        <v>31</v>
      </c>
      <c r="O399" s="7">
        <v>9907</v>
      </c>
      <c r="P399" s="6">
        <f t="shared" si="46"/>
        <v>237</v>
      </c>
      <c r="Q399" s="9"/>
      <c r="R399" s="6">
        <f t="shared" si="47"/>
        <v>0</v>
      </c>
      <c r="S399" s="10" t="s">
        <v>1</v>
      </c>
      <c r="T399" s="2" t="s">
        <v>532</v>
      </c>
    </row>
    <row r="400" spans="1:20" ht="37.5" customHeight="1" x14ac:dyDescent="0.25">
      <c r="A400" s="2" t="s">
        <v>534</v>
      </c>
      <c r="B400">
        <f t="shared" si="42"/>
        <v>25315</v>
      </c>
      <c r="C400">
        <v>4191</v>
      </c>
      <c r="D400">
        <v>21124</v>
      </c>
      <c r="F400">
        <f t="shared" si="43"/>
        <v>393</v>
      </c>
      <c r="G400" s="3">
        <f t="shared" si="48"/>
        <v>400</v>
      </c>
      <c r="H400" s="4"/>
      <c r="I400" s="5" t="s">
        <v>535</v>
      </c>
      <c r="J400" s="6"/>
      <c r="K400" s="7">
        <v>24922</v>
      </c>
      <c r="L400" s="6">
        <f t="shared" si="44"/>
        <v>393</v>
      </c>
      <c r="M400" s="7">
        <v>4117</v>
      </c>
      <c r="N400" s="8">
        <f t="shared" si="45"/>
        <v>74</v>
      </c>
      <c r="O400" s="7">
        <v>20805</v>
      </c>
      <c r="P400" s="6">
        <f t="shared" si="46"/>
        <v>319</v>
      </c>
      <c r="Q400" s="9"/>
      <c r="R400" s="6">
        <f t="shared" si="47"/>
        <v>0</v>
      </c>
      <c r="S400" s="10" t="s">
        <v>1</v>
      </c>
      <c r="T400" s="2" t="s">
        <v>534</v>
      </c>
    </row>
    <row r="401" spans="1:20" ht="37.5" customHeight="1" x14ac:dyDescent="0.25">
      <c r="A401" s="2" t="s">
        <v>536</v>
      </c>
      <c r="B401">
        <f t="shared" si="42"/>
        <v>11735</v>
      </c>
      <c r="C401">
        <v>2321</v>
      </c>
      <c r="D401">
        <v>9414</v>
      </c>
      <c r="F401">
        <f t="shared" si="43"/>
        <v>297</v>
      </c>
      <c r="G401" s="3">
        <f t="shared" si="48"/>
        <v>401</v>
      </c>
      <c r="H401" s="4"/>
      <c r="I401" s="5" t="s">
        <v>537</v>
      </c>
      <c r="J401" s="6"/>
      <c r="K401" s="7">
        <v>11438</v>
      </c>
      <c r="L401" s="6">
        <f t="shared" si="44"/>
        <v>297</v>
      </c>
      <c r="M401" s="7">
        <v>2263</v>
      </c>
      <c r="N401" s="8">
        <f t="shared" si="45"/>
        <v>58</v>
      </c>
      <c r="O401" s="7">
        <v>9175</v>
      </c>
      <c r="P401" s="6">
        <f t="shared" si="46"/>
        <v>239</v>
      </c>
      <c r="Q401" s="9"/>
      <c r="R401" s="6">
        <f t="shared" si="47"/>
        <v>0</v>
      </c>
      <c r="S401" s="10" t="s">
        <v>1</v>
      </c>
      <c r="T401" s="2" t="s">
        <v>536</v>
      </c>
    </row>
    <row r="402" spans="1:20" ht="37.5" customHeight="1" x14ac:dyDescent="0.25">
      <c r="A402" s="2" t="s">
        <v>538</v>
      </c>
      <c r="B402">
        <f t="shared" si="42"/>
        <v>22034</v>
      </c>
      <c r="C402">
        <v>4065</v>
      </c>
      <c r="D402">
        <v>17969</v>
      </c>
      <c r="F402">
        <f t="shared" si="43"/>
        <v>376</v>
      </c>
      <c r="G402" s="3">
        <f t="shared" si="48"/>
        <v>402</v>
      </c>
      <c r="H402" s="4"/>
      <c r="I402" s="5" t="s">
        <v>539</v>
      </c>
      <c r="J402" s="6"/>
      <c r="K402" s="7">
        <v>21658</v>
      </c>
      <c r="L402" s="6">
        <f t="shared" si="44"/>
        <v>376</v>
      </c>
      <c r="M402" s="7">
        <v>3994</v>
      </c>
      <c r="N402" s="8">
        <f t="shared" si="45"/>
        <v>71</v>
      </c>
      <c r="O402" s="7">
        <v>17664</v>
      </c>
      <c r="P402" s="6">
        <f t="shared" si="46"/>
        <v>305</v>
      </c>
      <c r="Q402" s="9"/>
      <c r="R402" s="6">
        <f t="shared" si="47"/>
        <v>0</v>
      </c>
      <c r="S402" s="10" t="s">
        <v>1</v>
      </c>
      <c r="T402" s="2" t="s">
        <v>538</v>
      </c>
    </row>
    <row r="403" spans="1:20" ht="37.5" customHeight="1" x14ac:dyDescent="0.25">
      <c r="A403" s="2" t="s">
        <v>540</v>
      </c>
      <c r="B403">
        <f t="shared" si="42"/>
        <v>62300</v>
      </c>
      <c r="C403">
        <v>20780</v>
      </c>
      <c r="D403">
        <v>41520</v>
      </c>
      <c r="F403">
        <f t="shared" si="43"/>
        <v>436</v>
      </c>
      <c r="G403" s="3">
        <f t="shared" si="48"/>
        <v>403</v>
      </c>
      <c r="H403" s="4"/>
      <c r="I403" s="5" t="s">
        <v>541</v>
      </c>
      <c r="J403" s="6"/>
      <c r="K403" s="7">
        <v>61864</v>
      </c>
      <c r="L403" s="6">
        <f t="shared" si="44"/>
        <v>436</v>
      </c>
      <c r="M403" s="7">
        <v>20730</v>
      </c>
      <c r="N403" s="8">
        <f t="shared" si="45"/>
        <v>50</v>
      </c>
      <c r="O403" s="7">
        <v>41134</v>
      </c>
      <c r="P403" s="6">
        <f t="shared" si="46"/>
        <v>386</v>
      </c>
      <c r="Q403" s="9"/>
      <c r="R403" s="6">
        <f t="shared" si="47"/>
        <v>0</v>
      </c>
      <c r="S403" s="10" t="s">
        <v>1</v>
      </c>
      <c r="T403" s="2" t="s">
        <v>540</v>
      </c>
    </row>
    <row r="404" spans="1:20" ht="37.5" customHeight="1" x14ac:dyDescent="0.25">
      <c r="A404" s="2" t="s">
        <v>542</v>
      </c>
      <c r="B404">
        <f t="shared" si="42"/>
        <v>11404</v>
      </c>
      <c r="C404">
        <v>1849</v>
      </c>
      <c r="D404">
        <v>9555</v>
      </c>
      <c r="F404">
        <f t="shared" si="43"/>
        <v>292</v>
      </c>
      <c r="G404" s="3">
        <f t="shared" si="48"/>
        <v>404</v>
      </c>
      <c r="H404" s="4"/>
      <c r="I404" s="5" t="s">
        <v>543</v>
      </c>
      <c r="J404" s="6"/>
      <c r="K404" s="7">
        <v>11112</v>
      </c>
      <c r="L404" s="6">
        <f t="shared" si="44"/>
        <v>292</v>
      </c>
      <c r="M404" s="7">
        <v>1807</v>
      </c>
      <c r="N404" s="8">
        <f t="shared" si="45"/>
        <v>42</v>
      </c>
      <c r="O404" s="7">
        <v>9305</v>
      </c>
      <c r="P404" s="6">
        <f t="shared" si="46"/>
        <v>250</v>
      </c>
      <c r="Q404" s="9"/>
      <c r="R404" s="6">
        <f t="shared" si="47"/>
        <v>0</v>
      </c>
      <c r="S404" s="10" t="s">
        <v>1</v>
      </c>
      <c r="T404" s="2" t="s">
        <v>542</v>
      </c>
    </row>
    <row r="405" spans="1:20" ht="37.5" customHeight="1" x14ac:dyDescent="0.25">
      <c r="A405" s="2" t="s">
        <v>544</v>
      </c>
      <c r="B405">
        <f t="shared" si="42"/>
        <v>14574</v>
      </c>
      <c r="C405">
        <v>2344</v>
      </c>
      <c r="D405">
        <v>12230</v>
      </c>
      <c r="F405">
        <f t="shared" si="43"/>
        <v>84</v>
      </c>
      <c r="G405" s="3">
        <f t="shared" si="48"/>
        <v>405</v>
      </c>
      <c r="H405" s="4"/>
      <c r="I405" s="5" t="s">
        <v>545</v>
      </c>
      <c r="J405" s="6"/>
      <c r="K405" s="7">
        <v>14490</v>
      </c>
      <c r="L405" s="6">
        <f t="shared" si="44"/>
        <v>84</v>
      </c>
      <c r="M405" s="7">
        <v>2329</v>
      </c>
      <c r="N405" s="8">
        <f t="shared" si="45"/>
        <v>15</v>
      </c>
      <c r="O405" s="7">
        <v>12161</v>
      </c>
      <c r="P405" s="6">
        <f t="shared" si="46"/>
        <v>69</v>
      </c>
      <c r="Q405" s="9"/>
      <c r="R405" s="6">
        <f t="shared" si="47"/>
        <v>0</v>
      </c>
      <c r="S405" s="10" t="s">
        <v>1</v>
      </c>
      <c r="T405" s="2" t="s">
        <v>544</v>
      </c>
    </row>
    <row r="406" spans="1:20" ht="37.5" customHeight="1" x14ac:dyDescent="0.25">
      <c r="A406" s="2" t="s">
        <v>546</v>
      </c>
      <c r="B406">
        <f t="shared" si="42"/>
        <v>10070</v>
      </c>
      <c r="C406">
        <v>1207</v>
      </c>
      <c r="D406">
        <v>8863</v>
      </c>
      <c r="F406">
        <f t="shared" si="43"/>
        <v>208</v>
      </c>
      <c r="G406" s="3">
        <f t="shared" si="48"/>
        <v>406</v>
      </c>
      <c r="H406" s="4"/>
      <c r="I406" s="5" t="s">
        <v>547</v>
      </c>
      <c r="J406" s="6"/>
      <c r="K406" s="7">
        <v>9862</v>
      </c>
      <c r="L406" s="6">
        <f t="shared" si="44"/>
        <v>208</v>
      </c>
      <c r="M406" s="7">
        <v>1175</v>
      </c>
      <c r="N406" s="8">
        <f t="shared" si="45"/>
        <v>32</v>
      </c>
      <c r="O406" s="7">
        <v>8687</v>
      </c>
      <c r="P406" s="6">
        <f t="shared" si="46"/>
        <v>176</v>
      </c>
      <c r="Q406" s="9"/>
      <c r="R406" s="6">
        <f t="shared" si="47"/>
        <v>0</v>
      </c>
      <c r="S406" s="10" t="s">
        <v>1</v>
      </c>
      <c r="T406" s="2" t="s">
        <v>546</v>
      </c>
    </row>
    <row r="407" spans="1:20" ht="37.5" customHeight="1" x14ac:dyDescent="0.25">
      <c r="A407" s="2" t="s">
        <v>548</v>
      </c>
      <c r="B407">
        <f t="shared" si="42"/>
        <v>58143</v>
      </c>
      <c r="C407">
        <v>10424</v>
      </c>
      <c r="D407">
        <v>47719</v>
      </c>
      <c r="F407">
        <f t="shared" si="43"/>
        <v>265</v>
      </c>
      <c r="G407" s="3">
        <f t="shared" si="48"/>
        <v>407</v>
      </c>
      <c r="H407" s="4"/>
      <c r="I407" s="5" t="s">
        <v>549</v>
      </c>
      <c r="J407" s="6"/>
      <c r="K407" s="7">
        <v>57878</v>
      </c>
      <c r="L407" s="6">
        <f t="shared" si="44"/>
        <v>265</v>
      </c>
      <c r="M407" s="7">
        <v>10373</v>
      </c>
      <c r="N407" s="8">
        <f t="shared" si="45"/>
        <v>51</v>
      </c>
      <c r="O407" s="7">
        <v>47505</v>
      </c>
      <c r="P407" s="6">
        <f t="shared" si="46"/>
        <v>214</v>
      </c>
      <c r="Q407" s="9"/>
      <c r="R407" s="6">
        <f t="shared" si="47"/>
        <v>0</v>
      </c>
      <c r="S407" s="10" t="s">
        <v>1</v>
      </c>
      <c r="T407" s="2" t="s">
        <v>548</v>
      </c>
    </row>
    <row r="408" spans="1:20" ht="37.5" customHeight="1" x14ac:dyDescent="0.25">
      <c r="A408" s="2" t="s">
        <v>550</v>
      </c>
      <c r="B408">
        <f t="shared" si="42"/>
        <v>8662</v>
      </c>
      <c r="C408">
        <v>1404</v>
      </c>
      <c r="D408">
        <v>7258</v>
      </c>
      <c r="F408">
        <f t="shared" si="43"/>
        <v>312</v>
      </c>
      <c r="G408" s="3">
        <f t="shared" si="48"/>
        <v>408</v>
      </c>
      <c r="H408" s="4"/>
      <c r="I408" s="5">
        <v>292</v>
      </c>
      <c r="J408" s="6"/>
      <c r="K408" s="7">
        <v>8350</v>
      </c>
      <c r="L408" s="6">
        <f t="shared" si="44"/>
        <v>312</v>
      </c>
      <c r="M408" s="7">
        <v>1348</v>
      </c>
      <c r="N408" s="8">
        <f t="shared" si="45"/>
        <v>56</v>
      </c>
      <c r="O408" s="7">
        <v>7002</v>
      </c>
      <c r="P408" s="6">
        <f t="shared" si="46"/>
        <v>256</v>
      </c>
      <c r="Q408" s="9"/>
      <c r="R408" s="6">
        <f t="shared" si="47"/>
        <v>0</v>
      </c>
      <c r="S408" s="10" t="s">
        <v>1</v>
      </c>
      <c r="T408" s="2" t="s">
        <v>550</v>
      </c>
    </row>
    <row r="409" spans="1:20" ht="37.5" customHeight="1" x14ac:dyDescent="0.25">
      <c r="A409" s="2" t="s">
        <v>551</v>
      </c>
      <c r="B409">
        <f t="shared" si="42"/>
        <v>15021</v>
      </c>
      <c r="C409">
        <v>2920</v>
      </c>
      <c r="D409">
        <v>12101</v>
      </c>
      <c r="F409">
        <f t="shared" si="43"/>
        <v>416</v>
      </c>
      <c r="G409" s="3">
        <f t="shared" si="48"/>
        <v>409</v>
      </c>
      <c r="H409" s="4"/>
      <c r="I409" s="5">
        <v>293</v>
      </c>
      <c r="J409" s="6"/>
      <c r="K409" s="7">
        <v>14605</v>
      </c>
      <c r="L409" s="6">
        <f t="shared" si="44"/>
        <v>416</v>
      </c>
      <c r="M409" s="7">
        <v>2841</v>
      </c>
      <c r="N409" s="8">
        <f t="shared" si="45"/>
        <v>79</v>
      </c>
      <c r="O409" s="7">
        <v>11764</v>
      </c>
      <c r="P409" s="6">
        <f t="shared" si="46"/>
        <v>337</v>
      </c>
      <c r="Q409" s="9"/>
      <c r="R409" s="6">
        <f t="shared" si="47"/>
        <v>0</v>
      </c>
      <c r="S409" s="10" t="s">
        <v>1</v>
      </c>
      <c r="T409" s="2" t="s">
        <v>551</v>
      </c>
    </row>
    <row r="410" spans="1:20" ht="37.5" customHeight="1" x14ac:dyDescent="0.25">
      <c r="A410" s="2" t="s">
        <v>552</v>
      </c>
      <c r="B410">
        <f t="shared" si="42"/>
        <v>31524</v>
      </c>
      <c r="C410">
        <v>5208</v>
      </c>
      <c r="D410">
        <v>26316</v>
      </c>
      <c r="F410">
        <f t="shared" si="43"/>
        <v>29</v>
      </c>
      <c r="G410" s="3">
        <f t="shared" si="48"/>
        <v>410</v>
      </c>
      <c r="H410" s="4"/>
      <c r="I410" s="5">
        <v>294</v>
      </c>
      <c r="J410" s="6"/>
      <c r="K410" s="7">
        <v>31495</v>
      </c>
      <c r="L410" s="6">
        <f t="shared" si="44"/>
        <v>29</v>
      </c>
      <c r="M410" s="7">
        <v>5203</v>
      </c>
      <c r="N410" s="8">
        <f t="shared" si="45"/>
        <v>5</v>
      </c>
      <c r="O410" s="7">
        <v>26292</v>
      </c>
      <c r="P410" s="6">
        <f t="shared" si="46"/>
        <v>24</v>
      </c>
      <c r="Q410" s="9"/>
      <c r="R410" s="6">
        <f t="shared" si="47"/>
        <v>0</v>
      </c>
      <c r="S410" s="10" t="s">
        <v>1</v>
      </c>
      <c r="T410" s="2" t="s">
        <v>552</v>
      </c>
    </row>
    <row r="411" spans="1:20" ht="37.5" customHeight="1" x14ac:dyDescent="0.25">
      <c r="A411" s="2" t="s">
        <v>553</v>
      </c>
      <c r="B411">
        <f t="shared" si="42"/>
        <v>42307</v>
      </c>
      <c r="C411">
        <v>8671</v>
      </c>
      <c r="D411">
        <v>33636</v>
      </c>
      <c r="F411">
        <f t="shared" si="43"/>
        <v>877</v>
      </c>
      <c r="G411" s="3">
        <f t="shared" si="48"/>
        <v>411</v>
      </c>
      <c r="H411" s="4"/>
      <c r="I411" s="5">
        <v>295</v>
      </c>
      <c r="J411" s="6"/>
      <c r="K411" s="7">
        <v>41430</v>
      </c>
      <c r="L411" s="6">
        <f t="shared" si="44"/>
        <v>877</v>
      </c>
      <c r="M411" s="7">
        <v>8471</v>
      </c>
      <c r="N411" s="8">
        <f t="shared" si="45"/>
        <v>200</v>
      </c>
      <c r="O411" s="7">
        <v>32959</v>
      </c>
      <c r="P411" s="6">
        <f t="shared" si="46"/>
        <v>677</v>
      </c>
      <c r="Q411" s="9"/>
      <c r="R411" s="6">
        <f t="shared" si="47"/>
        <v>0</v>
      </c>
      <c r="S411" s="10" t="s">
        <v>1</v>
      </c>
      <c r="T411" s="2" t="s">
        <v>553</v>
      </c>
    </row>
    <row r="412" spans="1:20" ht="37.5" customHeight="1" x14ac:dyDescent="0.25">
      <c r="A412" s="2" t="s">
        <v>554</v>
      </c>
      <c r="B412">
        <f t="shared" si="42"/>
        <v>2924</v>
      </c>
      <c r="C412">
        <v>548</v>
      </c>
      <c r="D412">
        <v>2376</v>
      </c>
      <c r="E412">
        <v>6799</v>
      </c>
      <c r="F412">
        <f t="shared" si="43"/>
        <v>139</v>
      </c>
      <c r="G412" s="3">
        <f t="shared" si="48"/>
        <v>412</v>
      </c>
      <c r="H412" s="4"/>
      <c r="I412" s="5">
        <v>296</v>
      </c>
      <c r="J412" s="6"/>
      <c r="K412" s="7">
        <f>M412+O412</f>
        <v>2785</v>
      </c>
      <c r="L412" s="6">
        <f t="shared" si="44"/>
        <v>139</v>
      </c>
      <c r="M412" s="7">
        <v>511</v>
      </c>
      <c r="N412" s="8">
        <f t="shared" si="45"/>
        <v>37</v>
      </c>
      <c r="O412" s="7">
        <v>2274</v>
      </c>
      <c r="P412" s="6">
        <f t="shared" si="46"/>
        <v>102</v>
      </c>
      <c r="Q412" s="9">
        <v>5768</v>
      </c>
      <c r="R412" s="6">
        <f t="shared" si="47"/>
        <v>1031</v>
      </c>
      <c r="S412" s="10" t="s">
        <v>1</v>
      </c>
      <c r="T412" s="2" t="s">
        <v>554</v>
      </c>
    </row>
    <row r="413" spans="1:20" ht="37.5" customHeight="1" x14ac:dyDescent="0.25">
      <c r="A413" s="2" t="s">
        <v>555</v>
      </c>
      <c r="B413">
        <f t="shared" si="42"/>
        <v>64400</v>
      </c>
      <c r="C413">
        <v>11261</v>
      </c>
      <c r="D413">
        <v>53139</v>
      </c>
      <c r="F413">
        <f t="shared" si="43"/>
        <v>436</v>
      </c>
      <c r="G413" s="3">
        <f t="shared" si="48"/>
        <v>413</v>
      </c>
      <c r="H413" s="4"/>
      <c r="I413" s="5">
        <v>297</v>
      </c>
      <c r="J413" s="6"/>
      <c r="K413" s="7">
        <v>63964</v>
      </c>
      <c r="L413" s="6">
        <f t="shared" si="44"/>
        <v>436</v>
      </c>
      <c r="M413" s="7">
        <v>11194</v>
      </c>
      <c r="N413" s="8">
        <f t="shared" si="45"/>
        <v>67</v>
      </c>
      <c r="O413" s="7">
        <v>52770</v>
      </c>
      <c r="P413" s="6">
        <f t="shared" si="46"/>
        <v>369</v>
      </c>
      <c r="Q413" s="9"/>
      <c r="R413" s="6">
        <f t="shared" si="47"/>
        <v>0</v>
      </c>
      <c r="S413" s="10" t="s">
        <v>1</v>
      </c>
      <c r="T413" s="2" t="s">
        <v>555</v>
      </c>
    </row>
    <row r="414" spans="1:20" ht="37.5" customHeight="1" x14ac:dyDescent="0.25">
      <c r="A414" s="2" t="s">
        <v>556</v>
      </c>
      <c r="B414">
        <f t="shared" si="42"/>
        <v>23569</v>
      </c>
      <c r="C414">
        <v>4352</v>
      </c>
      <c r="D414">
        <v>19217</v>
      </c>
      <c r="F414">
        <f t="shared" si="43"/>
        <v>435</v>
      </c>
      <c r="G414" s="3">
        <f t="shared" si="48"/>
        <v>414</v>
      </c>
      <c r="H414" s="4"/>
      <c r="I414" s="5">
        <v>298</v>
      </c>
      <c r="J414" s="6"/>
      <c r="K414" s="7">
        <v>23134</v>
      </c>
      <c r="L414" s="6">
        <f t="shared" si="44"/>
        <v>435</v>
      </c>
      <c r="M414" s="7">
        <v>4274</v>
      </c>
      <c r="N414" s="8">
        <f t="shared" si="45"/>
        <v>78</v>
      </c>
      <c r="O414" s="7">
        <v>18860</v>
      </c>
      <c r="P414" s="6">
        <f t="shared" si="46"/>
        <v>357</v>
      </c>
      <c r="Q414" s="9"/>
      <c r="R414" s="6">
        <f t="shared" si="47"/>
        <v>0</v>
      </c>
      <c r="S414" s="10" t="s">
        <v>1</v>
      </c>
      <c r="T414" s="2" t="s">
        <v>556</v>
      </c>
    </row>
    <row r="415" spans="1:20" ht="37.5" customHeight="1" x14ac:dyDescent="0.25">
      <c r="A415" s="2" t="s">
        <v>557</v>
      </c>
      <c r="B415">
        <f t="shared" si="42"/>
        <v>7403</v>
      </c>
      <c r="C415">
        <v>1518</v>
      </c>
      <c r="D415">
        <v>5885</v>
      </c>
      <c r="F415">
        <f t="shared" si="43"/>
        <v>137</v>
      </c>
      <c r="G415" s="3">
        <f t="shared" si="48"/>
        <v>415</v>
      </c>
      <c r="H415" s="4"/>
      <c r="I415" s="5">
        <v>299</v>
      </c>
      <c r="J415" s="6"/>
      <c r="K415" s="7">
        <v>7266</v>
      </c>
      <c r="L415" s="6">
        <f t="shared" si="44"/>
        <v>137</v>
      </c>
      <c r="M415" s="7">
        <v>1488</v>
      </c>
      <c r="N415" s="8">
        <f t="shared" si="45"/>
        <v>30</v>
      </c>
      <c r="O415" s="7">
        <v>5778</v>
      </c>
      <c r="P415" s="6">
        <f t="shared" si="46"/>
        <v>107</v>
      </c>
      <c r="Q415" s="9"/>
      <c r="R415" s="6">
        <f t="shared" si="47"/>
        <v>0</v>
      </c>
      <c r="S415" s="10" t="s">
        <v>1</v>
      </c>
      <c r="T415" s="2" t="s">
        <v>557</v>
      </c>
    </row>
    <row r="416" spans="1:20" ht="37.5" customHeight="1" x14ac:dyDescent="0.25">
      <c r="A416" s="2" t="s">
        <v>558</v>
      </c>
      <c r="B416">
        <v>51759</v>
      </c>
      <c r="C416" s="23">
        <v>8752</v>
      </c>
      <c r="D416" s="23">
        <f>B416-C416</f>
        <v>43007</v>
      </c>
      <c r="F416">
        <f t="shared" si="43"/>
        <v>421</v>
      </c>
      <c r="G416" s="3">
        <f t="shared" si="48"/>
        <v>416</v>
      </c>
      <c r="H416" s="4"/>
      <c r="I416" s="5">
        <v>300</v>
      </c>
      <c r="J416" s="6"/>
      <c r="K416" s="7">
        <v>51338</v>
      </c>
      <c r="L416" s="6">
        <f t="shared" si="44"/>
        <v>421</v>
      </c>
      <c r="M416" s="7">
        <v>8687</v>
      </c>
      <c r="N416" s="8">
        <f t="shared" si="45"/>
        <v>65</v>
      </c>
      <c r="O416" s="7">
        <v>42651</v>
      </c>
      <c r="P416" s="6">
        <f t="shared" si="46"/>
        <v>356</v>
      </c>
      <c r="Q416" s="9"/>
      <c r="R416" s="6">
        <f t="shared" si="47"/>
        <v>0</v>
      </c>
      <c r="S416" s="10" t="s">
        <v>1</v>
      </c>
      <c r="T416" s="2" t="s">
        <v>558</v>
      </c>
    </row>
    <row r="417" spans="1:20" ht="37.5" customHeight="1" x14ac:dyDescent="0.25">
      <c r="A417" s="2" t="s">
        <v>559</v>
      </c>
      <c r="B417">
        <f t="shared" si="42"/>
        <v>7967</v>
      </c>
      <c r="C417">
        <v>1492</v>
      </c>
      <c r="D417">
        <v>6475</v>
      </c>
      <c r="F417">
        <f t="shared" si="43"/>
        <v>213</v>
      </c>
      <c r="G417" s="3">
        <f t="shared" si="48"/>
        <v>417</v>
      </c>
      <c r="H417" s="4"/>
      <c r="I417" s="5">
        <v>301</v>
      </c>
      <c r="J417" s="6"/>
      <c r="K417" s="7">
        <v>7754</v>
      </c>
      <c r="L417" s="6">
        <f t="shared" si="44"/>
        <v>213</v>
      </c>
      <c r="M417" s="7">
        <v>1445</v>
      </c>
      <c r="N417" s="8">
        <f t="shared" si="45"/>
        <v>47</v>
      </c>
      <c r="O417" s="7">
        <v>6309</v>
      </c>
      <c r="P417" s="6">
        <f t="shared" si="46"/>
        <v>166</v>
      </c>
      <c r="Q417" s="9"/>
      <c r="R417" s="6">
        <f t="shared" si="47"/>
        <v>0</v>
      </c>
      <c r="S417" s="10" t="s">
        <v>1</v>
      </c>
      <c r="T417" s="2" t="s">
        <v>559</v>
      </c>
    </row>
    <row r="418" spans="1:20" ht="37.5" customHeight="1" x14ac:dyDescent="0.25">
      <c r="A418" s="2" t="s">
        <v>560</v>
      </c>
      <c r="B418">
        <f t="shared" si="42"/>
        <v>86112</v>
      </c>
      <c r="C418">
        <v>31442</v>
      </c>
      <c r="D418">
        <v>54670</v>
      </c>
      <c r="F418">
        <f t="shared" si="43"/>
        <v>222</v>
      </c>
      <c r="G418" s="3">
        <f t="shared" si="48"/>
        <v>418</v>
      </c>
      <c r="H418" s="4"/>
      <c r="I418" s="5">
        <v>302</v>
      </c>
      <c r="J418" s="6"/>
      <c r="K418" s="7">
        <v>85890</v>
      </c>
      <c r="L418" s="6">
        <f t="shared" si="44"/>
        <v>222</v>
      </c>
      <c r="M418" s="7">
        <v>31395</v>
      </c>
      <c r="N418" s="8">
        <f t="shared" si="45"/>
        <v>47</v>
      </c>
      <c r="O418" s="7">
        <v>54495</v>
      </c>
      <c r="P418" s="6">
        <f t="shared" si="46"/>
        <v>175</v>
      </c>
      <c r="Q418" s="9"/>
      <c r="R418" s="6">
        <f t="shared" si="47"/>
        <v>0</v>
      </c>
      <c r="S418" s="10" t="s">
        <v>1</v>
      </c>
      <c r="T418" s="2" t="s">
        <v>560</v>
      </c>
    </row>
    <row r="419" spans="1:20" ht="37.5" customHeight="1" x14ac:dyDescent="0.25">
      <c r="A419" s="2" t="s">
        <v>561</v>
      </c>
      <c r="B419">
        <f t="shared" si="42"/>
        <v>3102</v>
      </c>
      <c r="C419">
        <v>514</v>
      </c>
      <c r="D419">
        <v>2588</v>
      </c>
      <c r="F419">
        <f t="shared" si="43"/>
        <v>52</v>
      </c>
      <c r="G419" s="3">
        <f t="shared" si="48"/>
        <v>419</v>
      </c>
      <c r="H419" s="4"/>
      <c r="I419" s="5">
        <v>303</v>
      </c>
      <c r="J419" s="6"/>
      <c r="K419" s="7">
        <v>3050</v>
      </c>
      <c r="L419" s="6">
        <f t="shared" si="44"/>
        <v>52</v>
      </c>
      <c r="M419" s="7">
        <v>505</v>
      </c>
      <c r="N419" s="8">
        <f t="shared" si="45"/>
        <v>9</v>
      </c>
      <c r="O419" s="7">
        <v>2545</v>
      </c>
      <c r="P419" s="6">
        <f t="shared" si="46"/>
        <v>43</v>
      </c>
      <c r="Q419" s="9"/>
      <c r="R419" s="6">
        <f t="shared" si="47"/>
        <v>0</v>
      </c>
      <c r="S419" s="10" t="s">
        <v>1</v>
      </c>
      <c r="T419" s="2" t="s">
        <v>561</v>
      </c>
    </row>
    <row r="420" spans="1:20" ht="37.5" customHeight="1" x14ac:dyDescent="0.25">
      <c r="A420" s="2" t="s">
        <v>562</v>
      </c>
      <c r="B420">
        <f t="shared" si="42"/>
        <v>1541</v>
      </c>
      <c r="C420">
        <v>432</v>
      </c>
      <c r="D420">
        <v>1109</v>
      </c>
      <c r="E420">
        <v>4161</v>
      </c>
      <c r="F420">
        <f t="shared" si="43"/>
        <v>307</v>
      </c>
      <c r="G420" s="3">
        <f t="shared" si="48"/>
        <v>420</v>
      </c>
      <c r="H420" s="4"/>
      <c r="I420" s="5">
        <v>304</v>
      </c>
      <c r="J420" s="6"/>
      <c r="K420" s="7">
        <f>M420+O420</f>
        <v>1234</v>
      </c>
      <c r="L420" s="6">
        <f t="shared" si="44"/>
        <v>307</v>
      </c>
      <c r="M420" s="7">
        <v>355</v>
      </c>
      <c r="N420" s="8">
        <f t="shared" si="45"/>
        <v>77</v>
      </c>
      <c r="O420" s="7">
        <v>879</v>
      </c>
      <c r="P420" s="6">
        <f t="shared" si="46"/>
        <v>230</v>
      </c>
      <c r="Q420" s="9">
        <v>3285</v>
      </c>
      <c r="R420" s="6">
        <f t="shared" si="47"/>
        <v>876</v>
      </c>
      <c r="S420" s="10" t="s">
        <v>1</v>
      </c>
      <c r="T420" s="2" t="s">
        <v>562</v>
      </c>
    </row>
    <row r="421" spans="1:20" ht="37.5" customHeight="1" x14ac:dyDescent="0.25">
      <c r="A421" s="2" t="s">
        <v>563</v>
      </c>
      <c r="B421">
        <f t="shared" si="42"/>
        <v>16719</v>
      </c>
      <c r="C421">
        <v>3630</v>
      </c>
      <c r="D421">
        <v>13089</v>
      </c>
      <c r="F421">
        <f t="shared" si="43"/>
        <v>182</v>
      </c>
      <c r="G421" s="3">
        <f t="shared" si="48"/>
        <v>421</v>
      </c>
      <c r="H421" s="4"/>
      <c r="I421" s="5">
        <v>305</v>
      </c>
      <c r="J421" s="6"/>
      <c r="K421" s="7">
        <v>16537</v>
      </c>
      <c r="L421" s="6">
        <f t="shared" si="44"/>
        <v>182</v>
      </c>
      <c r="M421" s="7">
        <v>3594</v>
      </c>
      <c r="N421" s="8">
        <f t="shared" si="45"/>
        <v>36</v>
      </c>
      <c r="O421" s="7">
        <v>12943</v>
      </c>
      <c r="P421" s="6">
        <f t="shared" si="46"/>
        <v>146</v>
      </c>
      <c r="Q421" s="9"/>
      <c r="R421" s="6">
        <f t="shared" si="47"/>
        <v>0</v>
      </c>
      <c r="S421" s="10" t="s">
        <v>1</v>
      </c>
      <c r="T421" s="2" t="s">
        <v>563</v>
      </c>
    </row>
    <row r="422" spans="1:20" ht="37.5" customHeight="1" x14ac:dyDescent="0.25">
      <c r="A422" s="2" t="s">
        <v>564</v>
      </c>
      <c r="B422">
        <f t="shared" si="42"/>
        <v>32784</v>
      </c>
      <c r="C422">
        <v>4791</v>
      </c>
      <c r="D422">
        <v>27993</v>
      </c>
      <c r="F422">
        <f t="shared" si="43"/>
        <v>120</v>
      </c>
      <c r="G422" s="3">
        <f t="shared" si="48"/>
        <v>422</v>
      </c>
      <c r="H422" s="4"/>
      <c r="I422" s="5">
        <v>306</v>
      </c>
      <c r="J422" s="6"/>
      <c r="K422" s="7">
        <v>32664</v>
      </c>
      <c r="L422" s="6">
        <f t="shared" si="44"/>
        <v>120</v>
      </c>
      <c r="M422" s="7">
        <v>4778</v>
      </c>
      <c r="N422" s="8">
        <f t="shared" si="45"/>
        <v>13</v>
      </c>
      <c r="O422" s="7">
        <v>27886</v>
      </c>
      <c r="P422" s="6">
        <f t="shared" si="46"/>
        <v>107</v>
      </c>
      <c r="Q422" s="9"/>
      <c r="R422" s="6">
        <f t="shared" si="47"/>
        <v>0</v>
      </c>
      <c r="S422" s="10" t="s">
        <v>1</v>
      </c>
      <c r="T422" s="2" t="s">
        <v>564</v>
      </c>
    </row>
    <row r="423" spans="1:20" ht="37.5" customHeight="1" x14ac:dyDescent="0.25">
      <c r="A423" s="2" t="s">
        <v>565</v>
      </c>
      <c r="B423">
        <f t="shared" si="42"/>
        <v>57633</v>
      </c>
      <c r="C423">
        <v>14682</v>
      </c>
      <c r="D423">
        <v>42951</v>
      </c>
      <c r="F423">
        <f t="shared" si="43"/>
        <v>153</v>
      </c>
      <c r="G423" s="3">
        <f t="shared" si="48"/>
        <v>423</v>
      </c>
      <c r="H423" s="4"/>
      <c r="I423" s="5">
        <v>307</v>
      </c>
      <c r="J423" s="6"/>
      <c r="K423" s="7">
        <v>57480</v>
      </c>
      <c r="L423" s="6">
        <f t="shared" si="44"/>
        <v>153</v>
      </c>
      <c r="M423" s="7">
        <v>14640</v>
      </c>
      <c r="N423" s="8">
        <f t="shared" si="45"/>
        <v>42</v>
      </c>
      <c r="O423" s="7">
        <v>42840</v>
      </c>
      <c r="P423" s="6">
        <f t="shared" si="46"/>
        <v>111</v>
      </c>
      <c r="Q423" s="9"/>
      <c r="R423" s="6">
        <f t="shared" si="47"/>
        <v>0</v>
      </c>
      <c r="S423" s="10" t="s">
        <v>1</v>
      </c>
      <c r="T423" s="2" t="s">
        <v>565</v>
      </c>
    </row>
    <row r="424" spans="1:20" ht="37.5" customHeight="1" x14ac:dyDescent="0.25">
      <c r="A424" s="2" t="s">
        <v>566</v>
      </c>
      <c r="B424">
        <f t="shared" si="42"/>
        <v>86899</v>
      </c>
      <c r="C424">
        <v>19826</v>
      </c>
      <c r="D424">
        <v>67073</v>
      </c>
      <c r="F424">
        <f t="shared" si="43"/>
        <v>449</v>
      </c>
      <c r="G424" s="3">
        <f t="shared" si="48"/>
        <v>424</v>
      </c>
      <c r="H424" s="4"/>
      <c r="I424" s="5">
        <v>308</v>
      </c>
      <c r="J424" s="6"/>
      <c r="K424" s="7">
        <v>86450</v>
      </c>
      <c r="L424" s="6">
        <f t="shared" si="44"/>
        <v>449</v>
      </c>
      <c r="M424" s="7">
        <v>19742</v>
      </c>
      <c r="N424" s="8">
        <f t="shared" si="45"/>
        <v>84</v>
      </c>
      <c r="O424" s="7">
        <v>66708</v>
      </c>
      <c r="P424" s="6">
        <f t="shared" si="46"/>
        <v>365</v>
      </c>
      <c r="Q424" s="9"/>
      <c r="R424" s="6">
        <f t="shared" si="47"/>
        <v>0</v>
      </c>
      <c r="S424" s="10" t="s">
        <v>1</v>
      </c>
      <c r="T424" s="2" t="s">
        <v>566</v>
      </c>
    </row>
    <row r="425" spans="1:20" ht="37.5" customHeight="1" x14ac:dyDescent="0.25">
      <c r="A425" s="2" t="s">
        <v>567</v>
      </c>
      <c r="B425">
        <f t="shared" si="42"/>
        <v>113166</v>
      </c>
      <c r="C425">
        <v>16847</v>
      </c>
      <c r="D425">
        <v>96319</v>
      </c>
      <c r="F425">
        <f t="shared" si="43"/>
        <v>617</v>
      </c>
      <c r="G425" s="3">
        <f t="shared" si="48"/>
        <v>425</v>
      </c>
      <c r="H425" s="4"/>
      <c r="I425" s="5">
        <v>309</v>
      </c>
      <c r="J425" s="6"/>
      <c r="K425" s="7">
        <v>112549</v>
      </c>
      <c r="L425" s="6">
        <f t="shared" si="44"/>
        <v>617</v>
      </c>
      <c r="M425" s="7">
        <v>16804</v>
      </c>
      <c r="N425" s="8">
        <f t="shared" si="45"/>
        <v>43</v>
      </c>
      <c r="O425" s="7">
        <v>95745</v>
      </c>
      <c r="P425" s="6">
        <f t="shared" si="46"/>
        <v>574</v>
      </c>
      <c r="Q425" s="9"/>
      <c r="R425" s="6">
        <f t="shared" si="47"/>
        <v>0</v>
      </c>
      <c r="S425" s="10" t="s">
        <v>1</v>
      </c>
      <c r="T425" s="2" t="s">
        <v>567</v>
      </c>
    </row>
    <row r="426" spans="1:20" ht="37.5" customHeight="1" x14ac:dyDescent="0.25">
      <c r="A426" s="2" t="s">
        <v>568</v>
      </c>
      <c r="B426">
        <f t="shared" si="42"/>
        <v>29177</v>
      </c>
      <c r="C426">
        <v>5105</v>
      </c>
      <c r="D426">
        <v>24072</v>
      </c>
      <c r="F426">
        <f t="shared" si="43"/>
        <v>391</v>
      </c>
      <c r="G426" s="3">
        <f t="shared" si="48"/>
        <v>426</v>
      </c>
      <c r="H426" s="4"/>
      <c r="I426" s="5">
        <v>310</v>
      </c>
      <c r="J426" s="6"/>
      <c r="K426" s="7">
        <v>28786</v>
      </c>
      <c r="L426" s="6">
        <f t="shared" si="44"/>
        <v>391</v>
      </c>
      <c r="M426" s="7">
        <v>5031</v>
      </c>
      <c r="N426" s="8">
        <f t="shared" si="45"/>
        <v>74</v>
      </c>
      <c r="O426" s="7">
        <v>23755</v>
      </c>
      <c r="P426" s="6">
        <f t="shared" si="46"/>
        <v>317</v>
      </c>
      <c r="Q426" s="9"/>
      <c r="R426" s="6">
        <f t="shared" si="47"/>
        <v>0</v>
      </c>
      <c r="S426" s="10" t="s">
        <v>1</v>
      </c>
      <c r="T426" s="2" t="s">
        <v>568</v>
      </c>
    </row>
    <row r="427" spans="1:20" ht="37.5" customHeight="1" x14ac:dyDescent="0.25">
      <c r="A427" s="2" t="s">
        <v>569</v>
      </c>
      <c r="B427">
        <f t="shared" si="42"/>
        <v>50147</v>
      </c>
      <c r="C427">
        <v>8526</v>
      </c>
      <c r="D427">
        <v>41621</v>
      </c>
      <c r="F427">
        <f t="shared" si="43"/>
        <v>316</v>
      </c>
      <c r="G427" s="3">
        <f t="shared" si="48"/>
        <v>427</v>
      </c>
      <c r="H427" s="4"/>
      <c r="I427" s="5">
        <v>311</v>
      </c>
      <c r="J427" s="6"/>
      <c r="K427" s="7">
        <v>49831</v>
      </c>
      <c r="L427" s="6">
        <f t="shared" si="44"/>
        <v>316</v>
      </c>
      <c r="M427" s="7">
        <v>8468</v>
      </c>
      <c r="N427" s="8">
        <f t="shared" si="45"/>
        <v>58</v>
      </c>
      <c r="O427" s="7">
        <v>41363</v>
      </c>
      <c r="P427" s="6">
        <f t="shared" si="46"/>
        <v>258</v>
      </c>
      <c r="Q427" s="9"/>
      <c r="R427" s="6">
        <f t="shared" si="47"/>
        <v>0</v>
      </c>
      <c r="S427" s="10" t="s">
        <v>1</v>
      </c>
      <c r="T427" s="2" t="s">
        <v>569</v>
      </c>
    </row>
    <row r="428" spans="1:20" ht="37.5" customHeight="1" x14ac:dyDescent="0.25">
      <c r="A428" s="2" t="s">
        <v>570</v>
      </c>
      <c r="B428">
        <f t="shared" si="42"/>
        <v>6383</v>
      </c>
      <c r="C428">
        <v>1766</v>
      </c>
      <c r="D428">
        <v>4617</v>
      </c>
      <c r="E428">
        <v>6715</v>
      </c>
      <c r="F428">
        <f t="shared" si="43"/>
        <v>503</v>
      </c>
      <c r="G428" s="3">
        <f t="shared" si="48"/>
        <v>428</v>
      </c>
      <c r="H428" s="4"/>
      <c r="I428" s="5">
        <v>312</v>
      </c>
      <c r="J428" s="6"/>
      <c r="K428" s="7">
        <f>M428+O428</f>
        <v>5880</v>
      </c>
      <c r="L428" s="6">
        <f t="shared" si="44"/>
        <v>503</v>
      </c>
      <c r="M428" s="7">
        <v>1628</v>
      </c>
      <c r="N428" s="8">
        <f t="shared" si="45"/>
        <v>138</v>
      </c>
      <c r="O428" s="7">
        <v>4252</v>
      </c>
      <c r="P428" s="6">
        <f t="shared" si="46"/>
        <v>365</v>
      </c>
      <c r="Q428" s="9">
        <v>5521</v>
      </c>
      <c r="R428" s="6">
        <f t="shared" si="47"/>
        <v>1194</v>
      </c>
      <c r="S428" s="10" t="s">
        <v>1</v>
      </c>
      <c r="T428" s="2" t="s">
        <v>570</v>
      </c>
    </row>
    <row r="429" spans="1:20" ht="37.5" customHeight="1" x14ac:dyDescent="0.25">
      <c r="A429" s="2" t="s">
        <v>571</v>
      </c>
      <c r="B429">
        <f t="shared" si="42"/>
        <v>345</v>
      </c>
      <c r="C429">
        <v>46</v>
      </c>
      <c r="D429">
        <v>299</v>
      </c>
      <c r="F429">
        <f t="shared" si="43"/>
        <v>0</v>
      </c>
      <c r="G429" s="3">
        <f t="shared" si="48"/>
        <v>429</v>
      </c>
      <c r="H429" s="4"/>
      <c r="I429" s="5">
        <v>313</v>
      </c>
      <c r="J429" s="6"/>
      <c r="K429" s="7">
        <v>345</v>
      </c>
      <c r="L429" s="6">
        <f t="shared" si="44"/>
        <v>0</v>
      </c>
      <c r="M429" s="7">
        <v>46</v>
      </c>
      <c r="N429" s="8">
        <f t="shared" si="45"/>
        <v>0</v>
      </c>
      <c r="O429" s="7">
        <v>299</v>
      </c>
      <c r="P429" s="6">
        <f t="shared" si="46"/>
        <v>0</v>
      </c>
      <c r="Q429" s="9"/>
      <c r="R429" s="6">
        <f t="shared" si="47"/>
        <v>0</v>
      </c>
      <c r="S429" s="10" t="s">
        <v>1</v>
      </c>
      <c r="T429" s="2" t="s">
        <v>571</v>
      </c>
    </row>
    <row r="430" spans="1:20" ht="37.5" customHeight="1" x14ac:dyDescent="0.25">
      <c r="A430" s="2" t="s">
        <v>572</v>
      </c>
      <c r="B430">
        <f t="shared" si="42"/>
        <v>129690</v>
      </c>
      <c r="C430">
        <v>29989</v>
      </c>
      <c r="D430">
        <v>99701</v>
      </c>
      <c r="F430">
        <f t="shared" si="43"/>
        <v>729</v>
      </c>
      <c r="G430" s="3">
        <f t="shared" si="48"/>
        <v>430</v>
      </c>
      <c r="H430" s="4"/>
      <c r="I430" s="5">
        <v>314</v>
      </c>
      <c r="J430" s="6"/>
      <c r="K430" s="7">
        <v>128961</v>
      </c>
      <c r="L430" s="6">
        <f t="shared" si="44"/>
        <v>729</v>
      </c>
      <c r="M430" s="7">
        <v>29880</v>
      </c>
      <c r="N430" s="8">
        <f t="shared" si="45"/>
        <v>109</v>
      </c>
      <c r="O430" s="7">
        <v>99081</v>
      </c>
      <c r="P430" s="6">
        <f t="shared" si="46"/>
        <v>620</v>
      </c>
      <c r="Q430" s="9"/>
      <c r="R430" s="6">
        <f t="shared" si="47"/>
        <v>0</v>
      </c>
      <c r="S430" s="10" t="s">
        <v>1</v>
      </c>
      <c r="T430" s="2" t="s">
        <v>572</v>
      </c>
    </row>
    <row r="431" spans="1:20" ht="37.5" customHeight="1" x14ac:dyDescent="0.25">
      <c r="A431" s="2" t="s">
        <v>573</v>
      </c>
      <c r="B431">
        <f t="shared" si="42"/>
        <v>19081</v>
      </c>
      <c r="C431">
        <v>2864</v>
      </c>
      <c r="D431">
        <v>16217</v>
      </c>
      <c r="F431">
        <f t="shared" si="43"/>
        <v>0</v>
      </c>
      <c r="G431" s="3">
        <f t="shared" si="48"/>
        <v>431</v>
      </c>
      <c r="H431" s="4"/>
      <c r="I431" s="5">
        <v>315</v>
      </c>
      <c r="J431" s="6"/>
      <c r="K431" s="7">
        <v>19081</v>
      </c>
      <c r="L431" s="6">
        <f t="shared" si="44"/>
        <v>0</v>
      </c>
      <c r="M431" s="7">
        <v>2864</v>
      </c>
      <c r="N431" s="8">
        <f t="shared" si="45"/>
        <v>0</v>
      </c>
      <c r="O431" s="7">
        <v>16217</v>
      </c>
      <c r="P431" s="6">
        <f t="shared" si="46"/>
        <v>0</v>
      </c>
      <c r="Q431" s="9"/>
      <c r="R431" s="6">
        <f t="shared" si="47"/>
        <v>0</v>
      </c>
      <c r="S431" s="10" t="s">
        <v>1</v>
      </c>
      <c r="T431" s="2" t="s">
        <v>573</v>
      </c>
    </row>
    <row r="432" spans="1:20" ht="37.5" customHeight="1" x14ac:dyDescent="0.25">
      <c r="A432" s="2" t="s">
        <v>574</v>
      </c>
      <c r="B432">
        <f t="shared" si="42"/>
        <v>2651</v>
      </c>
      <c r="C432">
        <v>683</v>
      </c>
      <c r="D432">
        <v>1968</v>
      </c>
      <c r="E432">
        <v>4005</v>
      </c>
      <c r="F432">
        <f t="shared" si="43"/>
        <v>399</v>
      </c>
      <c r="G432" s="3">
        <f t="shared" si="48"/>
        <v>432</v>
      </c>
      <c r="H432" s="4"/>
      <c r="I432" s="5">
        <v>316</v>
      </c>
      <c r="J432" s="6"/>
      <c r="K432" s="7">
        <f>M432+O432</f>
        <v>2252</v>
      </c>
      <c r="L432" s="6">
        <f t="shared" si="44"/>
        <v>399</v>
      </c>
      <c r="M432" s="7">
        <v>587</v>
      </c>
      <c r="N432" s="8">
        <f t="shared" si="45"/>
        <v>96</v>
      </c>
      <c r="O432" s="7">
        <v>1665</v>
      </c>
      <c r="P432" s="6">
        <f t="shared" si="46"/>
        <v>303</v>
      </c>
      <c r="Q432" s="9">
        <v>3269</v>
      </c>
      <c r="R432" s="6">
        <f t="shared" si="47"/>
        <v>736</v>
      </c>
      <c r="S432" s="10" t="s">
        <v>1</v>
      </c>
      <c r="T432" s="2" t="s">
        <v>574</v>
      </c>
    </row>
    <row r="433" spans="1:20" ht="37.5" customHeight="1" x14ac:dyDescent="0.25">
      <c r="A433" s="2" t="s">
        <v>575</v>
      </c>
      <c r="B433">
        <f t="shared" si="42"/>
        <v>59600</v>
      </c>
      <c r="C433">
        <v>11302</v>
      </c>
      <c r="D433">
        <v>48298</v>
      </c>
      <c r="F433">
        <f t="shared" si="43"/>
        <v>1149</v>
      </c>
      <c r="G433" s="3">
        <f t="shared" si="48"/>
        <v>433</v>
      </c>
      <c r="H433" s="4"/>
      <c r="I433" s="5">
        <v>317</v>
      </c>
      <c r="J433" s="6"/>
      <c r="K433" s="7">
        <v>58451</v>
      </c>
      <c r="L433" s="6">
        <f t="shared" si="44"/>
        <v>1149</v>
      </c>
      <c r="M433" s="7">
        <v>11127</v>
      </c>
      <c r="N433" s="8">
        <f t="shared" si="45"/>
        <v>175</v>
      </c>
      <c r="O433" s="7">
        <v>47324</v>
      </c>
      <c r="P433" s="6">
        <f t="shared" si="46"/>
        <v>974</v>
      </c>
      <c r="Q433" s="9"/>
      <c r="R433" s="6">
        <f t="shared" si="47"/>
        <v>0</v>
      </c>
      <c r="S433" s="10" t="s">
        <v>1</v>
      </c>
      <c r="T433" s="2" t="s">
        <v>575</v>
      </c>
    </row>
    <row r="434" spans="1:20" ht="37.5" customHeight="1" x14ac:dyDescent="0.25">
      <c r="A434" s="2" t="s">
        <v>576</v>
      </c>
      <c r="B434">
        <f t="shared" si="42"/>
        <v>2820</v>
      </c>
      <c r="C434">
        <v>770</v>
      </c>
      <c r="D434">
        <v>2050</v>
      </c>
      <c r="E434">
        <v>4831</v>
      </c>
      <c r="F434">
        <f t="shared" si="43"/>
        <v>260</v>
      </c>
      <c r="G434" s="3">
        <f t="shared" si="48"/>
        <v>434</v>
      </c>
      <c r="H434" s="4"/>
      <c r="I434" s="5">
        <v>318</v>
      </c>
      <c r="J434" s="6"/>
      <c r="K434" s="7">
        <f>M434+O434</f>
        <v>2560</v>
      </c>
      <c r="L434" s="6">
        <f t="shared" si="44"/>
        <v>260</v>
      </c>
      <c r="M434" s="7">
        <v>690</v>
      </c>
      <c r="N434" s="8">
        <f t="shared" si="45"/>
        <v>80</v>
      </c>
      <c r="O434" s="7">
        <v>1870</v>
      </c>
      <c r="P434" s="6">
        <f t="shared" si="46"/>
        <v>180</v>
      </c>
      <c r="Q434" s="9">
        <v>3994</v>
      </c>
      <c r="R434" s="6">
        <f t="shared" si="47"/>
        <v>837</v>
      </c>
      <c r="S434" s="10" t="s">
        <v>1</v>
      </c>
      <c r="T434" s="2" t="s">
        <v>576</v>
      </c>
    </row>
    <row r="435" spans="1:20" ht="37.5" customHeight="1" x14ac:dyDescent="0.25">
      <c r="A435" s="2" t="s">
        <v>577</v>
      </c>
      <c r="B435">
        <f t="shared" si="42"/>
        <v>68590</v>
      </c>
      <c r="C435">
        <v>10741</v>
      </c>
      <c r="D435">
        <v>57849</v>
      </c>
      <c r="F435">
        <f t="shared" si="43"/>
        <v>422</v>
      </c>
      <c r="G435" s="3">
        <f t="shared" si="48"/>
        <v>435</v>
      </c>
      <c r="H435" s="4"/>
      <c r="I435" s="5">
        <v>319</v>
      </c>
      <c r="J435" s="6"/>
      <c r="K435" s="7">
        <v>68168</v>
      </c>
      <c r="L435" s="6">
        <f t="shared" si="44"/>
        <v>422</v>
      </c>
      <c r="M435" s="7">
        <v>10671</v>
      </c>
      <c r="N435" s="8">
        <f t="shared" si="45"/>
        <v>70</v>
      </c>
      <c r="O435" s="7">
        <v>57497</v>
      </c>
      <c r="P435" s="6">
        <f t="shared" si="46"/>
        <v>352</v>
      </c>
      <c r="Q435" s="9"/>
      <c r="R435" s="6">
        <f t="shared" si="47"/>
        <v>0</v>
      </c>
      <c r="S435" s="10" t="s">
        <v>1</v>
      </c>
      <c r="T435" s="2" t="s">
        <v>577</v>
      </c>
    </row>
    <row r="436" spans="1:20" ht="37.5" customHeight="1" x14ac:dyDescent="0.25">
      <c r="A436" s="2" t="s">
        <v>578</v>
      </c>
      <c r="B436">
        <f t="shared" si="42"/>
        <v>47483</v>
      </c>
      <c r="C436">
        <v>7421</v>
      </c>
      <c r="D436">
        <v>40062</v>
      </c>
      <c r="F436">
        <f t="shared" si="43"/>
        <v>325</v>
      </c>
      <c r="G436" s="3">
        <f t="shared" si="48"/>
        <v>436</v>
      </c>
      <c r="H436" s="4"/>
      <c r="I436" s="5">
        <v>320</v>
      </c>
      <c r="J436" s="6"/>
      <c r="K436" s="7">
        <v>47158</v>
      </c>
      <c r="L436" s="6">
        <f t="shared" si="44"/>
        <v>325</v>
      </c>
      <c r="M436" s="7">
        <v>7359</v>
      </c>
      <c r="N436" s="8">
        <f t="shared" si="45"/>
        <v>62</v>
      </c>
      <c r="O436" s="7">
        <v>39799</v>
      </c>
      <c r="P436" s="6">
        <f t="shared" si="46"/>
        <v>263</v>
      </c>
      <c r="Q436" s="9"/>
      <c r="R436" s="6">
        <f t="shared" si="47"/>
        <v>0</v>
      </c>
      <c r="S436" s="10" t="s">
        <v>1</v>
      </c>
      <c r="T436" s="2" t="s">
        <v>578</v>
      </c>
    </row>
    <row r="437" spans="1:20" ht="37.5" customHeight="1" x14ac:dyDescent="0.25">
      <c r="A437" s="2" t="s">
        <v>579</v>
      </c>
      <c r="B437">
        <f t="shared" si="42"/>
        <v>55290</v>
      </c>
      <c r="C437">
        <v>10110</v>
      </c>
      <c r="D437">
        <v>45180</v>
      </c>
      <c r="F437">
        <f t="shared" si="43"/>
        <v>689</v>
      </c>
      <c r="G437" s="3">
        <f t="shared" si="48"/>
        <v>437</v>
      </c>
      <c r="H437" s="4"/>
      <c r="I437" s="5">
        <v>321</v>
      </c>
      <c r="J437" s="6"/>
      <c r="K437" s="7">
        <v>54601</v>
      </c>
      <c r="L437" s="6">
        <f t="shared" si="44"/>
        <v>689</v>
      </c>
      <c r="M437" s="7">
        <v>10013</v>
      </c>
      <c r="N437" s="8">
        <f t="shared" si="45"/>
        <v>97</v>
      </c>
      <c r="O437" s="7">
        <v>44588</v>
      </c>
      <c r="P437" s="6">
        <f t="shared" si="46"/>
        <v>592</v>
      </c>
      <c r="Q437" s="9"/>
      <c r="R437" s="6">
        <f t="shared" si="47"/>
        <v>0</v>
      </c>
      <c r="S437" s="10" t="s">
        <v>1</v>
      </c>
      <c r="T437" s="2" t="s">
        <v>579</v>
      </c>
    </row>
    <row r="438" spans="1:20" ht="37.5" customHeight="1" x14ac:dyDescent="0.25">
      <c r="A438" s="2" t="s">
        <v>580</v>
      </c>
      <c r="B438">
        <f t="shared" si="42"/>
        <v>62334</v>
      </c>
      <c r="C438">
        <v>8774</v>
      </c>
      <c r="D438">
        <v>53560</v>
      </c>
      <c r="F438">
        <f t="shared" si="43"/>
        <v>95</v>
      </c>
      <c r="G438" s="3">
        <f t="shared" si="48"/>
        <v>438</v>
      </c>
      <c r="H438" s="4"/>
      <c r="I438" s="5">
        <v>322</v>
      </c>
      <c r="J438" s="6"/>
      <c r="K438" s="7">
        <v>62239</v>
      </c>
      <c r="L438" s="6">
        <f t="shared" si="44"/>
        <v>95</v>
      </c>
      <c r="M438" s="7">
        <v>8760</v>
      </c>
      <c r="N438" s="8">
        <f t="shared" si="45"/>
        <v>14</v>
      </c>
      <c r="O438" s="7">
        <v>53479</v>
      </c>
      <c r="P438" s="6">
        <f t="shared" si="46"/>
        <v>81</v>
      </c>
      <c r="Q438" s="9"/>
      <c r="R438" s="6">
        <f t="shared" si="47"/>
        <v>0</v>
      </c>
      <c r="S438" s="10" t="s">
        <v>1</v>
      </c>
      <c r="T438" s="2" t="s">
        <v>580</v>
      </c>
    </row>
    <row r="439" spans="1:20" ht="37.5" customHeight="1" x14ac:dyDescent="0.25">
      <c r="A439" s="2" t="s">
        <v>581</v>
      </c>
      <c r="B439">
        <f t="shared" si="42"/>
        <v>83822</v>
      </c>
      <c r="C439">
        <v>13757</v>
      </c>
      <c r="D439">
        <v>70065</v>
      </c>
      <c r="F439">
        <f t="shared" si="43"/>
        <v>212</v>
      </c>
      <c r="G439" s="3">
        <f t="shared" si="48"/>
        <v>439</v>
      </c>
      <c r="H439" s="4"/>
      <c r="I439" s="5">
        <v>323</v>
      </c>
      <c r="J439" s="6"/>
      <c r="K439" s="7">
        <v>83610</v>
      </c>
      <c r="L439" s="6">
        <f t="shared" si="44"/>
        <v>212</v>
      </c>
      <c r="M439" s="7">
        <v>13714</v>
      </c>
      <c r="N439" s="8">
        <f t="shared" si="45"/>
        <v>43</v>
      </c>
      <c r="O439" s="7">
        <v>69896</v>
      </c>
      <c r="P439" s="6">
        <f t="shared" si="46"/>
        <v>169</v>
      </c>
      <c r="Q439" s="9"/>
      <c r="R439" s="6">
        <f t="shared" si="47"/>
        <v>0</v>
      </c>
      <c r="S439" s="10" t="s">
        <v>1</v>
      </c>
      <c r="T439" s="2" t="s">
        <v>581</v>
      </c>
    </row>
    <row r="440" spans="1:20" ht="37.5" customHeight="1" x14ac:dyDescent="0.25">
      <c r="A440" s="2" t="s">
        <v>582</v>
      </c>
      <c r="B440">
        <f t="shared" si="42"/>
        <v>70307</v>
      </c>
      <c r="C440">
        <v>11768</v>
      </c>
      <c r="D440">
        <v>58539</v>
      </c>
      <c r="F440">
        <f t="shared" si="43"/>
        <v>251</v>
      </c>
      <c r="G440" s="3">
        <f t="shared" si="48"/>
        <v>440</v>
      </c>
      <c r="H440" s="4"/>
      <c r="I440" s="5">
        <v>324</v>
      </c>
      <c r="J440" s="6"/>
      <c r="K440" s="7">
        <v>70056</v>
      </c>
      <c r="L440" s="6">
        <f t="shared" si="44"/>
        <v>251</v>
      </c>
      <c r="M440" s="7">
        <v>11735</v>
      </c>
      <c r="N440" s="8">
        <f t="shared" si="45"/>
        <v>33</v>
      </c>
      <c r="O440" s="7">
        <v>58321</v>
      </c>
      <c r="P440" s="6">
        <f t="shared" si="46"/>
        <v>218</v>
      </c>
      <c r="Q440" s="9"/>
      <c r="R440" s="6">
        <f t="shared" si="47"/>
        <v>0</v>
      </c>
      <c r="S440" s="10" t="s">
        <v>1</v>
      </c>
      <c r="T440" s="2" t="s">
        <v>582</v>
      </c>
    </row>
    <row r="441" spans="1:20" ht="37.5" customHeight="1" x14ac:dyDescent="0.25">
      <c r="A441" s="2" t="s">
        <v>583</v>
      </c>
      <c r="B441">
        <f t="shared" si="42"/>
        <v>54797</v>
      </c>
      <c r="C441">
        <v>9841</v>
      </c>
      <c r="D441">
        <v>44956</v>
      </c>
      <c r="F441">
        <f t="shared" si="43"/>
        <v>435</v>
      </c>
      <c r="G441" s="3">
        <f t="shared" si="48"/>
        <v>441</v>
      </c>
      <c r="H441" s="4"/>
      <c r="I441" s="5">
        <v>325</v>
      </c>
      <c r="J441" s="6"/>
      <c r="K441" s="7">
        <v>54362</v>
      </c>
      <c r="L441" s="6">
        <f t="shared" si="44"/>
        <v>435</v>
      </c>
      <c r="M441" s="7">
        <v>9758</v>
      </c>
      <c r="N441" s="8">
        <f t="shared" si="45"/>
        <v>83</v>
      </c>
      <c r="O441" s="7">
        <v>44604</v>
      </c>
      <c r="P441" s="6">
        <f t="shared" si="46"/>
        <v>352</v>
      </c>
      <c r="Q441" s="9"/>
      <c r="R441" s="6">
        <f t="shared" si="47"/>
        <v>0</v>
      </c>
      <c r="S441" s="10" t="s">
        <v>1</v>
      </c>
      <c r="T441" s="2" t="s">
        <v>583</v>
      </c>
    </row>
    <row r="442" spans="1:20" ht="37.5" customHeight="1" x14ac:dyDescent="0.25">
      <c r="A442" s="2" t="s">
        <v>584</v>
      </c>
      <c r="B442">
        <f t="shared" si="42"/>
        <v>10955</v>
      </c>
      <c r="C442">
        <v>1398</v>
      </c>
      <c r="D442">
        <v>9557</v>
      </c>
      <c r="F442">
        <f t="shared" si="43"/>
        <v>3</v>
      </c>
      <c r="G442" s="3">
        <f t="shared" si="48"/>
        <v>442</v>
      </c>
      <c r="H442" s="4"/>
      <c r="I442" s="5">
        <v>326</v>
      </c>
      <c r="J442" s="6"/>
      <c r="K442" s="7">
        <v>10952</v>
      </c>
      <c r="L442" s="6">
        <f t="shared" si="44"/>
        <v>3</v>
      </c>
      <c r="M442" s="7">
        <v>1398</v>
      </c>
      <c r="N442" s="8">
        <f t="shared" si="45"/>
        <v>0</v>
      </c>
      <c r="O442" s="7">
        <v>9554</v>
      </c>
      <c r="P442" s="6">
        <f t="shared" si="46"/>
        <v>3</v>
      </c>
      <c r="Q442" s="9"/>
      <c r="R442" s="6">
        <f t="shared" si="47"/>
        <v>0</v>
      </c>
      <c r="S442" s="10" t="s">
        <v>1</v>
      </c>
      <c r="T442" s="2" t="s">
        <v>584</v>
      </c>
    </row>
    <row r="443" spans="1:20" ht="37.5" customHeight="1" x14ac:dyDescent="0.25">
      <c r="A443" s="2" t="s">
        <v>585</v>
      </c>
      <c r="B443">
        <f t="shared" si="42"/>
        <v>76246</v>
      </c>
      <c r="C443">
        <v>13985</v>
      </c>
      <c r="D443">
        <v>62261</v>
      </c>
      <c r="F443">
        <f t="shared" si="43"/>
        <v>227</v>
      </c>
      <c r="G443" s="3">
        <f t="shared" si="48"/>
        <v>443</v>
      </c>
      <c r="H443" s="4"/>
      <c r="I443" s="5">
        <v>327</v>
      </c>
      <c r="J443" s="6"/>
      <c r="K443" s="7">
        <v>76019</v>
      </c>
      <c r="L443" s="6">
        <f t="shared" si="44"/>
        <v>227</v>
      </c>
      <c r="M443" s="7">
        <v>13945</v>
      </c>
      <c r="N443" s="8">
        <f t="shared" si="45"/>
        <v>40</v>
      </c>
      <c r="O443" s="7">
        <v>62074</v>
      </c>
      <c r="P443" s="6">
        <f t="shared" si="46"/>
        <v>187</v>
      </c>
      <c r="Q443" s="9"/>
      <c r="R443" s="6">
        <f t="shared" si="47"/>
        <v>0</v>
      </c>
      <c r="S443" s="10" t="s">
        <v>1</v>
      </c>
      <c r="T443" s="2" t="s">
        <v>585</v>
      </c>
    </row>
    <row r="444" spans="1:20" ht="37.5" customHeight="1" x14ac:dyDescent="0.25">
      <c r="A444" s="2" t="s">
        <v>586</v>
      </c>
      <c r="B444">
        <f t="shared" si="42"/>
        <v>110707</v>
      </c>
      <c r="C444">
        <v>17930</v>
      </c>
      <c r="D444">
        <v>92777</v>
      </c>
      <c r="F444">
        <f t="shared" si="43"/>
        <v>682</v>
      </c>
      <c r="G444" s="3">
        <f t="shared" si="48"/>
        <v>444</v>
      </c>
      <c r="H444" s="4"/>
      <c r="I444" s="5">
        <v>328</v>
      </c>
      <c r="J444" s="6"/>
      <c r="K444" s="7">
        <v>110025</v>
      </c>
      <c r="L444" s="6">
        <f t="shared" si="44"/>
        <v>682</v>
      </c>
      <c r="M444" s="7">
        <v>17782</v>
      </c>
      <c r="N444" s="8">
        <f t="shared" si="45"/>
        <v>148</v>
      </c>
      <c r="O444" s="7">
        <v>92243</v>
      </c>
      <c r="P444" s="6">
        <f t="shared" si="46"/>
        <v>534</v>
      </c>
      <c r="Q444" s="9"/>
      <c r="R444" s="6">
        <f t="shared" si="47"/>
        <v>0</v>
      </c>
      <c r="S444" s="10" t="s">
        <v>1</v>
      </c>
      <c r="T444" s="2" t="s">
        <v>586</v>
      </c>
    </row>
    <row r="445" spans="1:20" ht="37.5" customHeight="1" x14ac:dyDescent="0.25">
      <c r="A445" s="2" t="s">
        <v>587</v>
      </c>
      <c r="B445">
        <f t="shared" si="42"/>
        <v>79739</v>
      </c>
      <c r="C445">
        <v>13434</v>
      </c>
      <c r="D445">
        <v>66305</v>
      </c>
      <c r="F445">
        <f t="shared" si="43"/>
        <v>612</v>
      </c>
      <c r="G445" s="3">
        <f t="shared" si="48"/>
        <v>445</v>
      </c>
      <c r="H445" s="4"/>
      <c r="I445" s="5">
        <v>329</v>
      </c>
      <c r="J445" s="6"/>
      <c r="K445" s="7">
        <v>79127</v>
      </c>
      <c r="L445" s="6">
        <f t="shared" si="44"/>
        <v>612</v>
      </c>
      <c r="M445" s="7">
        <v>13336</v>
      </c>
      <c r="N445" s="8">
        <f t="shared" si="45"/>
        <v>98</v>
      </c>
      <c r="O445" s="7">
        <v>65791</v>
      </c>
      <c r="P445" s="6">
        <f t="shared" si="46"/>
        <v>514</v>
      </c>
      <c r="Q445" s="9"/>
      <c r="R445" s="6">
        <f t="shared" si="47"/>
        <v>0</v>
      </c>
      <c r="S445" s="10" t="s">
        <v>1</v>
      </c>
      <c r="T445" s="2" t="s">
        <v>587</v>
      </c>
    </row>
    <row r="446" spans="1:20" ht="37.5" customHeight="1" x14ac:dyDescent="0.25">
      <c r="A446" s="2" t="s">
        <v>588</v>
      </c>
      <c r="B446">
        <f t="shared" si="42"/>
        <v>37912</v>
      </c>
      <c r="C446">
        <v>6078</v>
      </c>
      <c r="D446">
        <v>31834</v>
      </c>
      <c r="F446">
        <f t="shared" si="43"/>
        <v>32</v>
      </c>
      <c r="G446" s="3">
        <f t="shared" si="48"/>
        <v>446</v>
      </c>
      <c r="H446" s="4"/>
      <c r="I446" s="5">
        <v>330</v>
      </c>
      <c r="J446" s="6"/>
      <c r="K446" s="7">
        <v>37880</v>
      </c>
      <c r="L446" s="6">
        <f t="shared" si="44"/>
        <v>32</v>
      </c>
      <c r="M446" s="7">
        <v>6075</v>
      </c>
      <c r="N446" s="8">
        <f t="shared" si="45"/>
        <v>3</v>
      </c>
      <c r="O446" s="7">
        <v>31805</v>
      </c>
      <c r="P446" s="6">
        <f t="shared" si="46"/>
        <v>29</v>
      </c>
      <c r="Q446" s="9"/>
      <c r="R446" s="6">
        <f t="shared" si="47"/>
        <v>0</v>
      </c>
      <c r="S446" s="10" t="s">
        <v>1</v>
      </c>
      <c r="T446" s="2" t="s">
        <v>588</v>
      </c>
    </row>
    <row r="447" spans="1:20" ht="37.5" customHeight="1" x14ac:dyDescent="0.25">
      <c r="A447" s="2" t="s">
        <v>589</v>
      </c>
      <c r="B447">
        <v>9</v>
      </c>
      <c r="D447">
        <v>4</v>
      </c>
      <c r="F447">
        <f t="shared" si="43"/>
        <v>0</v>
      </c>
      <c r="G447" s="3">
        <f t="shared" si="48"/>
        <v>447</v>
      </c>
      <c r="H447" s="4"/>
      <c r="I447" s="5">
        <v>331</v>
      </c>
      <c r="J447" s="6"/>
      <c r="K447" s="7">
        <v>9</v>
      </c>
      <c r="L447" s="6">
        <f t="shared" si="44"/>
        <v>0</v>
      </c>
      <c r="M447" s="7"/>
      <c r="N447" s="8">
        <f t="shared" si="45"/>
        <v>0</v>
      </c>
      <c r="O447" s="7">
        <v>4</v>
      </c>
      <c r="P447" s="6">
        <f t="shared" si="46"/>
        <v>0</v>
      </c>
      <c r="Q447" s="9"/>
      <c r="R447" s="6">
        <f t="shared" si="47"/>
        <v>0</v>
      </c>
      <c r="S447" s="10" t="s">
        <v>1</v>
      </c>
      <c r="T447" s="2" t="s">
        <v>589</v>
      </c>
    </row>
    <row r="448" spans="1:20" ht="37.5" customHeight="1" x14ac:dyDescent="0.25">
      <c r="A448" s="2" t="s">
        <v>590</v>
      </c>
      <c r="B448">
        <f t="shared" si="42"/>
        <v>17563</v>
      </c>
      <c r="C448">
        <v>2964</v>
      </c>
      <c r="D448">
        <v>14599</v>
      </c>
      <c r="F448">
        <f t="shared" si="43"/>
        <v>3</v>
      </c>
      <c r="G448" s="3">
        <f t="shared" si="48"/>
        <v>448</v>
      </c>
      <c r="H448" s="4"/>
      <c r="I448" s="5">
        <v>332</v>
      </c>
      <c r="J448" s="6"/>
      <c r="K448" s="7">
        <v>17560</v>
      </c>
      <c r="L448" s="6">
        <f t="shared" si="44"/>
        <v>3</v>
      </c>
      <c r="M448" s="7">
        <v>2963</v>
      </c>
      <c r="N448" s="8">
        <f t="shared" si="45"/>
        <v>1</v>
      </c>
      <c r="O448" s="7">
        <v>14597</v>
      </c>
      <c r="P448" s="6">
        <f t="shared" si="46"/>
        <v>2</v>
      </c>
      <c r="Q448" s="9"/>
      <c r="R448" s="6">
        <f t="shared" si="47"/>
        <v>0</v>
      </c>
      <c r="S448" s="10" t="s">
        <v>1</v>
      </c>
      <c r="T448" s="2" t="s">
        <v>590</v>
      </c>
    </row>
    <row r="449" spans="1:20" ht="37.5" customHeight="1" x14ac:dyDescent="0.25">
      <c r="A449" s="2" t="s">
        <v>591</v>
      </c>
      <c r="B449">
        <f t="shared" si="42"/>
        <v>74523</v>
      </c>
      <c r="C449">
        <v>14117</v>
      </c>
      <c r="D449">
        <v>60406</v>
      </c>
      <c r="F449">
        <f t="shared" si="43"/>
        <v>292</v>
      </c>
      <c r="G449" s="3">
        <f t="shared" si="48"/>
        <v>449</v>
      </c>
      <c r="H449" s="4"/>
      <c r="I449" s="5">
        <v>333</v>
      </c>
      <c r="J449" s="6"/>
      <c r="K449" s="7">
        <v>74231</v>
      </c>
      <c r="L449" s="6">
        <f t="shared" si="44"/>
        <v>292</v>
      </c>
      <c r="M449" s="7">
        <v>14071</v>
      </c>
      <c r="N449" s="8">
        <f t="shared" si="45"/>
        <v>46</v>
      </c>
      <c r="O449" s="7">
        <v>60160</v>
      </c>
      <c r="P449" s="6">
        <f t="shared" si="46"/>
        <v>246</v>
      </c>
      <c r="Q449" s="9"/>
      <c r="R449" s="6">
        <f t="shared" si="47"/>
        <v>0</v>
      </c>
      <c r="S449" s="10" t="s">
        <v>1</v>
      </c>
      <c r="T449" s="2" t="s">
        <v>591</v>
      </c>
    </row>
    <row r="450" spans="1:20" ht="37.5" customHeight="1" x14ac:dyDescent="0.25">
      <c r="A450" s="2" t="s">
        <v>592</v>
      </c>
      <c r="B450">
        <f t="shared" ref="B450:B513" si="49">C450+D450</f>
        <v>8448</v>
      </c>
      <c r="C450">
        <v>996</v>
      </c>
      <c r="D450">
        <v>7452</v>
      </c>
      <c r="F450">
        <f t="shared" ref="F450:F513" si="50">L450</f>
        <v>355</v>
      </c>
      <c r="G450" s="3">
        <f t="shared" si="48"/>
        <v>450</v>
      </c>
      <c r="H450" s="4"/>
      <c r="I450" s="5">
        <v>334</v>
      </c>
      <c r="J450" s="6"/>
      <c r="K450" s="7">
        <v>8093</v>
      </c>
      <c r="L450" s="6">
        <f t="shared" ref="L450:L513" si="51">B450-K450</f>
        <v>355</v>
      </c>
      <c r="M450" s="7">
        <v>937</v>
      </c>
      <c r="N450" s="8">
        <f t="shared" ref="N450:N513" si="52">C450-M450</f>
        <v>59</v>
      </c>
      <c r="O450" s="7">
        <v>7156</v>
      </c>
      <c r="P450" s="6">
        <f t="shared" ref="P450:P513" si="53">D450-O450</f>
        <v>296</v>
      </c>
      <c r="Q450" s="9"/>
      <c r="R450" s="6">
        <f t="shared" ref="R450:R513" si="54">E450-Q450</f>
        <v>0</v>
      </c>
      <c r="S450" s="10" t="s">
        <v>1</v>
      </c>
      <c r="T450" s="2" t="s">
        <v>592</v>
      </c>
    </row>
    <row r="451" spans="1:20" ht="37.5" customHeight="1" x14ac:dyDescent="0.25">
      <c r="A451" s="2" t="s">
        <v>593</v>
      </c>
      <c r="B451">
        <f t="shared" si="49"/>
        <v>11445</v>
      </c>
      <c r="C451">
        <v>2446</v>
      </c>
      <c r="D451">
        <v>8999</v>
      </c>
      <c r="F451">
        <f t="shared" si="50"/>
        <v>79</v>
      </c>
      <c r="G451" s="3">
        <f t="shared" ref="G451:G514" si="55">G450+1</f>
        <v>451</v>
      </c>
      <c r="H451" s="4"/>
      <c r="I451" s="5">
        <v>335</v>
      </c>
      <c r="J451" s="6"/>
      <c r="K451" s="7">
        <v>11366</v>
      </c>
      <c r="L451" s="6">
        <f t="shared" si="51"/>
        <v>79</v>
      </c>
      <c r="M451" s="7">
        <v>2430</v>
      </c>
      <c r="N451" s="8">
        <f t="shared" si="52"/>
        <v>16</v>
      </c>
      <c r="O451" s="7">
        <v>8936</v>
      </c>
      <c r="P451" s="6">
        <f t="shared" si="53"/>
        <v>63</v>
      </c>
      <c r="Q451" s="9"/>
      <c r="R451" s="6">
        <f t="shared" si="54"/>
        <v>0</v>
      </c>
      <c r="S451" s="10" t="s">
        <v>1</v>
      </c>
      <c r="T451" s="2" t="s">
        <v>593</v>
      </c>
    </row>
    <row r="452" spans="1:20" ht="37.5" customHeight="1" x14ac:dyDescent="0.25">
      <c r="A452" s="2" t="s">
        <v>594</v>
      </c>
      <c r="B452">
        <f t="shared" si="49"/>
        <v>3757</v>
      </c>
      <c r="C452">
        <v>1157</v>
      </c>
      <c r="D452">
        <v>2600</v>
      </c>
      <c r="E452">
        <v>4513</v>
      </c>
      <c r="F452">
        <f t="shared" si="50"/>
        <v>330</v>
      </c>
      <c r="G452" s="3">
        <f t="shared" si="55"/>
        <v>452</v>
      </c>
      <c r="H452" s="4"/>
      <c r="I452" s="5">
        <v>336</v>
      </c>
      <c r="J452" s="6"/>
      <c r="K452" s="7">
        <f>M452+O452</f>
        <v>3427</v>
      </c>
      <c r="L452" s="6">
        <f t="shared" si="51"/>
        <v>330</v>
      </c>
      <c r="M452" s="7">
        <v>1064</v>
      </c>
      <c r="N452" s="8">
        <f t="shared" si="52"/>
        <v>93</v>
      </c>
      <c r="O452" s="7">
        <v>2363</v>
      </c>
      <c r="P452" s="6">
        <f t="shared" si="53"/>
        <v>237</v>
      </c>
      <c r="Q452" s="9">
        <v>3723</v>
      </c>
      <c r="R452" s="6">
        <f t="shared" si="54"/>
        <v>790</v>
      </c>
      <c r="S452" s="10" t="s">
        <v>1</v>
      </c>
      <c r="T452" s="2" t="s">
        <v>594</v>
      </c>
    </row>
    <row r="453" spans="1:20" ht="37.5" customHeight="1" x14ac:dyDescent="0.25">
      <c r="A453" s="2" t="s">
        <v>595</v>
      </c>
      <c r="B453">
        <f t="shared" si="49"/>
        <v>87612</v>
      </c>
      <c r="C453">
        <v>15347</v>
      </c>
      <c r="D453">
        <v>72265</v>
      </c>
      <c r="F453">
        <f t="shared" si="50"/>
        <v>643</v>
      </c>
      <c r="G453" s="3">
        <f t="shared" si="55"/>
        <v>453</v>
      </c>
      <c r="H453" s="4"/>
      <c r="I453" s="5">
        <v>337</v>
      </c>
      <c r="J453" s="6"/>
      <c r="K453" s="7">
        <v>86969</v>
      </c>
      <c r="L453" s="6">
        <f t="shared" si="51"/>
        <v>643</v>
      </c>
      <c r="M453" s="7">
        <v>15271</v>
      </c>
      <c r="N453" s="8">
        <f t="shared" si="52"/>
        <v>76</v>
      </c>
      <c r="O453" s="7">
        <v>71698</v>
      </c>
      <c r="P453" s="6">
        <f t="shared" si="53"/>
        <v>567</v>
      </c>
      <c r="Q453" s="9"/>
      <c r="R453" s="6">
        <f t="shared" si="54"/>
        <v>0</v>
      </c>
      <c r="S453" s="10" t="s">
        <v>1</v>
      </c>
      <c r="T453" s="2" t="s">
        <v>595</v>
      </c>
    </row>
    <row r="454" spans="1:20" ht="37.5" customHeight="1" x14ac:dyDescent="0.25">
      <c r="A454" s="2" t="s">
        <v>596</v>
      </c>
      <c r="B454">
        <f t="shared" si="49"/>
        <v>38847</v>
      </c>
      <c r="C454">
        <v>5849</v>
      </c>
      <c r="D454">
        <v>32998</v>
      </c>
      <c r="F454">
        <f t="shared" si="50"/>
        <v>487</v>
      </c>
      <c r="G454" s="3">
        <f t="shared" si="55"/>
        <v>454</v>
      </c>
      <c r="H454" s="4"/>
      <c r="I454" s="5">
        <v>338</v>
      </c>
      <c r="J454" s="6"/>
      <c r="K454" s="7">
        <v>38360</v>
      </c>
      <c r="L454" s="6">
        <f t="shared" si="51"/>
        <v>487</v>
      </c>
      <c r="M454" s="7">
        <v>5753</v>
      </c>
      <c r="N454" s="8">
        <f t="shared" si="52"/>
        <v>96</v>
      </c>
      <c r="O454" s="7">
        <v>32607</v>
      </c>
      <c r="P454" s="6">
        <f t="shared" si="53"/>
        <v>391</v>
      </c>
      <c r="Q454" s="9"/>
      <c r="R454" s="6">
        <f t="shared" si="54"/>
        <v>0</v>
      </c>
      <c r="S454" s="10" t="s">
        <v>1</v>
      </c>
      <c r="T454" s="2" t="s">
        <v>596</v>
      </c>
    </row>
    <row r="455" spans="1:20" ht="37.5" customHeight="1" x14ac:dyDescent="0.25">
      <c r="A455" s="2" t="s">
        <v>597</v>
      </c>
      <c r="B455">
        <f t="shared" si="49"/>
        <v>34619</v>
      </c>
      <c r="C455">
        <v>5819</v>
      </c>
      <c r="D455">
        <v>28800</v>
      </c>
      <c r="F455">
        <f t="shared" si="50"/>
        <v>404</v>
      </c>
      <c r="G455" s="3">
        <f t="shared" si="55"/>
        <v>455</v>
      </c>
      <c r="H455" s="4"/>
      <c r="I455" s="5">
        <v>339</v>
      </c>
      <c r="J455" s="6"/>
      <c r="K455" s="7">
        <v>34215</v>
      </c>
      <c r="L455" s="6">
        <f t="shared" si="51"/>
        <v>404</v>
      </c>
      <c r="M455" s="7">
        <v>5752</v>
      </c>
      <c r="N455" s="8">
        <f t="shared" si="52"/>
        <v>67</v>
      </c>
      <c r="O455" s="7">
        <v>28463</v>
      </c>
      <c r="P455" s="6">
        <f t="shared" si="53"/>
        <v>337</v>
      </c>
      <c r="Q455" s="9"/>
      <c r="R455" s="6">
        <f t="shared" si="54"/>
        <v>0</v>
      </c>
      <c r="S455" s="10" t="s">
        <v>1</v>
      </c>
      <c r="T455" s="2" t="s">
        <v>597</v>
      </c>
    </row>
    <row r="456" spans="1:20" ht="37.5" customHeight="1" x14ac:dyDescent="0.25">
      <c r="A456" s="2" t="s">
        <v>598</v>
      </c>
      <c r="B456">
        <f t="shared" si="49"/>
        <v>54496</v>
      </c>
      <c r="C456">
        <v>9283</v>
      </c>
      <c r="D456">
        <v>45213</v>
      </c>
      <c r="F456">
        <f t="shared" si="50"/>
        <v>454</v>
      </c>
      <c r="G456" s="3">
        <f t="shared" si="55"/>
        <v>456</v>
      </c>
      <c r="H456" s="4"/>
      <c r="I456" s="5">
        <v>340</v>
      </c>
      <c r="J456" s="6"/>
      <c r="K456" s="7">
        <v>54042</v>
      </c>
      <c r="L456" s="6">
        <f t="shared" si="51"/>
        <v>454</v>
      </c>
      <c r="M456" s="7">
        <v>9190</v>
      </c>
      <c r="N456" s="8">
        <f t="shared" si="52"/>
        <v>93</v>
      </c>
      <c r="O456" s="7">
        <v>44852</v>
      </c>
      <c r="P456" s="6">
        <f t="shared" si="53"/>
        <v>361</v>
      </c>
      <c r="Q456" s="9"/>
      <c r="R456" s="6">
        <f t="shared" si="54"/>
        <v>0</v>
      </c>
      <c r="S456" s="10" t="s">
        <v>1</v>
      </c>
      <c r="T456" s="2" t="s">
        <v>598</v>
      </c>
    </row>
    <row r="457" spans="1:20" ht="37.5" customHeight="1" x14ac:dyDescent="0.25">
      <c r="A457" s="2" t="s">
        <v>599</v>
      </c>
      <c r="B457">
        <f t="shared" si="49"/>
        <v>112251</v>
      </c>
      <c r="C457">
        <v>28591</v>
      </c>
      <c r="D457">
        <v>83660</v>
      </c>
      <c r="F457">
        <f t="shared" si="50"/>
        <v>364</v>
      </c>
      <c r="G457" s="3">
        <f t="shared" si="55"/>
        <v>457</v>
      </c>
      <c r="H457" s="4"/>
      <c r="I457" s="5">
        <v>341</v>
      </c>
      <c r="J457" s="6"/>
      <c r="K457" s="7">
        <v>111887</v>
      </c>
      <c r="L457" s="6">
        <f t="shared" si="51"/>
        <v>364</v>
      </c>
      <c r="M457" s="7">
        <v>28521</v>
      </c>
      <c r="N457" s="8">
        <f t="shared" si="52"/>
        <v>70</v>
      </c>
      <c r="O457" s="7">
        <v>83366</v>
      </c>
      <c r="P457" s="6">
        <f t="shared" si="53"/>
        <v>294</v>
      </c>
      <c r="Q457" s="9"/>
      <c r="R457" s="6">
        <f t="shared" si="54"/>
        <v>0</v>
      </c>
      <c r="S457" s="10" t="s">
        <v>1</v>
      </c>
      <c r="T457" s="2" t="s">
        <v>599</v>
      </c>
    </row>
    <row r="458" spans="1:20" ht="37.5" customHeight="1" x14ac:dyDescent="0.25">
      <c r="A458" s="2" t="s">
        <v>600</v>
      </c>
      <c r="B458">
        <v>64059</v>
      </c>
      <c r="C458" s="23"/>
      <c r="D458" s="23"/>
      <c r="F458">
        <f t="shared" si="50"/>
        <v>158</v>
      </c>
      <c r="G458" s="3">
        <f t="shared" si="55"/>
        <v>458</v>
      </c>
      <c r="H458" s="4"/>
      <c r="I458" s="5">
        <v>342</v>
      </c>
      <c r="J458" s="6"/>
      <c r="K458" s="7">
        <v>63901</v>
      </c>
      <c r="L458" s="6">
        <f t="shared" si="51"/>
        <v>158</v>
      </c>
      <c r="M458" s="7">
        <v>15390</v>
      </c>
      <c r="N458" s="8">
        <f t="shared" si="52"/>
        <v>-15390</v>
      </c>
      <c r="O458" s="7">
        <v>48511</v>
      </c>
      <c r="P458" s="6">
        <f t="shared" si="53"/>
        <v>-48511</v>
      </c>
      <c r="Q458" s="9"/>
      <c r="R458" s="6">
        <f t="shared" si="54"/>
        <v>0</v>
      </c>
      <c r="S458" s="10" t="s">
        <v>1</v>
      </c>
      <c r="T458" s="2" t="s">
        <v>600</v>
      </c>
    </row>
    <row r="459" spans="1:20" ht="37.5" customHeight="1" x14ac:dyDescent="0.25">
      <c r="A459" s="2" t="s">
        <v>601</v>
      </c>
      <c r="B459">
        <f t="shared" si="49"/>
        <v>84100</v>
      </c>
      <c r="C459">
        <v>18043</v>
      </c>
      <c r="D459">
        <v>66057</v>
      </c>
      <c r="F459">
        <f t="shared" si="50"/>
        <v>222</v>
      </c>
      <c r="G459" s="3">
        <f t="shared" si="55"/>
        <v>459</v>
      </c>
      <c r="H459" s="4"/>
      <c r="I459" s="5">
        <v>343</v>
      </c>
      <c r="J459" s="6"/>
      <c r="K459" s="7">
        <v>83878</v>
      </c>
      <c r="L459" s="6">
        <f t="shared" si="51"/>
        <v>222</v>
      </c>
      <c r="M459" s="7">
        <v>18001</v>
      </c>
      <c r="N459" s="8">
        <f t="shared" si="52"/>
        <v>42</v>
      </c>
      <c r="O459" s="7">
        <v>65877</v>
      </c>
      <c r="P459" s="6">
        <f t="shared" si="53"/>
        <v>180</v>
      </c>
      <c r="Q459" s="9"/>
      <c r="R459" s="6">
        <f t="shared" si="54"/>
        <v>0</v>
      </c>
      <c r="S459" s="10" t="s">
        <v>1</v>
      </c>
      <c r="T459" s="2" t="s">
        <v>601</v>
      </c>
    </row>
    <row r="460" spans="1:20" ht="37.5" customHeight="1" x14ac:dyDescent="0.25">
      <c r="A460" s="2" t="s">
        <v>602</v>
      </c>
      <c r="B460">
        <f t="shared" si="49"/>
        <v>14006</v>
      </c>
      <c r="C460">
        <v>3224</v>
      </c>
      <c r="D460">
        <v>10782</v>
      </c>
      <c r="F460">
        <f t="shared" si="50"/>
        <v>118</v>
      </c>
      <c r="G460" s="3">
        <f t="shared" si="55"/>
        <v>460</v>
      </c>
      <c r="H460" s="4"/>
      <c r="I460" s="5">
        <v>344</v>
      </c>
      <c r="J460" s="6"/>
      <c r="K460" s="7">
        <v>13888</v>
      </c>
      <c r="L460" s="6">
        <f t="shared" si="51"/>
        <v>118</v>
      </c>
      <c r="M460" s="7">
        <v>3199</v>
      </c>
      <c r="N460" s="8">
        <f t="shared" si="52"/>
        <v>25</v>
      </c>
      <c r="O460" s="7">
        <v>10689</v>
      </c>
      <c r="P460" s="6">
        <f t="shared" si="53"/>
        <v>93</v>
      </c>
      <c r="Q460" s="9"/>
      <c r="R460" s="6">
        <f t="shared" si="54"/>
        <v>0</v>
      </c>
      <c r="S460" s="10" t="s">
        <v>1</v>
      </c>
      <c r="T460" s="2" t="s">
        <v>602</v>
      </c>
    </row>
    <row r="461" spans="1:20" ht="37.5" customHeight="1" x14ac:dyDescent="0.25">
      <c r="A461" s="2" t="s">
        <v>603</v>
      </c>
      <c r="B461">
        <f t="shared" si="49"/>
        <v>140876</v>
      </c>
      <c r="C461">
        <v>23188</v>
      </c>
      <c r="D461">
        <v>117688</v>
      </c>
      <c r="F461">
        <f t="shared" si="50"/>
        <v>452</v>
      </c>
      <c r="G461" s="3">
        <f t="shared" si="55"/>
        <v>461</v>
      </c>
      <c r="H461" s="4"/>
      <c r="I461" s="5">
        <v>345</v>
      </c>
      <c r="J461" s="6"/>
      <c r="K461" s="7">
        <v>140424</v>
      </c>
      <c r="L461" s="6">
        <f t="shared" si="51"/>
        <v>452</v>
      </c>
      <c r="M461" s="7">
        <v>23121</v>
      </c>
      <c r="N461" s="8">
        <f t="shared" si="52"/>
        <v>67</v>
      </c>
      <c r="O461" s="7">
        <v>117303</v>
      </c>
      <c r="P461" s="6">
        <f t="shared" si="53"/>
        <v>385</v>
      </c>
      <c r="Q461" s="9"/>
      <c r="R461" s="6">
        <f t="shared" si="54"/>
        <v>0</v>
      </c>
      <c r="S461" s="10" t="s">
        <v>1</v>
      </c>
      <c r="T461" s="2" t="s">
        <v>603</v>
      </c>
    </row>
    <row r="462" spans="1:20" ht="37.5" customHeight="1" x14ac:dyDescent="0.25">
      <c r="A462" s="2" t="s">
        <v>604</v>
      </c>
      <c r="B462">
        <f t="shared" si="49"/>
        <v>6929</v>
      </c>
      <c r="C462">
        <v>1876</v>
      </c>
      <c r="D462">
        <v>5053</v>
      </c>
      <c r="E462">
        <v>9873</v>
      </c>
      <c r="F462">
        <f t="shared" si="50"/>
        <v>539</v>
      </c>
      <c r="G462" s="3">
        <f t="shared" si="55"/>
        <v>462</v>
      </c>
      <c r="H462" s="4"/>
      <c r="I462" s="5">
        <v>346</v>
      </c>
      <c r="J462" s="6"/>
      <c r="K462" s="7">
        <f>M462+O462</f>
        <v>6390</v>
      </c>
      <c r="L462" s="6">
        <f t="shared" si="51"/>
        <v>539</v>
      </c>
      <c r="M462" s="7">
        <v>1762</v>
      </c>
      <c r="N462" s="8">
        <f t="shared" si="52"/>
        <v>114</v>
      </c>
      <c r="O462" s="7">
        <v>4628</v>
      </c>
      <c r="P462" s="6">
        <f t="shared" si="53"/>
        <v>425</v>
      </c>
      <c r="Q462" s="9">
        <v>9574</v>
      </c>
      <c r="R462" s="6">
        <f t="shared" si="54"/>
        <v>299</v>
      </c>
      <c r="S462" s="10" t="s">
        <v>1</v>
      </c>
      <c r="T462" s="2" t="s">
        <v>604</v>
      </c>
    </row>
    <row r="463" spans="1:20" ht="37.5" customHeight="1" x14ac:dyDescent="0.25">
      <c r="A463" s="2" t="s">
        <v>605</v>
      </c>
      <c r="B463">
        <f t="shared" si="49"/>
        <v>60859</v>
      </c>
      <c r="C463">
        <v>11999</v>
      </c>
      <c r="D463">
        <v>48860</v>
      </c>
      <c r="F463">
        <f t="shared" si="50"/>
        <v>196</v>
      </c>
      <c r="G463" s="3">
        <f t="shared" si="55"/>
        <v>463</v>
      </c>
      <c r="H463" s="4"/>
      <c r="I463" s="5">
        <v>347</v>
      </c>
      <c r="J463" s="6"/>
      <c r="K463" s="7">
        <v>60663</v>
      </c>
      <c r="L463" s="6">
        <f t="shared" si="51"/>
        <v>196</v>
      </c>
      <c r="M463" s="7">
        <v>11961</v>
      </c>
      <c r="N463" s="8">
        <f t="shared" si="52"/>
        <v>38</v>
      </c>
      <c r="O463" s="7">
        <v>48702</v>
      </c>
      <c r="P463" s="6">
        <f t="shared" si="53"/>
        <v>158</v>
      </c>
      <c r="Q463" s="9"/>
      <c r="R463" s="6">
        <f t="shared" si="54"/>
        <v>0</v>
      </c>
      <c r="S463" s="10" t="s">
        <v>1</v>
      </c>
      <c r="T463" s="2" t="s">
        <v>605</v>
      </c>
    </row>
    <row r="464" spans="1:20" ht="37.5" customHeight="1" x14ac:dyDescent="0.25">
      <c r="A464" s="2" t="s">
        <v>606</v>
      </c>
      <c r="B464">
        <f t="shared" si="49"/>
        <v>21532</v>
      </c>
      <c r="C464">
        <v>3947</v>
      </c>
      <c r="D464">
        <v>17585</v>
      </c>
      <c r="F464">
        <f t="shared" si="50"/>
        <v>600</v>
      </c>
      <c r="G464" s="3">
        <f t="shared" si="55"/>
        <v>464</v>
      </c>
      <c r="H464" s="4"/>
      <c r="I464" s="5">
        <v>348</v>
      </c>
      <c r="J464" s="6"/>
      <c r="K464" s="7">
        <v>20932</v>
      </c>
      <c r="L464" s="6">
        <f t="shared" si="51"/>
        <v>600</v>
      </c>
      <c r="M464" s="7">
        <v>3840</v>
      </c>
      <c r="N464" s="8">
        <f t="shared" si="52"/>
        <v>107</v>
      </c>
      <c r="O464" s="7">
        <v>17092</v>
      </c>
      <c r="P464" s="6">
        <f t="shared" si="53"/>
        <v>493</v>
      </c>
      <c r="Q464" s="9"/>
      <c r="R464" s="6">
        <f t="shared" si="54"/>
        <v>0</v>
      </c>
      <c r="S464" s="10" t="s">
        <v>1</v>
      </c>
      <c r="T464" s="2" t="s">
        <v>606</v>
      </c>
    </row>
    <row r="465" spans="1:20" ht="37.5" customHeight="1" x14ac:dyDescent="0.25">
      <c r="A465" s="2" t="s">
        <v>607</v>
      </c>
      <c r="B465">
        <f t="shared" si="49"/>
        <v>19868</v>
      </c>
      <c r="C465">
        <v>3614</v>
      </c>
      <c r="D465">
        <v>16254</v>
      </c>
      <c r="F465">
        <f t="shared" si="50"/>
        <v>438</v>
      </c>
      <c r="G465" s="3">
        <f t="shared" si="55"/>
        <v>465</v>
      </c>
      <c r="H465" s="4"/>
      <c r="I465" s="5">
        <v>349</v>
      </c>
      <c r="J465" s="6"/>
      <c r="K465" s="7">
        <v>19430</v>
      </c>
      <c r="L465" s="6">
        <f t="shared" si="51"/>
        <v>438</v>
      </c>
      <c r="M465" s="7">
        <v>3520</v>
      </c>
      <c r="N465" s="8">
        <f t="shared" si="52"/>
        <v>94</v>
      </c>
      <c r="O465" s="7">
        <v>15910</v>
      </c>
      <c r="P465" s="6">
        <f t="shared" si="53"/>
        <v>344</v>
      </c>
      <c r="Q465" s="9"/>
      <c r="R465" s="6">
        <f t="shared" si="54"/>
        <v>0</v>
      </c>
      <c r="S465" s="10" t="s">
        <v>1</v>
      </c>
      <c r="T465" s="2" t="s">
        <v>607</v>
      </c>
    </row>
    <row r="466" spans="1:20" ht="37.5" customHeight="1" x14ac:dyDescent="0.25">
      <c r="A466" s="2" t="s">
        <v>608</v>
      </c>
      <c r="B466">
        <f t="shared" si="49"/>
        <v>72441</v>
      </c>
      <c r="C466">
        <v>14511</v>
      </c>
      <c r="D466">
        <v>57930</v>
      </c>
      <c r="F466">
        <f t="shared" si="50"/>
        <v>368</v>
      </c>
      <c r="G466" s="3">
        <f t="shared" si="55"/>
        <v>466</v>
      </c>
      <c r="H466" s="4"/>
      <c r="I466" s="5">
        <v>350</v>
      </c>
      <c r="J466" s="6"/>
      <c r="K466" s="7">
        <v>72073</v>
      </c>
      <c r="L466" s="6">
        <f t="shared" si="51"/>
        <v>368</v>
      </c>
      <c r="M466" s="7">
        <v>14451</v>
      </c>
      <c r="N466" s="8">
        <f t="shared" si="52"/>
        <v>60</v>
      </c>
      <c r="O466" s="7">
        <v>57622</v>
      </c>
      <c r="P466" s="6">
        <f t="shared" si="53"/>
        <v>308</v>
      </c>
      <c r="Q466" s="9"/>
      <c r="R466" s="6">
        <f t="shared" si="54"/>
        <v>0</v>
      </c>
      <c r="S466" s="10" t="s">
        <v>1</v>
      </c>
      <c r="T466" s="2" t="s">
        <v>608</v>
      </c>
    </row>
    <row r="467" spans="1:20" ht="37.5" customHeight="1" x14ac:dyDescent="0.25">
      <c r="A467" s="2" t="s">
        <v>609</v>
      </c>
      <c r="B467">
        <f t="shared" si="49"/>
        <v>15449</v>
      </c>
      <c r="C467">
        <v>2450</v>
      </c>
      <c r="D467">
        <v>12999</v>
      </c>
      <c r="F467">
        <f t="shared" si="50"/>
        <v>256</v>
      </c>
      <c r="G467" s="3">
        <f t="shared" si="55"/>
        <v>467</v>
      </c>
      <c r="H467" s="4"/>
      <c r="I467" s="5">
        <v>351</v>
      </c>
      <c r="J467" s="6"/>
      <c r="K467" s="7">
        <v>15193</v>
      </c>
      <c r="L467" s="6">
        <f t="shared" si="51"/>
        <v>256</v>
      </c>
      <c r="M467" s="7">
        <v>2415</v>
      </c>
      <c r="N467" s="8">
        <f t="shared" si="52"/>
        <v>35</v>
      </c>
      <c r="O467" s="7">
        <v>12778</v>
      </c>
      <c r="P467" s="6">
        <f t="shared" si="53"/>
        <v>221</v>
      </c>
      <c r="Q467" s="9"/>
      <c r="R467" s="6">
        <f t="shared" si="54"/>
        <v>0</v>
      </c>
      <c r="S467" s="10" t="s">
        <v>1</v>
      </c>
      <c r="T467" s="2" t="s">
        <v>609</v>
      </c>
    </row>
    <row r="468" spans="1:20" ht="37.5" customHeight="1" x14ac:dyDescent="0.25">
      <c r="A468" s="2" t="s">
        <v>610</v>
      </c>
      <c r="B468">
        <f t="shared" si="49"/>
        <v>7077</v>
      </c>
      <c r="C468">
        <v>1350</v>
      </c>
      <c r="D468">
        <v>5727</v>
      </c>
      <c r="E468">
        <v>12857</v>
      </c>
      <c r="F468">
        <f t="shared" si="50"/>
        <v>287</v>
      </c>
      <c r="G468" s="3">
        <f t="shared" si="55"/>
        <v>468</v>
      </c>
      <c r="H468" s="4"/>
      <c r="I468" s="5">
        <v>352</v>
      </c>
      <c r="J468" s="6"/>
      <c r="K468" s="7">
        <f>M468+O468</f>
        <v>6790</v>
      </c>
      <c r="L468" s="6">
        <f t="shared" si="51"/>
        <v>287</v>
      </c>
      <c r="M468" s="7">
        <v>1279</v>
      </c>
      <c r="N468" s="8">
        <f t="shared" si="52"/>
        <v>71</v>
      </c>
      <c r="O468" s="7">
        <v>5511</v>
      </c>
      <c r="P468" s="6">
        <f t="shared" si="53"/>
        <v>216</v>
      </c>
      <c r="Q468" s="9">
        <v>11906</v>
      </c>
      <c r="R468" s="6">
        <f t="shared" si="54"/>
        <v>951</v>
      </c>
      <c r="S468" s="10" t="s">
        <v>1</v>
      </c>
      <c r="T468" s="2" t="s">
        <v>610</v>
      </c>
    </row>
    <row r="469" spans="1:20" ht="37.5" customHeight="1" x14ac:dyDescent="0.25">
      <c r="A469" s="2" t="s">
        <v>611</v>
      </c>
      <c r="B469">
        <f t="shared" si="49"/>
        <v>28028</v>
      </c>
      <c r="C469">
        <v>4200</v>
      </c>
      <c r="D469">
        <v>23828</v>
      </c>
      <c r="F469">
        <f t="shared" si="50"/>
        <v>286</v>
      </c>
      <c r="G469" s="3">
        <f t="shared" si="55"/>
        <v>469</v>
      </c>
      <c r="H469" s="4"/>
      <c r="I469" s="5">
        <v>353</v>
      </c>
      <c r="J469" s="6"/>
      <c r="K469" s="7">
        <v>27742</v>
      </c>
      <c r="L469" s="6">
        <f t="shared" si="51"/>
        <v>286</v>
      </c>
      <c r="M469" s="7">
        <v>4165</v>
      </c>
      <c r="N469" s="8">
        <f t="shared" si="52"/>
        <v>35</v>
      </c>
      <c r="O469" s="7">
        <v>23577</v>
      </c>
      <c r="P469" s="6">
        <f t="shared" si="53"/>
        <v>251</v>
      </c>
      <c r="Q469" s="9"/>
      <c r="R469" s="6">
        <f t="shared" si="54"/>
        <v>0</v>
      </c>
      <c r="S469" s="10" t="s">
        <v>1</v>
      </c>
      <c r="T469" s="2" t="s">
        <v>611</v>
      </c>
    </row>
    <row r="470" spans="1:20" ht="37.5" customHeight="1" x14ac:dyDescent="0.25">
      <c r="A470" s="2" t="s">
        <v>612</v>
      </c>
      <c r="B470">
        <f t="shared" si="49"/>
        <v>111011</v>
      </c>
      <c r="C470">
        <v>32377</v>
      </c>
      <c r="D470">
        <v>78634</v>
      </c>
      <c r="F470">
        <f t="shared" si="50"/>
        <v>148</v>
      </c>
      <c r="G470" s="3">
        <f t="shared" si="55"/>
        <v>470</v>
      </c>
      <c r="H470" s="4"/>
      <c r="I470" s="5">
        <v>354</v>
      </c>
      <c r="J470" s="6"/>
      <c r="K470" s="7">
        <v>110863</v>
      </c>
      <c r="L470" s="6">
        <f t="shared" si="51"/>
        <v>148</v>
      </c>
      <c r="M470" s="7">
        <v>32353</v>
      </c>
      <c r="N470" s="8">
        <f t="shared" si="52"/>
        <v>24</v>
      </c>
      <c r="O470" s="7">
        <v>78510</v>
      </c>
      <c r="P470" s="6">
        <f t="shared" si="53"/>
        <v>124</v>
      </c>
      <c r="Q470" s="9"/>
      <c r="R470" s="6">
        <f t="shared" si="54"/>
        <v>0</v>
      </c>
      <c r="S470" s="10" t="s">
        <v>1</v>
      </c>
      <c r="T470" s="2" t="s">
        <v>612</v>
      </c>
    </row>
    <row r="471" spans="1:20" ht="37.5" customHeight="1" x14ac:dyDescent="0.25">
      <c r="A471" s="2" t="s">
        <v>613</v>
      </c>
      <c r="B471">
        <f t="shared" si="49"/>
        <v>23871</v>
      </c>
      <c r="C471">
        <v>3120</v>
      </c>
      <c r="D471">
        <v>20751</v>
      </c>
      <c r="F471">
        <f t="shared" si="50"/>
        <v>165</v>
      </c>
      <c r="G471" s="3">
        <f t="shared" si="55"/>
        <v>471</v>
      </c>
      <c r="H471" s="4"/>
      <c r="I471" s="5">
        <v>355</v>
      </c>
      <c r="J471" s="6"/>
      <c r="K471" s="7">
        <v>23706</v>
      </c>
      <c r="L471" s="6">
        <f t="shared" si="51"/>
        <v>165</v>
      </c>
      <c r="M471" s="7">
        <v>3093</v>
      </c>
      <c r="N471" s="8">
        <f t="shared" si="52"/>
        <v>27</v>
      </c>
      <c r="O471" s="7">
        <v>20613</v>
      </c>
      <c r="P471" s="6">
        <f t="shared" si="53"/>
        <v>138</v>
      </c>
      <c r="Q471" s="9"/>
      <c r="R471" s="6">
        <f t="shared" si="54"/>
        <v>0</v>
      </c>
      <c r="S471" s="10" t="s">
        <v>1</v>
      </c>
      <c r="T471" s="2" t="s">
        <v>613</v>
      </c>
    </row>
    <row r="472" spans="1:20" ht="37.5" customHeight="1" x14ac:dyDescent="0.25">
      <c r="A472" s="2" t="s">
        <v>614</v>
      </c>
      <c r="B472">
        <f t="shared" si="49"/>
        <v>72297</v>
      </c>
      <c r="C472">
        <v>13848</v>
      </c>
      <c r="D472">
        <v>58449</v>
      </c>
      <c r="F472">
        <f t="shared" si="50"/>
        <v>431</v>
      </c>
      <c r="G472" s="3">
        <f t="shared" si="55"/>
        <v>472</v>
      </c>
      <c r="H472" s="4"/>
      <c r="I472" s="5">
        <v>356</v>
      </c>
      <c r="J472" s="6"/>
      <c r="K472" s="7">
        <v>71866</v>
      </c>
      <c r="L472" s="6">
        <f t="shared" si="51"/>
        <v>431</v>
      </c>
      <c r="M472" s="7">
        <v>13765</v>
      </c>
      <c r="N472" s="8">
        <f t="shared" si="52"/>
        <v>83</v>
      </c>
      <c r="O472" s="7">
        <v>58101</v>
      </c>
      <c r="P472" s="6">
        <f t="shared" si="53"/>
        <v>348</v>
      </c>
      <c r="Q472" s="9"/>
      <c r="R472" s="6">
        <f t="shared" si="54"/>
        <v>0</v>
      </c>
      <c r="S472" s="10" t="s">
        <v>1</v>
      </c>
      <c r="T472" s="2" t="s">
        <v>614</v>
      </c>
    </row>
    <row r="473" spans="1:20" ht="37.5" customHeight="1" x14ac:dyDescent="0.25">
      <c r="A473" s="2" t="s">
        <v>615</v>
      </c>
      <c r="B473">
        <f t="shared" si="49"/>
        <v>112424</v>
      </c>
      <c r="C473">
        <v>33246</v>
      </c>
      <c r="D473">
        <v>79178</v>
      </c>
      <c r="F473">
        <f t="shared" si="50"/>
        <v>342</v>
      </c>
      <c r="G473" s="3">
        <f t="shared" si="55"/>
        <v>473</v>
      </c>
      <c r="H473" s="4"/>
      <c r="I473" s="5">
        <v>357</v>
      </c>
      <c r="J473" s="6"/>
      <c r="K473" s="7">
        <v>112082</v>
      </c>
      <c r="L473" s="6">
        <f t="shared" si="51"/>
        <v>342</v>
      </c>
      <c r="M473" s="7">
        <v>33191</v>
      </c>
      <c r="N473" s="8">
        <f t="shared" si="52"/>
        <v>55</v>
      </c>
      <c r="O473" s="7">
        <v>78891</v>
      </c>
      <c r="P473" s="6">
        <f t="shared" si="53"/>
        <v>287</v>
      </c>
      <c r="Q473" s="9"/>
      <c r="R473" s="6">
        <f t="shared" si="54"/>
        <v>0</v>
      </c>
      <c r="S473" s="10" t="s">
        <v>1</v>
      </c>
      <c r="T473" s="2" t="s">
        <v>615</v>
      </c>
    </row>
    <row r="474" spans="1:20" ht="37.5" customHeight="1" x14ac:dyDescent="0.25">
      <c r="A474" s="2" t="s">
        <v>616</v>
      </c>
      <c r="B474">
        <f t="shared" si="49"/>
        <v>30893</v>
      </c>
      <c r="C474">
        <v>5896</v>
      </c>
      <c r="D474">
        <v>24997</v>
      </c>
      <c r="F474">
        <f t="shared" si="50"/>
        <v>215</v>
      </c>
      <c r="G474" s="3">
        <f t="shared" si="55"/>
        <v>474</v>
      </c>
      <c r="H474" s="4"/>
      <c r="I474" s="5">
        <v>358</v>
      </c>
      <c r="J474" s="6"/>
      <c r="K474" s="7">
        <v>30678</v>
      </c>
      <c r="L474" s="6">
        <f t="shared" si="51"/>
        <v>215</v>
      </c>
      <c r="M474" s="7">
        <v>5858</v>
      </c>
      <c r="N474" s="8">
        <f t="shared" si="52"/>
        <v>38</v>
      </c>
      <c r="O474" s="7">
        <v>24820</v>
      </c>
      <c r="P474" s="6">
        <f t="shared" si="53"/>
        <v>177</v>
      </c>
      <c r="Q474" s="9"/>
      <c r="R474" s="6">
        <f t="shared" si="54"/>
        <v>0</v>
      </c>
      <c r="S474" s="10" t="s">
        <v>1</v>
      </c>
      <c r="T474" s="2" t="s">
        <v>616</v>
      </c>
    </row>
    <row r="475" spans="1:20" ht="37.5" customHeight="1" x14ac:dyDescent="0.25">
      <c r="A475" s="2" t="s">
        <v>617</v>
      </c>
      <c r="B475">
        <f t="shared" si="49"/>
        <v>64903</v>
      </c>
      <c r="C475">
        <v>18578</v>
      </c>
      <c r="D475">
        <v>46325</v>
      </c>
      <c r="F475">
        <f t="shared" si="50"/>
        <v>240</v>
      </c>
      <c r="G475" s="3">
        <f t="shared" si="55"/>
        <v>475</v>
      </c>
      <c r="H475" s="4"/>
      <c r="I475" s="5">
        <v>359</v>
      </c>
      <c r="J475" s="6"/>
      <c r="K475" s="7">
        <v>64663</v>
      </c>
      <c r="L475" s="6">
        <f t="shared" si="51"/>
        <v>240</v>
      </c>
      <c r="M475" s="7">
        <v>18552</v>
      </c>
      <c r="N475" s="8">
        <f t="shared" si="52"/>
        <v>26</v>
      </c>
      <c r="O475" s="7">
        <v>46111</v>
      </c>
      <c r="P475" s="6">
        <f t="shared" si="53"/>
        <v>214</v>
      </c>
      <c r="Q475" s="9"/>
      <c r="R475" s="6">
        <f t="shared" si="54"/>
        <v>0</v>
      </c>
      <c r="S475" s="10" t="s">
        <v>1</v>
      </c>
      <c r="T475" s="2" t="s">
        <v>617</v>
      </c>
    </row>
    <row r="476" spans="1:20" ht="37.5" customHeight="1" x14ac:dyDescent="0.25">
      <c r="A476" s="2" t="s">
        <v>618</v>
      </c>
      <c r="B476">
        <f t="shared" si="49"/>
        <v>4300</v>
      </c>
      <c r="C476">
        <v>1000</v>
      </c>
      <c r="D476">
        <v>3300</v>
      </c>
      <c r="E476">
        <v>4656</v>
      </c>
      <c r="F476">
        <f t="shared" si="50"/>
        <v>479</v>
      </c>
      <c r="G476" s="3">
        <f t="shared" si="55"/>
        <v>476</v>
      </c>
      <c r="H476" s="4"/>
      <c r="I476" s="5">
        <v>360</v>
      </c>
      <c r="J476" s="6"/>
      <c r="K476" s="7">
        <f>M476+O476</f>
        <v>3821</v>
      </c>
      <c r="L476" s="6">
        <f t="shared" si="51"/>
        <v>479</v>
      </c>
      <c r="M476" s="7">
        <v>904</v>
      </c>
      <c r="N476" s="8">
        <f t="shared" si="52"/>
        <v>96</v>
      </c>
      <c r="O476" s="7">
        <v>2917</v>
      </c>
      <c r="P476" s="6">
        <f t="shared" si="53"/>
        <v>383</v>
      </c>
      <c r="Q476" s="9">
        <v>4010</v>
      </c>
      <c r="R476" s="6">
        <f t="shared" si="54"/>
        <v>646</v>
      </c>
      <c r="S476" s="10" t="s">
        <v>1</v>
      </c>
      <c r="T476" s="2" t="s">
        <v>618</v>
      </c>
    </row>
    <row r="477" spans="1:20" ht="37.5" customHeight="1" x14ac:dyDescent="0.25">
      <c r="A477" s="2" t="s">
        <v>619</v>
      </c>
      <c r="B477">
        <f t="shared" si="49"/>
        <v>137179</v>
      </c>
      <c r="C477">
        <v>24946</v>
      </c>
      <c r="D477">
        <v>112233</v>
      </c>
      <c r="F477">
        <f t="shared" si="50"/>
        <v>0</v>
      </c>
      <c r="G477" s="3">
        <f t="shared" si="55"/>
        <v>477</v>
      </c>
      <c r="H477" s="4"/>
      <c r="I477" s="5">
        <v>361</v>
      </c>
      <c r="J477" s="6"/>
      <c r="K477" s="7">
        <v>137179</v>
      </c>
      <c r="L477" s="6">
        <f t="shared" si="51"/>
        <v>0</v>
      </c>
      <c r="M477" s="7">
        <v>24946</v>
      </c>
      <c r="N477" s="8">
        <f t="shared" si="52"/>
        <v>0</v>
      </c>
      <c r="O477" s="7">
        <v>112233</v>
      </c>
      <c r="P477" s="6">
        <f t="shared" si="53"/>
        <v>0</v>
      </c>
      <c r="Q477" s="9"/>
      <c r="R477" s="6">
        <f t="shared" si="54"/>
        <v>0</v>
      </c>
      <c r="S477" s="10" t="s">
        <v>1</v>
      </c>
      <c r="T477" s="2" t="s">
        <v>619</v>
      </c>
    </row>
    <row r="478" spans="1:20" ht="37.5" customHeight="1" x14ac:dyDescent="0.25">
      <c r="A478" s="2" t="s">
        <v>620</v>
      </c>
      <c r="B478">
        <f t="shared" si="49"/>
        <v>87468</v>
      </c>
      <c r="C478">
        <v>18492</v>
      </c>
      <c r="D478">
        <v>68976</v>
      </c>
      <c r="F478">
        <f t="shared" si="50"/>
        <v>341</v>
      </c>
      <c r="G478" s="3">
        <f t="shared" si="55"/>
        <v>478</v>
      </c>
      <c r="H478" s="4"/>
      <c r="I478" s="5">
        <v>362</v>
      </c>
      <c r="J478" s="6"/>
      <c r="K478" s="7">
        <v>87127</v>
      </c>
      <c r="L478" s="6">
        <f t="shared" si="51"/>
        <v>341</v>
      </c>
      <c r="M478" s="7">
        <v>18445</v>
      </c>
      <c r="N478" s="8">
        <f t="shared" si="52"/>
        <v>47</v>
      </c>
      <c r="O478" s="7">
        <v>68682</v>
      </c>
      <c r="P478" s="6">
        <f t="shared" si="53"/>
        <v>294</v>
      </c>
      <c r="Q478" s="9"/>
      <c r="R478" s="6">
        <f t="shared" si="54"/>
        <v>0</v>
      </c>
      <c r="S478" s="10" t="s">
        <v>1</v>
      </c>
      <c r="T478" s="2" t="s">
        <v>620</v>
      </c>
    </row>
    <row r="479" spans="1:20" ht="37.5" customHeight="1" x14ac:dyDescent="0.25">
      <c r="A479" s="2" t="s">
        <v>621</v>
      </c>
      <c r="B479">
        <f t="shared" si="49"/>
        <v>83941</v>
      </c>
      <c r="C479">
        <v>26307</v>
      </c>
      <c r="D479">
        <v>57634</v>
      </c>
      <c r="F479">
        <f t="shared" si="50"/>
        <v>425</v>
      </c>
      <c r="G479" s="3">
        <f t="shared" si="55"/>
        <v>479</v>
      </c>
      <c r="H479" s="4"/>
      <c r="I479" s="5">
        <v>363</v>
      </c>
      <c r="J479" s="6"/>
      <c r="K479" s="7">
        <v>83516</v>
      </c>
      <c r="L479" s="6">
        <f t="shared" si="51"/>
        <v>425</v>
      </c>
      <c r="M479" s="7">
        <v>26242</v>
      </c>
      <c r="N479" s="8">
        <f t="shared" si="52"/>
        <v>65</v>
      </c>
      <c r="O479" s="7">
        <v>57274</v>
      </c>
      <c r="P479" s="6">
        <f t="shared" si="53"/>
        <v>360</v>
      </c>
      <c r="Q479" s="9"/>
      <c r="R479" s="6">
        <f t="shared" si="54"/>
        <v>0</v>
      </c>
      <c r="S479" s="10" t="s">
        <v>1</v>
      </c>
      <c r="T479" s="2" t="s">
        <v>621</v>
      </c>
    </row>
    <row r="480" spans="1:20" ht="37.5" customHeight="1" x14ac:dyDescent="0.25">
      <c r="A480" s="2" t="s">
        <v>622</v>
      </c>
      <c r="B480">
        <f t="shared" si="49"/>
        <v>91911</v>
      </c>
      <c r="C480">
        <v>24184</v>
      </c>
      <c r="D480">
        <v>67727</v>
      </c>
      <c r="F480">
        <f t="shared" si="50"/>
        <v>358</v>
      </c>
      <c r="G480" s="3">
        <f t="shared" si="55"/>
        <v>480</v>
      </c>
      <c r="H480" s="4"/>
      <c r="I480" s="5">
        <v>364</v>
      </c>
      <c r="J480" s="6"/>
      <c r="K480" s="7">
        <v>91553</v>
      </c>
      <c r="L480" s="6">
        <f t="shared" si="51"/>
        <v>358</v>
      </c>
      <c r="M480" s="7">
        <v>24127</v>
      </c>
      <c r="N480" s="8">
        <f t="shared" si="52"/>
        <v>57</v>
      </c>
      <c r="O480" s="7">
        <v>67426</v>
      </c>
      <c r="P480" s="6">
        <f t="shared" si="53"/>
        <v>301</v>
      </c>
      <c r="Q480" s="9"/>
      <c r="R480" s="6">
        <f t="shared" si="54"/>
        <v>0</v>
      </c>
      <c r="S480" s="10" t="s">
        <v>1</v>
      </c>
      <c r="T480" s="2" t="s">
        <v>622</v>
      </c>
    </row>
    <row r="481" spans="1:20" ht="37.5" customHeight="1" x14ac:dyDescent="0.25">
      <c r="A481" s="2" t="s">
        <v>623</v>
      </c>
      <c r="B481">
        <f t="shared" si="49"/>
        <v>64995</v>
      </c>
      <c r="C481">
        <v>18009</v>
      </c>
      <c r="D481">
        <v>46986</v>
      </c>
      <c r="F481">
        <f t="shared" si="50"/>
        <v>142</v>
      </c>
      <c r="G481" s="3">
        <f t="shared" si="55"/>
        <v>481</v>
      </c>
      <c r="H481" s="4"/>
      <c r="I481" s="5">
        <v>365</v>
      </c>
      <c r="J481" s="6"/>
      <c r="K481" s="7">
        <v>64853</v>
      </c>
      <c r="L481" s="6">
        <f t="shared" si="51"/>
        <v>142</v>
      </c>
      <c r="M481" s="7">
        <v>17981</v>
      </c>
      <c r="N481" s="8">
        <f t="shared" si="52"/>
        <v>28</v>
      </c>
      <c r="O481" s="7">
        <v>46872</v>
      </c>
      <c r="P481" s="6">
        <f t="shared" si="53"/>
        <v>114</v>
      </c>
      <c r="Q481" s="9"/>
      <c r="R481" s="6">
        <f t="shared" si="54"/>
        <v>0</v>
      </c>
      <c r="S481" s="10" t="s">
        <v>1</v>
      </c>
      <c r="T481" s="2" t="s">
        <v>623</v>
      </c>
    </row>
    <row r="482" spans="1:20" ht="37.5" customHeight="1" x14ac:dyDescent="0.25">
      <c r="A482" s="2" t="s">
        <v>624</v>
      </c>
      <c r="B482">
        <f t="shared" si="49"/>
        <v>10934</v>
      </c>
      <c r="C482">
        <v>1715</v>
      </c>
      <c r="D482">
        <v>9219</v>
      </c>
      <c r="F482">
        <f t="shared" si="50"/>
        <v>42</v>
      </c>
      <c r="G482" s="3">
        <f t="shared" si="55"/>
        <v>482</v>
      </c>
      <c r="H482" s="4"/>
      <c r="I482" s="5">
        <v>366</v>
      </c>
      <c r="J482" s="6"/>
      <c r="K482" s="7">
        <v>10892</v>
      </c>
      <c r="L482" s="6">
        <f t="shared" si="51"/>
        <v>42</v>
      </c>
      <c r="M482" s="7">
        <v>1709</v>
      </c>
      <c r="N482" s="8">
        <f t="shared" si="52"/>
        <v>6</v>
      </c>
      <c r="O482" s="7">
        <v>9183</v>
      </c>
      <c r="P482" s="6">
        <f t="shared" si="53"/>
        <v>36</v>
      </c>
      <c r="Q482" s="9"/>
      <c r="R482" s="6">
        <f t="shared" si="54"/>
        <v>0</v>
      </c>
      <c r="S482" s="10" t="s">
        <v>1</v>
      </c>
      <c r="T482" s="2" t="s">
        <v>624</v>
      </c>
    </row>
    <row r="483" spans="1:20" ht="37.5" customHeight="1" x14ac:dyDescent="0.25">
      <c r="A483" s="2" t="s">
        <v>625</v>
      </c>
      <c r="B483">
        <f t="shared" si="49"/>
        <v>34307</v>
      </c>
      <c r="C483">
        <v>6157</v>
      </c>
      <c r="D483">
        <v>28150</v>
      </c>
      <c r="F483">
        <f t="shared" si="50"/>
        <v>239</v>
      </c>
      <c r="G483" s="3">
        <f t="shared" si="55"/>
        <v>483</v>
      </c>
      <c r="H483" s="4"/>
      <c r="I483" s="5">
        <v>367</v>
      </c>
      <c r="J483" s="6"/>
      <c r="K483" s="7">
        <v>34068</v>
      </c>
      <c r="L483" s="6">
        <f t="shared" si="51"/>
        <v>239</v>
      </c>
      <c r="M483" s="7">
        <v>6120</v>
      </c>
      <c r="N483" s="8">
        <f t="shared" si="52"/>
        <v>37</v>
      </c>
      <c r="O483" s="7">
        <v>27948</v>
      </c>
      <c r="P483" s="6">
        <f t="shared" si="53"/>
        <v>202</v>
      </c>
      <c r="Q483" s="9"/>
      <c r="R483" s="6">
        <f t="shared" si="54"/>
        <v>0</v>
      </c>
      <c r="S483" s="10" t="s">
        <v>1</v>
      </c>
      <c r="T483" s="2" t="s">
        <v>625</v>
      </c>
    </row>
    <row r="484" spans="1:20" ht="37.5" customHeight="1" x14ac:dyDescent="0.25">
      <c r="A484" s="2" t="s">
        <v>626</v>
      </c>
      <c r="B484">
        <f t="shared" si="49"/>
        <v>34598</v>
      </c>
      <c r="C484">
        <v>7475</v>
      </c>
      <c r="D484">
        <v>27123</v>
      </c>
      <c r="F484">
        <f t="shared" si="50"/>
        <v>294</v>
      </c>
      <c r="G484" s="3">
        <f t="shared" si="55"/>
        <v>484</v>
      </c>
      <c r="H484" s="4"/>
      <c r="I484" s="5" t="s">
        <v>627</v>
      </c>
      <c r="J484" s="6"/>
      <c r="K484" s="7">
        <v>34304</v>
      </c>
      <c r="L484" s="6">
        <f t="shared" si="51"/>
        <v>294</v>
      </c>
      <c r="M484" s="7">
        <v>7413</v>
      </c>
      <c r="N484" s="8">
        <f t="shared" si="52"/>
        <v>62</v>
      </c>
      <c r="O484" s="7">
        <v>26891</v>
      </c>
      <c r="P484" s="6">
        <f t="shared" si="53"/>
        <v>232</v>
      </c>
      <c r="Q484" s="9"/>
      <c r="R484" s="6">
        <f t="shared" si="54"/>
        <v>0</v>
      </c>
      <c r="S484" s="10" t="s">
        <v>1</v>
      </c>
      <c r="T484" s="2" t="s">
        <v>626</v>
      </c>
    </row>
    <row r="485" spans="1:20" ht="37.5" customHeight="1" x14ac:dyDescent="0.25">
      <c r="A485" s="2" t="s">
        <v>628</v>
      </c>
      <c r="B485">
        <f t="shared" si="49"/>
        <v>84574</v>
      </c>
      <c r="C485">
        <v>16784</v>
      </c>
      <c r="D485">
        <v>67790</v>
      </c>
      <c r="F485">
        <f t="shared" si="50"/>
        <v>339</v>
      </c>
      <c r="G485" s="3">
        <f t="shared" si="55"/>
        <v>485</v>
      </c>
      <c r="H485" s="4"/>
      <c r="I485" s="5">
        <v>368</v>
      </c>
      <c r="J485" s="6"/>
      <c r="K485" s="7">
        <v>84235</v>
      </c>
      <c r="L485" s="6">
        <f t="shared" si="51"/>
        <v>339</v>
      </c>
      <c r="M485" s="7">
        <v>16739</v>
      </c>
      <c r="N485" s="8">
        <f t="shared" si="52"/>
        <v>45</v>
      </c>
      <c r="O485" s="7">
        <v>67496</v>
      </c>
      <c r="P485" s="6">
        <f t="shared" si="53"/>
        <v>294</v>
      </c>
      <c r="Q485" s="9"/>
      <c r="R485" s="6">
        <f t="shared" si="54"/>
        <v>0</v>
      </c>
      <c r="S485" s="10" t="s">
        <v>1</v>
      </c>
      <c r="T485" s="2" t="s">
        <v>628</v>
      </c>
    </row>
    <row r="486" spans="1:20" ht="37.5" customHeight="1" x14ac:dyDescent="0.25">
      <c r="A486" s="2" t="s">
        <v>629</v>
      </c>
      <c r="B486">
        <f t="shared" si="49"/>
        <v>33251</v>
      </c>
      <c r="C486">
        <v>4239</v>
      </c>
      <c r="D486">
        <v>29012</v>
      </c>
      <c r="F486">
        <f t="shared" si="50"/>
        <v>383</v>
      </c>
      <c r="G486" s="3">
        <f t="shared" si="55"/>
        <v>486</v>
      </c>
      <c r="H486" s="4"/>
      <c r="I486" s="5" t="s">
        <v>630</v>
      </c>
      <c r="J486" s="6"/>
      <c r="K486" s="7">
        <v>32868</v>
      </c>
      <c r="L486" s="6">
        <f t="shared" si="51"/>
        <v>383</v>
      </c>
      <c r="M486" s="7">
        <v>4192</v>
      </c>
      <c r="N486" s="8">
        <f t="shared" si="52"/>
        <v>47</v>
      </c>
      <c r="O486" s="7">
        <v>28676</v>
      </c>
      <c r="P486" s="6">
        <f t="shared" si="53"/>
        <v>336</v>
      </c>
      <c r="Q486" s="9"/>
      <c r="R486" s="6">
        <f t="shared" si="54"/>
        <v>0</v>
      </c>
      <c r="S486" s="10" t="s">
        <v>1</v>
      </c>
      <c r="T486" s="2" t="s">
        <v>629</v>
      </c>
    </row>
    <row r="487" spans="1:20" ht="37.5" customHeight="1" x14ac:dyDescent="0.25">
      <c r="A487" s="2" t="s">
        <v>631</v>
      </c>
      <c r="B487">
        <f t="shared" si="49"/>
        <v>14218</v>
      </c>
      <c r="C487">
        <v>2676</v>
      </c>
      <c r="D487">
        <v>11542</v>
      </c>
      <c r="E487">
        <v>10840</v>
      </c>
      <c r="F487">
        <f t="shared" si="50"/>
        <v>377</v>
      </c>
      <c r="G487" s="3">
        <f t="shared" si="55"/>
        <v>487</v>
      </c>
      <c r="H487" s="4"/>
      <c r="I487" s="5" t="s">
        <v>632</v>
      </c>
      <c r="J487" s="6"/>
      <c r="K487" s="7">
        <f>M487+O487</f>
        <v>13841</v>
      </c>
      <c r="L487" s="6">
        <f t="shared" si="51"/>
        <v>377</v>
      </c>
      <c r="M487" s="7">
        <v>2594</v>
      </c>
      <c r="N487" s="8">
        <f t="shared" si="52"/>
        <v>82</v>
      </c>
      <c r="O487" s="7">
        <v>11247</v>
      </c>
      <c r="P487" s="6">
        <f t="shared" si="53"/>
        <v>295</v>
      </c>
      <c r="Q487" s="9">
        <v>10272</v>
      </c>
      <c r="R487" s="6">
        <f t="shared" si="54"/>
        <v>568</v>
      </c>
      <c r="S487" s="10" t="s">
        <v>1</v>
      </c>
      <c r="T487" s="2" t="s">
        <v>631</v>
      </c>
    </row>
    <row r="488" spans="1:20" ht="37.5" customHeight="1" x14ac:dyDescent="0.25">
      <c r="A488" s="2" t="s">
        <v>633</v>
      </c>
      <c r="B488">
        <f t="shared" si="49"/>
        <v>7657</v>
      </c>
      <c r="C488">
        <v>2369</v>
      </c>
      <c r="D488">
        <v>5288</v>
      </c>
      <c r="E488">
        <v>21894</v>
      </c>
      <c r="F488">
        <f t="shared" si="50"/>
        <v>209</v>
      </c>
      <c r="G488" s="3">
        <f t="shared" si="55"/>
        <v>488</v>
      </c>
      <c r="H488" s="4"/>
      <c r="I488" s="5">
        <v>369</v>
      </c>
      <c r="J488" s="6"/>
      <c r="K488" s="7">
        <f>M488+O488</f>
        <v>7448</v>
      </c>
      <c r="L488" s="6">
        <f t="shared" si="51"/>
        <v>209</v>
      </c>
      <c r="M488" s="7">
        <v>2312</v>
      </c>
      <c r="N488" s="8">
        <f t="shared" si="52"/>
        <v>57</v>
      </c>
      <c r="O488" s="7">
        <v>5136</v>
      </c>
      <c r="P488" s="6">
        <f t="shared" si="53"/>
        <v>152</v>
      </c>
      <c r="Q488" s="9">
        <v>20843</v>
      </c>
      <c r="R488" s="6">
        <f t="shared" si="54"/>
        <v>1051</v>
      </c>
      <c r="S488" s="10" t="s">
        <v>1</v>
      </c>
      <c r="T488" s="2" t="s">
        <v>633</v>
      </c>
    </row>
    <row r="489" spans="1:20" ht="37.5" customHeight="1" x14ac:dyDescent="0.25">
      <c r="A489" s="2" t="s">
        <v>634</v>
      </c>
      <c r="B489">
        <f t="shared" si="49"/>
        <v>10405</v>
      </c>
      <c r="C489">
        <v>1599</v>
      </c>
      <c r="D489">
        <v>8806</v>
      </c>
      <c r="F489">
        <f t="shared" si="50"/>
        <v>193</v>
      </c>
      <c r="G489" s="3">
        <f t="shared" si="55"/>
        <v>489</v>
      </c>
      <c r="H489" s="4"/>
      <c r="I489" s="5">
        <v>370</v>
      </c>
      <c r="J489" s="6"/>
      <c r="K489" s="7">
        <v>10212</v>
      </c>
      <c r="L489" s="6">
        <f t="shared" si="51"/>
        <v>193</v>
      </c>
      <c r="M489" s="7">
        <v>1566</v>
      </c>
      <c r="N489" s="8">
        <f t="shared" si="52"/>
        <v>33</v>
      </c>
      <c r="O489" s="7">
        <v>8646</v>
      </c>
      <c r="P489" s="6">
        <f t="shared" si="53"/>
        <v>160</v>
      </c>
      <c r="Q489" s="9"/>
      <c r="R489" s="6">
        <f t="shared" si="54"/>
        <v>0</v>
      </c>
      <c r="S489" s="10" t="s">
        <v>1</v>
      </c>
      <c r="T489" s="2" t="s">
        <v>634</v>
      </c>
    </row>
    <row r="490" spans="1:20" ht="37.5" customHeight="1" x14ac:dyDescent="0.25">
      <c r="A490" s="2" t="s">
        <v>635</v>
      </c>
      <c r="B490">
        <f t="shared" si="49"/>
        <v>22721</v>
      </c>
      <c r="C490">
        <v>3221</v>
      </c>
      <c r="D490">
        <v>19500</v>
      </c>
      <c r="F490">
        <f t="shared" si="50"/>
        <v>5</v>
      </c>
      <c r="G490" s="3">
        <f t="shared" si="55"/>
        <v>490</v>
      </c>
      <c r="H490" s="4"/>
      <c r="I490" s="5">
        <v>371</v>
      </c>
      <c r="J490" s="6"/>
      <c r="K490" s="7">
        <v>22716</v>
      </c>
      <c r="L490" s="6">
        <f t="shared" si="51"/>
        <v>5</v>
      </c>
      <c r="M490" s="7">
        <v>3219</v>
      </c>
      <c r="N490" s="8">
        <f t="shared" si="52"/>
        <v>2</v>
      </c>
      <c r="O490" s="7">
        <v>19497</v>
      </c>
      <c r="P490" s="6">
        <f t="shared" si="53"/>
        <v>3</v>
      </c>
      <c r="Q490" s="9"/>
      <c r="R490" s="6">
        <f t="shared" si="54"/>
        <v>0</v>
      </c>
      <c r="S490" s="10" t="s">
        <v>1</v>
      </c>
      <c r="T490" s="2" t="s">
        <v>635</v>
      </c>
    </row>
    <row r="491" spans="1:20" ht="37.5" customHeight="1" x14ac:dyDescent="0.25">
      <c r="A491" s="2" t="s">
        <v>636</v>
      </c>
      <c r="B491">
        <f t="shared" si="49"/>
        <v>71943</v>
      </c>
      <c r="C491">
        <v>18567</v>
      </c>
      <c r="D491">
        <v>53376</v>
      </c>
      <c r="F491">
        <f t="shared" si="50"/>
        <v>209</v>
      </c>
      <c r="G491" s="3">
        <f t="shared" si="55"/>
        <v>491</v>
      </c>
      <c r="H491" s="4"/>
      <c r="I491" s="5">
        <v>372</v>
      </c>
      <c r="J491" s="6"/>
      <c r="K491" s="7">
        <v>71734</v>
      </c>
      <c r="L491" s="6">
        <f t="shared" si="51"/>
        <v>209</v>
      </c>
      <c r="M491" s="7">
        <v>18538</v>
      </c>
      <c r="N491" s="8">
        <f t="shared" si="52"/>
        <v>29</v>
      </c>
      <c r="O491" s="7">
        <v>53196</v>
      </c>
      <c r="P491" s="6">
        <f t="shared" si="53"/>
        <v>180</v>
      </c>
      <c r="Q491" s="9"/>
      <c r="R491" s="6">
        <f t="shared" si="54"/>
        <v>0</v>
      </c>
      <c r="S491" s="10" t="s">
        <v>1</v>
      </c>
      <c r="T491" s="2" t="s">
        <v>636</v>
      </c>
    </row>
    <row r="492" spans="1:20" ht="37.5" customHeight="1" x14ac:dyDescent="0.25">
      <c r="A492" s="2" t="s">
        <v>637</v>
      </c>
      <c r="B492">
        <f t="shared" si="49"/>
        <v>52666</v>
      </c>
      <c r="C492">
        <v>10485</v>
      </c>
      <c r="D492">
        <v>42181</v>
      </c>
      <c r="F492">
        <f t="shared" si="50"/>
        <v>444</v>
      </c>
      <c r="G492" s="3">
        <f t="shared" si="55"/>
        <v>492</v>
      </c>
      <c r="H492" s="4"/>
      <c r="I492" s="5">
        <v>373</v>
      </c>
      <c r="J492" s="6"/>
      <c r="K492" s="7">
        <v>52222</v>
      </c>
      <c r="L492" s="6">
        <f t="shared" si="51"/>
        <v>444</v>
      </c>
      <c r="M492" s="7">
        <v>10400</v>
      </c>
      <c r="N492" s="8">
        <f t="shared" si="52"/>
        <v>85</v>
      </c>
      <c r="O492" s="7">
        <v>41822</v>
      </c>
      <c r="P492" s="6">
        <f t="shared" si="53"/>
        <v>359</v>
      </c>
      <c r="Q492" s="9"/>
      <c r="R492" s="6">
        <f t="shared" si="54"/>
        <v>0</v>
      </c>
      <c r="S492" s="10" t="s">
        <v>1</v>
      </c>
      <c r="T492" s="2" t="s">
        <v>637</v>
      </c>
    </row>
    <row r="493" spans="1:20" ht="37.5" customHeight="1" x14ac:dyDescent="0.25">
      <c r="A493" s="2" t="s">
        <v>638</v>
      </c>
      <c r="B493">
        <f t="shared" si="49"/>
        <v>19905</v>
      </c>
      <c r="C493">
        <v>2827</v>
      </c>
      <c r="D493">
        <v>17078</v>
      </c>
      <c r="F493">
        <f t="shared" si="50"/>
        <v>412</v>
      </c>
      <c r="G493" s="3">
        <f t="shared" si="55"/>
        <v>493</v>
      </c>
      <c r="H493" s="4"/>
      <c r="I493" s="5">
        <v>374</v>
      </c>
      <c r="J493" s="6"/>
      <c r="K493" s="7">
        <v>19493</v>
      </c>
      <c r="L493" s="6">
        <f t="shared" si="51"/>
        <v>412</v>
      </c>
      <c r="M493" s="7">
        <v>2759</v>
      </c>
      <c r="N493" s="8">
        <f t="shared" si="52"/>
        <v>68</v>
      </c>
      <c r="O493" s="7">
        <v>16734</v>
      </c>
      <c r="P493" s="6">
        <f t="shared" si="53"/>
        <v>344</v>
      </c>
      <c r="Q493" s="9"/>
      <c r="R493" s="6">
        <f t="shared" si="54"/>
        <v>0</v>
      </c>
      <c r="S493" s="10" t="s">
        <v>1</v>
      </c>
      <c r="T493" s="2" t="s">
        <v>638</v>
      </c>
    </row>
    <row r="494" spans="1:20" ht="37.5" customHeight="1" x14ac:dyDescent="0.25">
      <c r="A494" s="2" t="s">
        <v>639</v>
      </c>
      <c r="B494">
        <f t="shared" si="49"/>
        <v>74771</v>
      </c>
      <c r="C494">
        <v>22727</v>
      </c>
      <c r="D494">
        <v>52044</v>
      </c>
      <c r="F494">
        <f t="shared" si="50"/>
        <v>410</v>
      </c>
      <c r="G494" s="3">
        <f t="shared" si="55"/>
        <v>494</v>
      </c>
      <c r="H494" s="4"/>
      <c r="I494" s="5">
        <v>375</v>
      </c>
      <c r="J494" s="6"/>
      <c r="K494" s="7">
        <v>74361</v>
      </c>
      <c r="L494" s="6">
        <f t="shared" si="51"/>
        <v>410</v>
      </c>
      <c r="M494" s="7">
        <v>22649</v>
      </c>
      <c r="N494" s="8">
        <f t="shared" si="52"/>
        <v>78</v>
      </c>
      <c r="O494" s="7">
        <v>51712</v>
      </c>
      <c r="P494" s="6">
        <f t="shared" si="53"/>
        <v>332</v>
      </c>
      <c r="Q494" s="9"/>
      <c r="R494" s="6">
        <f t="shared" si="54"/>
        <v>0</v>
      </c>
      <c r="S494" s="10" t="s">
        <v>1</v>
      </c>
      <c r="T494" s="2" t="s">
        <v>639</v>
      </c>
    </row>
    <row r="495" spans="1:20" ht="37.5" customHeight="1" x14ac:dyDescent="0.25">
      <c r="A495" s="2" t="s">
        <v>640</v>
      </c>
      <c r="B495">
        <f t="shared" si="49"/>
        <v>89784</v>
      </c>
      <c r="C495">
        <v>27803</v>
      </c>
      <c r="D495">
        <v>61981</v>
      </c>
      <c r="F495">
        <f t="shared" si="50"/>
        <v>263</v>
      </c>
      <c r="G495" s="3">
        <f t="shared" si="55"/>
        <v>495</v>
      </c>
      <c r="H495" s="4"/>
      <c r="I495" s="5">
        <v>376</v>
      </c>
      <c r="J495" s="6"/>
      <c r="K495" s="7">
        <v>89521</v>
      </c>
      <c r="L495" s="6">
        <f t="shared" si="51"/>
        <v>263</v>
      </c>
      <c r="M495" s="7">
        <v>27763</v>
      </c>
      <c r="N495" s="8">
        <f t="shared" si="52"/>
        <v>40</v>
      </c>
      <c r="O495" s="7">
        <v>61758</v>
      </c>
      <c r="P495" s="6">
        <f t="shared" si="53"/>
        <v>223</v>
      </c>
      <c r="Q495" s="9"/>
      <c r="R495" s="6">
        <f t="shared" si="54"/>
        <v>0</v>
      </c>
      <c r="S495" s="10" t="s">
        <v>1</v>
      </c>
      <c r="T495" s="2" t="s">
        <v>640</v>
      </c>
    </row>
    <row r="496" spans="1:20" ht="37.5" customHeight="1" x14ac:dyDescent="0.25">
      <c r="A496" s="2" t="s">
        <v>641</v>
      </c>
      <c r="B496">
        <f t="shared" si="49"/>
        <v>19556</v>
      </c>
      <c r="C496">
        <v>2573</v>
      </c>
      <c r="D496">
        <v>16983</v>
      </c>
      <c r="F496">
        <f t="shared" si="50"/>
        <v>192</v>
      </c>
      <c r="G496" s="3">
        <f t="shared" si="55"/>
        <v>496</v>
      </c>
      <c r="H496" s="4"/>
      <c r="I496" s="5">
        <v>377</v>
      </c>
      <c r="J496" s="6"/>
      <c r="K496" s="7">
        <v>19364</v>
      </c>
      <c r="L496" s="6">
        <f t="shared" si="51"/>
        <v>192</v>
      </c>
      <c r="M496" s="7">
        <v>2541</v>
      </c>
      <c r="N496" s="8">
        <f t="shared" si="52"/>
        <v>32</v>
      </c>
      <c r="O496" s="7">
        <v>16823</v>
      </c>
      <c r="P496" s="6">
        <f t="shared" si="53"/>
        <v>160</v>
      </c>
      <c r="Q496" s="9"/>
      <c r="R496" s="6">
        <f t="shared" si="54"/>
        <v>0</v>
      </c>
      <c r="S496" s="10" t="s">
        <v>1</v>
      </c>
      <c r="T496" s="2" t="s">
        <v>641</v>
      </c>
    </row>
    <row r="497" spans="1:20" ht="37.5" customHeight="1" x14ac:dyDescent="0.25">
      <c r="A497" s="2" t="s">
        <v>642</v>
      </c>
      <c r="B497">
        <f t="shared" si="49"/>
        <v>33276</v>
      </c>
      <c r="C497">
        <v>5521</v>
      </c>
      <c r="D497">
        <v>27755</v>
      </c>
      <c r="F497">
        <f t="shared" si="50"/>
        <v>140</v>
      </c>
      <c r="G497" s="3">
        <f t="shared" si="55"/>
        <v>497</v>
      </c>
      <c r="H497" s="4"/>
      <c r="I497" s="5">
        <v>378</v>
      </c>
      <c r="J497" s="6"/>
      <c r="K497" s="7">
        <v>33136</v>
      </c>
      <c r="L497" s="6">
        <f t="shared" si="51"/>
        <v>140</v>
      </c>
      <c r="M497" s="7">
        <v>5490</v>
      </c>
      <c r="N497" s="8">
        <f t="shared" si="52"/>
        <v>31</v>
      </c>
      <c r="O497" s="7">
        <v>27646</v>
      </c>
      <c r="P497" s="6">
        <f t="shared" si="53"/>
        <v>109</v>
      </c>
      <c r="Q497" s="9"/>
      <c r="R497" s="6">
        <f t="shared" si="54"/>
        <v>0</v>
      </c>
      <c r="S497" s="10" t="s">
        <v>1</v>
      </c>
      <c r="T497" s="2" t="s">
        <v>642</v>
      </c>
    </row>
    <row r="498" spans="1:20" ht="37.5" customHeight="1" x14ac:dyDescent="0.25">
      <c r="A498" s="2" t="s">
        <v>643</v>
      </c>
      <c r="B498">
        <f t="shared" si="49"/>
        <v>55900</v>
      </c>
      <c r="C498">
        <v>10449</v>
      </c>
      <c r="D498">
        <v>45451</v>
      </c>
      <c r="F498">
        <f t="shared" si="50"/>
        <v>197</v>
      </c>
      <c r="G498" s="3">
        <f t="shared" si="55"/>
        <v>498</v>
      </c>
      <c r="H498" s="4"/>
      <c r="I498" s="5">
        <v>379</v>
      </c>
      <c r="J498" s="6"/>
      <c r="K498" s="7">
        <v>55703</v>
      </c>
      <c r="L498" s="6">
        <f t="shared" si="51"/>
        <v>197</v>
      </c>
      <c r="M498" s="7">
        <v>10408</v>
      </c>
      <c r="N498" s="8">
        <f t="shared" si="52"/>
        <v>41</v>
      </c>
      <c r="O498" s="7">
        <v>45295</v>
      </c>
      <c r="P498" s="6">
        <f t="shared" si="53"/>
        <v>156</v>
      </c>
      <c r="Q498" s="9"/>
      <c r="R498" s="6">
        <f t="shared" si="54"/>
        <v>0</v>
      </c>
      <c r="S498" s="10" t="s">
        <v>1</v>
      </c>
      <c r="T498" s="2" t="s">
        <v>643</v>
      </c>
    </row>
    <row r="499" spans="1:20" ht="37.5" customHeight="1" x14ac:dyDescent="0.25">
      <c r="A499" s="2" t="s">
        <v>644</v>
      </c>
      <c r="B499">
        <f t="shared" si="49"/>
        <v>21587</v>
      </c>
      <c r="C499">
        <v>3520</v>
      </c>
      <c r="D499">
        <v>18067</v>
      </c>
      <c r="F499">
        <f t="shared" si="50"/>
        <v>396</v>
      </c>
      <c r="G499" s="3">
        <f t="shared" si="55"/>
        <v>499</v>
      </c>
      <c r="H499" s="4"/>
      <c r="I499" s="5">
        <v>380</v>
      </c>
      <c r="J499" s="6"/>
      <c r="K499" s="7">
        <v>21191</v>
      </c>
      <c r="L499" s="6">
        <f t="shared" si="51"/>
        <v>396</v>
      </c>
      <c r="M499" s="7">
        <v>3462</v>
      </c>
      <c r="N499" s="8">
        <f t="shared" si="52"/>
        <v>58</v>
      </c>
      <c r="O499" s="7">
        <v>17729</v>
      </c>
      <c r="P499" s="6">
        <f t="shared" si="53"/>
        <v>338</v>
      </c>
      <c r="Q499" s="9"/>
      <c r="R499" s="6">
        <f t="shared" si="54"/>
        <v>0</v>
      </c>
      <c r="S499" s="10" t="s">
        <v>1</v>
      </c>
      <c r="T499" s="2" t="s">
        <v>644</v>
      </c>
    </row>
    <row r="500" spans="1:20" ht="37.5" customHeight="1" x14ac:dyDescent="0.25">
      <c r="A500" s="2" t="s">
        <v>645</v>
      </c>
      <c r="B500">
        <f t="shared" si="49"/>
        <v>8126</v>
      </c>
      <c r="C500">
        <v>1179</v>
      </c>
      <c r="D500">
        <v>6947</v>
      </c>
      <c r="F500">
        <f t="shared" si="50"/>
        <v>151</v>
      </c>
      <c r="G500" s="3">
        <f t="shared" si="55"/>
        <v>500</v>
      </c>
      <c r="H500" s="4"/>
      <c r="I500" s="5">
        <v>381</v>
      </c>
      <c r="J500" s="6"/>
      <c r="K500" s="7">
        <v>7975</v>
      </c>
      <c r="L500" s="6">
        <f t="shared" si="51"/>
        <v>151</v>
      </c>
      <c r="M500" s="7">
        <v>1154</v>
      </c>
      <c r="N500" s="8">
        <f t="shared" si="52"/>
        <v>25</v>
      </c>
      <c r="O500" s="7">
        <v>6821</v>
      </c>
      <c r="P500" s="6">
        <f t="shared" si="53"/>
        <v>126</v>
      </c>
      <c r="Q500" s="9"/>
      <c r="R500" s="6">
        <f t="shared" si="54"/>
        <v>0</v>
      </c>
      <c r="S500" s="10" t="s">
        <v>1</v>
      </c>
      <c r="T500" s="2" t="s">
        <v>645</v>
      </c>
    </row>
    <row r="501" spans="1:20" ht="37.5" customHeight="1" x14ac:dyDescent="0.25">
      <c r="A501" s="2" t="s">
        <v>646</v>
      </c>
      <c r="B501">
        <f t="shared" si="49"/>
        <v>25625</v>
      </c>
      <c r="C501">
        <v>8652</v>
      </c>
      <c r="D501">
        <v>16973</v>
      </c>
      <c r="F501">
        <f t="shared" si="50"/>
        <v>263</v>
      </c>
      <c r="G501" s="3">
        <f t="shared" si="55"/>
        <v>501</v>
      </c>
      <c r="H501" s="4"/>
      <c r="I501" s="5">
        <v>382</v>
      </c>
      <c r="J501" s="6"/>
      <c r="K501" s="7">
        <v>25362</v>
      </c>
      <c r="L501" s="6">
        <f t="shared" si="51"/>
        <v>263</v>
      </c>
      <c r="M501" s="7">
        <v>8608</v>
      </c>
      <c r="N501" s="8">
        <f t="shared" si="52"/>
        <v>44</v>
      </c>
      <c r="O501" s="7">
        <v>16754</v>
      </c>
      <c r="P501" s="6">
        <f t="shared" si="53"/>
        <v>219</v>
      </c>
      <c r="Q501" s="9"/>
      <c r="R501" s="6">
        <f t="shared" si="54"/>
        <v>0</v>
      </c>
      <c r="S501" s="10" t="s">
        <v>1</v>
      </c>
      <c r="T501" s="2" t="s">
        <v>646</v>
      </c>
    </row>
    <row r="502" spans="1:20" ht="37.5" customHeight="1" x14ac:dyDescent="0.25">
      <c r="A502" s="2" t="s">
        <v>647</v>
      </c>
      <c r="B502">
        <f t="shared" si="49"/>
        <v>22632</v>
      </c>
      <c r="C502">
        <v>3577</v>
      </c>
      <c r="D502">
        <v>19055</v>
      </c>
      <c r="F502">
        <f t="shared" si="50"/>
        <v>155</v>
      </c>
      <c r="G502" s="3">
        <f t="shared" si="55"/>
        <v>502</v>
      </c>
      <c r="H502" s="4"/>
      <c r="I502" s="5">
        <v>383</v>
      </c>
      <c r="J502" s="6"/>
      <c r="K502" s="7">
        <v>22477</v>
      </c>
      <c r="L502" s="6">
        <f t="shared" si="51"/>
        <v>155</v>
      </c>
      <c r="M502" s="7">
        <v>3552</v>
      </c>
      <c r="N502" s="8">
        <f t="shared" si="52"/>
        <v>25</v>
      </c>
      <c r="O502" s="7">
        <v>18925</v>
      </c>
      <c r="P502" s="6">
        <f t="shared" si="53"/>
        <v>130</v>
      </c>
      <c r="Q502" s="9"/>
      <c r="R502" s="6">
        <f t="shared" si="54"/>
        <v>0</v>
      </c>
      <c r="S502" s="10" t="s">
        <v>1</v>
      </c>
      <c r="T502" s="2" t="s">
        <v>647</v>
      </c>
    </row>
    <row r="503" spans="1:20" ht="37.5" customHeight="1" x14ac:dyDescent="0.25">
      <c r="A503" s="2" t="s">
        <v>648</v>
      </c>
      <c r="B503">
        <f t="shared" si="49"/>
        <v>55406</v>
      </c>
      <c r="C503">
        <v>10685</v>
      </c>
      <c r="D503">
        <v>44721</v>
      </c>
      <c r="F503">
        <f t="shared" si="50"/>
        <v>357</v>
      </c>
      <c r="G503" s="3">
        <f t="shared" si="55"/>
        <v>503</v>
      </c>
      <c r="H503" s="4"/>
      <c r="I503" s="5">
        <v>384</v>
      </c>
      <c r="J503" s="6"/>
      <c r="K503" s="7">
        <v>55049</v>
      </c>
      <c r="L503" s="6">
        <f t="shared" si="51"/>
        <v>357</v>
      </c>
      <c r="M503" s="7">
        <v>10628</v>
      </c>
      <c r="N503" s="8">
        <f t="shared" si="52"/>
        <v>57</v>
      </c>
      <c r="O503" s="7">
        <v>44421</v>
      </c>
      <c r="P503" s="6">
        <f t="shared" si="53"/>
        <v>300</v>
      </c>
      <c r="Q503" s="9"/>
      <c r="R503" s="6">
        <f t="shared" si="54"/>
        <v>0</v>
      </c>
      <c r="S503" s="10" t="s">
        <v>1</v>
      </c>
      <c r="T503" s="2" t="s">
        <v>648</v>
      </c>
    </row>
    <row r="504" spans="1:20" ht="37.5" customHeight="1" x14ac:dyDescent="0.25">
      <c r="A504" s="2" t="s">
        <v>649</v>
      </c>
      <c r="B504">
        <f t="shared" si="49"/>
        <v>4138</v>
      </c>
      <c r="C504">
        <v>1214</v>
      </c>
      <c r="D504">
        <v>2924</v>
      </c>
      <c r="E504">
        <v>12594</v>
      </c>
      <c r="F504">
        <f t="shared" si="50"/>
        <v>247</v>
      </c>
      <c r="G504" s="3">
        <f t="shared" si="55"/>
        <v>504</v>
      </c>
      <c r="H504" s="4"/>
      <c r="I504" s="5">
        <v>385</v>
      </c>
      <c r="J504" s="6"/>
      <c r="K504" s="7">
        <f>M504+O504</f>
        <v>3891</v>
      </c>
      <c r="L504" s="6">
        <f t="shared" si="51"/>
        <v>247</v>
      </c>
      <c r="M504" s="7">
        <v>1132</v>
      </c>
      <c r="N504" s="8">
        <f t="shared" si="52"/>
        <v>82</v>
      </c>
      <c r="O504" s="7">
        <v>2759</v>
      </c>
      <c r="P504" s="6">
        <f t="shared" si="53"/>
        <v>165</v>
      </c>
      <c r="Q504" s="9">
        <v>11654</v>
      </c>
      <c r="R504" s="6">
        <f t="shared" si="54"/>
        <v>940</v>
      </c>
      <c r="S504" s="10" t="s">
        <v>1</v>
      </c>
      <c r="T504" s="2" t="s">
        <v>649</v>
      </c>
    </row>
    <row r="505" spans="1:20" ht="37.5" customHeight="1" x14ac:dyDescent="0.25">
      <c r="A505" s="2" t="s">
        <v>650</v>
      </c>
      <c r="B505">
        <f t="shared" si="49"/>
        <v>99812</v>
      </c>
      <c r="C505">
        <v>24580</v>
      </c>
      <c r="D505">
        <v>75232</v>
      </c>
      <c r="F505">
        <f t="shared" si="50"/>
        <v>224</v>
      </c>
      <c r="G505" s="3">
        <f t="shared" si="55"/>
        <v>505</v>
      </c>
      <c r="H505" s="4"/>
      <c r="I505" s="5">
        <v>386</v>
      </c>
      <c r="J505" s="6"/>
      <c r="K505" s="7">
        <v>99588</v>
      </c>
      <c r="L505" s="6">
        <f t="shared" si="51"/>
        <v>224</v>
      </c>
      <c r="M505" s="7">
        <v>24538</v>
      </c>
      <c r="N505" s="8">
        <f t="shared" si="52"/>
        <v>42</v>
      </c>
      <c r="O505" s="7">
        <v>75050</v>
      </c>
      <c r="P505" s="6">
        <f t="shared" si="53"/>
        <v>182</v>
      </c>
      <c r="Q505" s="9"/>
      <c r="R505" s="6">
        <f t="shared" si="54"/>
        <v>0</v>
      </c>
      <c r="S505" s="10" t="s">
        <v>1</v>
      </c>
      <c r="T505" s="2" t="s">
        <v>650</v>
      </c>
    </row>
    <row r="506" spans="1:20" ht="37.5" customHeight="1" x14ac:dyDescent="0.25">
      <c r="A506" s="2" t="s">
        <v>651</v>
      </c>
      <c r="B506">
        <f t="shared" si="49"/>
        <v>59952</v>
      </c>
      <c r="C506">
        <v>10822</v>
      </c>
      <c r="D506">
        <v>49130</v>
      </c>
      <c r="F506">
        <f t="shared" si="50"/>
        <v>205</v>
      </c>
      <c r="G506" s="3">
        <f t="shared" si="55"/>
        <v>506</v>
      </c>
      <c r="H506" s="4"/>
      <c r="I506" s="5">
        <v>387</v>
      </c>
      <c r="J506" s="6"/>
      <c r="K506" s="7">
        <v>59747</v>
      </c>
      <c r="L506" s="6">
        <f t="shared" si="51"/>
        <v>205</v>
      </c>
      <c r="M506" s="7">
        <v>10778</v>
      </c>
      <c r="N506" s="8">
        <f t="shared" si="52"/>
        <v>44</v>
      </c>
      <c r="O506" s="7">
        <v>48969</v>
      </c>
      <c r="P506" s="6">
        <f t="shared" si="53"/>
        <v>161</v>
      </c>
      <c r="Q506" s="9"/>
      <c r="R506" s="6">
        <f t="shared" si="54"/>
        <v>0</v>
      </c>
      <c r="S506" s="10" t="s">
        <v>1</v>
      </c>
      <c r="T506" s="2" t="s">
        <v>651</v>
      </c>
    </row>
    <row r="507" spans="1:20" ht="37.5" customHeight="1" x14ac:dyDescent="0.25">
      <c r="A507" s="2" t="s">
        <v>652</v>
      </c>
      <c r="B507">
        <f t="shared" si="49"/>
        <v>22553</v>
      </c>
      <c r="C507">
        <v>3741</v>
      </c>
      <c r="D507">
        <v>18812</v>
      </c>
      <c r="F507">
        <f t="shared" si="50"/>
        <v>361</v>
      </c>
      <c r="G507" s="3">
        <f t="shared" si="55"/>
        <v>507</v>
      </c>
      <c r="H507" s="4"/>
      <c r="I507" s="5">
        <v>388</v>
      </c>
      <c r="J507" s="6"/>
      <c r="K507" s="7">
        <v>22192</v>
      </c>
      <c r="L507" s="6">
        <f t="shared" si="51"/>
        <v>361</v>
      </c>
      <c r="M507" s="7">
        <v>3683</v>
      </c>
      <c r="N507" s="8">
        <f t="shared" si="52"/>
        <v>58</v>
      </c>
      <c r="O507" s="7">
        <v>18509</v>
      </c>
      <c r="P507" s="6">
        <f t="shared" si="53"/>
        <v>303</v>
      </c>
      <c r="Q507" s="9"/>
      <c r="R507" s="6">
        <f t="shared" si="54"/>
        <v>0</v>
      </c>
      <c r="S507" s="10" t="s">
        <v>1</v>
      </c>
      <c r="T507" s="2" t="s">
        <v>652</v>
      </c>
    </row>
    <row r="508" spans="1:20" ht="37.5" customHeight="1" x14ac:dyDescent="0.25">
      <c r="A508" s="2" t="s">
        <v>653</v>
      </c>
      <c r="B508">
        <f t="shared" si="49"/>
        <v>50207</v>
      </c>
      <c r="C508">
        <v>17395</v>
      </c>
      <c r="D508">
        <v>32812</v>
      </c>
      <c r="F508">
        <f t="shared" si="50"/>
        <v>232</v>
      </c>
      <c r="G508" s="3">
        <f t="shared" si="55"/>
        <v>508</v>
      </c>
      <c r="H508" s="4"/>
      <c r="I508" s="5">
        <v>389</v>
      </c>
      <c r="J508" s="6"/>
      <c r="K508" s="7">
        <v>49975</v>
      </c>
      <c r="L508" s="6">
        <f t="shared" si="51"/>
        <v>232</v>
      </c>
      <c r="M508" s="7">
        <v>17325</v>
      </c>
      <c r="N508" s="8">
        <f t="shared" si="52"/>
        <v>70</v>
      </c>
      <c r="O508" s="7">
        <v>32650</v>
      </c>
      <c r="P508" s="6">
        <f t="shared" si="53"/>
        <v>162</v>
      </c>
      <c r="Q508" s="9"/>
      <c r="R508" s="6">
        <f t="shared" si="54"/>
        <v>0</v>
      </c>
      <c r="S508" s="10" t="s">
        <v>1</v>
      </c>
      <c r="T508" s="2" t="s">
        <v>653</v>
      </c>
    </row>
    <row r="509" spans="1:20" ht="37.5" customHeight="1" x14ac:dyDescent="0.25">
      <c r="A509" s="2" t="s">
        <v>654</v>
      </c>
      <c r="B509">
        <f t="shared" si="49"/>
        <v>10354</v>
      </c>
      <c r="C509">
        <v>1583</v>
      </c>
      <c r="D509">
        <v>8771</v>
      </c>
      <c r="F509">
        <f t="shared" si="50"/>
        <v>198</v>
      </c>
      <c r="G509" s="3">
        <f t="shared" si="55"/>
        <v>509</v>
      </c>
      <c r="H509" s="4"/>
      <c r="I509" s="5">
        <v>390</v>
      </c>
      <c r="J509" s="6"/>
      <c r="K509" s="7">
        <v>10156</v>
      </c>
      <c r="L509" s="6">
        <f t="shared" si="51"/>
        <v>198</v>
      </c>
      <c r="M509" s="7">
        <v>1552</v>
      </c>
      <c r="N509" s="8">
        <f t="shared" si="52"/>
        <v>31</v>
      </c>
      <c r="O509" s="7">
        <v>8604</v>
      </c>
      <c r="P509" s="6">
        <f t="shared" si="53"/>
        <v>167</v>
      </c>
      <c r="Q509" s="9"/>
      <c r="R509" s="6">
        <f t="shared" si="54"/>
        <v>0</v>
      </c>
      <c r="S509" s="10" t="s">
        <v>1</v>
      </c>
      <c r="T509" s="2" t="s">
        <v>654</v>
      </c>
    </row>
    <row r="510" spans="1:20" ht="37.5" customHeight="1" x14ac:dyDescent="0.25">
      <c r="A510" s="2" t="s">
        <v>655</v>
      </c>
      <c r="B510">
        <f t="shared" si="49"/>
        <v>104371</v>
      </c>
      <c r="C510">
        <v>20735</v>
      </c>
      <c r="D510">
        <v>83636</v>
      </c>
      <c r="F510">
        <f t="shared" si="50"/>
        <v>0</v>
      </c>
      <c r="G510" s="3">
        <f t="shared" si="55"/>
        <v>510</v>
      </c>
      <c r="H510" s="4"/>
      <c r="I510" s="5">
        <v>391</v>
      </c>
      <c r="J510" s="6"/>
      <c r="K510" s="7">
        <v>104371</v>
      </c>
      <c r="L510" s="6">
        <f t="shared" si="51"/>
        <v>0</v>
      </c>
      <c r="M510" s="7">
        <v>20735</v>
      </c>
      <c r="N510" s="8">
        <f t="shared" si="52"/>
        <v>0</v>
      </c>
      <c r="O510" s="7">
        <v>83636</v>
      </c>
      <c r="P510" s="6">
        <f t="shared" si="53"/>
        <v>0</v>
      </c>
      <c r="Q510" s="9"/>
      <c r="R510" s="6">
        <f t="shared" si="54"/>
        <v>0</v>
      </c>
      <c r="S510" s="10" t="s">
        <v>1</v>
      </c>
      <c r="T510" s="2" t="s">
        <v>655</v>
      </c>
    </row>
    <row r="511" spans="1:20" ht="37.5" customHeight="1" x14ac:dyDescent="0.25">
      <c r="A511" s="2" t="s">
        <v>656</v>
      </c>
      <c r="B511">
        <f t="shared" si="49"/>
        <v>39570</v>
      </c>
      <c r="C511">
        <v>6544</v>
      </c>
      <c r="D511">
        <v>33026</v>
      </c>
      <c r="F511">
        <f t="shared" si="50"/>
        <v>477</v>
      </c>
      <c r="G511" s="3">
        <f t="shared" si="55"/>
        <v>511</v>
      </c>
      <c r="H511" s="4"/>
      <c r="I511" s="5">
        <v>392</v>
      </c>
      <c r="J511" s="6"/>
      <c r="K511" s="7">
        <v>39093</v>
      </c>
      <c r="L511" s="6">
        <f t="shared" si="51"/>
        <v>477</v>
      </c>
      <c r="M511" s="7">
        <v>6489</v>
      </c>
      <c r="N511" s="8">
        <f t="shared" si="52"/>
        <v>55</v>
      </c>
      <c r="O511" s="7">
        <v>32604</v>
      </c>
      <c r="P511" s="6">
        <f t="shared" si="53"/>
        <v>422</v>
      </c>
      <c r="Q511" s="9"/>
      <c r="R511" s="6">
        <f t="shared" si="54"/>
        <v>0</v>
      </c>
      <c r="S511" s="10" t="s">
        <v>1</v>
      </c>
      <c r="T511" s="2" t="s">
        <v>656</v>
      </c>
    </row>
    <row r="512" spans="1:20" ht="37.5" customHeight="1" x14ac:dyDescent="0.25">
      <c r="A512" s="2" t="s">
        <v>657</v>
      </c>
      <c r="B512">
        <f t="shared" si="49"/>
        <v>9173</v>
      </c>
      <c r="C512">
        <v>1826</v>
      </c>
      <c r="D512">
        <v>7347</v>
      </c>
      <c r="F512">
        <f t="shared" si="50"/>
        <v>227</v>
      </c>
      <c r="G512" s="3">
        <f t="shared" si="55"/>
        <v>512</v>
      </c>
      <c r="H512" s="4"/>
      <c r="I512" s="5">
        <v>393</v>
      </c>
      <c r="J512" s="6"/>
      <c r="K512" s="7">
        <v>8946</v>
      </c>
      <c r="L512" s="6">
        <f t="shared" si="51"/>
        <v>227</v>
      </c>
      <c r="M512" s="7">
        <v>1775</v>
      </c>
      <c r="N512" s="8">
        <f t="shared" si="52"/>
        <v>51</v>
      </c>
      <c r="O512" s="7">
        <v>7171</v>
      </c>
      <c r="P512" s="6">
        <f t="shared" si="53"/>
        <v>176</v>
      </c>
      <c r="Q512" s="9"/>
      <c r="R512" s="6">
        <f t="shared" si="54"/>
        <v>0</v>
      </c>
      <c r="S512" s="10" t="s">
        <v>1</v>
      </c>
      <c r="T512" s="2" t="s">
        <v>657</v>
      </c>
    </row>
    <row r="513" spans="1:20" ht="37.5" customHeight="1" x14ac:dyDescent="0.25">
      <c r="A513" s="2" t="s">
        <v>658</v>
      </c>
      <c r="B513">
        <f t="shared" si="49"/>
        <v>76156</v>
      </c>
      <c r="C513">
        <v>13361</v>
      </c>
      <c r="D513">
        <v>62795</v>
      </c>
      <c r="F513">
        <f t="shared" si="50"/>
        <v>299</v>
      </c>
      <c r="G513" s="3">
        <f t="shared" si="55"/>
        <v>513</v>
      </c>
      <c r="H513" s="4"/>
      <c r="I513" s="5">
        <v>394</v>
      </c>
      <c r="J513" s="6"/>
      <c r="K513" s="7">
        <v>75857</v>
      </c>
      <c r="L513" s="6">
        <f t="shared" si="51"/>
        <v>299</v>
      </c>
      <c r="M513" s="7">
        <v>13275</v>
      </c>
      <c r="N513" s="8">
        <f t="shared" si="52"/>
        <v>86</v>
      </c>
      <c r="O513" s="7">
        <v>62582</v>
      </c>
      <c r="P513" s="6">
        <f t="shared" si="53"/>
        <v>213</v>
      </c>
      <c r="Q513" s="9"/>
      <c r="R513" s="6">
        <f t="shared" si="54"/>
        <v>0</v>
      </c>
      <c r="S513" s="10" t="s">
        <v>1</v>
      </c>
      <c r="T513" s="2" t="s">
        <v>658</v>
      </c>
    </row>
    <row r="514" spans="1:20" ht="37.5" customHeight="1" x14ac:dyDescent="0.25">
      <c r="A514" s="2" t="s">
        <v>659</v>
      </c>
      <c r="B514">
        <f t="shared" ref="B514:B577" si="56">C514+D514</f>
        <v>9386</v>
      </c>
      <c r="C514">
        <v>1393</v>
      </c>
      <c r="D514">
        <v>7993</v>
      </c>
      <c r="F514">
        <f t="shared" ref="F514:F577" si="57">L514</f>
        <v>266</v>
      </c>
      <c r="G514" s="3">
        <f t="shared" si="55"/>
        <v>514</v>
      </c>
      <c r="H514" s="4"/>
      <c r="I514" s="5">
        <v>395</v>
      </c>
      <c r="J514" s="6"/>
      <c r="K514" s="7">
        <v>9120</v>
      </c>
      <c r="L514" s="6">
        <f t="shared" ref="L514:L577" si="58">B514-K514</f>
        <v>266</v>
      </c>
      <c r="M514" s="7">
        <v>1357</v>
      </c>
      <c r="N514" s="8">
        <f t="shared" ref="N514:N577" si="59">C514-M514</f>
        <v>36</v>
      </c>
      <c r="O514" s="7">
        <v>7763</v>
      </c>
      <c r="P514" s="6">
        <f t="shared" ref="P514:P577" si="60">D514-O514</f>
        <v>230</v>
      </c>
      <c r="Q514" s="9"/>
      <c r="R514" s="6">
        <f t="shared" ref="R514:R577" si="61">E514-Q514</f>
        <v>0</v>
      </c>
      <c r="S514" s="10" t="s">
        <v>1</v>
      </c>
      <c r="T514" s="2" t="s">
        <v>659</v>
      </c>
    </row>
    <row r="515" spans="1:20" ht="37.5" customHeight="1" x14ac:dyDescent="0.25">
      <c r="A515" s="2" t="s">
        <v>660</v>
      </c>
      <c r="B515">
        <f t="shared" si="56"/>
        <v>22551</v>
      </c>
      <c r="C515">
        <v>4053</v>
      </c>
      <c r="D515">
        <v>18498</v>
      </c>
      <c r="F515">
        <f t="shared" si="57"/>
        <v>523</v>
      </c>
      <c r="G515" s="3">
        <f t="shared" ref="G515:G578" si="62">G514+1</f>
        <v>515</v>
      </c>
      <c r="H515" s="4"/>
      <c r="I515" s="5">
        <v>396</v>
      </c>
      <c r="J515" s="6"/>
      <c r="K515" s="7">
        <v>22028</v>
      </c>
      <c r="L515" s="6">
        <f t="shared" si="58"/>
        <v>523</v>
      </c>
      <c r="M515" s="7">
        <v>3943</v>
      </c>
      <c r="N515" s="8">
        <f t="shared" si="59"/>
        <v>110</v>
      </c>
      <c r="O515" s="7">
        <v>18085</v>
      </c>
      <c r="P515" s="6">
        <f t="shared" si="60"/>
        <v>413</v>
      </c>
      <c r="Q515" s="9"/>
      <c r="R515" s="6">
        <f t="shared" si="61"/>
        <v>0</v>
      </c>
      <c r="S515" s="10" t="s">
        <v>1</v>
      </c>
      <c r="T515" s="2" t="s">
        <v>660</v>
      </c>
    </row>
    <row r="516" spans="1:20" ht="37.5" customHeight="1" x14ac:dyDescent="0.25">
      <c r="A516" s="2" t="s">
        <v>661</v>
      </c>
      <c r="B516">
        <f t="shared" si="56"/>
        <v>9566</v>
      </c>
      <c r="C516">
        <v>1464</v>
      </c>
      <c r="D516">
        <v>8102</v>
      </c>
      <c r="F516">
        <f t="shared" si="57"/>
        <v>383</v>
      </c>
      <c r="G516" s="3">
        <f t="shared" si="62"/>
        <v>516</v>
      </c>
      <c r="H516" s="4"/>
      <c r="I516" s="5">
        <v>397</v>
      </c>
      <c r="J516" s="6"/>
      <c r="K516" s="7">
        <v>9183</v>
      </c>
      <c r="L516" s="6">
        <f t="shared" si="58"/>
        <v>383</v>
      </c>
      <c r="M516" s="7">
        <v>1404</v>
      </c>
      <c r="N516" s="8">
        <f t="shared" si="59"/>
        <v>60</v>
      </c>
      <c r="O516" s="7">
        <v>7779</v>
      </c>
      <c r="P516" s="6">
        <f t="shared" si="60"/>
        <v>323</v>
      </c>
      <c r="Q516" s="9"/>
      <c r="R516" s="6">
        <f t="shared" si="61"/>
        <v>0</v>
      </c>
      <c r="S516" s="10" t="s">
        <v>1</v>
      </c>
      <c r="T516" s="2" t="s">
        <v>661</v>
      </c>
    </row>
    <row r="517" spans="1:20" ht="37.5" customHeight="1" x14ac:dyDescent="0.25">
      <c r="A517" s="2" t="s">
        <v>662</v>
      </c>
      <c r="B517">
        <f t="shared" si="56"/>
        <v>15099</v>
      </c>
      <c r="C517">
        <v>2468</v>
      </c>
      <c r="D517">
        <v>12631</v>
      </c>
      <c r="F517">
        <f t="shared" si="57"/>
        <v>336</v>
      </c>
      <c r="G517" s="3">
        <f t="shared" si="62"/>
        <v>517</v>
      </c>
      <c r="H517" s="4"/>
      <c r="I517" s="5">
        <v>398</v>
      </c>
      <c r="J517" s="6"/>
      <c r="K517" s="7">
        <v>14763</v>
      </c>
      <c r="L517" s="6">
        <f t="shared" si="58"/>
        <v>336</v>
      </c>
      <c r="M517" s="7">
        <v>2418</v>
      </c>
      <c r="N517" s="8">
        <f t="shared" si="59"/>
        <v>50</v>
      </c>
      <c r="O517" s="7">
        <v>12345</v>
      </c>
      <c r="P517" s="6">
        <f t="shared" si="60"/>
        <v>286</v>
      </c>
      <c r="Q517" s="9"/>
      <c r="R517" s="6">
        <f t="shared" si="61"/>
        <v>0</v>
      </c>
      <c r="S517" s="10" t="s">
        <v>1</v>
      </c>
      <c r="T517" s="2" t="s">
        <v>662</v>
      </c>
    </row>
    <row r="518" spans="1:20" ht="37.5" customHeight="1" x14ac:dyDescent="0.25">
      <c r="A518" s="2" t="s">
        <v>663</v>
      </c>
      <c r="B518">
        <f t="shared" si="56"/>
        <v>82673</v>
      </c>
      <c r="C518">
        <v>14043</v>
      </c>
      <c r="D518">
        <v>68630</v>
      </c>
      <c r="F518">
        <f t="shared" si="57"/>
        <v>93</v>
      </c>
      <c r="G518" s="3">
        <f t="shared" si="62"/>
        <v>518</v>
      </c>
      <c r="H518" s="4"/>
      <c r="I518" s="5">
        <v>399</v>
      </c>
      <c r="J518" s="6"/>
      <c r="K518" s="7">
        <v>82580</v>
      </c>
      <c r="L518" s="6">
        <f t="shared" si="58"/>
        <v>93</v>
      </c>
      <c r="M518" s="7">
        <v>14027</v>
      </c>
      <c r="N518" s="8">
        <f t="shared" si="59"/>
        <v>16</v>
      </c>
      <c r="O518" s="7">
        <v>68553</v>
      </c>
      <c r="P518" s="6">
        <f t="shared" si="60"/>
        <v>77</v>
      </c>
      <c r="Q518" s="9"/>
      <c r="R518" s="6">
        <f t="shared" si="61"/>
        <v>0</v>
      </c>
      <c r="S518" s="10" t="s">
        <v>1</v>
      </c>
      <c r="T518" s="2" t="s">
        <v>663</v>
      </c>
    </row>
    <row r="519" spans="1:20" ht="37.5" customHeight="1" x14ac:dyDescent="0.25">
      <c r="A519" s="2" t="s">
        <v>664</v>
      </c>
      <c r="B519">
        <f t="shared" si="56"/>
        <v>16345</v>
      </c>
      <c r="C519">
        <v>2971</v>
      </c>
      <c r="D519">
        <v>13374</v>
      </c>
      <c r="F519">
        <f t="shared" si="57"/>
        <v>355</v>
      </c>
      <c r="G519" s="3">
        <f t="shared" si="62"/>
        <v>519</v>
      </c>
      <c r="H519" s="4"/>
      <c r="I519" s="5">
        <v>400</v>
      </c>
      <c r="J519" s="6"/>
      <c r="K519" s="7">
        <v>15990</v>
      </c>
      <c r="L519" s="6">
        <f t="shared" si="58"/>
        <v>355</v>
      </c>
      <c r="M519" s="7">
        <v>2877</v>
      </c>
      <c r="N519" s="8">
        <f t="shared" si="59"/>
        <v>94</v>
      </c>
      <c r="O519" s="7">
        <v>13113</v>
      </c>
      <c r="P519" s="6">
        <f t="shared" si="60"/>
        <v>261</v>
      </c>
      <c r="Q519" s="9"/>
      <c r="R519" s="6">
        <f t="shared" si="61"/>
        <v>0</v>
      </c>
      <c r="S519" s="10" t="s">
        <v>1</v>
      </c>
      <c r="T519" s="2" t="s">
        <v>664</v>
      </c>
    </row>
    <row r="520" spans="1:20" ht="37.5" customHeight="1" x14ac:dyDescent="0.25">
      <c r="A520" s="2" t="s">
        <v>665</v>
      </c>
      <c r="B520">
        <f t="shared" si="56"/>
        <v>15292</v>
      </c>
      <c r="C520">
        <v>2328</v>
      </c>
      <c r="D520">
        <v>12964</v>
      </c>
      <c r="F520">
        <f t="shared" si="57"/>
        <v>471</v>
      </c>
      <c r="G520" s="3">
        <f t="shared" si="62"/>
        <v>520</v>
      </c>
      <c r="H520" s="4"/>
      <c r="I520" s="5">
        <v>401</v>
      </c>
      <c r="J520" s="6"/>
      <c r="K520" s="7">
        <v>14821</v>
      </c>
      <c r="L520" s="6">
        <f t="shared" si="58"/>
        <v>471</v>
      </c>
      <c r="M520" s="7">
        <v>2249</v>
      </c>
      <c r="N520" s="8">
        <f t="shared" si="59"/>
        <v>79</v>
      </c>
      <c r="O520" s="7">
        <v>12572</v>
      </c>
      <c r="P520" s="6">
        <f t="shared" si="60"/>
        <v>392</v>
      </c>
      <c r="Q520" s="9"/>
      <c r="R520" s="6">
        <f t="shared" si="61"/>
        <v>0</v>
      </c>
      <c r="S520" s="10" t="s">
        <v>1</v>
      </c>
      <c r="T520" s="2" t="s">
        <v>665</v>
      </c>
    </row>
    <row r="521" spans="1:20" ht="37.5" customHeight="1" x14ac:dyDescent="0.25">
      <c r="A521" s="2" t="s">
        <v>666</v>
      </c>
      <c r="B521">
        <f t="shared" si="56"/>
        <v>6860</v>
      </c>
      <c r="C521">
        <v>1302</v>
      </c>
      <c r="D521">
        <v>5558</v>
      </c>
      <c r="F521">
        <f t="shared" si="57"/>
        <v>226</v>
      </c>
      <c r="G521" s="3">
        <f t="shared" si="62"/>
        <v>521</v>
      </c>
      <c r="H521" s="4"/>
      <c r="I521" s="5">
        <v>402</v>
      </c>
      <c r="J521" s="6"/>
      <c r="K521" s="7">
        <v>6634</v>
      </c>
      <c r="L521" s="6">
        <f t="shared" si="58"/>
        <v>226</v>
      </c>
      <c r="M521" s="7">
        <v>1261</v>
      </c>
      <c r="N521" s="8">
        <f t="shared" si="59"/>
        <v>41</v>
      </c>
      <c r="O521" s="7">
        <v>5373</v>
      </c>
      <c r="P521" s="6">
        <f t="shared" si="60"/>
        <v>185</v>
      </c>
      <c r="Q521" s="9"/>
      <c r="R521" s="6">
        <f t="shared" si="61"/>
        <v>0</v>
      </c>
      <c r="S521" s="10" t="s">
        <v>1</v>
      </c>
      <c r="T521" s="2" t="s">
        <v>666</v>
      </c>
    </row>
    <row r="522" spans="1:20" ht="37.5" customHeight="1" x14ac:dyDescent="0.25">
      <c r="A522" s="2" t="s">
        <v>667</v>
      </c>
      <c r="B522">
        <f t="shared" si="56"/>
        <v>28367</v>
      </c>
      <c r="C522">
        <v>4925</v>
      </c>
      <c r="D522">
        <v>23442</v>
      </c>
      <c r="F522">
        <f t="shared" si="57"/>
        <v>19</v>
      </c>
      <c r="G522" s="3">
        <f t="shared" si="62"/>
        <v>522</v>
      </c>
      <c r="H522" s="4"/>
      <c r="I522" s="5">
        <v>403</v>
      </c>
      <c r="J522" s="6"/>
      <c r="K522" s="7">
        <v>28348</v>
      </c>
      <c r="L522" s="6">
        <f t="shared" si="58"/>
        <v>19</v>
      </c>
      <c r="M522" s="7">
        <v>4922</v>
      </c>
      <c r="N522" s="8">
        <f t="shared" si="59"/>
        <v>3</v>
      </c>
      <c r="O522" s="7">
        <v>23426</v>
      </c>
      <c r="P522" s="6">
        <f t="shared" si="60"/>
        <v>16</v>
      </c>
      <c r="Q522" s="9"/>
      <c r="R522" s="6">
        <f t="shared" si="61"/>
        <v>0</v>
      </c>
      <c r="S522" s="10" t="s">
        <v>1</v>
      </c>
      <c r="T522" s="2" t="s">
        <v>667</v>
      </c>
    </row>
    <row r="523" spans="1:20" ht="37.5" customHeight="1" x14ac:dyDescent="0.25">
      <c r="A523" s="2" t="s">
        <v>668</v>
      </c>
      <c r="B523">
        <f t="shared" si="56"/>
        <v>4467</v>
      </c>
      <c r="C523">
        <v>699</v>
      </c>
      <c r="D523">
        <v>3768</v>
      </c>
      <c r="F523">
        <f t="shared" si="57"/>
        <v>308</v>
      </c>
      <c r="G523" s="3">
        <f t="shared" si="62"/>
        <v>523</v>
      </c>
      <c r="H523" s="4"/>
      <c r="I523" s="5">
        <v>404</v>
      </c>
      <c r="J523" s="6"/>
      <c r="K523" s="7">
        <v>4159</v>
      </c>
      <c r="L523" s="6">
        <f t="shared" si="58"/>
        <v>308</v>
      </c>
      <c r="M523" s="7">
        <v>648</v>
      </c>
      <c r="N523" s="8">
        <f t="shared" si="59"/>
        <v>51</v>
      </c>
      <c r="O523" s="7">
        <v>3511</v>
      </c>
      <c r="P523" s="6">
        <f t="shared" si="60"/>
        <v>257</v>
      </c>
      <c r="Q523" s="9"/>
      <c r="R523" s="6">
        <f t="shared" si="61"/>
        <v>0</v>
      </c>
      <c r="S523" s="10" t="s">
        <v>1</v>
      </c>
      <c r="T523" s="2" t="s">
        <v>668</v>
      </c>
    </row>
    <row r="524" spans="1:20" ht="37.5" customHeight="1" x14ac:dyDescent="0.25">
      <c r="A524" s="2" t="s">
        <v>669</v>
      </c>
      <c r="B524">
        <f t="shared" si="56"/>
        <v>63988</v>
      </c>
      <c r="C524">
        <v>10708</v>
      </c>
      <c r="D524">
        <v>53280</v>
      </c>
      <c r="F524">
        <f t="shared" si="57"/>
        <v>185</v>
      </c>
      <c r="G524" s="3">
        <f t="shared" si="62"/>
        <v>524</v>
      </c>
      <c r="H524" s="4"/>
      <c r="I524" s="5">
        <v>405</v>
      </c>
      <c r="J524" s="6"/>
      <c r="K524" s="7">
        <v>63803</v>
      </c>
      <c r="L524" s="6">
        <f t="shared" si="58"/>
        <v>185</v>
      </c>
      <c r="M524" s="7">
        <v>10670</v>
      </c>
      <c r="N524" s="8">
        <f t="shared" si="59"/>
        <v>38</v>
      </c>
      <c r="O524" s="7">
        <v>53133</v>
      </c>
      <c r="P524" s="6">
        <f t="shared" si="60"/>
        <v>147</v>
      </c>
      <c r="Q524" s="9"/>
      <c r="R524" s="6">
        <f t="shared" si="61"/>
        <v>0</v>
      </c>
      <c r="S524" s="10" t="s">
        <v>1</v>
      </c>
      <c r="T524" s="2" t="s">
        <v>669</v>
      </c>
    </row>
    <row r="525" spans="1:20" ht="37.5" customHeight="1" x14ac:dyDescent="0.25">
      <c r="A525" s="2" t="s">
        <v>670</v>
      </c>
      <c r="B525">
        <f t="shared" si="56"/>
        <v>36316</v>
      </c>
      <c r="C525">
        <v>5776</v>
      </c>
      <c r="D525">
        <v>30540</v>
      </c>
      <c r="F525">
        <f t="shared" si="57"/>
        <v>292</v>
      </c>
      <c r="G525" s="3">
        <f t="shared" si="62"/>
        <v>525</v>
      </c>
      <c r="H525" s="4"/>
      <c r="I525" s="5">
        <v>406</v>
      </c>
      <c r="J525" s="6"/>
      <c r="K525" s="7">
        <v>36024</v>
      </c>
      <c r="L525" s="6">
        <f t="shared" si="58"/>
        <v>292</v>
      </c>
      <c r="M525" s="7">
        <v>5728</v>
      </c>
      <c r="N525" s="8">
        <f t="shared" si="59"/>
        <v>48</v>
      </c>
      <c r="O525" s="7">
        <v>30296</v>
      </c>
      <c r="P525" s="6">
        <f t="shared" si="60"/>
        <v>244</v>
      </c>
      <c r="Q525" s="9"/>
      <c r="R525" s="6">
        <f t="shared" si="61"/>
        <v>0</v>
      </c>
      <c r="S525" s="10" t="s">
        <v>1</v>
      </c>
      <c r="T525" s="2" t="s">
        <v>670</v>
      </c>
    </row>
    <row r="526" spans="1:20" ht="37.5" customHeight="1" x14ac:dyDescent="0.25">
      <c r="A526" s="2" t="s">
        <v>671</v>
      </c>
      <c r="B526">
        <f t="shared" si="56"/>
        <v>99458</v>
      </c>
      <c r="C526">
        <v>18456</v>
      </c>
      <c r="D526">
        <v>81002</v>
      </c>
      <c r="F526">
        <f t="shared" si="57"/>
        <v>803</v>
      </c>
      <c r="G526" s="3">
        <f t="shared" si="62"/>
        <v>526</v>
      </c>
      <c r="H526" s="4"/>
      <c r="I526" s="5">
        <v>407</v>
      </c>
      <c r="J526" s="6"/>
      <c r="K526" s="7">
        <v>98655</v>
      </c>
      <c r="L526" s="6">
        <f t="shared" si="58"/>
        <v>803</v>
      </c>
      <c r="M526" s="7">
        <v>18313</v>
      </c>
      <c r="N526" s="8">
        <f t="shared" si="59"/>
        <v>143</v>
      </c>
      <c r="O526" s="7">
        <v>80342</v>
      </c>
      <c r="P526" s="6">
        <f t="shared" si="60"/>
        <v>660</v>
      </c>
      <c r="Q526" s="9"/>
      <c r="R526" s="6">
        <f t="shared" si="61"/>
        <v>0</v>
      </c>
      <c r="S526" s="10" t="s">
        <v>1</v>
      </c>
      <c r="T526" s="2" t="s">
        <v>671</v>
      </c>
    </row>
    <row r="527" spans="1:20" ht="37.5" customHeight="1" x14ac:dyDescent="0.25">
      <c r="A527" s="2" t="s">
        <v>672</v>
      </c>
      <c r="B527">
        <f t="shared" si="56"/>
        <v>19901</v>
      </c>
      <c r="C527">
        <v>3521</v>
      </c>
      <c r="D527">
        <v>16380</v>
      </c>
      <c r="F527">
        <f t="shared" si="57"/>
        <v>279</v>
      </c>
      <c r="G527" s="3">
        <f t="shared" si="62"/>
        <v>527</v>
      </c>
      <c r="H527" s="4"/>
      <c r="I527" s="5">
        <v>408</v>
      </c>
      <c r="J527" s="6"/>
      <c r="K527" s="7">
        <v>19622</v>
      </c>
      <c r="L527" s="6">
        <f t="shared" si="58"/>
        <v>279</v>
      </c>
      <c r="M527" s="7">
        <v>3474</v>
      </c>
      <c r="N527" s="8">
        <f t="shared" si="59"/>
        <v>47</v>
      </c>
      <c r="O527" s="7">
        <v>16148</v>
      </c>
      <c r="P527" s="6">
        <f t="shared" si="60"/>
        <v>232</v>
      </c>
      <c r="Q527" s="9"/>
      <c r="R527" s="6">
        <f t="shared" si="61"/>
        <v>0</v>
      </c>
      <c r="S527" s="10" t="s">
        <v>1</v>
      </c>
      <c r="T527" s="2" t="s">
        <v>672</v>
      </c>
    </row>
    <row r="528" spans="1:20" ht="37.5" customHeight="1" x14ac:dyDescent="0.25">
      <c r="A528" s="2" t="s">
        <v>673</v>
      </c>
      <c r="B528">
        <f t="shared" si="56"/>
        <v>51269</v>
      </c>
      <c r="C528">
        <v>8549</v>
      </c>
      <c r="D528">
        <v>42720</v>
      </c>
      <c r="F528">
        <f t="shared" si="57"/>
        <v>84</v>
      </c>
      <c r="G528" s="3">
        <f t="shared" si="62"/>
        <v>528</v>
      </c>
      <c r="H528" s="4"/>
      <c r="I528" s="5">
        <v>409</v>
      </c>
      <c r="J528" s="6"/>
      <c r="K528" s="7">
        <v>51185</v>
      </c>
      <c r="L528" s="6">
        <f t="shared" si="58"/>
        <v>84</v>
      </c>
      <c r="M528" s="7">
        <v>8526</v>
      </c>
      <c r="N528" s="8">
        <f t="shared" si="59"/>
        <v>23</v>
      </c>
      <c r="O528" s="7">
        <v>42659</v>
      </c>
      <c r="P528" s="6">
        <f t="shared" si="60"/>
        <v>61</v>
      </c>
      <c r="Q528" s="9"/>
      <c r="R528" s="6">
        <f t="shared" si="61"/>
        <v>0</v>
      </c>
      <c r="S528" s="10" t="s">
        <v>1</v>
      </c>
      <c r="T528" s="2" t="s">
        <v>673</v>
      </c>
    </row>
    <row r="529" spans="1:20" ht="37.5" customHeight="1" x14ac:dyDescent="0.25">
      <c r="A529" s="2" t="s">
        <v>674</v>
      </c>
      <c r="B529">
        <f t="shared" si="56"/>
        <v>18378</v>
      </c>
      <c r="C529">
        <v>3294</v>
      </c>
      <c r="D529">
        <v>15084</v>
      </c>
      <c r="F529">
        <f t="shared" si="57"/>
        <v>17</v>
      </c>
      <c r="G529" s="3">
        <f t="shared" si="62"/>
        <v>529</v>
      </c>
      <c r="H529" s="4"/>
      <c r="I529" s="5">
        <v>410</v>
      </c>
      <c r="J529" s="6"/>
      <c r="K529" s="7">
        <v>18361</v>
      </c>
      <c r="L529" s="6">
        <f t="shared" si="58"/>
        <v>17</v>
      </c>
      <c r="M529" s="7">
        <v>3294</v>
      </c>
      <c r="N529" s="8">
        <f t="shared" si="59"/>
        <v>0</v>
      </c>
      <c r="O529" s="7">
        <v>15067</v>
      </c>
      <c r="P529" s="6">
        <f t="shared" si="60"/>
        <v>17</v>
      </c>
      <c r="Q529" s="9"/>
      <c r="R529" s="6">
        <f t="shared" si="61"/>
        <v>0</v>
      </c>
      <c r="S529" s="10" t="s">
        <v>1</v>
      </c>
      <c r="T529" s="2" t="s">
        <v>674</v>
      </c>
    </row>
    <row r="530" spans="1:20" ht="37.5" customHeight="1" x14ac:dyDescent="0.25">
      <c r="A530" s="2" t="s">
        <v>675</v>
      </c>
      <c r="B530">
        <f t="shared" si="56"/>
        <v>23291</v>
      </c>
      <c r="C530">
        <v>5113</v>
      </c>
      <c r="D530">
        <v>18178</v>
      </c>
      <c r="F530">
        <f t="shared" si="57"/>
        <v>594</v>
      </c>
      <c r="G530" s="3">
        <f t="shared" si="62"/>
        <v>530</v>
      </c>
      <c r="H530" s="4"/>
      <c r="I530" s="5">
        <v>411</v>
      </c>
      <c r="J530" s="6"/>
      <c r="K530" s="7">
        <v>22697</v>
      </c>
      <c r="L530" s="6">
        <f t="shared" si="58"/>
        <v>594</v>
      </c>
      <c r="M530" s="7">
        <v>5019</v>
      </c>
      <c r="N530" s="8">
        <f t="shared" si="59"/>
        <v>94</v>
      </c>
      <c r="O530" s="7">
        <v>17678</v>
      </c>
      <c r="P530" s="6">
        <f t="shared" si="60"/>
        <v>500</v>
      </c>
      <c r="Q530" s="9"/>
      <c r="R530" s="6">
        <f t="shared" si="61"/>
        <v>0</v>
      </c>
      <c r="S530" s="10" t="s">
        <v>1</v>
      </c>
      <c r="T530" s="2" t="s">
        <v>675</v>
      </c>
    </row>
    <row r="531" spans="1:20" ht="37.5" customHeight="1" x14ac:dyDescent="0.25">
      <c r="A531" s="2" t="s">
        <v>676</v>
      </c>
      <c r="B531">
        <f t="shared" si="56"/>
        <v>21569</v>
      </c>
      <c r="C531">
        <v>3768</v>
      </c>
      <c r="D531">
        <v>17801</v>
      </c>
      <c r="F531">
        <f t="shared" si="57"/>
        <v>580</v>
      </c>
      <c r="G531" s="3">
        <f t="shared" si="62"/>
        <v>531</v>
      </c>
      <c r="H531" s="4"/>
      <c r="I531" s="5">
        <v>412</v>
      </c>
      <c r="J531" s="6"/>
      <c r="K531" s="7">
        <v>20989</v>
      </c>
      <c r="L531" s="6">
        <f t="shared" si="58"/>
        <v>580</v>
      </c>
      <c r="M531" s="7">
        <v>3663</v>
      </c>
      <c r="N531" s="8">
        <f t="shared" si="59"/>
        <v>105</v>
      </c>
      <c r="O531" s="7">
        <v>17326</v>
      </c>
      <c r="P531" s="6">
        <f t="shared" si="60"/>
        <v>475</v>
      </c>
      <c r="Q531" s="9"/>
      <c r="R531" s="6">
        <f t="shared" si="61"/>
        <v>0</v>
      </c>
      <c r="S531" s="10" t="s">
        <v>1</v>
      </c>
      <c r="T531" s="2" t="s">
        <v>676</v>
      </c>
    </row>
    <row r="532" spans="1:20" ht="37.5" customHeight="1" x14ac:dyDescent="0.25">
      <c r="A532" s="2" t="s">
        <v>677</v>
      </c>
      <c r="B532">
        <f t="shared" si="56"/>
        <v>54184</v>
      </c>
      <c r="C532">
        <v>8000</v>
      </c>
      <c r="D532">
        <v>46184</v>
      </c>
      <c r="F532">
        <f t="shared" si="57"/>
        <v>385</v>
      </c>
      <c r="G532" s="3">
        <f t="shared" si="62"/>
        <v>532</v>
      </c>
      <c r="H532" s="4"/>
      <c r="I532" s="5">
        <v>413</v>
      </c>
      <c r="J532" s="6"/>
      <c r="K532" s="7">
        <v>53799</v>
      </c>
      <c r="L532" s="6">
        <f t="shared" si="58"/>
        <v>385</v>
      </c>
      <c r="M532" s="7">
        <v>7924</v>
      </c>
      <c r="N532" s="8">
        <f t="shared" si="59"/>
        <v>76</v>
      </c>
      <c r="O532" s="7">
        <v>45875</v>
      </c>
      <c r="P532" s="6">
        <f t="shared" si="60"/>
        <v>309</v>
      </c>
      <c r="Q532" s="9"/>
      <c r="R532" s="6">
        <f t="shared" si="61"/>
        <v>0</v>
      </c>
      <c r="S532" s="10" t="s">
        <v>1</v>
      </c>
      <c r="T532" s="2" t="s">
        <v>677</v>
      </c>
    </row>
    <row r="533" spans="1:20" ht="37.5" customHeight="1" x14ac:dyDescent="0.25">
      <c r="A533" s="2" t="s">
        <v>678</v>
      </c>
      <c r="B533">
        <f t="shared" si="56"/>
        <v>17491</v>
      </c>
      <c r="C533">
        <v>3211</v>
      </c>
      <c r="D533">
        <v>14280</v>
      </c>
      <c r="F533">
        <f t="shared" si="57"/>
        <v>336</v>
      </c>
      <c r="G533" s="3">
        <f t="shared" si="62"/>
        <v>533</v>
      </c>
      <c r="H533" s="4"/>
      <c r="I533" s="5">
        <v>414</v>
      </c>
      <c r="J533" s="6"/>
      <c r="K533" s="7">
        <v>17155</v>
      </c>
      <c r="L533" s="6">
        <f t="shared" si="58"/>
        <v>336</v>
      </c>
      <c r="M533" s="7">
        <v>3144</v>
      </c>
      <c r="N533" s="8">
        <f t="shared" si="59"/>
        <v>67</v>
      </c>
      <c r="O533" s="7">
        <v>14011</v>
      </c>
      <c r="P533" s="6">
        <f t="shared" si="60"/>
        <v>269</v>
      </c>
      <c r="Q533" s="9"/>
      <c r="R533" s="6">
        <f t="shared" si="61"/>
        <v>0</v>
      </c>
      <c r="S533" s="10" t="s">
        <v>1</v>
      </c>
      <c r="T533" s="2" t="s">
        <v>678</v>
      </c>
    </row>
    <row r="534" spans="1:20" ht="37.5" customHeight="1" x14ac:dyDescent="0.25">
      <c r="A534" s="2" t="s">
        <v>679</v>
      </c>
      <c r="B534">
        <f t="shared" si="56"/>
        <v>140401</v>
      </c>
      <c r="C534">
        <v>36446</v>
      </c>
      <c r="D534">
        <v>103955</v>
      </c>
      <c r="F534">
        <f t="shared" si="57"/>
        <v>189</v>
      </c>
      <c r="G534" s="3">
        <f t="shared" si="62"/>
        <v>534</v>
      </c>
      <c r="H534" s="4"/>
      <c r="I534" s="5" t="s">
        <v>680</v>
      </c>
      <c r="J534" s="6"/>
      <c r="K534" s="7">
        <v>140212</v>
      </c>
      <c r="L534" s="6">
        <f t="shared" si="58"/>
        <v>189</v>
      </c>
      <c r="M534" s="7">
        <v>36416</v>
      </c>
      <c r="N534" s="8">
        <f t="shared" si="59"/>
        <v>30</v>
      </c>
      <c r="O534" s="7">
        <v>103796</v>
      </c>
      <c r="P534" s="6">
        <f t="shared" si="60"/>
        <v>159</v>
      </c>
      <c r="Q534" s="9"/>
      <c r="R534" s="6">
        <f t="shared" si="61"/>
        <v>0</v>
      </c>
      <c r="S534" s="10" t="s">
        <v>1</v>
      </c>
      <c r="T534" s="2" t="s">
        <v>679</v>
      </c>
    </row>
    <row r="535" spans="1:20" ht="37.5" customHeight="1" x14ac:dyDescent="0.25">
      <c r="A535" s="2" t="s">
        <v>681</v>
      </c>
      <c r="B535">
        <f t="shared" si="56"/>
        <v>26119</v>
      </c>
      <c r="C535">
        <v>4122</v>
      </c>
      <c r="D535">
        <v>21997</v>
      </c>
      <c r="F535">
        <f t="shared" si="57"/>
        <v>537</v>
      </c>
      <c r="G535" s="3">
        <f t="shared" si="62"/>
        <v>535</v>
      </c>
      <c r="H535" s="4"/>
      <c r="I535" s="5" t="s">
        <v>682</v>
      </c>
      <c r="J535" s="6"/>
      <c r="K535" s="7">
        <v>25582</v>
      </c>
      <c r="L535" s="6">
        <f t="shared" si="58"/>
        <v>537</v>
      </c>
      <c r="M535" s="7">
        <v>4020</v>
      </c>
      <c r="N535" s="8">
        <f t="shared" si="59"/>
        <v>102</v>
      </c>
      <c r="O535" s="7">
        <v>21562</v>
      </c>
      <c r="P535" s="6">
        <f t="shared" si="60"/>
        <v>435</v>
      </c>
      <c r="Q535" s="9"/>
      <c r="R535" s="6">
        <f t="shared" si="61"/>
        <v>0</v>
      </c>
      <c r="S535" s="10" t="s">
        <v>1</v>
      </c>
      <c r="T535" s="2" t="s">
        <v>681</v>
      </c>
    </row>
    <row r="536" spans="1:20" ht="37.5" customHeight="1" x14ac:dyDescent="0.25">
      <c r="A536" s="2" t="s">
        <v>683</v>
      </c>
      <c r="B536">
        <f t="shared" si="56"/>
        <v>34809</v>
      </c>
      <c r="C536">
        <v>6801</v>
      </c>
      <c r="D536">
        <v>28008</v>
      </c>
      <c r="F536">
        <f t="shared" si="57"/>
        <v>208</v>
      </c>
      <c r="G536" s="3">
        <f t="shared" si="62"/>
        <v>536</v>
      </c>
      <c r="H536" s="4"/>
      <c r="I536" s="5" t="s">
        <v>684</v>
      </c>
      <c r="J536" s="6"/>
      <c r="K536" s="7">
        <v>34601</v>
      </c>
      <c r="L536" s="6">
        <f t="shared" si="58"/>
        <v>208</v>
      </c>
      <c r="M536" s="7">
        <v>6750</v>
      </c>
      <c r="N536" s="8">
        <f t="shared" si="59"/>
        <v>51</v>
      </c>
      <c r="O536" s="7">
        <v>27851</v>
      </c>
      <c r="P536" s="6">
        <f t="shared" si="60"/>
        <v>157</v>
      </c>
      <c r="Q536" s="9"/>
      <c r="R536" s="6">
        <f t="shared" si="61"/>
        <v>0</v>
      </c>
      <c r="S536" s="10" t="s">
        <v>1</v>
      </c>
      <c r="T536" s="2" t="s">
        <v>683</v>
      </c>
    </row>
    <row r="537" spans="1:20" ht="37.5" customHeight="1" x14ac:dyDescent="0.25">
      <c r="A537" s="2" t="s">
        <v>685</v>
      </c>
      <c r="B537">
        <f t="shared" si="56"/>
        <v>94588</v>
      </c>
      <c r="C537">
        <v>18504</v>
      </c>
      <c r="D537">
        <v>76084</v>
      </c>
      <c r="F537">
        <f t="shared" si="57"/>
        <v>421</v>
      </c>
      <c r="G537" s="3">
        <f t="shared" si="62"/>
        <v>537</v>
      </c>
      <c r="H537" s="4"/>
      <c r="I537" s="5" t="s">
        <v>686</v>
      </c>
      <c r="J537" s="6"/>
      <c r="K537" s="7">
        <v>94167</v>
      </c>
      <c r="L537" s="6">
        <f t="shared" si="58"/>
        <v>421</v>
      </c>
      <c r="M537" s="7">
        <v>18442</v>
      </c>
      <c r="N537" s="8">
        <f t="shared" si="59"/>
        <v>62</v>
      </c>
      <c r="O537" s="7">
        <v>75725</v>
      </c>
      <c r="P537" s="6">
        <f t="shared" si="60"/>
        <v>359</v>
      </c>
      <c r="Q537" s="9"/>
      <c r="R537" s="6">
        <f t="shared" si="61"/>
        <v>0</v>
      </c>
      <c r="S537" s="10" t="s">
        <v>1</v>
      </c>
      <c r="T537" s="2" t="s">
        <v>685</v>
      </c>
    </row>
    <row r="538" spans="1:20" ht="37.5" customHeight="1" x14ac:dyDescent="0.25">
      <c r="A538" s="2" t="s">
        <v>687</v>
      </c>
      <c r="B538">
        <f t="shared" si="56"/>
        <v>112508</v>
      </c>
      <c r="C538">
        <v>37254</v>
      </c>
      <c r="D538">
        <v>75254</v>
      </c>
      <c r="F538">
        <f t="shared" si="57"/>
        <v>426</v>
      </c>
      <c r="G538" s="3">
        <f t="shared" si="62"/>
        <v>538</v>
      </c>
      <c r="H538" s="4"/>
      <c r="I538" s="5" t="s">
        <v>688</v>
      </c>
      <c r="J538" s="6"/>
      <c r="K538" s="7">
        <v>112082</v>
      </c>
      <c r="L538" s="6">
        <f t="shared" si="58"/>
        <v>426</v>
      </c>
      <c r="M538" s="7">
        <v>37168</v>
      </c>
      <c r="N538" s="8">
        <f t="shared" si="59"/>
        <v>86</v>
      </c>
      <c r="O538" s="7">
        <v>74914</v>
      </c>
      <c r="P538" s="6">
        <f t="shared" si="60"/>
        <v>340</v>
      </c>
      <c r="Q538" s="9"/>
      <c r="R538" s="6">
        <f t="shared" si="61"/>
        <v>0</v>
      </c>
      <c r="S538" s="10" t="s">
        <v>1</v>
      </c>
      <c r="T538" s="2" t="s">
        <v>687</v>
      </c>
    </row>
    <row r="539" spans="1:20" ht="37.5" customHeight="1" x14ac:dyDescent="0.25">
      <c r="A539" s="2" t="s">
        <v>689</v>
      </c>
      <c r="B539">
        <f t="shared" si="56"/>
        <v>21975</v>
      </c>
      <c r="C539">
        <v>2959</v>
      </c>
      <c r="D539">
        <v>19016</v>
      </c>
      <c r="F539">
        <f t="shared" si="57"/>
        <v>451</v>
      </c>
      <c r="G539" s="3">
        <f t="shared" si="62"/>
        <v>539</v>
      </c>
      <c r="H539" s="4"/>
      <c r="I539" s="5" t="s">
        <v>690</v>
      </c>
      <c r="J539" s="6"/>
      <c r="K539" s="7">
        <v>21524</v>
      </c>
      <c r="L539" s="6">
        <f t="shared" si="58"/>
        <v>451</v>
      </c>
      <c r="M539" s="7">
        <v>2901</v>
      </c>
      <c r="N539" s="8">
        <f t="shared" si="59"/>
        <v>58</v>
      </c>
      <c r="O539" s="7">
        <v>18623</v>
      </c>
      <c r="P539" s="6">
        <f t="shared" si="60"/>
        <v>393</v>
      </c>
      <c r="Q539" s="9"/>
      <c r="R539" s="6">
        <f t="shared" si="61"/>
        <v>0</v>
      </c>
      <c r="S539" s="10" t="s">
        <v>1</v>
      </c>
      <c r="T539" s="2" t="s">
        <v>689</v>
      </c>
    </row>
    <row r="540" spans="1:20" ht="37.5" customHeight="1" x14ac:dyDescent="0.25">
      <c r="A540" s="2" t="s">
        <v>691</v>
      </c>
      <c r="B540">
        <f t="shared" si="56"/>
        <v>46656</v>
      </c>
      <c r="C540">
        <v>7741</v>
      </c>
      <c r="D540">
        <v>38915</v>
      </c>
      <c r="F540">
        <f t="shared" si="57"/>
        <v>346</v>
      </c>
      <c r="G540" s="3">
        <f t="shared" si="62"/>
        <v>540</v>
      </c>
      <c r="H540" s="4"/>
      <c r="I540" s="5" t="s">
        <v>692</v>
      </c>
      <c r="J540" s="6"/>
      <c r="K540" s="7">
        <v>46310</v>
      </c>
      <c r="L540" s="6">
        <f t="shared" si="58"/>
        <v>346</v>
      </c>
      <c r="M540" s="7">
        <v>7671</v>
      </c>
      <c r="N540" s="8">
        <f t="shared" si="59"/>
        <v>70</v>
      </c>
      <c r="O540" s="7">
        <v>38639</v>
      </c>
      <c r="P540" s="6">
        <f t="shared" si="60"/>
        <v>276</v>
      </c>
      <c r="Q540" s="9"/>
      <c r="R540" s="6">
        <f t="shared" si="61"/>
        <v>0</v>
      </c>
      <c r="S540" s="10" t="s">
        <v>1</v>
      </c>
      <c r="T540" s="2" t="s">
        <v>691</v>
      </c>
    </row>
    <row r="541" spans="1:20" ht="37.5" customHeight="1" x14ac:dyDescent="0.25">
      <c r="A541" s="2" t="s">
        <v>693</v>
      </c>
      <c r="B541">
        <f t="shared" si="56"/>
        <v>15405</v>
      </c>
      <c r="C541">
        <v>3727</v>
      </c>
      <c r="D541">
        <v>11678</v>
      </c>
      <c r="E541">
        <v>18997</v>
      </c>
      <c r="F541">
        <f t="shared" si="57"/>
        <v>357</v>
      </c>
      <c r="G541" s="3">
        <f t="shared" si="62"/>
        <v>541</v>
      </c>
      <c r="H541" s="4"/>
      <c r="I541" s="5" t="s">
        <v>694</v>
      </c>
      <c r="J541" s="6"/>
      <c r="K541" s="7">
        <f>M541+O541</f>
        <v>15048</v>
      </c>
      <c r="L541" s="6">
        <f t="shared" si="58"/>
        <v>357</v>
      </c>
      <c r="M541" s="7">
        <v>3626</v>
      </c>
      <c r="N541" s="8">
        <f t="shared" si="59"/>
        <v>101</v>
      </c>
      <c r="O541" s="7">
        <v>11422</v>
      </c>
      <c r="P541" s="6">
        <f t="shared" si="60"/>
        <v>256</v>
      </c>
      <c r="Q541" s="9">
        <v>18093</v>
      </c>
      <c r="R541" s="6">
        <f t="shared" si="61"/>
        <v>904</v>
      </c>
      <c r="S541" s="10" t="s">
        <v>1</v>
      </c>
      <c r="T541" s="2" t="s">
        <v>693</v>
      </c>
    </row>
    <row r="542" spans="1:20" ht="37.5" customHeight="1" x14ac:dyDescent="0.25">
      <c r="A542" s="2" t="s">
        <v>695</v>
      </c>
      <c r="B542">
        <f t="shared" si="56"/>
        <v>4605</v>
      </c>
      <c r="C542">
        <v>1209</v>
      </c>
      <c r="D542">
        <v>3396</v>
      </c>
      <c r="E542">
        <v>6390</v>
      </c>
      <c r="F542">
        <f t="shared" si="57"/>
        <v>238</v>
      </c>
      <c r="G542" s="3">
        <f t="shared" si="62"/>
        <v>542</v>
      </c>
      <c r="H542" s="4"/>
      <c r="I542" s="5" t="s">
        <v>696</v>
      </c>
      <c r="J542" s="6"/>
      <c r="K542" s="7">
        <f>M542+O542</f>
        <v>4367</v>
      </c>
      <c r="L542" s="6">
        <f t="shared" si="58"/>
        <v>238</v>
      </c>
      <c r="M542" s="7">
        <v>1144</v>
      </c>
      <c r="N542" s="8">
        <f t="shared" si="59"/>
        <v>65</v>
      </c>
      <c r="O542" s="7">
        <v>3223</v>
      </c>
      <c r="P542" s="6">
        <f t="shared" si="60"/>
        <v>173</v>
      </c>
      <c r="Q542" s="9">
        <v>5872</v>
      </c>
      <c r="R542" s="6">
        <f t="shared" si="61"/>
        <v>518</v>
      </c>
      <c r="S542" s="10" t="s">
        <v>1</v>
      </c>
      <c r="T542" s="2" t="s">
        <v>695</v>
      </c>
    </row>
    <row r="543" spans="1:20" ht="37.5" customHeight="1" x14ac:dyDescent="0.25">
      <c r="A543" s="2" t="s">
        <v>697</v>
      </c>
      <c r="B543">
        <f t="shared" si="56"/>
        <v>34322</v>
      </c>
      <c r="C543">
        <v>5108</v>
      </c>
      <c r="D543">
        <v>29214</v>
      </c>
      <c r="F543">
        <f t="shared" si="57"/>
        <v>381</v>
      </c>
      <c r="G543" s="3">
        <f t="shared" si="62"/>
        <v>543</v>
      </c>
      <c r="H543" s="4"/>
      <c r="I543" s="5" t="s">
        <v>698</v>
      </c>
      <c r="J543" s="6"/>
      <c r="K543" s="7">
        <v>33941</v>
      </c>
      <c r="L543" s="6">
        <f t="shared" si="58"/>
        <v>381</v>
      </c>
      <c r="M543" s="7">
        <v>5043</v>
      </c>
      <c r="N543" s="8">
        <f t="shared" si="59"/>
        <v>65</v>
      </c>
      <c r="O543" s="7">
        <v>28898</v>
      </c>
      <c r="P543" s="6">
        <f t="shared" si="60"/>
        <v>316</v>
      </c>
      <c r="Q543" s="9"/>
      <c r="R543" s="6">
        <f t="shared" si="61"/>
        <v>0</v>
      </c>
      <c r="S543" s="10" t="s">
        <v>1</v>
      </c>
      <c r="T543" s="2" t="s">
        <v>697</v>
      </c>
    </row>
    <row r="544" spans="1:20" ht="37.5" customHeight="1" x14ac:dyDescent="0.25">
      <c r="A544" s="2" t="s">
        <v>699</v>
      </c>
      <c r="B544">
        <f t="shared" si="56"/>
        <v>44815</v>
      </c>
      <c r="C544">
        <v>6956</v>
      </c>
      <c r="D544">
        <v>37859</v>
      </c>
      <c r="F544">
        <f t="shared" si="57"/>
        <v>64</v>
      </c>
      <c r="G544" s="3">
        <f t="shared" si="62"/>
        <v>544</v>
      </c>
      <c r="H544" s="4"/>
      <c r="I544" s="5" t="s">
        <v>700</v>
      </c>
      <c r="J544" s="6"/>
      <c r="K544" s="7">
        <v>44751</v>
      </c>
      <c r="L544" s="6">
        <f t="shared" si="58"/>
        <v>64</v>
      </c>
      <c r="M544" s="7">
        <v>6940</v>
      </c>
      <c r="N544" s="8">
        <f t="shared" si="59"/>
        <v>16</v>
      </c>
      <c r="O544" s="7">
        <v>37811</v>
      </c>
      <c r="P544" s="6">
        <f t="shared" si="60"/>
        <v>48</v>
      </c>
      <c r="Q544" s="9"/>
      <c r="R544" s="6">
        <f t="shared" si="61"/>
        <v>0</v>
      </c>
      <c r="S544" s="10" t="s">
        <v>1</v>
      </c>
      <c r="T544" s="2" t="s">
        <v>699</v>
      </c>
    </row>
    <row r="545" spans="1:20" ht="37.5" customHeight="1" x14ac:dyDescent="0.25">
      <c r="A545" s="2" t="s">
        <v>701</v>
      </c>
      <c r="B545">
        <f t="shared" si="56"/>
        <v>85999</v>
      </c>
      <c r="C545">
        <v>14381</v>
      </c>
      <c r="D545">
        <v>71618</v>
      </c>
      <c r="F545">
        <f t="shared" si="57"/>
        <v>117</v>
      </c>
      <c r="G545" s="3">
        <f t="shared" si="62"/>
        <v>545</v>
      </c>
      <c r="H545" s="4"/>
      <c r="I545" s="5" t="s">
        <v>702</v>
      </c>
      <c r="J545" s="6"/>
      <c r="K545" s="7">
        <v>85882</v>
      </c>
      <c r="L545" s="6">
        <f t="shared" si="58"/>
        <v>117</v>
      </c>
      <c r="M545" s="7">
        <v>14362</v>
      </c>
      <c r="N545" s="8">
        <f t="shared" si="59"/>
        <v>19</v>
      </c>
      <c r="O545" s="7">
        <v>71520</v>
      </c>
      <c r="P545" s="6">
        <f t="shared" si="60"/>
        <v>98</v>
      </c>
      <c r="Q545" s="9"/>
      <c r="R545" s="6">
        <f t="shared" si="61"/>
        <v>0</v>
      </c>
      <c r="S545" s="10" t="s">
        <v>1</v>
      </c>
      <c r="T545" s="2" t="s">
        <v>701</v>
      </c>
    </row>
    <row r="546" spans="1:20" ht="37.5" customHeight="1" x14ac:dyDescent="0.25">
      <c r="A546" s="2" t="s">
        <v>703</v>
      </c>
      <c r="B546">
        <f t="shared" si="56"/>
        <v>38763</v>
      </c>
      <c r="C546">
        <v>7388</v>
      </c>
      <c r="D546">
        <v>31375</v>
      </c>
      <c r="F546">
        <f t="shared" si="57"/>
        <v>31</v>
      </c>
      <c r="G546" s="3">
        <f t="shared" si="62"/>
        <v>546</v>
      </c>
      <c r="H546" s="4"/>
      <c r="I546" s="5" t="s">
        <v>704</v>
      </c>
      <c r="J546" s="6"/>
      <c r="K546" s="7">
        <v>38732</v>
      </c>
      <c r="L546" s="6">
        <f t="shared" si="58"/>
        <v>31</v>
      </c>
      <c r="M546" s="7">
        <v>7383</v>
      </c>
      <c r="N546" s="8">
        <f t="shared" si="59"/>
        <v>5</v>
      </c>
      <c r="O546" s="7">
        <v>31349</v>
      </c>
      <c r="P546" s="6">
        <f t="shared" si="60"/>
        <v>26</v>
      </c>
      <c r="Q546" s="9"/>
      <c r="R546" s="6">
        <f t="shared" si="61"/>
        <v>0</v>
      </c>
      <c r="S546" s="10" t="s">
        <v>1</v>
      </c>
      <c r="T546" s="2" t="s">
        <v>703</v>
      </c>
    </row>
    <row r="547" spans="1:20" ht="37.5" customHeight="1" x14ac:dyDescent="0.25">
      <c r="A547" s="2" t="s">
        <v>705</v>
      </c>
      <c r="B547">
        <f t="shared" si="56"/>
        <v>734</v>
      </c>
      <c r="C547">
        <v>232</v>
      </c>
      <c r="D547">
        <v>502</v>
      </c>
      <c r="E547">
        <v>6209</v>
      </c>
      <c r="F547">
        <f t="shared" si="57"/>
        <v>233</v>
      </c>
      <c r="G547" s="3">
        <f t="shared" si="62"/>
        <v>547</v>
      </c>
      <c r="H547" s="4"/>
      <c r="I547" s="5" t="s">
        <v>706</v>
      </c>
      <c r="J547" s="6"/>
      <c r="K547" s="7">
        <f>M547+O547</f>
        <v>501</v>
      </c>
      <c r="L547" s="6">
        <f t="shared" si="58"/>
        <v>233</v>
      </c>
      <c r="M547" s="7">
        <v>190</v>
      </c>
      <c r="N547" s="8">
        <f t="shared" si="59"/>
        <v>42</v>
      </c>
      <c r="O547" s="7">
        <v>311</v>
      </c>
      <c r="P547" s="6">
        <f t="shared" si="60"/>
        <v>191</v>
      </c>
      <c r="Q547" s="9">
        <v>4792</v>
      </c>
      <c r="R547" s="6">
        <f t="shared" si="61"/>
        <v>1417</v>
      </c>
      <c r="S547" s="10" t="s">
        <v>1</v>
      </c>
      <c r="T547" s="2" t="s">
        <v>705</v>
      </c>
    </row>
    <row r="548" spans="1:20" ht="37.5" customHeight="1" x14ac:dyDescent="0.25">
      <c r="A548" s="2" t="s">
        <v>707</v>
      </c>
      <c r="B548">
        <f t="shared" si="56"/>
        <v>59037</v>
      </c>
      <c r="C548">
        <v>14502</v>
      </c>
      <c r="D548">
        <v>44535</v>
      </c>
      <c r="F548">
        <f t="shared" si="57"/>
        <v>178</v>
      </c>
      <c r="G548" s="3">
        <f t="shared" si="62"/>
        <v>548</v>
      </c>
      <c r="H548" s="4"/>
      <c r="I548" s="5" t="s">
        <v>708</v>
      </c>
      <c r="J548" s="6"/>
      <c r="K548" s="7">
        <v>58859</v>
      </c>
      <c r="L548" s="6">
        <f t="shared" si="58"/>
        <v>178</v>
      </c>
      <c r="M548" s="7">
        <v>14470</v>
      </c>
      <c r="N548" s="8">
        <f t="shared" si="59"/>
        <v>32</v>
      </c>
      <c r="O548" s="7">
        <v>44389</v>
      </c>
      <c r="P548" s="6">
        <f t="shared" si="60"/>
        <v>146</v>
      </c>
      <c r="Q548" s="9"/>
      <c r="R548" s="6">
        <f t="shared" si="61"/>
        <v>0</v>
      </c>
      <c r="S548" s="10" t="s">
        <v>1</v>
      </c>
      <c r="T548" s="2" t="s">
        <v>707</v>
      </c>
    </row>
    <row r="549" spans="1:20" ht="37.5" customHeight="1" x14ac:dyDescent="0.25">
      <c r="A549" s="2" t="s">
        <v>709</v>
      </c>
      <c r="B549">
        <f t="shared" si="56"/>
        <v>14523</v>
      </c>
      <c r="C549">
        <v>3498</v>
      </c>
      <c r="D549">
        <v>11025</v>
      </c>
      <c r="E549">
        <v>11554</v>
      </c>
      <c r="F549">
        <f t="shared" si="57"/>
        <v>927</v>
      </c>
      <c r="G549" s="3">
        <f t="shared" si="62"/>
        <v>549</v>
      </c>
      <c r="H549" s="4"/>
      <c r="I549" s="5" t="s">
        <v>710</v>
      </c>
      <c r="J549" s="6"/>
      <c r="K549" s="7">
        <f>M549+O549</f>
        <v>13596</v>
      </c>
      <c r="L549" s="6">
        <f t="shared" si="58"/>
        <v>927</v>
      </c>
      <c r="M549" s="7">
        <v>3275</v>
      </c>
      <c r="N549" s="8">
        <f t="shared" si="59"/>
        <v>223</v>
      </c>
      <c r="O549" s="7">
        <v>10321</v>
      </c>
      <c r="P549" s="6">
        <f t="shared" si="60"/>
        <v>704</v>
      </c>
      <c r="Q549" s="9">
        <v>10577</v>
      </c>
      <c r="R549" s="6">
        <f t="shared" si="61"/>
        <v>977</v>
      </c>
      <c r="S549" s="10" t="s">
        <v>1</v>
      </c>
      <c r="T549" s="2" t="s">
        <v>709</v>
      </c>
    </row>
    <row r="550" spans="1:20" ht="37.5" customHeight="1" x14ac:dyDescent="0.25">
      <c r="A550" s="2" t="s">
        <v>711</v>
      </c>
      <c r="B550">
        <f t="shared" si="56"/>
        <v>12891</v>
      </c>
      <c r="C550">
        <v>1931</v>
      </c>
      <c r="D550">
        <v>10960</v>
      </c>
      <c r="F550">
        <f t="shared" si="57"/>
        <v>233</v>
      </c>
      <c r="G550" s="3">
        <f t="shared" si="62"/>
        <v>550</v>
      </c>
      <c r="H550" s="4"/>
      <c r="I550" s="5">
        <v>415</v>
      </c>
      <c r="J550" s="6"/>
      <c r="K550" s="7">
        <v>12658</v>
      </c>
      <c r="L550" s="6">
        <f t="shared" si="58"/>
        <v>233</v>
      </c>
      <c r="M550" s="7">
        <v>1883</v>
      </c>
      <c r="N550" s="8">
        <f t="shared" si="59"/>
        <v>48</v>
      </c>
      <c r="O550" s="7">
        <v>10775</v>
      </c>
      <c r="P550" s="6">
        <f t="shared" si="60"/>
        <v>185</v>
      </c>
      <c r="Q550" s="9"/>
      <c r="R550" s="6">
        <f t="shared" si="61"/>
        <v>0</v>
      </c>
      <c r="S550" s="10" t="s">
        <v>1</v>
      </c>
      <c r="T550" s="2" t="s">
        <v>711</v>
      </c>
    </row>
    <row r="551" spans="1:20" ht="37.5" customHeight="1" x14ac:dyDescent="0.25">
      <c r="A551" s="2" t="s">
        <v>712</v>
      </c>
      <c r="B551">
        <f t="shared" si="56"/>
        <v>126705</v>
      </c>
      <c r="C551">
        <v>22581</v>
      </c>
      <c r="D551">
        <v>104124</v>
      </c>
      <c r="F551">
        <f t="shared" si="57"/>
        <v>739</v>
      </c>
      <c r="G551" s="3">
        <f t="shared" si="62"/>
        <v>551</v>
      </c>
      <c r="H551" s="4"/>
      <c r="I551" s="5">
        <v>416</v>
      </c>
      <c r="J551" s="6"/>
      <c r="K551" s="7">
        <v>125966</v>
      </c>
      <c r="L551" s="6">
        <f t="shared" si="58"/>
        <v>739</v>
      </c>
      <c r="M551" s="7">
        <v>22433</v>
      </c>
      <c r="N551" s="8">
        <f t="shared" si="59"/>
        <v>148</v>
      </c>
      <c r="O551" s="7">
        <v>103533</v>
      </c>
      <c r="P551" s="6">
        <f t="shared" si="60"/>
        <v>591</v>
      </c>
      <c r="Q551" s="9"/>
      <c r="R551" s="6">
        <f t="shared" si="61"/>
        <v>0</v>
      </c>
      <c r="S551" s="10" t="s">
        <v>1</v>
      </c>
      <c r="T551" s="2" t="s">
        <v>712</v>
      </c>
    </row>
    <row r="552" spans="1:20" ht="37.5" customHeight="1" x14ac:dyDescent="0.25">
      <c r="A552" s="2" t="s">
        <v>713</v>
      </c>
      <c r="B552">
        <f t="shared" si="56"/>
        <v>46977</v>
      </c>
      <c r="C552">
        <v>7656</v>
      </c>
      <c r="D552">
        <v>39321</v>
      </c>
      <c r="F552">
        <f t="shared" si="57"/>
        <v>4</v>
      </c>
      <c r="G552" s="3">
        <f t="shared" si="62"/>
        <v>552</v>
      </c>
      <c r="H552" s="4"/>
      <c r="I552" s="5">
        <v>417</v>
      </c>
      <c r="J552" s="6"/>
      <c r="K552" s="7">
        <v>46973</v>
      </c>
      <c r="L552" s="6">
        <f t="shared" si="58"/>
        <v>4</v>
      </c>
      <c r="M552" s="7">
        <v>7655</v>
      </c>
      <c r="N552" s="8">
        <f t="shared" si="59"/>
        <v>1</v>
      </c>
      <c r="O552" s="7">
        <v>39318</v>
      </c>
      <c r="P552" s="6">
        <f t="shared" si="60"/>
        <v>3</v>
      </c>
      <c r="Q552" s="9"/>
      <c r="R552" s="6">
        <f t="shared" si="61"/>
        <v>0</v>
      </c>
      <c r="S552" s="10" t="s">
        <v>1</v>
      </c>
      <c r="T552" s="2" t="s">
        <v>713</v>
      </c>
    </row>
    <row r="553" spans="1:20" ht="37.5" customHeight="1" x14ac:dyDescent="0.25">
      <c r="A553" s="2" t="s">
        <v>714</v>
      </c>
      <c r="B553">
        <f t="shared" si="56"/>
        <v>33471</v>
      </c>
      <c r="C553">
        <v>5566</v>
      </c>
      <c r="D553">
        <v>27905</v>
      </c>
      <c r="F553">
        <f t="shared" si="57"/>
        <v>515</v>
      </c>
      <c r="G553" s="3">
        <f t="shared" si="62"/>
        <v>553</v>
      </c>
      <c r="H553" s="4"/>
      <c r="I553" s="5">
        <v>418</v>
      </c>
      <c r="J553" s="6"/>
      <c r="K553" s="7">
        <v>32956</v>
      </c>
      <c r="L553" s="6">
        <f t="shared" si="58"/>
        <v>515</v>
      </c>
      <c r="M553" s="7">
        <v>5481</v>
      </c>
      <c r="N553" s="8">
        <f t="shared" si="59"/>
        <v>85</v>
      </c>
      <c r="O553" s="7">
        <v>27475</v>
      </c>
      <c r="P553" s="6">
        <f t="shared" si="60"/>
        <v>430</v>
      </c>
      <c r="Q553" s="9"/>
      <c r="R553" s="6">
        <f t="shared" si="61"/>
        <v>0</v>
      </c>
      <c r="S553" s="10" t="s">
        <v>1</v>
      </c>
      <c r="T553" s="2" t="s">
        <v>714</v>
      </c>
    </row>
    <row r="554" spans="1:20" ht="37.5" customHeight="1" x14ac:dyDescent="0.25">
      <c r="A554" s="2" t="s">
        <v>715</v>
      </c>
      <c r="B554">
        <f t="shared" si="56"/>
        <v>5892</v>
      </c>
      <c r="C554">
        <v>1447</v>
      </c>
      <c r="D554">
        <v>4445</v>
      </c>
      <c r="E554">
        <v>7513</v>
      </c>
      <c r="F554">
        <f t="shared" si="57"/>
        <v>741</v>
      </c>
      <c r="G554" s="3">
        <f t="shared" si="62"/>
        <v>554</v>
      </c>
      <c r="H554" s="4"/>
      <c r="I554" s="5">
        <v>419</v>
      </c>
      <c r="J554" s="6"/>
      <c r="K554" s="7">
        <f>M554+O554</f>
        <v>5151</v>
      </c>
      <c r="L554" s="6">
        <f t="shared" si="58"/>
        <v>741</v>
      </c>
      <c r="M554" s="7">
        <v>1279</v>
      </c>
      <c r="N554" s="8">
        <f t="shared" si="59"/>
        <v>168</v>
      </c>
      <c r="O554" s="7">
        <v>3872</v>
      </c>
      <c r="P554" s="6">
        <f t="shared" si="60"/>
        <v>573</v>
      </c>
      <c r="Q554" s="9">
        <v>6262</v>
      </c>
      <c r="R554" s="6">
        <f t="shared" si="61"/>
        <v>1251</v>
      </c>
      <c r="S554" s="10" t="s">
        <v>1</v>
      </c>
      <c r="T554" s="2" t="s">
        <v>715</v>
      </c>
    </row>
    <row r="555" spans="1:20" ht="37.5" customHeight="1" x14ac:dyDescent="0.25">
      <c r="A555" s="2" t="s">
        <v>716</v>
      </c>
      <c r="B555">
        <f t="shared" si="56"/>
        <v>13157</v>
      </c>
      <c r="C555">
        <v>2094</v>
      </c>
      <c r="D555">
        <v>11063</v>
      </c>
      <c r="F555">
        <f t="shared" si="57"/>
        <v>117</v>
      </c>
      <c r="G555" s="3">
        <f t="shared" si="62"/>
        <v>555</v>
      </c>
      <c r="H555" s="4"/>
      <c r="I555" s="5">
        <v>420</v>
      </c>
      <c r="J555" s="6"/>
      <c r="K555" s="7">
        <v>13040</v>
      </c>
      <c r="L555" s="6">
        <f t="shared" si="58"/>
        <v>117</v>
      </c>
      <c r="M555" s="7">
        <v>2082</v>
      </c>
      <c r="N555" s="8">
        <f t="shared" si="59"/>
        <v>12</v>
      </c>
      <c r="O555" s="7">
        <v>10958</v>
      </c>
      <c r="P555" s="6">
        <f t="shared" si="60"/>
        <v>105</v>
      </c>
      <c r="Q555" s="9"/>
      <c r="R555" s="6">
        <f t="shared" si="61"/>
        <v>0</v>
      </c>
      <c r="S555" s="10" t="s">
        <v>1</v>
      </c>
      <c r="T555" s="2" t="s">
        <v>716</v>
      </c>
    </row>
    <row r="556" spans="1:20" ht="37.5" customHeight="1" x14ac:dyDescent="0.25">
      <c r="A556" s="2" t="s">
        <v>717</v>
      </c>
      <c r="B556">
        <f t="shared" si="56"/>
        <v>78525</v>
      </c>
      <c r="C556">
        <v>14890</v>
      </c>
      <c r="D556">
        <v>63635</v>
      </c>
      <c r="F556">
        <f t="shared" si="57"/>
        <v>1445</v>
      </c>
      <c r="G556" s="3">
        <f t="shared" si="62"/>
        <v>556</v>
      </c>
      <c r="H556" s="4"/>
      <c r="I556" s="5" t="s">
        <v>718</v>
      </c>
      <c r="J556" s="6"/>
      <c r="K556" s="7">
        <v>77080</v>
      </c>
      <c r="L556" s="6">
        <f t="shared" si="58"/>
        <v>1445</v>
      </c>
      <c r="M556" s="7">
        <v>14603</v>
      </c>
      <c r="N556" s="8">
        <f t="shared" si="59"/>
        <v>287</v>
      </c>
      <c r="O556" s="7">
        <v>62477</v>
      </c>
      <c r="P556" s="6">
        <f t="shared" si="60"/>
        <v>1158</v>
      </c>
      <c r="Q556" s="9"/>
      <c r="R556" s="6">
        <f t="shared" si="61"/>
        <v>0</v>
      </c>
      <c r="S556" s="10" t="s">
        <v>1</v>
      </c>
      <c r="T556" s="2" t="s">
        <v>717</v>
      </c>
    </row>
    <row r="557" spans="1:20" ht="37.5" customHeight="1" x14ac:dyDescent="0.25">
      <c r="A557" s="2" t="s">
        <v>719</v>
      </c>
      <c r="B557">
        <f t="shared" si="56"/>
        <v>3245</v>
      </c>
      <c r="C557">
        <v>826</v>
      </c>
      <c r="D557">
        <v>2419</v>
      </c>
      <c r="E557">
        <v>8475</v>
      </c>
      <c r="F557">
        <f t="shared" si="57"/>
        <v>174</v>
      </c>
      <c r="G557" s="3">
        <f t="shared" si="62"/>
        <v>557</v>
      </c>
      <c r="H557" s="4"/>
      <c r="I557" s="5" t="s">
        <v>720</v>
      </c>
      <c r="J557" s="6"/>
      <c r="K557" s="7">
        <f>M557+O557</f>
        <v>3071</v>
      </c>
      <c r="L557" s="6">
        <f t="shared" si="58"/>
        <v>174</v>
      </c>
      <c r="M557" s="7">
        <v>779</v>
      </c>
      <c r="N557" s="8">
        <f t="shared" si="59"/>
        <v>47</v>
      </c>
      <c r="O557" s="7">
        <v>2292</v>
      </c>
      <c r="P557" s="6">
        <f t="shared" si="60"/>
        <v>127</v>
      </c>
      <c r="Q557" s="9">
        <v>7743</v>
      </c>
      <c r="R557" s="6">
        <f t="shared" si="61"/>
        <v>732</v>
      </c>
      <c r="S557" s="10" t="s">
        <v>1</v>
      </c>
      <c r="T557" s="2" t="s">
        <v>719</v>
      </c>
    </row>
    <row r="558" spans="1:20" ht="37.5" customHeight="1" x14ac:dyDescent="0.25">
      <c r="A558" s="2" t="s">
        <v>721</v>
      </c>
      <c r="B558">
        <f t="shared" si="56"/>
        <v>137062</v>
      </c>
      <c r="C558">
        <v>43186</v>
      </c>
      <c r="D558">
        <v>93876</v>
      </c>
      <c r="F558">
        <f t="shared" si="57"/>
        <v>488</v>
      </c>
      <c r="G558" s="3">
        <f t="shared" si="62"/>
        <v>558</v>
      </c>
      <c r="H558" s="4"/>
      <c r="I558" s="5">
        <v>421</v>
      </c>
      <c r="J558" s="6"/>
      <c r="K558" s="7">
        <v>136574</v>
      </c>
      <c r="L558" s="6">
        <f t="shared" si="58"/>
        <v>488</v>
      </c>
      <c r="M558" s="7">
        <v>43175</v>
      </c>
      <c r="N558" s="8">
        <f t="shared" si="59"/>
        <v>11</v>
      </c>
      <c r="O558" s="7">
        <v>93399</v>
      </c>
      <c r="P558" s="6">
        <f t="shared" si="60"/>
        <v>477</v>
      </c>
      <c r="Q558" s="9"/>
      <c r="R558" s="6">
        <f t="shared" si="61"/>
        <v>0</v>
      </c>
      <c r="S558" s="10" t="s">
        <v>1</v>
      </c>
      <c r="T558" s="2" t="s">
        <v>721</v>
      </c>
    </row>
    <row r="559" spans="1:20" ht="37.5" customHeight="1" x14ac:dyDescent="0.25">
      <c r="A559" s="2" t="s">
        <v>722</v>
      </c>
      <c r="B559">
        <f t="shared" si="56"/>
        <v>15840</v>
      </c>
      <c r="C559">
        <v>2608</v>
      </c>
      <c r="D559">
        <v>13232</v>
      </c>
      <c r="F559">
        <f t="shared" si="57"/>
        <v>254</v>
      </c>
      <c r="G559" s="3">
        <f t="shared" si="62"/>
        <v>559</v>
      </c>
      <c r="H559" s="4"/>
      <c r="I559" s="5">
        <v>422</v>
      </c>
      <c r="J559" s="6"/>
      <c r="K559" s="7">
        <v>15586</v>
      </c>
      <c r="L559" s="6">
        <f t="shared" si="58"/>
        <v>254</v>
      </c>
      <c r="M559" s="7">
        <v>2565</v>
      </c>
      <c r="N559" s="8">
        <f t="shared" si="59"/>
        <v>43</v>
      </c>
      <c r="O559" s="7">
        <v>13021</v>
      </c>
      <c r="P559" s="6">
        <f t="shared" si="60"/>
        <v>211</v>
      </c>
      <c r="Q559" s="9"/>
      <c r="R559" s="6">
        <f t="shared" si="61"/>
        <v>0</v>
      </c>
      <c r="S559" s="10" t="s">
        <v>1</v>
      </c>
      <c r="T559" s="2" t="s">
        <v>722</v>
      </c>
    </row>
    <row r="560" spans="1:20" ht="37.5" customHeight="1" x14ac:dyDescent="0.25">
      <c r="A560" s="2" t="s">
        <v>723</v>
      </c>
      <c r="B560">
        <f t="shared" si="56"/>
        <v>16199</v>
      </c>
      <c r="C560">
        <v>2566</v>
      </c>
      <c r="D560">
        <v>13633</v>
      </c>
      <c r="F560">
        <f t="shared" si="57"/>
        <v>271</v>
      </c>
      <c r="G560" s="3">
        <f t="shared" si="62"/>
        <v>560</v>
      </c>
      <c r="H560" s="4"/>
      <c r="I560" s="5">
        <v>423</v>
      </c>
      <c r="J560" s="6"/>
      <c r="K560" s="7">
        <v>15928</v>
      </c>
      <c r="L560" s="6">
        <f t="shared" si="58"/>
        <v>271</v>
      </c>
      <c r="M560" s="7">
        <v>2524</v>
      </c>
      <c r="N560" s="8">
        <f t="shared" si="59"/>
        <v>42</v>
      </c>
      <c r="O560" s="7">
        <v>13404</v>
      </c>
      <c r="P560" s="6">
        <f t="shared" si="60"/>
        <v>229</v>
      </c>
      <c r="Q560" s="9"/>
      <c r="R560" s="6">
        <f t="shared" si="61"/>
        <v>0</v>
      </c>
      <c r="S560" s="10" t="s">
        <v>1</v>
      </c>
      <c r="T560" s="2" t="s">
        <v>723</v>
      </c>
    </row>
    <row r="561" spans="1:20" ht="37.5" customHeight="1" x14ac:dyDescent="0.25">
      <c r="A561" s="2" t="s">
        <v>724</v>
      </c>
      <c r="B561">
        <f t="shared" si="56"/>
        <v>62970</v>
      </c>
      <c r="C561">
        <v>13656</v>
      </c>
      <c r="D561">
        <v>49314</v>
      </c>
      <c r="F561">
        <f t="shared" si="57"/>
        <v>443</v>
      </c>
      <c r="G561" s="3">
        <f t="shared" si="62"/>
        <v>561</v>
      </c>
      <c r="H561" s="4"/>
      <c r="I561" s="5" t="s">
        <v>725</v>
      </c>
      <c r="J561" s="6"/>
      <c r="K561" s="7">
        <v>62527</v>
      </c>
      <c r="L561" s="6">
        <f t="shared" si="58"/>
        <v>443</v>
      </c>
      <c r="M561" s="7">
        <v>13610</v>
      </c>
      <c r="N561" s="8">
        <f t="shared" si="59"/>
        <v>46</v>
      </c>
      <c r="O561" s="7">
        <v>48917</v>
      </c>
      <c r="P561" s="6">
        <f t="shared" si="60"/>
        <v>397</v>
      </c>
      <c r="Q561" s="9"/>
      <c r="R561" s="6">
        <f t="shared" si="61"/>
        <v>0</v>
      </c>
      <c r="S561" s="10" t="s">
        <v>1</v>
      </c>
      <c r="T561" s="2" t="s">
        <v>724</v>
      </c>
    </row>
    <row r="562" spans="1:20" ht="37.5" customHeight="1" x14ac:dyDescent="0.25">
      <c r="A562" s="2" t="s">
        <v>726</v>
      </c>
      <c r="B562">
        <f t="shared" si="56"/>
        <v>144454</v>
      </c>
      <c r="C562">
        <v>29774</v>
      </c>
      <c r="D562">
        <v>114680</v>
      </c>
      <c r="F562">
        <f t="shared" si="57"/>
        <v>548</v>
      </c>
      <c r="G562" s="3">
        <f t="shared" si="62"/>
        <v>562</v>
      </c>
      <c r="H562" s="4"/>
      <c r="I562" s="5" t="s">
        <v>727</v>
      </c>
      <c r="J562" s="6"/>
      <c r="K562" s="7">
        <v>143906</v>
      </c>
      <c r="L562" s="6">
        <f t="shared" si="58"/>
        <v>548</v>
      </c>
      <c r="M562" s="7">
        <v>29676</v>
      </c>
      <c r="N562" s="8">
        <f t="shared" si="59"/>
        <v>98</v>
      </c>
      <c r="O562" s="7">
        <v>114230</v>
      </c>
      <c r="P562" s="6">
        <f t="shared" si="60"/>
        <v>450</v>
      </c>
      <c r="Q562" s="9"/>
      <c r="R562" s="6">
        <f t="shared" si="61"/>
        <v>0</v>
      </c>
      <c r="S562" s="10" t="s">
        <v>1</v>
      </c>
      <c r="T562" s="2" t="s">
        <v>726</v>
      </c>
    </row>
    <row r="563" spans="1:20" ht="37.5" customHeight="1" x14ac:dyDescent="0.25">
      <c r="A563" s="2" t="s">
        <v>728</v>
      </c>
      <c r="B563">
        <f>83+K563</f>
        <v>58479</v>
      </c>
      <c r="F563">
        <f t="shared" si="57"/>
        <v>83</v>
      </c>
      <c r="G563" s="3">
        <f t="shared" si="62"/>
        <v>563</v>
      </c>
      <c r="H563" s="4"/>
      <c r="I563" s="5" t="s">
        <v>729</v>
      </c>
      <c r="J563" s="6"/>
      <c r="K563" s="7">
        <v>58396</v>
      </c>
      <c r="L563" s="6">
        <f t="shared" si="58"/>
        <v>83</v>
      </c>
      <c r="M563" s="7">
        <v>13829</v>
      </c>
      <c r="N563" s="8">
        <f t="shared" si="59"/>
        <v>-13829</v>
      </c>
      <c r="O563" s="7">
        <v>44567</v>
      </c>
      <c r="P563" s="6">
        <f t="shared" si="60"/>
        <v>-44567</v>
      </c>
      <c r="Q563" s="9"/>
      <c r="R563" s="6">
        <f t="shared" si="61"/>
        <v>0</v>
      </c>
      <c r="S563" s="10" t="s">
        <v>1</v>
      </c>
      <c r="T563" s="2" t="s">
        <v>728</v>
      </c>
    </row>
    <row r="564" spans="1:20" ht="37.5" customHeight="1" x14ac:dyDescent="0.25">
      <c r="A564" s="2" t="s">
        <v>730</v>
      </c>
      <c r="B564">
        <f t="shared" si="56"/>
        <v>40977</v>
      </c>
      <c r="C564">
        <v>6211</v>
      </c>
      <c r="D564">
        <v>34766</v>
      </c>
      <c r="F564">
        <f t="shared" si="57"/>
        <v>524</v>
      </c>
      <c r="G564" s="3">
        <f t="shared" si="62"/>
        <v>564</v>
      </c>
      <c r="H564" s="4"/>
      <c r="I564" s="5" t="s">
        <v>731</v>
      </c>
      <c r="J564" s="6"/>
      <c r="K564" s="7">
        <v>40453</v>
      </c>
      <c r="L564" s="6">
        <f t="shared" si="58"/>
        <v>524</v>
      </c>
      <c r="M564" s="7">
        <v>6126</v>
      </c>
      <c r="N564" s="8">
        <f t="shared" si="59"/>
        <v>85</v>
      </c>
      <c r="O564" s="7">
        <v>34327</v>
      </c>
      <c r="P564" s="6">
        <f t="shared" si="60"/>
        <v>439</v>
      </c>
      <c r="Q564" s="9"/>
      <c r="R564" s="6">
        <f t="shared" si="61"/>
        <v>0</v>
      </c>
      <c r="S564" s="10" t="s">
        <v>1</v>
      </c>
      <c r="T564" s="2" t="s">
        <v>730</v>
      </c>
    </row>
    <row r="565" spans="1:20" ht="37.5" customHeight="1" x14ac:dyDescent="0.25">
      <c r="A565" s="2" t="s">
        <v>732</v>
      </c>
      <c r="B565">
        <f t="shared" si="56"/>
        <v>39709</v>
      </c>
      <c r="C565">
        <v>6818</v>
      </c>
      <c r="D565">
        <v>32891</v>
      </c>
      <c r="F565">
        <f t="shared" si="57"/>
        <v>0</v>
      </c>
      <c r="G565" s="3">
        <f t="shared" si="62"/>
        <v>565</v>
      </c>
      <c r="H565" s="4"/>
      <c r="I565" s="5" t="s">
        <v>733</v>
      </c>
      <c r="J565" s="6"/>
      <c r="K565" s="7">
        <v>39709</v>
      </c>
      <c r="L565" s="6">
        <f t="shared" si="58"/>
        <v>0</v>
      </c>
      <c r="M565" s="7">
        <v>6818</v>
      </c>
      <c r="N565" s="8">
        <f t="shared" si="59"/>
        <v>0</v>
      </c>
      <c r="O565" s="7">
        <v>32891</v>
      </c>
      <c r="P565" s="6">
        <f t="shared" si="60"/>
        <v>0</v>
      </c>
      <c r="Q565" s="9"/>
      <c r="R565" s="6">
        <f t="shared" si="61"/>
        <v>0</v>
      </c>
      <c r="S565" s="10" t="s">
        <v>1</v>
      </c>
      <c r="T565" s="2" t="s">
        <v>732</v>
      </c>
    </row>
    <row r="566" spans="1:20" ht="37.5" customHeight="1" x14ac:dyDescent="0.25">
      <c r="A566" s="2" t="s">
        <v>734</v>
      </c>
      <c r="B566">
        <f t="shared" si="56"/>
        <v>20994</v>
      </c>
      <c r="C566">
        <v>3489</v>
      </c>
      <c r="D566">
        <v>17505</v>
      </c>
      <c r="F566">
        <f t="shared" si="57"/>
        <v>36</v>
      </c>
      <c r="G566" s="3">
        <f t="shared" si="62"/>
        <v>566</v>
      </c>
      <c r="H566" s="4"/>
      <c r="I566" s="5" t="s">
        <v>735</v>
      </c>
      <c r="J566" s="6"/>
      <c r="K566" s="7">
        <v>20958</v>
      </c>
      <c r="L566" s="6">
        <f t="shared" si="58"/>
        <v>36</v>
      </c>
      <c r="M566" s="7">
        <v>3481</v>
      </c>
      <c r="N566" s="8">
        <f t="shared" si="59"/>
        <v>8</v>
      </c>
      <c r="O566" s="7">
        <v>17477</v>
      </c>
      <c r="P566" s="6">
        <f t="shared" si="60"/>
        <v>28</v>
      </c>
      <c r="Q566" s="9"/>
      <c r="R566" s="6">
        <f t="shared" si="61"/>
        <v>0</v>
      </c>
      <c r="S566" s="10" t="s">
        <v>1</v>
      </c>
      <c r="T566" s="2" t="s">
        <v>734</v>
      </c>
    </row>
    <row r="567" spans="1:20" ht="37.5" customHeight="1" x14ac:dyDescent="0.25">
      <c r="A567" s="2" t="s">
        <v>736</v>
      </c>
      <c r="B567">
        <f t="shared" si="56"/>
        <v>31788</v>
      </c>
      <c r="C567">
        <v>5523</v>
      </c>
      <c r="D567">
        <v>26265</v>
      </c>
      <c r="F567">
        <f t="shared" si="57"/>
        <v>350</v>
      </c>
      <c r="G567" s="3">
        <f t="shared" si="62"/>
        <v>567</v>
      </c>
      <c r="H567" s="4"/>
      <c r="I567" s="5" t="s">
        <v>737</v>
      </c>
      <c r="J567" s="6"/>
      <c r="K567" s="7">
        <v>31438</v>
      </c>
      <c r="L567" s="6">
        <f t="shared" si="58"/>
        <v>350</v>
      </c>
      <c r="M567" s="7">
        <v>5449</v>
      </c>
      <c r="N567" s="8">
        <f t="shared" si="59"/>
        <v>74</v>
      </c>
      <c r="O567" s="7">
        <v>25989</v>
      </c>
      <c r="P567" s="6">
        <f t="shared" si="60"/>
        <v>276</v>
      </c>
      <c r="Q567" s="9"/>
      <c r="R567" s="6">
        <f t="shared" si="61"/>
        <v>0</v>
      </c>
      <c r="S567" s="10" t="s">
        <v>1</v>
      </c>
      <c r="T567" s="2" t="s">
        <v>736</v>
      </c>
    </row>
    <row r="568" spans="1:20" ht="37.5" customHeight="1" x14ac:dyDescent="0.25">
      <c r="A568" s="2" t="s">
        <v>738</v>
      </c>
      <c r="B568">
        <f t="shared" si="56"/>
        <v>16170</v>
      </c>
      <c r="C568">
        <v>2164</v>
      </c>
      <c r="D568">
        <v>14006</v>
      </c>
      <c r="F568">
        <f t="shared" si="57"/>
        <v>40</v>
      </c>
      <c r="G568" s="3">
        <f t="shared" si="62"/>
        <v>568</v>
      </c>
      <c r="H568" s="4"/>
      <c r="I568" s="5" t="s">
        <v>739</v>
      </c>
      <c r="J568" s="6"/>
      <c r="K568" s="7">
        <v>16130</v>
      </c>
      <c r="L568" s="6">
        <f t="shared" si="58"/>
        <v>40</v>
      </c>
      <c r="M568" s="7">
        <v>2158</v>
      </c>
      <c r="N568" s="8">
        <f t="shared" si="59"/>
        <v>6</v>
      </c>
      <c r="O568" s="7">
        <v>13972</v>
      </c>
      <c r="P568" s="6">
        <f t="shared" si="60"/>
        <v>34</v>
      </c>
      <c r="Q568" s="9"/>
      <c r="R568" s="6">
        <f t="shared" si="61"/>
        <v>0</v>
      </c>
      <c r="S568" s="10" t="s">
        <v>1</v>
      </c>
      <c r="T568" s="2" t="s">
        <v>738</v>
      </c>
    </row>
    <row r="569" spans="1:20" ht="37.5" customHeight="1" x14ac:dyDescent="0.25">
      <c r="A569" s="2" t="s">
        <v>740</v>
      </c>
      <c r="B569">
        <f t="shared" si="56"/>
        <v>119890</v>
      </c>
      <c r="C569">
        <v>22890</v>
      </c>
      <c r="D569">
        <v>97000</v>
      </c>
      <c r="F569">
        <f t="shared" si="57"/>
        <v>693</v>
      </c>
      <c r="G569" s="3">
        <f t="shared" si="62"/>
        <v>569</v>
      </c>
      <c r="H569" s="4"/>
      <c r="I569" s="5" t="s">
        <v>741</v>
      </c>
      <c r="J569" s="6"/>
      <c r="K569" s="7">
        <v>119197</v>
      </c>
      <c r="L569" s="6">
        <f t="shared" si="58"/>
        <v>693</v>
      </c>
      <c r="M569" s="7">
        <v>22786</v>
      </c>
      <c r="N569" s="8">
        <f t="shared" si="59"/>
        <v>104</v>
      </c>
      <c r="O569" s="7">
        <v>96411</v>
      </c>
      <c r="P569" s="6">
        <f t="shared" si="60"/>
        <v>589</v>
      </c>
      <c r="Q569" s="9"/>
      <c r="R569" s="6">
        <f t="shared" si="61"/>
        <v>0</v>
      </c>
      <c r="S569" s="10" t="s">
        <v>1</v>
      </c>
      <c r="T569" s="2" t="s">
        <v>740</v>
      </c>
    </row>
    <row r="570" spans="1:20" ht="37.5" customHeight="1" x14ac:dyDescent="0.25">
      <c r="A570" s="2" t="s">
        <v>742</v>
      </c>
      <c r="B570">
        <f t="shared" si="56"/>
        <v>74671</v>
      </c>
      <c r="C570">
        <v>22185</v>
      </c>
      <c r="D570">
        <v>52486</v>
      </c>
      <c r="F570">
        <f t="shared" si="57"/>
        <v>211</v>
      </c>
      <c r="G570" s="3">
        <f t="shared" si="62"/>
        <v>570</v>
      </c>
      <c r="H570" s="4"/>
      <c r="I570" s="5" t="s">
        <v>743</v>
      </c>
      <c r="J570" s="6"/>
      <c r="K570" s="7">
        <v>74460</v>
      </c>
      <c r="L570" s="6">
        <f t="shared" si="58"/>
        <v>211</v>
      </c>
      <c r="M570" s="7">
        <v>22144</v>
      </c>
      <c r="N570" s="8">
        <f t="shared" si="59"/>
        <v>41</v>
      </c>
      <c r="O570" s="7">
        <v>52316</v>
      </c>
      <c r="P570" s="6">
        <f t="shared" si="60"/>
        <v>170</v>
      </c>
      <c r="Q570" s="9"/>
      <c r="R570" s="6">
        <f t="shared" si="61"/>
        <v>0</v>
      </c>
      <c r="S570" s="10" t="s">
        <v>1</v>
      </c>
      <c r="T570" s="2" t="s">
        <v>742</v>
      </c>
    </row>
    <row r="571" spans="1:20" ht="37.5" customHeight="1" x14ac:dyDescent="0.25">
      <c r="A571" s="2" t="s">
        <v>744</v>
      </c>
      <c r="B571">
        <f t="shared" si="56"/>
        <v>16855</v>
      </c>
      <c r="C571">
        <v>2985</v>
      </c>
      <c r="D571">
        <v>13870</v>
      </c>
      <c r="F571">
        <f t="shared" si="57"/>
        <v>352</v>
      </c>
      <c r="G571" s="3">
        <f t="shared" si="62"/>
        <v>571</v>
      </c>
      <c r="H571" s="4"/>
      <c r="I571" s="5" t="s">
        <v>745</v>
      </c>
      <c r="J571" s="6"/>
      <c r="K571" s="7">
        <v>16503</v>
      </c>
      <c r="L571" s="6">
        <f t="shared" si="58"/>
        <v>352</v>
      </c>
      <c r="M571" s="7">
        <v>2915</v>
      </c>
      <c r="N571" s="8">
        <f t="shared" si="59"/>
        <v>70</v>
      </c>
      <c r="O571" s="7">
        <v>13588</v>
      </c>
      <c r="P571" s="6">
        <f t="shared" si="60"/>
        <v>282</v>
      </c>
      <c r="Q571" s="9"/>
      <c r="R571" s="6">
        <f t="shared" si="61"/>
        <v>0</v>
      </c>
      <c r="S571" s="10" t="s">
        <v>1</v>
      </c>
      <c r="T571" s="2" t="s">
        <v>744</v>
      </c>
    </row>
    <row r="572" spans="1:20" ht="37.5" customHeight="1" x14ac:dyDescent="0.25">
      <c r="A572" s="2" t="s">
        <v>746</v>
      </c>
      <c r="B572">
        <f t="shared" si="56"/>
        <v>72733</v>
      </c>
      <c r="C572">
        <v>17547</v>
      </c>
      <c r="D572">
        <v>55186</v>
      </c>
      <c r="F572">
        <f t="shared" si="57"/>
        <v>66</v>
      </c>
      <c r="G572" s="3">
        <f t="shared" si="62"/>
        <v>572</v>
      </c>
      <c r="H572" s="4"/>
      <c r="I572" s="5" t="s">
        <v>747</v>
      </c>
      <c r="J572" s="6"/>
      <c r="K572" s="7">
        <v>72667</v>
      </c>
      <c r="L572" s="6">
        <f t="shared" si="58"/>
        <v>66</v>
      </c>
      <c r="M572" s="7">
        <v>17539</v>
      </c>
      <c r="N572" s="8">
        <f t="shared" si="59"/>
        <v>8</v>
      </c>
      <c r="O572" s="7">
        <v>55128</v>
      </c>
      <c r="P572" s="6">
        <f t="shared" si="60"/>
        <v>58</v>
      </c>
      <c r="Q572" s="9"/>
      <c r="R572" s="6">
        <f t="shared" si="61"/>
        <v>0</v>
      </c>
      <c r="S572" s="10" t="s">
        <v>1</v>
      </c>
      <c r="T572" s="2" t="s">
        <v>746</v>
      </c>
    </row>
    <row r="573" spans="1:20" ht="37.5" customHeight="1" x14ac:dyDescent="0.25">
      <c r="A573" s="2" t="s">
        <v>748</v>
      </c>
      <c r="B573">
        <f t="shared" si="56"/>
        <v>3369</v>
      </c>
      <c r="C573">
        <v>767</v>
      </c>
      <c r="D573">
        <v>2602</v>
      </c>
      <c r="E573">
        <v>5256</v>
      </c>
      <c r="F573">
        <f t="shared" si="57"/>
        <v>167</v>
      </c>
      <c r="G573" s="3">
        <f t="shared" si="62"/>
        <v>573</v>
      </c>
      <c r="H573" s="4"/>
      <c r="I573" s="5" t="s">
        <v>749</v>
      </c>
      <c r="J573" s="6"/>
      <c r="K573" s="7">
        <f>M573+O573</f>
        <v>3202</v>
      </c>
      <c r="L573" s="6">
        <f t="shared" si="58"/>
        <v>167</v>
      </c>
      <c r="M573" s="7">
        <v>716</v>
      </c>
      <c r="N573" s="8">
        <f t="shared" si="59"/>
        <v>51</v>
      </c>
      <c r="O573" s="7">
        <v>2486</v>
      </c>
      <c r="P573" s="6">
        <f t="shared" si="60"/>
        <v>116</v>
      </c>
      <c r="Q573" s="9">
        <v>4258</v>
      </c>
      <c r="R573" s="6">
        <f t="shared" si="61"/>
        <v>998</v>
      </c>
      <c r="S573" s="10" t="s">
        <v>1</v>
      </c>
      <c r="T573" s="2" t="s">
        <v>748</v>
      </c>
    </row>
    <row r="574" spans="1:20" ht="37.5" customHeight="1" x14ac:dyDescent="0.25">
      <c r="A574" s="2" t="s">
        <v>750</v>
      </c>
      <c r="B574">
        <f t="shared" si="56"/>
        <v>4181</v>
      </c>
      <c r="C574">
        <v>889</v>
      </c>
      <c r="D574">
        <v>3292</v>
      </c>
      <c r="E574">
        <v>3905</v>
      </c>
      <c r="F574">
        <f t="shared" si="57"/>
        <v>401</v>
      </c>
      <c r="G574" s="3">
        <f t="shared" si="62"/>
        <v>574</v>
      </c>
      <c r="H574" s="4"/>
      <c r="I574" s="5" t="s">
        <v>751</v>
      </c>
      <c r="J574" s="6"/>
      <c r="K574" s="7">
        <f>M574+O574</f>
        <v>3780</v>
      </c>
      <c r="L574" s="6">
        <f t="shared" si="58"/>
        <v>401</v>
      </c>
      <c r="M574" s="7">
        <v>800</v>
      </c>
      <c r="N574" s="8">
        <f t="shared" si="59"/>
        <v>89</v>
      </c>
      <c r="O574" s="7">
        <v>2980</v>
      </c>
      <c r="P574" s="6">
        <f t="shared" si="60"/>
        <v>312</v>
      </c>
      <c r="Q574" s="9">
        <v>3273</v>
      </c>
      <c r="R574" s="6">
        <f t="shared" si="61"/>
        <v>632</v>
      </c>
      <c r="S574" s="10" t="s">
        <v>1</v>
      </c>
      <c r="T574" s="2" t="s">
        <v>750</v>
      </c>
    </row>
    <row r="575" spans="1:20" ht="37.5" customHeight="1" x14ac:dyDescent="0.25">
      <c r="A575" s="2" t="s">
        <v>752</v>
      </c>
      <c r="B575">
        <f t="shared" si="56"/>
        <v>32246</v>
      </c>
      <c r="C575">
        <v>4758</v>
      </c>
      <c r="D575">
        <v>27488</v>
      </c>
      <c r="F575">
        <f t="shared" si="57"/>
        <v>0</v>
      </c>
      <c r="G575" s="3">
        <f t="shared" si="62"/>
        <v>575</v>
      </c>
      <c r="H575" s="4"/>
      <c r="I575" s="5" t="s">
        <v>753</v>
      </c>
      <c r="J575" s="6"/>
      <c r="K575" s="7">
        <v>32246</v>
      </c>
      <c r="L575" s="6">
        <f t="shared" si="58"/>
        <v>0</v>
      </c>
      <c r="M575" s="7">
        <v>4758</v>
      </c>
      <c r="N575" s="8">
        <f t="shared" si="59"/>
        <v>0</v>
      </c>
      <c r="O575" s="7">
        <v>27488</v>
      </c>
      <c r="P575" s="6">
        <f t="shared" si="60"/>
        <v>0</v>
      </c>
      <c r="Q575" s="9"/>
      <c r="R575" s="6">
        <f t="shared" si="61"/>
        <v>0</v>
      </c>
      <c r="S575" s="10" t="s">
        <v>1</v>
      </c>
      <c r="T575" s="2" t="s">
        <v>752</v>
      </c>
    </row>
    <row r="576" spans="1:20" ht="37.5" customHeight="1" x14ac:dyDescent="0.25">
      <c r="A576" s="2" t="s">
        <v>754</v>
      </c>
      <c r="B576">
        <f t="shared" si="56"/>
        <v>1714</v>
      </c>
      <c r="C576">
        <v>406</v>
      </c>
      <c r="D576">
        <v>1308</v>
      </c>
      <c r="E576">
        <v>3976</v>
      </c>
      <c r="F576">
        <f t="shared" si="57"/>
        <v>204</v>
      </c>
      <c r="G576" s="3">
        <f t="shared" si="62"/>
        <v>576</v>
      </c>
      <c r="H576" s="4"/>
      <c r="I576" s="5" t="s">
        <v>755</v>
      </c>
      <c r="J576" s="6"/>
      <c r="K576" s="7">
        <f>M576+O576</f>
        <v>1510</v>
      </c>
      <c r="L576" s="6">
        <f t="shared" si="58"/>
        <v>204</v>
      </c>
      <c r="M576" s="7">
        <v>345</v>
      </c>
      <c r="N576" s="8">
        <f t="shared" si="59"/>
        <v>61</v>
      </c>
      <c r="O576" s="7">
        <v>1165</v>
      </c>
      <c r="P576" s="6">
        <f t="shared" si="60"/>
        <v>143</v>
      </c>
      <c r="Q576" s="9">
        <v>3249</v>
      </c>
      <c r="R576" s="6">
        <f t="shared" si="61"/>
        <v>727</v>
      </c>
      <c r="S576" s="10" t="s">
        <v>1</v>
      </c>
      <c r="T576" s="2" t="s">
        <v>754</v>
      </c>
    </row>
    <row r="577" spans="1:20" ht="37.5" customHeight="1" x14ac:dyDescent="0.25">
      <c r="A577" s="2" t="s">
        <v>756</v>
      </c>
      <c r="B577">
        <f t="shared" si="56"/>
        <v>55925</v>
      </c>
      <c r="C577">
        <v>8823</v>
      </c>
      <c r="D577">
        <v>47102</v>
      </c>
      <c r="F577">
        <f t="shared" si="57"/>
        <v>303</v>
      </c>
      <c r="G577" s="3">
        <f t="shared" si="62"/>
        <v>577</v>
      </c>
      <c r="H577" s="4"/>
      <c r="I577" s="5">
        <v>424</v>
      </c>
      <c r="J577" s="6"/>
      <c r="K577" s="7">
        <v>55622</v>
      </c>
      <c r="L577" s="6">
        <f t="shared" si="58"/>
        <v>303</v>
      </c>
      <c r="M577" s="7">
        <v>8776</v>
      </c>
      <c r="N577" s="8">
        <f t="shared" si="59"/>
        <v>47</v>
      </c>
      <c r="O577" s="7">
        <v>46846</v>
      </c>
      <c r="P577" s="6">
        <f t="shared" si="60"/>
        <v>256</v>
      </c>
      <c r="Q577" s="9"/>
      <c r="R577" s="6">
        <f t="shared" si="61"/>
        <v>0</v>
      </c>
      <c r="S577" s="10" t="s">
        <v>1</v>
      </c>
      <c r="T577" s="2" t="s">
        <v>756</v>
      </c>
    </row>
    <row r="578" spans="1:20" ht="37.5" customHeight="1" x14ac:dyDescent="0.25">
      <c r="A578" s="2" t="s">
        <v>757</v>
      </c>
      <c r="B578">
        <f t="shared" ref="B578:B641" si="63">C578+D578</f>
        <v>78094</v>
      </c>
      <c r="C578">
        <v>15057</v>
      </c>
      <c r="D578">
        <v>63037</v>
      </c>
      <c r="F578">
        <f t="shared" ref="F578:F641" si="64">L578</f>
        <v>11</v>
      </c>
      <c r="G578" s="3">
        <f t="shared" si="62"/>
        <v>578</v>
      </c>
      <c r="H578" s="4"/>
      <c r="I578" s="5">
        <v>425</v>
      </c>
      <c r="J578" s="6"/>
      <c r="K578" s="7">
        <v>78083</v>
      </c>
      <c r="L578" s="6">
        <f t="shared" ref="L578:L641" si="65">B578-K578</f>
        <v>11</v>
      </c>
      <c r="M578" s="7">
        <v>15056</v>
      </c>
      <c r="N578" s="8">
        <f t="shared" ref="N578:N641" si="66">C578-M578</f>
        <v>1</v>
      </c>
      <c r="O578" s="7">
        <v>63027</v>
      </c>
      <c r="P578" s="6">
        <f t="shared" ref="P578:P641" si="67">D578-O578</f>
        <v>10</v>
      </c>
      <c r="Q578" s="9"/>
      <c r="R578" s="6">
        <f t="shared" ref="R578:R641" si="68">E578-Q578</f>
        <v>0</v>
      </c>
      <c r="S578" s="10" t="s">
        <v>1</v>
      </c>
      <c r="T578" s="2" t="s">
        <v>757</v>
      </c>
    </row>
    <row r="579" spans="1:20" ht="37.5" customHeight="1" x14ac:dyDescent="0.25">
      <c r="A579" s="2" t="s">
        <v>758</v>
      </c>
      <c r="B579">
        <v>1671</v>
      </c>
      <c r="F579">
        <f t="shared" si="64"/>
        <v>0</v>
      </c>
      <c r="G579" s="3">
        <f t="shared" ref="G579:G642" si="69">G578+1</f>
        <v>579</v>
      </c>
      <c r="H579" s="4"/>
      <c r="I579" s="5">
        <v>426</v>
      </c>
      <c r="J579" s="6"/>
      <c r="K579" s="7">
        <v>1671</v>
      </c>
      <c r="L579" s="6">
        <f t="shared" si="65"/>
        <v>0</v>
      </c>
      <c r="M579" s="7"/>
      <c r="N579" s="8">
        <f t="shared" si="66"/>
        <v>0</v>
      </c>
      <c r="O579" s="7"/>
      <c r="P579" s="6">
        <f t="shared" si="67"/>
        <v>0</v>
      </c>
      <c r="Q579" s="9"/>
      <c r="R579" s="6">
        <f t="shared" si="68"/>
        <v>0</v>
      </c>
      <c r="S579" s="10" t="s">
        <v>1</v>
      </c>
      <c r="T579" s="2" t="s">
        <v>758</v>
      </c>
    </row>
    <row r="580" spans="1:20" ht="37.5" customHeight="1" x14ac:dyDescent="0.25">
      <c r="A580" s="2" t="s">
        <v>759</v>
      </c>
      <c r="B580">
        <f t="shared" si="63"/>
        <v>43207</v>
      </c>
      <c r="C580">
        <v>7475</v>
      </c>
      <c r="D580">
        <v>35732</v>
      </c>
      <c r="F580">
        <f t="shared" si="64"/>
        <v>114</v>
      </c>
      <c r="G580" s="3">
        <f t="shared" si="69"/>
        <v>580</v>
      </c>
      <c r="H580" s="4"/>
      <c r="I580" s="5">
        <v>427</v>
      </c>
      <c r="J580" s="6"/>
      <c r="K580" s="7">
        <v>43093</v>
      </c>
      <c r="L580" s="6">
        <f t="shared" si="65"/>
        <v>114</v>
      </c>
      <c r="M580" s="7">
        <v>7460</v>
      </c>
      <c r="N580" s="8">
        <f t="shared" si="66"/>
        <v>15</v>
      </c>
      <c r="O580" s="7">
        <v>35633</v>
      </c>
      <c r="P580" s="6">
        <f t="shared" si="67"/>
        <v>99</v>
      </c>
      <c r="Q580" s="9"/>
      <c r="R580" s="6">
        <f t="shared" si="68"/>
        <v>0</v>
      </c>
      <c r="S580" s="10" t="s">
        <v>1</v>
      </c>
      <c r="T580" s="2" t="s">
        <v>759</v>
      </c>
    </row>
    <row r="581" spans="1:20" ht="37.5" customHeight="1" x14ac:dyDescent="0.25">
      <c r="A581" s="2" t="s">
        <v>760</v>
      </c>
      <c r="B581">
        <f t="shared" si="63"/>
        <v>10213</v>
      </c>
      <c r="C581">
        <v>1609</v>
      </c>
      <c r="D581">
        <v>8604</v>
      </c>
      <c r="F581">
        <f t="shared" si="64"/>
        <v>255</v>
      </c>
      <c r="G581" s="3">
        <f t="shared" si="69"/>
        <v>581</v>
      </c>
      <c r="H581" s="4"/>
      <c r="I581" s="5">
        <v>428</v>
      </c>
      <c r="J581" s="6"/>
      <c r="K581" s="7">
        <v>9958</v>
      </c>
      <c r="L581" s="6">
        <f t="shared" si="65"/>
        <v>255</v>
      </c>
      <c r="M581" s="7">
        <v>1577</v>
      </c>
      <c r="N581" s="8">
        <f t="shared" si="66"/>
        <v>32</v>
      </c>
      <c r="O581" s="7">
        <v>8381</v>
      </c>
      <c r="P581" s="6">
        <f t="shared" si="67"/>
        <v>223</v>
      </c>
      <c r="Q581" s="9"/>
      <c r="R581" s="6">
        <f t="shared" si="68"/>
        <v>0</v>
      </c>
      <c r="S581" s="10" t="s">
        <v>1</v>
      </c>
      <c r="T581" s="2" t="s">
        <v>760</v>
      </c>
    </row>
    <row r="582" spans="1:20" ht="37.5" customHeight="1" x14ac:dyDescent="0.25">
      <c r="A582" s="2" t="s">
        <v>761</v>
      </c>
      <c r="B582">
        <f t="shared" si="63"/>
        <v>11943</v>
      </c>
      <c r="C582">
        <v>2256</v>
      </c>
      <c r="D582">
        <v>9687</v>
      </c>
      <c r="F582">
        <f t="shared" si="64"/>
        <v>136</v>
      </c>
      <c r="G582" s="3">
        <f t="shared" si="69"/>
        <v>582</v>
      </c>
      <c r="H582" s="4"/>
      <c r="I582" s="5">
        <v>429</v>
      </c>
      <c r="J582" s="6"/>
      <c r="K582" s="7">
        <v>11807</v>
      </c>
      <c r="L582" s="6">
        <f t="shared" si="65"/>
        <v>136</v>
      </c>
      <c r="M582" s="7">
        <v>2224</v>
      </c>
      <c r="N582" s="8">
        <f t="shared" si="66"/>
        <v>32</v>
      </c>
      <c r="O582" s="7">
        <v>9583</v>
      </c>
      <c r="P582" s="6">
        <f t="shared" si="67"/>
        <v>104</v>
      </c>
      <c r="Q582" s="9"/>
      <c r="R582" s="6">
        <f t="shared" si="68"/>
        <v>0</v>
      </c>
      <c r="S582" s="10" t="s">
        <v>1</v>
      </c>
      <c r="T582" s="2" t="s">
        <v>761</v>
      </c>
    </row>
    <row r="583" spans="1:20" ht="37.5" customHeight="1" x14ac:dyDescent="0.25">
      <c r="A583" s="2" t="s">
        <v>762</v>
      </c>
      <c r="B583">
        <f t="shared" si="63"/>
        <v>43755</v>
      </c>
      <c r="C583">
        <v>7455</v>
      </c>
      <c r="D583">
        <v>36300</v>
      </c>
      <c r="F583">
        <f t="shared" si="64"/>
        <v>235</v>
      </c>
      <c r="G583" s="3">
        <f t="shared" si="69"/>
        <v>583</v>
      </c>
      <c r="H583" s="4"/>
      <c r="I583" s="5">
        <v>430</v>
      </c>
      <c r="J583" s="6"/>
      <c r="K583" s="7">
        <v>43520</v>
      </c>
      <c r="L583" s="6">
        <f t="shared" si="65"/>
        <v>235</v>
      </c>
      <c r="M583" s="7">
        <v>7422</v>
      </c>
      <c r="N583" s="8">
        <f t="shared" si="66"/>
        <v>33</v>
      </c>
      <c r="O583" s="7">
        <v>36098</v>
      </c>
      <c r="P583" s="6">
        <f t="shared" si="67"/>
        <v>202</v>
      </c>
      <c r="Q583" s="9"/>
      <c r="R583" s="6">
        <f t="shared" si="68"/>
        <v>0</v>
      </c>
      <c r="S583" s="10" t="s">
        <v>1</v>
      </c>
      <c r="T583" s="2" t="s">
        <v>762</v>
      </c>
    </row>
    <row r="584" spans="1:20" ht="37.5" customHeight="1" x14ac:dyDescent="0.25">
      <c r="A584" s="2" t="s">
        <v>763</v>
      </c>
      <c r="B584">
        <f t="shared" si="63"/>
        <v>21234</v>
      </c>
      <c r="C584">
        <v>2960</v>
      </c>
      <c r="D584">
        <v>18274</v>
      </c>
      <c r="F584">
        <f t="shared" si="64"/>
        <v>0</v>
      </c>
      <c r="G584" s="3">
        <f t="shared" si="69"/>
        <v>584</v>
      </c>
      <c r="H584" s="4"/>
      <c r="I584" s="5">
        <v>431</v>
      </c>
      <c r="J584" s="6"/>
      <c r="K584" s="7">
        <v>21234</v>
      </c>
      <c r="L584" s="6">
        <f t="shared" si="65"/>
        <v>0</v>
      </c>
      <c r="M584" s="7">
        <v>2960</v>
      </c>
      <c r="N584" s="8">
        <f t="shared" si="66"/>
        <v>0</v>
      </c>
      <c r="O584" s="7">
        <v>18274</v>
      </c>
      <c r="P584" s="6">
        <f t="shared" si="67"/>
        <v>0</v>
      </c>
      <c r="Q584" s="9"/>
      <c r="R584" s="6">
        <f t="shared" si="68"/>
        <v>0</v>
      </c>
      <c r="S584" s="10" t="s">
        <v>1</v>
      </c>
      <c r="T584" s="2" t="s">
        <v>763</v>
      </c>
    </row>
    <row r="585" spans="1:20" ht="37.5" customHeight="1" x14ac:dyDescent="0.25">
      <c r="A585" s="2" t="s">
        <v>764</v>
      </c>
      <c r="B585">
        <f t="shared" si="63"/>
        <v>60540</v>
      </c>
      <c r="C585">
        <v>8790</v>
      </c>
      <c r="D585">
        <v>51750</v>
      </c>
      <c r="F585">
        <f t="shared" si="64"/>
        <v>341</v>
      </c>
      <c r="G585" s="3">
        <f t="shared" si="69"/>
        <v>585</v>
      </c>
      <c r="H585" s="4"/>
      <c r="I585" s="5">
        <v>432</v>
      </c>
      <c r="J585" s="6"/>
      <c r="K585" s="7">
        <v>60199</v>
      </c>
      <c r="L585" s="6">
        <f t="shared" si="65"/>
        <v>341</v>
      </c>
      <c r="M585" s="7">
        <v>8742</v>
      </c>
      <c r="N585" s="8">
        <f t="shared" si="66"/>
        <v>48</v>
      </c>
      <c r="O585" s="7">
        <v>51457</v>
      </c>
      <c r="P585" s="6">
        <f t="shared" si="67"/>
        <v>293</v>
      </c>
      <c r="Q585" s="9"/>
      <c r="R585" s="6">
        <f t="shared" si="68"/>
        <v>0</v>
      </c>
      <c r="S585" s="10" t="s">
        <v>1</v>
      </c>
      <c r="T585" s="2" t="s">
        <v>764</v>
      </c>
    </row>
    <row r="586" spans="1:20" ht="37.5" customHeight="1" x14ac:dyDescent="0.25">
      <c r="A586" s="2" t="s">
        <v>765</v>
      </c>
      <c r="B586">
        <f t="shared" si="63"/>
        <v>86829</v>
      </c>
      <c r="C586">
        <v>11939</v>
      </c>
      <c r="D586">
        <v>74890</v>
      </c>
      <c r="F586">
        <f t="shared" si="64"/>
        <v>409</v>
      </c>
      <c r="G586" s="3">
        <f t="shared" si="69"/>
        <v>586</v>
      </c>
      <c r="H586" s="4"/>
      <c r="I586" s="5">
        <v>433</v>
      </c>
      <c r="J586" s="6"/>
      <c r="K586" s="7">
        <v>86420</v>
      </c>
      <c r="L586" s="6">
        <f t="shared" si="65"/>
        <v>409</v>
      </c>
      <c r="M586" s="7">
        <v>11895</v>
      </c>
      <c r="N586" s="8">
        <f t="shared" si="66"/>
        <v>44</v>
      </c>
      <c r="O586" s="7">
        <v>74525</v>
      </c>
      <c r="P586" s="6">
        <f t="shared" si="67"/>
        <v>365</v>
      </c>
      <c r="Q586" s="9"/>
      <c r="R586" s="6">
        <f t="shared" si="68"/>
        <v>0</v>
      </c>
      <c r="S586" s="10" t="s">
        <v>1</v>
      </c>
      <c r="T586" s="2" t="s">
        <v>765</v>
      </c>
    </row>
    <row r="587" spans="1:20" ht="37.5" customHeight="1" x14ac:dyDescent="0.25">
      <c r="A587" s="2" t="s">
        <v>766</v>
      </c>
      <c r="B587">
        <f t="shared" si="63"/>
        <v>100821</v>
      </c>
      <c r="C587">
        <v>13332</v>
      </c>
      <c r="D587">
        <v>87489</v>
      </c>
      <c r="F587">
        <f t="shared" si="64"/>
        <v>136</v>
      </c>
      <c r="G587" s="3">
        <f t="shared" si="69"/>
        <v>587</v>
      </c>
      <c r="H587" s="4"/>
      <c r="I587" s="5">
        <v>434</v>
      </c>
      <c r="J587" s="6"/>
      <c r="K587" s="7">
        <v>100685</v>
      </c>
      <c r="L587" s="6">
        <f t="shared" si="65"/>
        <v>136</v>
      </c>
      <c r="M587" s="7">
        <v>13312</v>
      </c>
      <c r="N587" s="8">
        <f t="shared" si="66"/>
        <v>20</v>
      </c>
      <c r="O587" s="7">
        <v>87373</v>
      </c>
      <c r="P587" s="6">
        <f t="shared" si="67"/>
        <v>116</v>
      </c>
      <c r="Q587" s="9"/>
      <c r="R587" s="6">
        <f t="shared" si="68"/>
        <v>0</v>
      </c>
      <c r="S587" s="10" t="s">
        <v>1</v>
      </c>
      <c r="T587" s="2" t="s">
        <v>766</v>
      </c>
    </row>
    <row r="588" spans="1:20" ht="37.5" customHeight="1" x14ac:dyDescent="0.25">
      <c r="A588" s="2" t="s">
        <v>767</v>
      </c>
      <c r="B588">
        <f t="shared" si="63"/>
        <v>8512</v>
      </c>
      <c r="C588">
        <v>1183</v>
      </c>
      <c r="D588">
        <v>7329</v>
      </c>
      <c r="F588">
        <f t="shared" si="64"/>
        <v>84</v>
      </c>
      <c r="G588" s="3">
        <f t="shared" si="69"/>
        <v>588</v>
      </c>
      <c r="H588" s="4"/>
      <c r="I588" s="5">
        <v>435</v>
      </c>
      <c r="J588" s="6"/>
      <c r="K588" s="7">
        <v>8428</v>
      </c>
      <c r="L588" s="6">
        <f t="shared" si="65"/>
        <v>84</v>
      </c>
      <c r="M588" s="7">
        <v>1166</v>
      </c>
      <c r="N588" s="8">
        <f t="shared" si="66"/>
        <v>17</v>
      </c>
      <c r="O588" s="7">
        <v>7262</v>
      </c>
      <c r="P588" s="6">
        <f t="shared" si="67"/>
        <v>67</v>
      </c>
      <c r="Q588" s="9"/>
      <c r="R588" s="6">
        <f t="shared" si="68"/>
        <v>0</v>
      </c>
      <c r="S588" s="10" t="s">
        <v>1</v>
      </c>
      <c r="T588" s="2" t="s">
        <v>767</v>
      </c>
    </row>
    <row r="589" spans="1:20" ht="37.5" customHeight="1" x14ac:dyDescent="0.25">
      <c r="A589" s="2" t="s">
        <v>768</v>
      </c>
      <c r="B589">
        <f t="shared" si="63"/>
        <v>1173</v>
      </c>
      <c r="C589">
        <v>334</v>
      </c>
      <c r="D589">
        <v>839</v>
      </c>
      <c r="E589">
        <v>3458</v>
      </c>
      <c r="F589">
        <f t="shared" si="64"/>
        <v>300</v>
      </c>
      <c r="G589" s="3">
        <f t="shared" si="69"/>
        <v>589</v>
      </c>
      <c r="H589" s="4"/>
      <c r="I589" s="5">
        <v>436</v>
      </c>
      <c r="J589" s="6"/>
      <c r="K589" s="7">
        <f>M589+O589</f>
        <v>873</v>
      </c>
      <c r="L589" s="6">
        <f t="shared" si="65"/>
        <v>300</v>
      </c>
      <c r="M589" s="7">
        <v>263</v>
      </c>
      <c r="N589" s="8">
        <f t="shared" si="66"/>
        <v>71</v>
      </c>
      <c r="O589" s="7">
        <v>610</v>
      </c>
      <c r="P589" s="6">
        <f t="shared" si="67"/>
        <v>229</v>
      </c>
      <c r="Q589" s="9">
        <v>2666</v>
      </c>
      <c r="R589" s="6">
        <f t="shared" si="68"/>
        <v>792</v>
      </c>
      <c r="S589" s="10" t="s">
        <v>1</v>
      </c>
      <c r="T589" s="2" t="s">
        <v>768</v>
      </c>
    </row>
    <row r="590" spans="1:20" ht="37.5" customHeight="1" x14ac:dyDescent="0.25">
      <c r="A590" s="2" t="s">
        <v>769</v>
      </c>
      <c r="B590">
        <f t="shared" si="63"/>
        <v>80968</v>
      </c>
      <c r="C590">
        <v>12295</v>
      </c>
      <c r="D590">
        <v>68673</v>
      </c>
      <c r="F590">
        <f t="shared" si="64"/>
        <v>101</v>
      </c>
      <c r="G590" s="3">
        <f t="shared" si="69"/>
        <v>590</v>
      </c>
      <c r="H590" s="4"/>
      <c r="I590" s="5">
        <v>437</v>
      </c>
      <c r="J590" s="6"/>
      <c r="K590" s="7">
        <v>80867</v>
      </c>
      <c r="L590" s="6">
        <f t="shared" si="65"/>
        <v>101</v>
      </c>
      <c r="M590" s="7">
        <v>12271</v>
      </c>
      <c r="N590" s="8">
        <f t="shared" si="66"/>
        <v>24</v>
      </c>
      <c r="O590" s="7">
        <v>68596</v>
      </c>
      <c r="P590" s="6">
        <f t="shared" si="67"/>
        <v>77</v>
      </c>
      <c r="Q590" s="9"/>
      <c r="R590" s="6">
        <f t="shared" si="68"/>
        <v>0</v>
      </c>
      <c r="S590" s="10" t="s">
        <v>1</v>
      </c>
      <c r="T590" s="2" t="s">
        <v>769</v>
      </c>
    </row>
    <row r="591" spans="1:20" ht="37.5" customHeight="1" x14ac:dyDescent="0.25">
      <c r="A591" s="2" t="s">
        <v>770</v>
      </c>
      <c r="B591">
        <f t="shared" si="63"/>
        <v>54993</v>
      </c>
      <c r="C591">
        <v>9698</v>
      </c>
      <c r="D591">
        <v>45295</v>
      </c>
      <c r="F591">
        <f t="shared" si="64"/>
        <v>268</v>
      </c>
      <c r="G591" s="3">
        <f t="shared" si="69"/>
        <v>591</v>
      </c>
      <c r="H591" s="4"/>
      <c r="I591" s="5">
        <v>438</v>
      </c>
      <c r="J591" s="6"/>
      <c r="K591" s="7">
        <v>54725</v>
      </c>
      <c r="L591" s="6">
        <f t="shared" si="65"/>
        <v>268</v>
      </c>
      <c r="M591" s="7">
        <v>9644</v>
      </c>
      <c r="N591" s="8">
        <f t="shared" si="66"/>
        <v>54</v>
      </c>
      <c r="O591" s="7">
        <v>45081</v>
      </c>
      <c r="P591" s="6">
        <f t="shared" si="67"/>
        <v>214</v>
      </c>
      <c r="Q591" s="9"/>
      <c r="R591" s="6">
        <f t="shared" si="68"/>
        <v>0</v>
      </c>
      <c r="S591" s="10" t="s">
        <v>1</v>
      </c>
      <c r="T591" s="2" t="s">
        <v>770</v>
      </c>
    </row>
    <row r="592" spans="1:20" ht="37.5" customHeight="1" x14ac:dyDescent="0.25">
      <c r="A592" s="2" t="s">
        <v>771</v>
      </c>
      <c r="B592">
        <f t="shared" si="63"/>
        <v>74946</v>
      </c>
      <c r="C592">
        <v>11983</v>
      </c>
      <c r="D592">
        <v>62963</v>
      </c>
      <c r="F592">
        <f t="shared" si="64"/>
        <v>287</v>
      </c>
      <c r="G592" s="3">
        <f t="shared" si="69"/>
        <v>592</v>
      </c>
      <c r="H592" s="4"/>
      <c r="I592" s="5">
        <v>439</v>
      </c>
      <c r="J592" s="6"/>
      <c r="K592" s="7">
        <v>74659</v>
      </c>
      <c r="L592" s="6">
        <f t="shared" si="65"/>
        <v>287</v>
      </c>
      <c r="M592" s="7">
        <v>11954</v>
      </c>
      <c r="N592" s="8">
        <f t="shared" si="66"/>
        <v>29</v>
      </c>
      <c r="O592" s="7">
        <v>62705</v>
      </c>
      <c r="P592" s="6">
        <f t="shared" si="67"/>
        <v>258</v>
      </c>
      <c r="Q592" s="9"/>
      <c r="R592" s="6">
        <f t="shared" si="68"/>
        <v>0</v>
      </c>
      <c r="S592" s="10" t="s">
        <v>1</v>
      </c>
      <c r="T592" s="2" t="s">
        <v>771</v>
      </c>
    </row>
    <row r="593" spans="1:20" ht="37.5" customHeight="1" x14ac:dyDescent="0.25">
      <c r="A593" s="2" t="s">
        <v>772</v>
      </c>
      <c r="B593">
        <f t="shared" si="63"/>
        <v>64664</v>
      </c>
      <c r="C593">
        <v>13578</v>
      </c>
      <c r="D593">
        <v>51086</v>
      </c>
      <c r="F593">
        <f t="shared" si="64"/>
        <v>660</v>
      </c>
      <c r="G593" s="3">
        <f t="shared" si="69"/>
        <v>593</v>
      </c>
      <c r="H593" s="4"/>
      <c r="I593" s="5">
        <v>440</v>
      </c>
      <c r="J593" s="6"/>
      <c r="K593" s="7">
        <v>64004</v>
      </c>
      <c r="L593" s="6">
        <f t="shared" si="65"/>
        <v>660</v>
      </c>
      <c r="M593" s="7">
        <v>13470</v>
      </c>
      <c r="N593" s="8">
        <f t="shared" si="66"/>
        <v>108</v>
      </c>
      <c r="O593" s="7">
        <v>50534</v>
      </c>
      <c r="P593" s="6">
        <f t="shared" si="67"/>
        <v>552</v>
      </c>
      <c r="Q593" s="9"/>
      <c r="R593" s="6">
        <f t="shared" si="68"/>
        <v>0</v>
      </c>
      <c r="S593" s="10" t="s">
        <v>1</v>
      </c>
      <c r="T593" s="2" t="s">
        <v>772</v>
      </c>
    </row>
    <row r="594" spans="1:20" ht="37.5" customHeight="1" x14ac:dyDescent="0.25">
      <c r="A594" s="2" t="s">
        <v>773</v>
      </c>
      <c r="B594">
        <f t="shared" si="63"/>
        <v>83026</v>
      </c>
      <c r="C594">
        <v>14633</v>
      </c>
      <c r="D594">
        <v>68393</v>
      </c>
      <c r="F594">
        <f t="shared" si="64"/>
        <v>268</v>
      </c>
      <c r="G594" s="3">
        <f t="shared" si="69"/>
        <v>594</v>
      </c>
      <c r="H594" s="4"/>
      <c r="I594" s="5">
        <v>441</v>
      </c>
      <c r="J594" s="6"/>
      <c r="K594" s="7">
        <v>82758</v>
      </c>
      <c r="L594" s="6">
        <f t="shared" si="65"/>
        <v>268</v>
      </c>
      <c r="M594" s="7">
        <v>14582</v>
      </c>
      <c r="N594" s="8">
        <f t="shared" si="66"/>
        <v>51</v>
      </c>
      <c r="O594" s="7">
        <v>68176</v>
      </c>
      <c r="P594" s="6">
        <f t="shared" si="67"/>
        <v>217</v>
      </c>
      <c r="Q594" s="9"/>
      <c r="R594" s="6">
        <f t="shared" si="68"/>
        <v>0</v>
      </c>
      <c r="S594" s="10" t="s">
        <v>1</v>
      </c>
      <c r="T594" s="2" t="s">
        <v>773</v>
      </c>
    </row>
    <row r="595" spans="1:20" ht="37.5" customHeight="1" x14ac:dyDescent="0.25">
      <c r="A595" s="2" t="s">
        <v>774</v>
      </c>
      <c r="B595">
        <f t="shared" si="63"/>
        <v>59885</v>
      </c>
      <c r="C595">
        <v>8131</v>
      </c>
      <c r="D595">
        <v>51754</v>
      </c>
      <c r="F595">
        <f t="shared" si="64"/>
        <v>662</v>
      </c>
      <c r="G595" s="3">
        <f t="shared" si="69"/>
        <v>595</v>
      </c>
      <c r="H595" s="4"/>
      <c r="I595" s="5">
        <v>442</v>
      </c>
      <c r="J595" s="6"/>
      <c r="K595" s="7">
        <v>59223</v>
      </c>
      <c r="L595" s="6">
        <f t="shared" si="65"/>
        <v>662</v>
      </c>
      <c r="M595" s="7">
        <v>8052</v>
      </c>
      <c r="N595" s="8">
        <f t="shared" si="66"/>
        <v>79</v>
      </c>
      <c r="O595" s="7">
        <v>51171</v>
      </c>
      <c r="P595" s="6">
        <f t="shared" si="67"/>
        <v>583</v>
      </c>
      <c r="Q595" s="9"/>
      <c r="R595" s="6">
        <f t="shared" si="68"/>
        <v>0</v>
      </c>
      <c r="S595" s="10" t="s">
        <v>1</v>
      </c>
      <c r="T595" s="2" t="s">
        <v>774</v>
      </c>
    </row>
    <row r="596" spans="1:20" ht="37.5" customHeight="1" x14ac:dyDescent="0.25">
      <c r="A596" s="2" t="s">
        <v>775</v>
      </c>
      <c r="B596">
        <f t="shared" si="63"/>
        <v>49090</v>
      </c>
      <c r="C596">
        <v>7698</v>
      </c>
      <c r="D596">
        <v>41392</v>
      </c>
      <c r="F596">
        <f t="shared" si="64"/>
        <v>271</v>
      </c>
      <c r="G596" s="3">
        <f t="shared" si="69"/>
        <v>596</v>
      </c>
      <c r="H596" s="4"/>
      <c r="I596" s="5">
        <v>443</v>
      </c>
      <c r="J596" s="6"/>
      <c r="K596" s="7">
        <v>48819</v>
      </c>
      <c r="L596" s="6">
        <f t="shared" si="65"/>
        <v>271</v>
      </c>
      <c r="M596" s="7">
        <v>7661</v>
      </c>
      <c r="N596" s="8">
        <f t="shared" si="66"/>
        <v>37</v>
      </c>
      <c r="O596" s="7">
        <v>41158</v>
      </c>
      <c r="P596" s="6">
        <f t="shared" si="67"/>
        <v>234</v>
      </c>
      <c r="Q596" s="9"/>
      <c r="R596" s="6">
        <f t="shared" si="68"/>
        <v>0</v>
      </c>
      <c r="S596" s="10" t="s">
        <v>1</v>
      </c>
      <c r="T596" s="2" t="s">
        <v>775</v>
      </c>
    </row>
    <row r="597" spans="1:20" ht="37.5" customHeight="1" x14ac:dyDescent="0.25">
      <c r="A597" s="2" t="s">
        <v>776</v>
      </c>
      <c r="B597">
        <f t="shared" si="63"/>
        <v>36302</v>
      </c>
      <c r="C597">
        <v>6448</v>
      </c>
      <c r="D597">
        <v>29854</v>
      </c>
      <c r="F597">
        <f t="shared" si="64"/>
        <v>397</v>
      </c>
      <c r="G597" s="3">
        <f t="shared" si="69"/>
        <v>597</v>
      </c>
      <c r="H597" s="4"/>
      <c r="I597" s="5">
        <v>444</v>
      </c>
      <c r="J597" s="6"/>
      <c r="K597" s="7">
        <v>35905</v>
      </c>
      <c r="L597" s="6">
        <f t="shared" si="65"/>
        <v>397</v>
      </c>
      <c r="M597" s="7">
        <v>6374</v>
      </c>
      <c r="N597" s="8">
        <f t="shared" si="66"/>
        <v>74</v>
      </c>
      <c r="O597" s="7">
        <v>29531</v>
      </c>
      <c r="P597" s="6">
        <f t="shared" si="67"/>
        <v>323</v>
      </c>
      <c r="Q597" s="9"/>
      <c r="R597" s="6">
        <f t="shared" si="68"/>
        <v>0</v>
      </c>
      <c r="S597" s="10" t="s">
        <v>1</v>
      </c>
      <c r="T597" s="2" t="s">
        <v>776</v>
      </c>
    </row>
    <row r="598" spans="1:20" ht="37.5" customHeight="1" x14ac:dyDescent="0.25">
      <c r="A598" s="2" t="s">
        <v>777</v>
      </c>
      <c r="B598">
        <f t="shared" si="63"/>
        <v>6234</v>
      </c>
      <c r="C598">
        <v>1511</v>
      </c>
      <c r="D598">
        <v>4723</v>
      </c>
      <c r="E598">
        <v>9285</v>
      </c>
      <c r="F598">
        <f t="shared" si="64"/>
        <v>386</v>
      </c>
      <c r="G598" s="3">
        <f t="shared" si="69"/>
        <v>598</v>
      </c>
      <c r="H598" s="4"/>
      <c r="I598" s="5">
        <v>445</v>
      </c>
      <c r="J598" s="6"/>
      <c r="K598" s="7">
        <f>M598+O598</f>
        <v>5848</v>
      </c>
      <c r="L598" s="6">
        <f t="shared" si="65"/>
        <v>386</v>
      </c>
      <c r="M598" s="7">
        <v>1401</v>
      </c>
      <c r="N598" s="8">
        <f t="shared" si="66"/>
        <v>110</v>
      </c>
      <c r="O598" s="7">
        <v>4447</v>
      </c>
      <c r="P598" s="6">
        <f t="shared" si="67"/>
        <v>276</v>
      </c>
      <c r="Q598" s="9">
        <v>8397</v>
      </c>
      <c r="R598" s="6">
        <f t="shared" si="68"/>
        <v>888</v>
      </c>
      <c r="S598" s="10" t="s">
        <v>1</v>
      </c>
      <c r="T598" s="2" t="s">
        <v>777</v>
      </c>
    </row>
    <row r="599" spans="1:20" ht="37.5" customHeight="1" x14ac:dyDescent="0.25">
      <c r="A599" s="2" t="s">
        <v>778</v>
      </c>
      <c r="B599">
        <v>4</v>
      </c>
      <c r="D599">
        <v>1</v>
      </c>
      <c r="F599">
        <f t="shared" si="64"/>
        <v>0</v>
      </c>
      <c r="G599" s="3">
        <f t="shared" si="69"/>
        <v>599</v>
      </c>
      <c r="H599" s="4"/>
      <c r="I599" s="5">
        <v>446</v>
      </c>
      <c r="J599" s="6"/>
      <c r="K599" s="7">
        <v>4</v>
      </c>
      <c r="L599" s="6">
        <f t="shared" si="65"/>
        <v>0</v>
      </c>
      <c r="M599" s="7">
        <v>1</v>
      </c>
      <c r="N599" s="8">
        <f t="shared" si="66"/>
        <v>-1</v>
      </c>
      <c r="O599" s="7"/>
      <c r="P599" s="6">
        <f t="shared" si="67"/>
        <v>1</v>
      </c>
      <c r="Q599" s="9"/>
      <c r="R599" s="6">
        <f t="shared" si="68"/>
        <v>0</v>
      </c>
      <c r="S599" s="10" t="s">
        <v>1</v>
      </c>
      <c r="T599" s="2" t="s">
        <v>778</v>
      </c>
    </row>
    <row r="600" spans="1:20" ht="37.5" customHeight="1" x14ac:dyDescent="0.25">
      <c r="A600" s="2" t="s">
        <v>779</v>
      </c>
      <c r="B600">
        <f t="shared" si="63"/>
        <v>27801</v>
      </c>
      <c r="C600">
        <v>4856</v>
      </c>
      <c r="D600">
        <v>22945</v>
      </c>
      <c r="F600">
        <f t="shared" si="64"/>
        <v>95</v>
      </c>
      <c r="G600" s="3">
        <f t="shared" si="69"/>
        <v>600</v>
      </c>
      <c r="H600" s="4"/>
      <c r="I600" s="5">
        <v>447</v>
      </c>
      <c r="J600" s="6"/>
      <c r="K600" s="7">
        <v>27706</v>
      </c>
      <c r="L600" s="6">
        <f t="shared" si="65"/>
        <v>95</v>
      </c>
      <c r="M600" s="7">
        <v>4841</v>
      </c>
      <c r="N600" s="8">
        <f t="shared" si="66"/>
        <v>15</v>
      </c>
      <c r="O600" s="7">
        <v>22865</v>
      </c>
      <c r="P600" s="6">
        <f t="shared" si="67"/>
        <v>80</v>
      </c>
      <c r="Q600" s="9"/>
      <c r="R600" s="6">
        <f t="shared" si="68"/>
        <v>0</v>
      </c>
      <c r="S600" s="10" t="s">
        <v>1</v>
      </c>
      <c r="T600" s="2" t="s">
        <v>779</v>
      </c>
    </row>
    <row r="601" spans="1:20" ht="37.5" customHeight="1" x14ac:dyDescent="0.25">
      <c r="A601" s="2" t="s">
        <v>780</v>
      </c>
      <c r="B601">
        <f t="shared" si="63"/>
        <v>20428</v>
      </c>
      <c r="C601">
        <v>3417</v>
      </c>
      <c r="D601">
        <v>17011</v>
      </c>
      <c r="F601">
        <f t="shared" si="64"/>
        <v>493</v>
      </c>
      <c r="G601" s="3">
        <f t="shared" si="69"/>
        <v>601</v>
      </c>
      <c r="H601" s="4"/>
      <c r="I601" s="5">
        <v>448</v>
      </c>
      <c r="J601" s="6"/>
      <c r="K601" s="7">
        <v>19935</v>
      </c>
      <c r="L601" s="6">
        <f t="shared" si="65"/>
        <v>493</v>
      </c>
      <c r="M601" s="7">
        <v>3358</v>
      </c>
      <c r="N601" s="8">
        <f t="shared" si="66"/>
        <v>59</v>
      </c>
      <c r="O601" s="7">
        <v>16577</v>
      </c>
      <c r="P601" s="6">
        <f t="shared" si="67"/>
        <v>434</v>
      </c>
      <c r="Q601" s="9"/>
      <c r="R601" s="6">
        <f t="shared" si="68"/>
        <v>0</v>
      </c>
      <c r="S601" s="10" t="s">
        <v>1</v>
      </c>
      <c r="T601" s="2" t="s">
        <v>780</v>
      </c>
    </row>
    <row r="602" spans="1:20" ht="37.5" customHeight="1" x14ac:dyDescent="0.25">
      <c r="A602" s="2" t="s">
        <v>781</v>
      </c>
      <c r="B602">
        <f t="shared" si="63"/>
        <v>15597</v>
      </c>
      <c r="C602">
        <v>2516</v>
      </c>
      <c r="D602">
        <v>13081</v>
      </c>
      <c r="F602">
        <f t="shared" si="64"/>
        <v>179</v>
      </c>
      <c r="G602" s="3">
        <f t="shared" si="69"/>
        <v>602</v>
      </c>
      <c r="H602" s="4"/>
      <c r="I602" s="5">
        <v>449</v>
      </c>
      <c r="J602" s="6"/>
      <c r="K602" s="7">
        <v>15418</v>
      </c>
      <c r="L602" s="6">
        <f t="shared" si="65"/>
        <v>179</v>
      </c>
      <c r="M602" s="7">
        <v>2483</v>
      </c>
      <c r="N602" s="8">
        <f t="shared" si="66"/>
        <v>33</v>
      </c>
      <c r="O602" s="7">
        <v>12935</v>
      </c>
      <c r="P602" s="6">
        <f t="shared" si="67"/>
        <v>146</v>
      </c>
      <c r="Q602" s="9"/>
      <c r="R602" s="6">
        <f t="shared" si="68"/>
        <v>0</v>
      </c>
      <c r="S602" s="10" t="s">
        <v>1</v>
      </c>
      <c r="T602" s="2" t="s">
        <v>781</v>
      </c>
    </row>
    <row r="603" spans="1:20" ht="37.5" customHeight="1" x14ac:dyDescent="0.25">
      <c r="A603" s="2" t="s">
        <v>782</v>
      </c>
      <c r="B603">
        <f t="shared" si="63"/>
        <v>89340</v>
      </c>
      <c r="C603">
        <v>19034</v>
      </c>
      <c r="D603">
        <v>70306</v>
      </c>
      <c r="F603">
        <f t="shared" si="64"/>
        <v>390</v>
      </c>
      <c r="G603" s="3">
        <f t="shared" si="69"/>
        <v>603</v>
      </c>
      <c r="H603" s="4"/>
      <c r="I603" s="5">
        <v>450</v>
      </c>
      <c r="J603" s="6"/>
      <c r="K603" s="7">
        <v>88950</v>
      </c>
      <c r="L603" s="6">
        <f t="shared" si="65"/>
        <v>390</v>
      </c>
      <c r="M603" s="7">
        <v>18976</v>
      </c>
      <c r="N603" s="8">
        <f t="shared" si="66"/>
        <v>58</v>
      </c>
      <c r="O603" s="7">
        <v>69974</v>
      </c>
      <c r="P603" s="6">
        <f t="shared" si="67"/>
        <v>332</v>
      </c>
      <c r="Q603" s="9"/>
      <c r="R603" s="6">
        <f t="shared" si="68"/>
        <v>0</v>
      </c>
      <c r="S603" s="10" t="s">
        <v>1</v>
      </c>
      <c r="T603" s="2" t="s">
        <v>782</v>
      </c>
    </row>
    <row r="604" spans="1:20" ht="37.5" customHeight="1" x14ac:dyDescent="0.25">
      <c r="A604" s="2" t="s">
        <v>783</v>
      </c>
      <c r="B604">
        <f t="shared" si="63"/>
        <v>3835</v>
      </c>
      <c r="C604">
        <v>825</v>
      </c>
      <c r="D604">
        <v>3010</v>
      </c>
      <c r="E604">
        <v>7025</v>
      </c>
      <c r="F604">
        <f t="shared" si="64"/>
        <v>262</v>
      </c>
      <c r="G604" s="3">
        <f t="shared" si="69"/>
        <v>604</v>
      </c>
      <c r="H604" s="4"/>
      <c r="I604" s="5">
        <v>451</v>
      </c>
      <c r="J604" s="6"/>
      <c r="K604" s="7">
        <f>M604+O604</f>
        <v>3573</v>
      </c>
      <c r="L604" s="6">
        <f t="shared" si="65"/>
        <v>262</v>
      </c>
      <c r="M604" s="7">
        <v>747</v>
      </c>
      <c r="N604" s="8">
        <f t="shared" si="66"/>
        <v>78</v>
      </c>
      <c r="O604" s="7">
        <v>2826</v>
      </c>
      <c r="P604" s="6">
        <f t="shared" si="67"/>
        <v>184</v>
      </c>
      <c r="Q604" s="9">
        <v>6384</v>
      </c>
      <c r="R604" s="6">
        <f t="shared" si="68"/>
        <v>641</v>
      </c>
      <c r="S604" s="10" t="s">
        <v>1</v>
      </c>
      <c r="T604" s="2" t="s">
        <v>783</v>
      </c>
    </row>
    <row r="605" spans="1:20" ht="37.5" customHeight="1" x14ac:dyDescent="0.25">
      <c r="A605" s="2" t="s">
        <v>784</v>
      </c>
      <c r="B605">
        <f t="shared" si="63"/>
        <v>84171</v>
      </c>
      <c r="C605">
        <v>34644</v>
      </c>
      <c r="D605">
        <v>49527</v>
      </c>
      <c r="F605">
        <f t="shared" si="64"/>
        <v>380</v>
      </c>
      <c r="G605" s="3">
        <f t="shared" si="69"/>
        <v>605</v>
      </c>
      <c r="H605" s="4"/>
      <c r="I605" s="5">
        <v>452</v>
      </c>
      <c r="J605" s="6"/>
      <c r="K605" s="7">
        <v>83791</v>
      </c>
      <c r="L605" s="6">
        <f t="shared" si="65"/>
        <v>380</v>
      </c>
      <c r="M605" s="7">
        <v>34586</v>
      </c>
      <c r="N605" s="8">
        <f t="shared" si="66"/>
        <v>58</v>
      </c>
      <c r="O605" s="7">
        <v>49205</v>
      </c>
      <c r="P605" s="6">
        <f t="shared" si="67"/>
        <v>322</v>
      </c>
      <c r="Q605" s="9"/>
      <c r="R605" s="6">
        <f t="shared" si="68"/>
        <v>0</v>
      </c>
      <c r="S605" s="10" t="s">
        <v>1</v>
      </c>
      <c r="T605" s="2" t="s">
        <v>784</v>
      </c>
    </row>
    <row r="606" spans="1:20" ht="37.5" customHeight="1" x14ac:dyDescent="0.25">
      <c r="A606" s="2" t="s">
        <v>785</v>
      </c>
      <c r="B606">
        <f t="shared" si="63"/>
        <v>89786</v>
      </c>
      <c r="C606">
        <v>19339</v>
      </c>
      <c r="D606">
        <v>70447</v>
      </c>
      <c r="F606">
        <f t="shared" si="64"/>
        <v>327</v>
      </c>
      <c r="G606" s="3">
        <f t="shared" si="69"/>
        <v>606</v>
      </c>
      <c r="H606" s="4"/>
      <c r="I606" s="5">
        <v>453</v>
      </c>
      <c r="J606" s="6"/>
      <c r="K606" s="7">
        <v>89459</v>
      </c>
      <c r="L606" s="6">
        <f t="shared" si="65"/>
        <v>327</v>
      </c>
      <c r="M606" s="7">
        <v>19290</v>
      </c>
      <c r="N606" s="8">
        <f t="shared" si="66"/>
        <v>49</v>
      </c>
      <c r="O606" s="7">
        <v>70169</v>
      </c>
      <c r="P606" s="6">
        <f t="shared" si="67"/>
        <v>278</v>
      </c>
      <c r="Q606" s="9"/>
      <c r="R606" s="6">
        <f t="shared" si="68"/>
        <v>0</v>
      </c>
      <c r="S606" s="10" t="s">
        <v>1</v>
      </c>
      <c r="T606" s="2" t="s">
        <v>785</v>
      </c>
    </row>
    <row r="607" spans="1:20" ht="37.5" customHeight="1" x14ac:dyDescent="0.25">
      <c r="A607" s="2" t="s">
        <v>786</v>
      </c>
      <c r="B607">
        <f t="shared" si="63"/>
        <v>126348</v>
      </c>
      <c r="C607">
        <v>28642</v>
      </c>
      <c r="D607">
        <v>97706</v>
      </c>
      <c r="F607">
        <f t="shared" si="64"/>
        <v>747</v>
      </c>
      <c r="G607" s="3">
        <f t="shared" si="69"/>
        <v>607</v>
      </c>
      <c r="H607" s="4"/>
      <c r="I607" s="5">
        <v>454</v>
      </c>
      <c r="J607" s="6"/>
      <c r="K607" s="7">
        <v>125601</v>
      </c>
      <c r="L607" s="6">
        <f t="shared" si="65"/>
        <v>747</v>
      </c>
      <c r="M607" s="7">
        <v>28511</v>
      </c>
      <c r="N607" s="8">
        <f t="shared" si="66"/>
        <v>131</v>
      </c>
      <c r="O607" s="7">
        <v>97090</v>
      </c>
      <c r="P607" s="6">
        <f t="shared" si="67"/>
        <v>616</v>
      </c>
      <c r="Q607" s="9"/>
      <c r="R607" s="6">
        <f t="shared" si="68"/>
        <v>0</v>
      </c>
      <c r="S607" s="10" t="s">
        <v>1</v>
      </c>
      <c r="T607" s="2" t="s">
        <v>786</v>
      </c>
    </row>
    <row r="608" spans="1:20" ht="37.5" customHeight="1" x14ac:dyDescent="0.25">
      <c r="A608" s="2" t="s">
        <v>787</v>
      </c>
      <c r="B608">
        <f t="shared" si="63"/>
        <v>8895</v>
      </c>
      <c r="C608">
        <v>1503</v>
      </c>
      <c r="D608">
        <v>7392</v>
      </c>
      <c r="F608">
        <f t="shared" si="64"/>
        <v>90</v>
      </c>
      <c r="G608" s="3">
        <f t="shared" si="69"/>
        <v>608</v>
      </c>
      <c r="H608" s="4"/>
      <c r="I608" s="5">
        <v>455</v>
      </c>
      <c r="J608" s="6"/>
      <c r="K608" s="7">
        <v>8805</v>
      </c>
      <c r="L608" s="6">
        <f t="shared" si="65"/>
        <v>90</v>
      </c>
      <c r="M608" s="7">
        <v>22204</v>
      </c>
      <c r="N608" s="8">
        <f t="shared" si="66"/>
        <v>-20701</v>
      </c>
      <c r="O608" s="7">
        <v>107343</v>
      </c>
      <c r="P608" s="6">
        <f t="shared" si="67"/>
        <v>-99951</v>
      </c>
      <c r="Q608" s="9"/>
      <c r="R608" s="6">
        <f t="shared" si="68"/>
        <v>0</v>
      </c>
      <c r="S608" s="10" t="s">
        <v>1</v>
      </c>
      <c r="T608" s="2" t="s">
        <v>787</v>
      </c>
    </row>
    <row r="609" spans="1:20" ht="37.5" customHeight="1" x14ac:dyDescent="0.25">
      <c r="A609" s="2" t="s">
        <v>788</v>
      </c>
      <c r="B609">
        <f t="shared" si="63"/>
        <v>85903</v>
      </c>
      <c r="C609">
        <v>15785</v>
      </c>
      <c r="D609">
        <v>70118</v>
      </c>
      <c r="F609">
        <f t="shared" si="64"/>
        <v>488</v>
      </c>
      <c r="G609" s="3">
        <f t="shared" si="69"/>
        <v>609</v>
      </c>
      <c r="H609" s="4"/>
      <c r="I609" s="5">
        <v>456</v>
      </c>
      <c r="J609" s="6"/>
      <c r="K609" s="7">
        <v>85415</v>
      </c>
      <c r="L609" s="6">
        <f t="shared" si="65"/>
        <v>488</v>
      </c>
      <c r="M609" s="7">
        <v>15694</v>
      </c>
      <c r="N609" s="8">
        <f t="shared" si="66"/>
        <v>91</v>
      </c>
      <c r="O609" s="7">
        <v>69721</v>
      </c>
      <c r="P609" s="6">
        <f t="shared" si="67"/>
        <v>397</v>
      </c>
      <c r="Q609" s="9"/>
      <c r="R609" s="6">
        <f t="shared" si="68"/>
        <v>0</v>
      </c>
      <c r="S609" s="10" t="s">
        <v>1</v>
      </c>
      <c r="T609" s="2" t="s">
        <v>788</v>
      </c>
    </row>
    <row r="610" spans="1:20" ht="37.5" customHeight="1" x14ac:dyDescent="0.25">
      <c r="A610" s="2" t="s">
        <v>789</v>
      </c>
      <c r="B610">
        <f t="shared" si="63"/>
        <v>2545</v>
      </c>
      <c r="C610">
        <v>461</v>
      </c>
      <c r="D610">
        <v>2084</v>
      </c>
      <c r="E610">
        <v>9313</v>
      </c>
      <c r="F610">
        <f t="shared" si="64"/>
        <v>153</v>
      </c>
      <c r="G610" s="3">
        <f t="shared" si="69"/>
        <v>610</v>
      </c>
      <c r="H610" s="4"/>
      <c r="I610" s="5">
        <v>457</v>
      </c>
      <c r="J610" s="6"/>
      <c r="K610" s="7">
        <f>M610+O610</f>
        <v>2392</v>
      </c>
      <c r="L610" s="6">
        <f t="shared" si="65"/>
        <v>153</v>
      </c>
      <c r="M610" s="7">
        <v>430</v>
      </c>
      <c r="N610" s="8">
        <f t="shared" si="66"/>
        <v>31</v>
      </c>
      <c r="O610" s="7">
        <v>1962</v>
      </c>
      <c r="P610" s="6">
        <f t="shared" si="67"/>
        <v>122</v>
      </c>
      <c r="Q610" s="9">
        <v>8570</v>
      </c>
      <c r="R610" s="6">
        <f t="shared" si="68"/>
        <v>743</v>
      </c>
      <c r="S610" s="10" t="s">
        <v>1</v>
      </c>
      <c r="T610" s="2" t="s">
        <v>789</v>
      </c>
    </row>
    <row r="611" spans="1:20" ht="37.5" customHeight="1" x14ac:dyDescent="0.25">
      <c r="A611" s="2" t="s">
        <v>790</v>
      </c>
      <c r="B611">
        <f t="shared" si="63"/>
        <v>80031</v>
      </c>
      <c r="C611">
        <v>23465</v>
      </c>
      <c r="D611">
        <v>56566</v>
      </c>
      <c r="F611">
        <f t="shared" si="64"/>
        <v>317</v>
      </c>
      <c r="G611" s="3">
        <f t="shared" si="69"/>
        <v>611</v>
      </c>
      <c r="H611" s="4"/>
      <c r="I611" s="5">
        <v>458</v>
      </c>
      <c r="J611" s="6"/>
      <c r="K611" s="7">
        <v>79714</v>
      </c>
      <c r="L611" s="6">
        <f t="shared" si="65"/>
        <v>317</v>
      </c>
      <c r="M611" s="7">
        <v>23409</v>
      </c>
      <c r="N611" s="8">
        <f t="shared" si="66"/>
        <v>56</v>
      </c>
      <c r="O611" s="7">
        <v>56305</v>
      </c>
      <c r="P611" s="6">
        <f t="shared" si="67"/>
        <v>261</v>
      </c>
      <c r="Q611" s="9"/>
      <c r="R611" s="6">
        <f t="shared" si="68"/>
        <v>0</v>
      </c>
      <c r="S611" s="10" t="s">
        <v>1</v>
      </c>
      <c r="T611" s="2" t="s">
        <v>790</v>
      </c>
    </row>
    <row r="612" spans="1:20" ht="37.5" customHeight="1" x14ac:dyDescent="0.25">
      <c r="A612" s="2" t="s">
        <v>791</v>
      </c>
      <c r="B612">
        <f t="shared" si="63"/>
        <v>23026</v>
      </c>
      <c r="C612">
        <v>5057</v>
      </c>
      <c r="D612">
        <v>17969</v>
      </c>
      <c r="E612">
        <v>3961</v>
      </c>
      <c r="F612">
        <f t="shared" si="64"/>
        <v>693</v>
      </c>
      <c r="G612" s="3">
        <f t="shared" si="69"/>
        <v>612</v>
      </c>
      <c r="H612" s="4"/>
      <c r="I612" s="5">
        <v>459</v>
      </c>
      <c r="J612" s="6"/>
      <c r="K612" s="7">
        <f>M612+O612</f>
        <v>22333</v>
      </c>
      <c r="L612" s="6">
        <f t="shared" si="65"/>
        <v>693</v>
      </c>
      <c r="M612" s="7">
        <v>4888</v>
      </c>
      <c r="N612" s="8">
        <f t="shared" si="66"/>
        <v>169</v>
      </c>
      <c r="O612" s="7">
        <v>17445</v>
      </c>
      <c r="P612" s="6">
        <f t="shared" si="67"/>
        <v>524</v>
      </c>
      <c r="Q612" s="9">
        <v>3698</v>
      </c>
      <c r="R612" s="6">
        <f t="shared" si="68"/>
        <v>263</v>
      </c>
      <c r="S612" s="10" t="s">
        <v>1</v>
      </c>
      <c r="T612" s="2" t="s">
        <v>791</v>
      </c>
    </row>
    <row r="613" spans="1:20" ht="37.5" customHeight="1" x14ac:dyDescent="0.25">
      <c r="A613" s="2" t="s">
        <v>792</v>
      </c>
      <c r="B613">
        <f t="shared" si="63"/>
        <v>61557</v>
      </c>
      <c r="C613">
        <v>12072</v>
      </c>
      <c r="D613">
        <v>49485</v>
      </c>
      <c r="F613">
        <f t="shared" si="64"/>
        <v>215</v>
      </c>
      <c r="G613" s="3">
        <f t="shared" si="69"/>
        <v>613</v>
      </c>
      <c r="H613" s="4"/>
      <c r="I613" s="5">
        <v>460</v>
      </c>
      <c r="J613" s="6"/>
      <c r="K613" s="7">
        <v>61342</v>
      </c>
      <c r="L613" s="6">
        <f t="shared" si="65"/>
        <v>215</v>
      </c>
      <c r="M613" s="7">
        <v>12026</v>
      </c>
      <c r="N613" s="8">
        <f t="shared" si="66"/>
        <v>46</v>
      </c>
      <c r="O613" s="7">
        <v>49316</v>
      </c>
      <c r="P613" s="6">
        <f t="shared" si="67"/>
        <v>169</v>
      </c>
      <c r="Q613" s="9"/>
      <c r="R613" s="6">
        <f t="shared" si="68"/>
        <v>0</v>
      </c>
      <c r="S613" s="10" t="s">
        <v>1</v>
      </c>
      <c r="T613" s="2" t="s">
        <v>792</v>
      </c>
    </row>
    <row r="614" spans="1:20" ht="37.5" customHeight="1" x14ac:dyDescent="0.25">
      <c r="A614" s="2" t="s">
        <v>793</v>
      </c>
      <c r="B614">
        <f t="shared" si="63"/>
        <v>15270</v>
      </c>
      <c r="C614">
        <v>3006</v>
      </c>
      <c r="D614">
        <v>12264</v>
      </c>
      <c r="F614">
        <f t="shared" si="64"/>
        <v>2</v>
      </c>
      <c r="G614" s="3">
        <f t="shared" si="69"/>
        <v>614</v>
      </c>
      <c r="H614" s="4"/>
      <c r="I614" s="5" t="s">
        <v>794</v>
      </c>
      <c r="J614" s="6"/>
      <c r="K614" s="7">
        <v>15268</v>
      </c>
      <c r="L614" s="6">
        <f t="shared" si="65"/>
        <v>2</v>
      </c>
      <c r="M614" s="7">
        <v>3005</v>
      </c>
      <c r="N614" s="8">
        <f t="shared" si="66"/>
        <v>1</v>
      </c>
      <c r="O614" s="7">
        <v>12263</v>
      </c>
      <c r="P614" s="6">
        <f t="shared" si="67"/>
        <v>1</v>
      </c>
      <c r="Q614" s="9"/>
      <c r="R614" s="6">
        <f t="shared" si="68"/>
        <v>0</v>
      </c>
      <c r="S614" s="10" t="s">
        <v>1</v>
      </c>
      <c r="T614" s="2" t="s">
        <v>793</v>
      </c>
    </row>
    <row r="615" spans="1:20" ht="37.5" customHeight="1" x14ac:dyDescent="0.25">
      <c r="A615" s="2" t="s">
        <v>795</v>
      </c>
      <c r="B615">
        <f t="shared" si="63"/>
        <v>21589</v>
      </c>
      <c r="C615">
        <v>4158</v>
      </c>
      <c r="D615">
        <v>17431</v>
      </c>
      <c r="F615">
        <f t="shared" si="64"/>
        <v>0</v>
      </c>
      <c r="G615" s="3">
        <f t="shared" si="69"/>
        <v>615</v>
      </c>
      <c r="H615" s="4"/>
      <c r="I615" s="5" t="s">
        <v>796</v>
      </c>
      <c r="J615" s="6"/>
      <c r="K615" s="7">
        <v>21589</v>
      </c>
      <c r="L615" s="6">
        <f t="shared" si="65"/>
        <v>0</v>
      </c>
      <c r="M615" s="7">
        <v>4158</v>
      </c>
      <c r="N615" s="8">
        <f t="shared" si="66"/>
        <v>0</v>
      </c>
      <c r="O615" s="7">
        <v>17431</v>
      </c>
      <c r="P615" s="6">
        <f t="shared" si="67"/>
        <v>0</v>
      </c>
      <c r="Q615" s="9"/>
      <c r="R615" s="6">
        <f t="shared" si="68"/>
        <v>0</v>
      </c>
      <c r="S615" s="10" t="s">
        <v>1</v>
      </c>
      <c r="T615" s="2" t="s">
        <v>795</v>
      </c>
    </row>
    <row r="616" spans="1:20" ht="37.5" customHeight="1" x14ac:dyDescent="0.25">
      <c r="A616" s="2" t="s">
        <v>797</v>
      </c>
      <c r="B616">
        <f t="shared" si="63"/>
        <v>90032</v>
      </c>
      <c r="C616">
        <v>17591</v>
      </c>
      <c r="D616">
        <v>72441</v>
      </c>
      <c r="F616">
        <f t="shared" si="64"/>
        <v>258</v>
      </c>
      <c r="G616" s="3">
        <f t="shared" si="69"/>
        <v>616</v>
      </c>
      <c r="H616" s="4"/>
      <c r="I616" s="5">
        <v>461</v>
      </c>
      <c r="J616" s="6"/>
      <c r="K616" s="7">
        <v>89774</v>
      </c>
      <c r="L616" s="6">
        <f t="shared" si="65"/>
        <v>258</v>
      </c>
      <c r="M616" s="7">
        <v>17550</v>
      </c>
      <c r="N616" s="8">
        <f t="shared" si="66"/>
        <v>41</v>
      </c>
      <c r="O616" s="7">
        <v>72224</v>
      </c>
      <c r="P616" s="6">
        <f t="shared" si="67"/>
        <v>217</v>
      </c>
      <c r="Q616" s="9"/>
      <c r="R616" s="6">
        <f t="shared" si="68"/>
        <v>0</v>
      </c>
      <c r="S616" s="10" t="s">
        <v>1</v>
      </c>
      <c r="T616" s="2" t="s">
        <v>797</v>
      </c>
    </row>
    <row r="617" spans="1:20" ht="37.5" customHeight="1" x14ac:dyDescent="0.25">
      <c r="A617" s="2" t="s">
        <v>798</v>
      </c>
      <c r="B617">
        <f t="shared" si="63"/>
        <v>76629</v>
      </c>
      <c r="C617">
        <v>18368</v>
      </c>
      <c r="D617">
        <v>58261</v>
      </c>
      <c r="F617">
        <f t="shared" si="64"/>
        <v>175</v>
      </c>
      <c r="G617" s="3">
        <f t="shared" si="69"/>
        <v>617</v>
      </c>
      <c r="H617" s="4"/>
      <c r="I617" s="5" t="s">
        <v>799</v>
      </c>
      <c r="J617" s="6"/>
      <c r="K617" s="7">
        <v>76454</v>
      </c>
      <c r="L617" s="6">
        <f t="shared" si="65"/>
        <v>175</v>
      </c>
      <c r="M617" s="7">
        <v>18335</v>
      </c>
      <c r="N617" s="8">
        <f t="shared" si="66"/>
        <v>33</v>
      </c>
      <c r="O617" s="7">
        <v>58119</v>
      </c>
      <c r="P617" s="6">
        <f t="shared" si="67"/>
        <v>142</v>
      </c>
      <c r="Q617" s="9"/>
      <c r="R617" s="6">
        <f t="shared" si="68"/>
        <v>0</v>
      </c>
      <c r="S617" s="10" t="s">
        <v>1</v>
      </c>
      <c r="T617" s="2" t="s">
        <v>798</v>
      </c>
    </row>
    <row r="618" spans="1:20" ht="37.5" customHeight="1" x14ac:dyDescent="0.25">
      <c r="A618" s="2" t="s">
        <v>800</v>
      </c>
      <c r="B618">
        <f t="shared" si="63"/>
        <v>73399</v>
      </c>
      <c r="C618">
        <v>18393</v>
      </c>
      <c r="D618">
        <v>55006</v>
      </c>
      <c r="F618">
        <f t="shared" si="64"/>
        <v>183</v>
      </c>
      <c r="G618" s="3">
        <f t="shared" si="69"/>
        <v>618</v>
      </c>
      <c r="H618" s="4"/>
      <c r="I618" s="5" t="s">
        <v>801</v>
      </c>
      <c r="J618" s="6"/>
      <c r="K618" s="7">
        <v>73216</v>
      </c>
      <c r="L618" s="6">
        <f t="shared" si="65"/>
        <v>183</v>
      </c>
      <c r="M618" s="7">
        <v>18355</v>
      </c>
      <c r="N618" s="8">
        <f t="shared" si="66"/>
        <v>38</v>
      </c>
      <c r="O618" s="7">
        <v>54861</v>
      </c>
      <c r="P618" s="6">
        <f t="shared" si="67"/>
        <v>145</v>
      </c>
      <c r="Q618" s="9"/>
      <c r="R618" s="6">
        <f t="shared" si="68"/>
        <v>0</v>
      </c>
      <c r="S618" s="10" t="s">
        <v>1</v>
      </c>
      <c r="T618" s="2" t="s">
        <v>800</v>
      </c>
    </row>
    <row r="619" spans="1:20" ht="37.5" customHeight="1" x14ac:dyDescent="0.25">
      <c r="A619" s="2" t="s">
        <v>802</v>
      </c>
      <c r="B619">
        <f t="shared" si="63"/>
        <v>24926</v>
      </c>
      <c r="C619">
        <v>4369</v>
      </c>
      <c r="D619">
        <v>20557</v>
      </c>
      <c r="F619">
        <f t="shared" si="64"/>
        <v>500</v>
      </c>
      <c r="G619" s="3">
        <f t="shared" si="69"/>
        <v>619</v>
      </c>
      <c r="H619" s="4"/>
      <c r="I619" s="5" t="s">
        <v>803</v>
      </c>
      <c r="J619" s="6"/>
      <c r="K619" s="7">
        <v>24426</v>
      </c>
      <c r="L619" s="6">
        <f t="shared" si="65"/>
        <v>500</v>
      </c>
      <c r="M619" s="7">
        <v>4282</v>
      </c>
      <c r="N619" s="8">
        <f t="shared" si="66"/>
        <v>87</v>
      </c>
      <c r="O619" s="7">
        <v>20144</v>
      </c>
      <c r="P619" s="6">
        <f t="shared" si="67"/>
        <v>413</v>
      </c>
      <c r="Q619" s="9"/>
      <c r="R619" s="6">
        <f t="shared" si="68"/>
        <v>0</v>
      </c>
      <c r="S619" s="10" t="s">
        <v>1</v>
      </c>
      <c r="T619" s="2" t="s">
        <v>802</v>
      </c>
    </row>
    <row r="620" spans="1:20" ht="37.5" customHeight="1" x14ac:dyDescent="0.25">
      <c r="A620" s="2" t="s">
        <v>804</v>
      </c>
      <c r="B620">
        <f t="shared" si="63"/>
        <v>340</v>
      </c>
      <c r="C620">
        <v>83</v>
      </c>
      <c r="D620">
        <v>257</v>
      </c>
      <c r="E620">
        <v>1100</v>
      </c>
      <c r="F620">
        <f t="shared" si="64"/>
        <v>340</v>
      </c>
      <c r="G620" s="3">
        <f t="shared" si="69"/>
        <v>620</v>
      </c>
      <c r="H620" s="4"/>
      <c r="I620" s="5" t="s">
        <v>805</v>
      </c>
      <c r="J620" s="6"/>
      <c r="K620" s="7">
        <v>0</v>
      </c>
      <c r="L620" s="6">
        <f t="shared" si="65"/>
        <v>340</v>
      </c>
      <c r="M620" s="7">
        <v>0</v>
      </c>
      <c r="N620" s="8">
        <f t="shared" si="66"/>
        <v>83</v>
      </c>
      <c r="O620" s="7">
        <v>0</v>
      </c>
      <c r="P620" s="6">
        <f t="shared" si="67"/>
        <v>257</v>
      </c>
      <c r="Q620" s="9">
        <v>0</v>
      </c>
      <c r="R620" s="6">
        <f t="shared" si="68"/>
        <v>1100</v>
      </c>
      <c r="S620" s="10" t="s">
        <v>1</v>
      </c>
      <c r="T620" s="2" t="s">
        <v>804</v>
      </c>
    </row>
    <row r="621" spans="1:20" ht="37.5" customHeight="1" x14ac:dyDescent="0.25">
      <c r="A621" s="2" t="s">
        <v>806</v>
      </c>
      <c r="B621">
        <f t="shared" si="63"/>
        <v>246</v>
      </c>
      <c r="C621">
        <v>53</v>
      </c>
      <c r="D621">
        <v>193</v>
      </c>
      <c r="E621">
        <v>1096</v>
      </c>
      <c r="F621">
        <f t="shared" si="64"/>
        <v>246</v>
      </c>
      <c r="G621" s="3">
        <f t="shared" si="69"/>
        <v>621</v>
      </c>
      <c r="H621" s="4"/>
      <c r="I621" s="5" t="s">
        <v>807</v>
      </c>
      <c r="J621" s="6"/>
      <c r="K621" s="7">
        <v>0</v>
      </c>
      <c r="L621" s="6">
        <f t="shared" si="65"/>
        <v>246</v>
      </c>
      <c r="M621" s="7">
        <v>0</v>
      </c>
      <c r="N621" s="8">
        <f t="shared" si="66"/>
        <v>53</v>
      </c>
      <c r="O621" s="7">
        <v>0</v>
      </c>
      <c r="P621" s="6">
        <f t="shared" si="67"/>
        <v>193</v>
      </c>
      <c r="Q621" s="9">
        <v>0</v>
      </c>
      <c r="R621" s="6">
        <f t="shared" si="68"/>
        <v>1096</v>
      </c>
      <c r="S621" s="10" t="s">
        <v>1</v>
      </c>
      <c r="T621" s="2" t="s">
        <v>806</v>
      </c>
    </row>
    <row r="622" spans="1:20" ht="37.5" customHeight="1" x14ac:dyDescent="0.25">
      <c r="A622" s="2" t="s">
        <v>808</v>
      </c>
      <c r="B622">
        <f t="shared" si="63"/>
        <v>71110</v>
      </c>
      <c r="C622">
        <v>16233</v>
      </c>
      <c r="D622">
        <v>54877</v>
      </c>
      <c r="F622">
        <f t="shared" si="64"/>
        <v>206</v>
      </c>
      <c r="G622" s="3">
        <f t="shared" si="69"/>
        <v>622</v>
      </c>
      <c r="H622" s="4"/>
      <c r="I622" s="5">
        <v>462</v>
      </c>
      <c r="J622" s="6"/>
      <c r="K622" s="7">
        <v>70904</v>
      </c>
      <c r="L622" s="6">
        <f t="shared" si="65"/>
        <v>206</v>
      </c>
      <c r="M622" s="7">
        <v>16199</v>
      </c>
      <c r="N622" s="8">
        <f t="shared" si="66"/>
        <v>34</v>
      </c>
      <c r="O622" s="7">
        <v>54705</v>
      </c>
      <c r="P622" s="6">
        <f t="shared" si="67"/>
        <v>172</v>
      </c>
      <c r="Q622" s="9"/>
      <c r="R622" s="6">
        <f t="shared" si="68"/>
        <v>0</v>
      </c>
      <c r="S622" s="10" t="s">
        <v>1</v>
      </c>
      <c r="T622" s="2" t="s">
        <v>808</v>
      </c>
    </row>
    <row r="623" spans="1:20" ht="37.5" customHeight="1" x14ac:dyDescent="0.25">
      <c r="A623" s="2" t="s">
        <v>809</v>
      </c>
      <c r="B623">
        <f t="shared" si="63"/>
        <v>26872</v>
      </c>
      <c r="C623">
        <v>4637</v>
      </c>
      <c r="D623">
        <v>22235</v>
      </c>
      <c r="F623">
        <f t="shared" si="64"/>
        <v>290</v>
      </c>
      <c r="G623" s="3">
        <f t="shared" si="69"/>
        <v>623</v>
      </c>
      <c r="H623" s="4"/>
      <c r="I623" s="5">
        <v>463</v>
      </c>
      <c r="J623" s="6"/>
      <c r="K623" s="7">
        <v>26582</v>
      </c>
      <c r="L623" s="6">
        <f t="shared" si="65"/>
        <v>290</v>
      </c>
      <c r="M623" s="7">
        <v>4581</v>
      </c>
      <c r="N623" s="8">
        <f t="shared" si="66"/>
        <v>56</v>
      </c>
      <c r="O623" s="7">
        <v>22001</v>
      </c>
      <c r="P623" s="6">
        <f t="shared" si="67"/>
        <v>234</v>
      </c>
      <c r="Q623" s="9"/>
      <c r="R623" s="6">
        <f t="shared" si="68"/>
        <v>0</v>
      </c>
      <c r="S623" s="10" t="s">
        <v>1</v>
      </c>
      <c r="T623" s="2" t="s">
        <v>809</v>
      </c>
    </row>
    <row r="624" spans="1:20" ht="37.5" customHeight="1" x14ac:dyDescent="0.25">
      <c r="A624" s="2" t="s">
        <v>810</v>
      </c>
      <c r="B624">
        <f t="shared" si="63"/>
        <v>9426</v>
      </c>
      <c r="C624">
        <v>1657</v>
      </c>
      <c r="D624">
        <v>7769</v>
      </c>
      <c r="F624">
        <f t="shared" si="64"/>
        <v>176</v>
      </c>
      <c r="G624" s="3">
        <f t="shared" si="69"/>
        <v>624</v>
      </c>
      <c r="H624" s="4"/>
      <c r="I624" s="5">
        <v>464</v>
      </c>
      <c r="J624" s="6"/>
      <c r="K624" s="7">
        <v>9250</v>
      </c>
      <c r="L624" s="6">
        <f t="shared" si="65"/>
        <v>176</v>
      </c>
      <c r="M624" s="7">
        <v>1624</v>
      </c>
      <c r="N624" s="8">
        <f t="shared" si="66"/>
        <v>33</v>
      </c>
      <c r="O624" s="7">
        <v>7626</v>
      </c>
      <c r="P624" s="6">
        <f t="shared" si="67"/>
        <v>143</v>
      </c>
      <c r="Q624" s="9"/>
      <c r="R624" s="6">
        <f t="shared" si="68"/>
        <v>0</v>
      </c>
      <c r="S624" s="10" t="s">
        <v>1</v>
      </c>
      <c r="T624" s="2" t="s">
        <v>810</v>
      </c>
    </row>
    <row r="625" spans="1:20" ht="37.5" customHeight="1" x14ac:dyDescent="0.25">
      <c r="A625" s="2" t="s">
        <v>811</v>
      </c>
      <c r="B625">
        <f t="shared" si="63"/>
        <v>21702</v>
      </c>
      <c r="C625">
        <v>4908</v>
      </c>
      <c r="D625">
        <v>16794</v>
      </c>
      <c r="F625">
        <f t="shared" si="64"/>
        <v>331</v>
      </c>
      <c r="G625" s="3">
        <f t="shared" si="69"/>
        <v>625</v>
      </c>
      <c r="H625" s="4"/>
      <c r="I625" s="5">
        <v>465</v>
      </c>
      <c r="J625" s="6"/>
      <c r="K625" s="7">
        <v>21371</v>
      </c>
      <c r="L625" s="6">
        <f t="shared" si="65"/>
        <v>331</v>
      </c>
      <c r="M625" s="7">
        <v>4821</v>
      </c>
      <c r="N625" s="8">
        <f t="shared" si="66"/>
        <v>87</v>
      </c>
      <c r="O625" s="7">
        <v>16550</v>
      </c>
      <c r="P625" s="6">
        <f t="shared" si="67"/>
        <v>244</v>
      </c>
      <c r="Q625" s="9"/>
      <c r="R625" s="6">
        <f t="shared" si="68"/>
        <v>0</v>
      </c>
      <c r="S625" s="10" t="s">
        <v>1</v>
      </c>
      <c r="T625" s="2" t="s">
        <v>811</v>
      </c>
    </row>
    <row r="626" spans="1:20" ht="37.5" customHeight="1" x14ac:dyDescent="0.25">
      <c r="A626" s="2" t="s">
        <v>812</v>
      </c>
      <c r="B626">
        <f t="shared" si="63"/>
        <v>51280</v>
      </c>
      <c r="C626">
        <v>9371</v>
      </c>
      <c r="D626">
        <v>41909</v>
      </c>
      <c r="F626">
        <f t="shared" si="64"/>
        <v>386</v>
      </c>
      <c r="G626" s="3">
        <f t="shared" si="69"/>
        <v>626</v>
      </c>
      <c r="H626" s="4"/>
      <c r="I626" s="5">
        <v>466</v>
      </c>
      <c r="J626" s="6"/>
      <c r="K626" s="7">
        <v>50894</v>
      </c>
      <c r="L626" s="6">
        <f t="shared" si="65"/>
        <v>386</v>
      </c>
      <c r="M626" s="7">
        <v>9297</v>
      </c>
      <c r="N626" s="8">
        <f t="shared" si="66"/>
        <v>74</v>
      </c>
      <c r="O626" s="7">
        <v>41597</v>
      </c>
      <c r="P626" s="6">
        <f t="shared" si="67"/>
        <v>312</v>
      </c>
      <c r="Q626" s="9"/>
      <c r="R626" s="6">
        <f t="shared" si="68"/>
        <v>0</v>
      </c>
      <c r="S626" s="10" t="s">
        <v>1</v>
      </c>
      <c r="T626" s="2" t="s">
        <v>812</v>
      </c>
    </row>
    <row r="627" spans="1:20" ht="37.5" customHeight="1" x14ac:dyDescent="0.25">
      <c r="A627" s="2" t="s">
        <v>813</v>
      </c>
      <c r="B627">
        <f t="shared" si="63"/>
        <v>46559</v>
      </c>
      <c r="C627">
        <v>8082</v>
      </c>
      <c r="D627">
        <v>38477</v>
      </c>
      <c r="F627">
        <f t="shared" si="64"/>
        <v>376</v>
      </c>
      <c r="G627" s="3">
        <f t="shared" si="69"/>
        <v>627</v>
      </c>
      <c r="H627" s="4"/>
      <c r="I627" s="5">
        <v>467</v>
      </c>
      <c r="J627" s="6"/>
      <c r="K627" s="7">
        <v>46183</v>
      </c>
      <c r="L627" s="6">
        <f t="shared" si="65"/>
        <v>376</v>
      </c>
      <c r="M627" s="7">
        <v>8006</v>
      </c>
      <c r="N627" s="8">
        <f t="shared" si="66"/>
        <v>76</v>
      </c>
      <c r="O627" s="7">
        <v>38177</v>
      </c>
      <c r="P627" s="6">
        <f t="shared" si="67"/>
        <v>300</v>
      </c>
      <c r="Q627" s="9"/>
      <c r="R627" s="6">
        <f t="shared" si="68"/>
        <v>0</v>
      </c>
      <c r="S627" s="10" t="s">
        <v>1</v>
      </c>
      <c r="T627" s="2" t="s">
        <v>813</v>
      </c>
    </row>
    <row r="628" spans="1:20" ht="37.5" customHeight="1" x14ac:dyDescent="0.25">
      <c r="A628" s="2" t="s">
        <v>814</v>
      </c>
      <c r="B628">
        <f t="shared" si="63"/>
        <v>47284</v>
      </c>
      <c r="C628">
        <v>7706</v>
      </c>
      <c r="D628">
        <v>39578</v>
      </c>
      <c r="F628">
        <f t="shared" si="64"/>
        <v>171</v>
      </c>
      <c r="G628" s="3">
        <f t="shared" si="69"/>
        <v>628</v>
      </c>
      <c r="H628" s="4"/>
      <c r="I628" s="5">
        <v>468</v>
      </c>
      <c r="J628" s="6"/>
      <c r="K628" s="7">
        <v>47113</v>
      </c>
      <c r="L628" s="6">
        <f t="shared" si="65"/>
        <v>171</v>
      </c>
      <c r="M628" s="7">
        <v>7678</v>
      </c>
      <c r="N628" s="8">
        <f t="shared" si="66"/>
        <v>28</v>
      </c>
      <c r="O628" s="7">
        <v>39435</v>
      </c>
      <c r="P628" s="6">
        <f t="shared" si="67"/>
        <v>143</v>
      </c>
      <c r="Q628" s="9"/>
      <c r="R628" s="6">
        <f t="shared" si="68"/>
        <v>0</v>
      </c>
      <c r="S628" s="10" t="s">
        <v>1</v>
      </c>
      <c r="T628" s="2" t="s">
        <v>814</v>
      </c>
    </row>
    <row r="629" spans="1:20" ht="37.5" customHeight="1" x14ac:dyDescent="0.25">
      <c r="A629" s="2" t="s">
        <v>815</v>
      </c>
      <c r="B629">
        <f t="shared" si="63"/>
        <v>15550</v>
      </c>
      <c r="C629">
        <v>2375</v>
      </c>
      <c r="D629">
        <v>13175</v>
      </c>
      <c r="F629">
        <f t="shared" si="64"/>
        <v>281</v>
      </c>
      <c r="G629" s="3">
        <f t="shared" si="69"/>
        <v>629</v>
      </c>
      <c r="H629" s="4"/>
      <c r="I629" s="5">
        <v>469</v>
      </c>
      <c r="J629" s="6"/>
      <c r="K629" s="7">
        <v>15269</v>
      </c>
      <c r="L629" s="6">
        <f t="shared" si="65"/>
        <v>281</v>
      </c>
      <c r="M629" s="7">
        <v>2322</v>
      </c>
      <c r="N629" s="8">
        <f t="shared" si="66"/>
        <v>53</v>
      </c>
      <c r="O629" s="7">
        <v>12947</v>
      </c>
      <c r="P629" s="6">
        <f t="shared" si="67"/>
        <v>228</v>
      </c>
      <c r="Q629" s="9"/>
      <c r="R629" s="6">
        <f t="shared" si="68"/>
        <v>0</v>
      </c>
      <c r="S629" s="10" t="s">
        <v>1</v>
      </c>
      <c r="T629" s="2" t="s">
        <v>815</v>
      </c>
    </row>
    <row r="630" spans="1:20" ht="37.5" customHeight="1" x14ac:dyDescent="0.25">
      <c r="A630" s="2" t="s">
        <v>816</v>
      </c>
      <c r="B630">
        <f t="shared" si="63"/>
        <v>2325</v>
      </c>
      <c r="C630">
        <v>675</v>
      </c>
      <c r="D630">
        <v>1650</v>
      </c>
      <c r="E630">
        <v>3818</v>
      </c>
      <c r="F630">
        <f t="shared" si="64"/>
        <v>300</v>
      </c>
      <c r="G630" s="3">
        <f t="shared" si="69"/>
        <v>630</v>
      </c>
      <c r="H630" s="4"/>
      <c r="I630" s="5">
        <v>470</v>
      </c>
      <c r="J630" s="6"/>
      <c r="K630" s="7">
        <f>M630+O630</f>
        <v>2025</v>
      </c>
      <c r="L630" s="6">
        <f t="shared" si="65"/>
        <v>300</v>
      </c>
      <c r="M630" s="7">
        <v>583</v>
      </c>
      <c r="N630" s="8">
        <f t="shared" si="66"/>
        <v>92</v>
      </c>
      <c r="O630" s="7">
        <v>1442</v>
      </c>
      <c r="P630" s="6">
        <f t="shared" si="67"/>
        <v>208</v>
      </c>
      <c r="Q630" s="9">
        <v>3110</v>
      </c>
      <c r="R630" s="6">
        <f t="shared" si="68"/>
        <v>708</v>
      </c>
      <c r="S630" s="10" t="s">
        <v>1</v>
      </c>
      <c r="T630" s="2" t="s">
        <v>816</v>
      </c>
    </row>
    <row r="631" spans="1:20" ht="37.5" customHeight="1" x14ac:dyDescent="0.25">
      <c r="A631" s="2" t="s">
        <v>817</v>
      </c>
      <c r="B631">
        <f t="shared" si="63"/>
        <v>11071</v>
      </c>
      <c r="C631">
        <v>1898</v>
      </c>
      <c r="D631">
        <v>9173</v>
      </c>
      <c r="F631">
        <f t="shared" si="64"/>
        <v>426</v>
      </c>
      <c r="G631" s="3">
        <f t="shared" si="69"/>
        <v>631</v>
      </c>
      <c r="H631" s="4"/>
      <c r="I631" s="5">
        <v>471</v>
      </c>
      <c r="J631" s="6"/>
      <c r="K631" s="7">
        <v>10645</v>
      </c>
      <c r="L631" s="6">
        <f t="shared" si="65"/>
        <v>426</v>
      </c>
      <c r="M631" s="7">
        <v>1827</v>
      </c>
      <c r="N631" s="8">
        <f t="shared" si="66"/>
        <v>71</v>
      </c>
      <c r="O631" s="7">
        <v>8818</v>
      </c>
      <c r="P631" s="6">
        <f t="shared" si="67"/>
        <v>355</v>
      </c>
      <c r="Q631" s="9"/>
      <c r="R631" s="6">
        <f t="shared" si="68"/>
        <v>0</v>
      </c>
      <c r="S631" s="10" t="s">
        <v>1</v>
      </c>
      <c r="T631" s="2" t="s">
        <v>817</v>
      </c>
    </row>
    <row r="632" spans="1:20" ht="37.5" customHeight="1" x14ac:dyDescent="0.25">
      <c r="A632" s="2" t="s">
        <v>818</v>
      </c>
      <c r="B632">
        <f t="shared" si="63"/>
        <v>41090</v>
      </c>
      <c r="C632">
        <v>8239</v>
      </c>
      <c r="D632">
        <v>32851</v>
      </c>
      <c r="F632">
        <f t="shared" si="64"/>
        <v>494</v>
      </c>
      <c r="G632" s="3">
        <f t="shared" si="69"/>
        <v>632</v>
      </c>
      <c r="H632" s="4"/>
      <c r="I632" s="5">
        <v>472</v>
      </c>
      <c r="J632" s="6"/>
      <c r="K632" s="7">
        <v>40596</v>
      </c>
      <c r="L632" s="6">
        <f t="shared" si="65"/>
        <v>494</v>
      </c>
      <c r="M632" s="7">
        <v>8143</v>
      </c>
      <c r="N632" s="8">
        <f t="shared" si="66"/>
        <v>96</v>
      </c>
      <c r="O632" s="7">
        <v>32453</v>
      </c>
      <c r="P632" s="6">
        <f t="shared" si="67"/>
        <v>398</v>
      </c>
      <c r="Q632" s="9"/>
      <c r="R632" s="6">
        <f t="shared" si="68"/>
        <v>0</v>
      </c>
      <c r="S632" s="10" t="s">
        <v>1</v>
      </c>
      <c r="T632" s="2" t="s">
        <v>818</v>
      </c>
    </row>
    <row r="633" spans="1:20" ht="37.5" customHeight="1" x14ac:dyDescent="0.25">
      <c r="A633" s="2" t="s">
        <v>819</v>
      </c>
      <c r="B633">
        <f t="shared" si="63"/>
        <v>118484</v>
      </c>
      <c r="C633">
        <v>27770</v>
      </c>
      <c r="D633">
        <v>90714</v>
      </c>
      <c r="F633">
        <f t="shared" si="64"/>
        <v>351</v>
      </c>
      <c r="G633" s="3">
        <f t="shared" si="69"/>
        <v>633</v>
      </c>
      <c r="H633" s="4"/>
      <c r="I633" s="5">
        <v>473</v>
      </c>
      <c r="J633" s="6"/>
      <c r="K633" s="7">
        <v>118133</v>
      </c>
      <c r="L633" s="6">
        <f t="shared" si="65"/>
        <v>351</v>
      </c>
      <c r="M633" s="7">
        <v>27698</v>
      </c>
      <c r="N633" s="8">
        <f t="shared" si="66"/>
        <v>72</v>
      </c>
      <c r="O633" s="7">
        <v>90435</v>
      </c>
      <c r="P633" s="6">
        <f t="shared" si="67"/>
        <v>279</v>
      </c>
      <c r="Q633" s="9"/>
      <c r="R633" s="6">
        <f t="shared" si="68"/>
        <v>0</v>
      </c>
      <c r="S633" s="10" t="s">
        <v>1</v>
      </c>
      <c r="T633" s="2" t="s">
        <v>819</v>
      </c>
    </row>
    <row r="634" spans="1:20" ht="37.5" customHeight="1" x14ac:dyDescent="0.25">
      <c r="A634" s="2" t="s">
        <v>820</v>
      </c>
      <c r="B634">
        <f t="shared" si="63"/>
        <v>19976</v>
      </c>
      <c r="C634">
        <v>3718</v>
      </c>
      <c r="D634">
        <v>16258</v>
      </c>
      <c r="F634">
        <f t="shared" si="64"/>
        <v>141</v>
      </c>
      <c r="G634" s="3">
        <f t="shared" si="69"/>
        <v>634</v>
      </c>
      <c r="H634" s="4"/>
      <c r="I634" s="5">
        <v>474</v>
      </c>
      <c r="J634" s="6"/>
      <c r="K634" s="7">
        <v>19835</v>
      </c>
      <c r="L634" s="6">
        <f t="shared" si="65"/>
        <v>141</v>
      </c>
      <c r="M634" s="7">
        <v>3695</v>
      </c>
      <c r="N634" s="8">
        <f t="shared" si="66"/>
        <v>23</v>
      </c>
      <c r="O634" s="7">
        <v>16140</v>
      </c>
      <c r="P634" s="6">
        <f t="shared" si="67"/>
        <v>118</v>
      </c>
      <c r="Q634" s="9"/>
      <c r="R634" s="6">
        <f t="shared" si="68"/>
        <v>0</v>
      </c>
      <c r="S634" s="10" t="s">
        <v>1</v>
      </c>
      <c r="T634" s="2" t="s">
        <v>820</v>
      </c>
    </row>
    <row r="635" spans="1:20" ht="37.5" customHeight="1" x14ac:dyDescent="0.25">
      <c r="A635" s="2" t="s">
        <v>821</v>
      </c>
      <c r="B635">
        <f t="shared" si="63"/>
        <v>40665</v>
      </c>
      <c r="C635">
        <v>6136</v>
      </c>
      <c r="D635">
        <v>34529</v>
      </c>
      <c r="F635">
        <f t="shared" si="64"/>
        <v>519</v>
      </c>
      <c r="G635" s="3">
        <f t="shared" si="69"/>
        <v>635</v>
      </c>
      <c r="H635" s="4"/>
      <c r="I635" s="5">
        <v>475</v>
      </c>
      <c r="J635" s="6"/>
      <c r="K635" s="7">
        <v>40146</v>
      </c>
      <c r="L635" s="6">
        <f t="shared" si="65"/>
        <v>519</v>
      </c>
      <c r="M635" s="7">
        <v>6058</v>
      </c>
      <c r="N635" s="8">
        <f t="shared" si="66"/>
        <v>78</v>
      </c>
      <c r="O635" s="7">
        <v>34088</v>
      </c>
      <c r="P635" s="6">
        <f t="shared" si="67"/>
        <v>441</v>
      </c>
      <c r="Q635" s="9"/>
      <c r="R635" s="6">
        <f t="shared" si="68"/>
        <v>0</v>
      </c>
      <c r="S635" s="10" t="s">
        <v>1</v>
      </c>
      <c r="T635" s="2" t="s">
        <v>821</v>
      </c>
    </row>
    <row r="636" spans="1:20" ht="37.5" customHeight="1" x14ac:dyDescent="0.25">
      <c r="A636" s="2" t="s">
        <v>822</v>
      </c>
      <c r="B636">
        <f t="shared" si="63"/>
        <v>128347</v>
      </c>
      <c r="C636">
        <v>29720</v>
      </c>
      <c r="D636">
        <v>98627</v>
      </c>
      <c r="F636">
        <f t="shared" si="64"/>
        <v>6</v>
      </c>
      <c r="G636" s="3">
        <f t="shared" si="69"/>
        <v>636</v>
      </c>
      <c r="H636" s="4"/>
      <c r="I636" s="5">
        <v>476</v>
      </c>
      <c r="J636" s="6"/>
      <c r="K636" s="7">
        <v>128341</v>
      </c>
      <c r="L636" s="6">
        <f t="shared" si="65"/>
        <v>6</v>
      </c>
      <c r="M636" s="7">
        <v>29719</v>
      </c>
      <c r="N636" s="8">
        <f t="shared" si="66"/>
        <v>1</v>
      </c>
      <c r="O636" s="7">
        <v>98622</v>
      </c>
      <c r="P636" s="6">
        <f t="shared" si="67"/>
        <v>5</v>
      </c>
      <c r="Q636" s="9"/>
      <c r="R636" s="6">
        <f t="shared" si="68"/>
        <v>0</v>
      </c>
      <c r="S636" s="10" t="s">
        <v>1</v>
      </c>
      <c r="T636" s="2" t="s">
        <v>822</v>
      </c>
    </row>
    <row r="637" spans="1:20" ht="37.5" customHeight="1" x14ac:dyDescent="0.25">
      <c r="A637" s="2" t="s">
        <v>823</v>
      </c>
      <c r="B637">
        <f t="shared" si="63"/>
        <v>91178</v>
      </c>
      <c r="C637">
        <v>23543</v>
      </c>
      <c r="D637">
        <v>67635</v>
      </c>
      <c r="F637">
        <f t="shared" si="64"/>
        <v>9</v>
      </c>
      <c r="G637" s="3">
        <f t="shared" si="69"/>
        <v>637</v>
      </c>
      <c r="H637" s="4"/>
      <c r="I637" s="5">
        <v>477</v>
      </c>
      <c r="J637" s="6"/>
      <c r="K637" s="7">
        <v>91169</v>
      </c>
      <c r="L637" s="6">
        <f t="shared" si="65"/>
        <v>9</v>
      </c>
      <c r="M637" s="7">
        <v>23542</v>
      </c>
      <c r="N637" s="8">
        <f t="shared" si="66"/>
        <v>1</v>
      </c>
      <c r="O637" s="7">
        <v>67627</v>
      </c>
      <c r="P637" s="6">
        <f t="shared" si="67"/>
        <v>8</v>
      </c>
      <c r="Q637" s="9"/>
      <c r="R637" s="6">
        <f t="shared" si="68"/>
        <v>0</v>
      </c>
      <c r="S637" s="10" t="s">
        <v>1</v>
      </c>
      <c r="T637" s="2" t="s">
        <v>823</v>
      </c>
    </row>
    <row r="638" spans="1:20" ht="37.5" customHeight="1" x14ac:dyDescent="0.25">
      <c r="A638" s="2" t="s">
        <v>824</v>
      </c>
      <c r="B638">
        <f t="shared" si="63"/>
        <v>42293</v>
      </c>
      <c r="C638">
        <v>6291</v>
      </c>
      <c r="D638">
        <v>36002</v>
      </c>
      <c r="F638">
        <f t="shared" si="64"/>
        <v>645</v>
      </c>
      <c r="G638" s="3">
        <f t="shared" si="69"/>
        <v>638</v>
      </c>
      <c r="H638" s="4"/>
      <c r="I638" s="5">
        <v>478</v>
      </c>
      <c r="J638" s="6"/>
      <c r="K638" s="7">
        <v>41648</v>
      </c>
      <c r="L638" s="6">
        <f t="shared" si="65"/>
        <v>645</v>
      </c>
      <c r="M638" s="7">
        <v>6185</v>
      </c>
      <c r="N638" s="8">
        <f t="shared" si="66"/>
        <v>106</v>
      </c>
      <c r="O638" s="7">
        <v>35463</v>
      </c>
      <c r="P638" s="6">
        <f t="shared" si="67"/>
        <v>539</v>
      </c>
      <c r="Q638" s="9"/>
      <c r="R638" s="6">
        <f t="shared" si="68"/>
        <v>0</v>
      </c>
      <c r="S638" s="10" t="s">
        <v>1</v>
      </c>
      <c r="T638" s="2" t="s">
        <v>824</v>
      </c>
    </row>
    <row r="639" spans="1:20" ht="37.5" customHeight="1" x14ac:dyDescent="0.25">
      <c r="A639" s="2" t="s">
        <v>825</v>
      </c>
      <c r="B639">
        <f t="shared" si="63"/>
        <v>14987</v>
      </c>
      <c r="C639">
        <v>4350</v>
      </c>
      <c r="D639">
        <v>10637</v>
      </c>
      <c r="E639">
        <v>18651</v>
      </c>
      <c r="F639">
        <f t="shared" si="64"/>
        <v>527</v>
      </c>
      <c r="G639" s="3">
        <f t="shared" si="69"/>
        <v>639</v>
      </c>
      <c r="H639" s="4"/>
      <c r="I639" s="5">
        <v>479</v>
      </c>
      <c r="J639" s="6"/>
      <c r="K639" s="7">
        <f>M639+O639</f>
        <v>14460</v>
      </c>
      <c r="L639" s="6">
        <f t="shared" si="65"/>
        <v>527</v>
      </c>
      <c r="M639" s="7">
        <v>4191</v>
      </c>
      <c r="N639" s="8">
        <f t="shared" si="66"/>
        <v>159</v>
      </c>
      <c r="O639" s="7">
        <v>10269</v>
      </c>
      <c r="P639" s="6">
        <f t="shared" si="67"/>
        <v>368</v>
      </c>
      <c r="Q639" s="9">
        <v>17675</v>
      </c>
      <c r="R639" s="6">
        <f t="shared" si="68"/>
        <v>976</v>
      </c>
      <c r="S639" s="10" t="s">
        <v>1</v>
      </c>
      <c r="T639" s="2" t="s">
        <v>825</v>
      </c>
    </row>
    <row r="640" spans="1:20" ht="37.5" customHeight="1" x14ac:dyDescent="0.25">
      <c r="A640" s="2" t="s">
        <v>826</v>
      </c>
      <c r="B640">
        <f t="shared" si="63"/>
        <v>48855</v>
      </c>
      <c r="C640">
        <v>8553</v>
      </c>
      <c r="D640">
        <v>40302</v>
      </c>
      <c r="F640">
        <f t="shared" si="64"/>
        <v>205</v>
      </c>
      <c r="G640" s="3">
        <f t="shared" si="69"/>
        <v>640</v>
      </c>
      <c r="H640" s="4"/>
      <c r="I640" s="5">
        <v>480</v>
      </c>
      <c r="J640" s="6"/>
      <c r="K640" s="7">
        <v>48650</v>
      </c>
      <c r="L640" s="6">
        <f t="shared" si="65"/>
        <v>205</v>
      </c>
      <c r="M640" s="7">
        <v>8527</v>
      </c>
      <c r="N640" s="8">
        <f t="shared" si="66"/>
        <v>26</v>
      </c>
      <c r="O640" s="7">
        <v>40123</v>
      </c>
      <c r="P640" s="6">
        <f t="shared" si="67"/>
        <v>179</v>
      </c>
      <c r="Q640" s="9"/>
      <c r="R640" s="6">
        <f t="shared" si="68"/>
        <v>0</v>
      </c>
      <c r="S640" s="10" t="s">
        <v>1</v>
      </c>
      <c r="T640" s="2" t="s">
        <v>826</v>
      </c>
    </row>
    <row r="641" spans="1:20" ht="37.5" customHeight="1" x14ac:dyDescent="0.25">
      <c r="A641" s="2" t="s">
        <v>827</v>
      </c>
      <c r="B641">
        <f t="shared" si="63"/>
        <v>61019</v>
      </c>
      <c r="C641">
        <v>10349</v>
      </c>
      <c r="D641">
        <v>50670</v>
      </c>
      <c r="F641">
        <f t="shared" si="64"/>
        <v>406</v>
      </c>
      <c r="G641" s="3">
        <f t="shared" si="69"/>
        <v>641</v>
      </c>
      <c r="H641" s="4"/>
      <c r="I641" s="5">
        <v>481</v>
      </c>
      <c r="J641" s="6"/>
      <c r="K641" s="7">
        <v>60613</v>
      </c>
      <c r="L641" s="6">
        <f t="shared" si="65"/>
        <v>406</v>
      </c>
      <c r="M641" s="7">
        <v>10276</v>
      </c>
      <c r="N641" s="8">
        <f t="shared" si="66"/>
        <v>73</v>
      </c>
      <c r="O641" s="7">
        <v>50337</v>
      </c>
      <c r="P641" s="6">
        <f t="shared" si="67"/>
        <v>333</v>
      </c>
      <c r="Q641" s="9"/>
      <c r="R641" s="6">
        <f t="shared" si="68"/>
        <v>0</v>
      </c>
      <c r="S641" s="10" t="s">
        <v>1</v>
      </c>
      <c r="T641" s="2" t="s">
        <v>827</v>
      </c>
    </row>
    <row r="642" spans="1:20" ht="37.5" customHeight="1" x14ac:dyDescent="0.25">
      <c r="A642" s="2" t="s">
        <v>828</v>
      </c>
      <c r="B642">
        <f t="shared" ref="B642:B705" si="70">C642+D642</f>
        <v>7059</v>
      </c>
      <c r="C642">
        <v>1261</v>
      </c>
      <c r="D642">
        <v>5798</v>
      </c>
      <c r="F642">
        <f t="shared" ref="F642:F705" si="71">L642</f>
        <v>140</v>
      </c>
      <c r="G642" s="3">
        <f t="shared" si="69"/>
        <v>642</v>
      </c>
      <c r="H642" s="4"/>
      <c r="I642" s="5">
        <v>482</v>
      </c>
      <c r="J642" s="6"/>
      <c r="K642" s="7">
        <v>6919</v>
      </c>
      <c r="L642" s="6">
        <f t="shared" ref="L642:L705" si="72">B642-K642</f>
        <v>140</v>
      </c>
      <c r="M642" s="7">
        <v>1233</v>
      </c>
      <c r="N642" s="8">
        <f t="shared" ref="N642:N705" si="73">C642-M642</f>
        <v>28</v>
      </c>
      <c r="O642" s="7">
        <v>5686</v>
      </c>
      <c r="P642" s="6">
        <f t="shared" ref="P642:P705" si="74">D642-O642</f>
        <v>112</v>
      </c>
      <c r="Q642" s="9"/>
      <c r="R642" s="6">
        <f t="shared" ref="R642:R705" si="75">E642-Q642</f>
        <v>0</v>
      </c>
      <c r="S642" s="10" t="s">
        <v>1</v>
      </c>
      <c r="T642" s="2" t="s">
        <v>828</v>
      </c>
    </row>
    <row r="643" spans="1:20" ht="37.5" customHeight="1" x14ac:dyDescent="0.25">
      <c r="A643" s="2" t="s">
        <v>829</v>
      </c>
      <c r="B643">
        <f t="shared" si="70"/>
        <v>18035</v>
      </c>
      <c r="C643">
        <v>3108</v>
      </c>
      <c r="D643">
        <v>14927</v>
      </c>
      <c r="F643">
        <f t="shared" si="71"/>
        <v>468</v>
      </c>
      <c r="G643" s="3">
        <f t="shared" ref="G643:G706" si="76">G642+1</f>
        <v>643</v>
      </c>
      <c r="H643" s="4"/>
      <c r="I643" s="5">
        <v>483</v>
      </c>
      <c r="J643" s="6"/>
      <c r="K643" s="7">
        <v>17567</v>
      </c>
      <c r="L643" s="6">
        <f t="shared" si="72"/>
        <v>468</v>
      </c>
      <c r="M643" s="7">
        <v>3044</v>
      </c>
      <c r="N643" s="8">
        <f t="shared" si="73"/>
        <v>64</v>
      </c>
      <c r="O643" s="7">
        <v>14523</v>
      </c>
      <c r="P643" s="6">
        <f t="shared" si="74"/>
        <v>404</v>
      </c>
      <c r="Q643" s="9"/>
      <c r="R643" s="6">
        <f t="shared" si="75"/>
        <v>0</v>
      </c>
      <c r="S643" s="10" t="s">
        <v>1</v>
      </c>
      <c r="T643" s="2" t="s">
        <v>829</v>
      </c>
    </row>
    <row r="644" spans="1:20" ht="37.5" customHeight="1" x14ac:dyDescent="0.25">
      <c r="A644" s="2" t="s">
        <v>830</v>
      </c>
      <c r="B644">
        <f t="shared" si="70"/>
        <v>113494</v>
      </c>
      <c r="C644">
        <v>24952</v>
      </c>
      <c r="D644">
        <v>88542</v>
      </c>
      <c r="F644">
        <f t="shared" si="71"/>
        <v>369</v>
      </c>
      <c r="G644" s="3">
        <f t="shared" si="76"/>
        <v>644</v>
      </c>
      <c r="H644" s="4"/>
      <c r="I644" s="5">
        <v>484</v>
      </c>
      <c r="J644" s="6"/>
      <c r="K644" s="7">
        <v>113125</v>
      </c>
      <c r="L644" s="6">
        <f t="shared" si="72"/>
        <v>369</v>
      </c>
      <c r="M644" s="7">
        <v>24892</v>
      </c>
      <c r="N644" s="8">
        <f t="shared" si="73"/>
        <v>60</v>
      </c>
      <c r="O644" s="7">
        <v>88233</v>
      </c>
      <c r="P644" s="6">
        <f t="shared" si="74"/>
        <v>309</v>
      </c>
      <c r="Q644" s="9"/>
      <c r="R644" s="6">
        <f t="shared" si="75"/>
        <v>0</v>
      </c>
      <c r="S644" s="10" t="s">
        <v>1</v>
      </c>
      <c r="T644" s="2" t="s">
        <v>830</v>
      </c>
    </row>
    <row r="645" spans="1:20" ht="37.5" customHeight="1" x14ac:dyDescent="0.25">
      <c r="A645" s="2" t="s">
        <v>831</v>
      </c>
      <c r="B645">
        <f t="shared" si="70"/>
        <v>16778</v>
      </c>
      <c r="C645">
        <v>2979</v>
      </c>
      <c r="D645">
        <v>13799</v>
      </c>
      <c r="F645">
        <f t="shared" si="71"/>
        <v>375</v>
      </c>
      <c r="G645" s="3">
        <f t="shared" si="76"/>
        <v>645</v>
      </c>
      <c r="H645" s="4"/>
      <c r="I645" s="5">
        <v>485</v>
      </c>
      <c r="J645" s="6"/>
      <c r="K645" s="7">
        <v>16403</v>
      </c>
      <c r="L645" s="6">
        <f t="shared" si="72"/>
        <v>375</v>
      </c>
      <c r="M645" s="7">
        <v>2921</v>
      </c>
      <c r="N645" s="8">
        <f t="shared" si="73"/>
        <v>58</v>
      </c>
      <c r="O645" s="7">
        <v>13482</v>
      </c>
      <c r="P645" s="6">
        <f t="shared" si="74"/>
        <v>317</v>
      </c>
      <c r="Q645" s="9"/>
      <c r="R645" s="6">
        <f t="shared" si="75"/>
        <v>0</v>
      </c>
      <c r="S645" s="10" t="s">
        <v>1</v>
      </c>
      <c r="T645" s="2" t="s">
        <v>831</v>
      </c>
    </row>
    <row r="646" spans="1:20" ht="37.5" customHeight="1" x14ac:dyDescent="0.25">
      <c r="A646" s="2" t="s">
        <v>832</v>
      </c>
      <c r="B646">
        <f t="shared" si="70"/>
        <v>125790</v>
      </c>
      <c r="C646">
        <v>31982</v>
      </c>
      <c r="D646">
        <v>93808</v>
      </c>
      <c r="F646">
        <f t="shared" si="71"/>
        <v>457</v>
      </c>
      <c r="G646" s="3">
        <f t="shared" si="76"/>
        <v>646</v>
      </c>
      <c r="H646" s="4"/>
      <c r="I646" s="5">
        <v>486</v>
      </c>
      <c r="J646" s="6"/>
      <c r="K646" s="7">
        <v>125333</v>
      </c>
      <c r="L646" s="6">
        <f t="shared" si="72"/>
        <v>457</v>
      </c>
      <c r="M646" s="7">
        <v>31918</v>
      </c>
      <c r="N646" s="8">
        <f t="shared" si="73"/>
        <v>64</v>
      </c>
      <c r="O646" s="7">
        <v>93415</v>
      </c>
      <c r="P646" s="6">
        <f t="shared" si="74"/>
        <v>393</v>
      </c>
      <c r="Q646" s="9"/>
      <c r="R646" s="6">
        <f t="shared" si="75"/>
        <v>0</v>
      </c>
      <c r="S646" s="10" t="s">
        <v>1</v>
      </c>
      <c r="T646" s="2" t="s">
        <v>832</v>
      </c>
    </row>
    <row r="647" spans="1:20" ht="37.5" customHeight="1" x14ac:dyDescent="0.25">
      <c r="A647" s="2" t="s">
        <v>833</v>
      </c>
      <c r="B647">
        <f t="shared" si="70"/>
        <v>289</v>
      </c>
      <c r="C647">
        <v>80</v>
      </c>
      <c r="D647">
        <v>209</v>
      </c>
      <c r="E647">
        <v>768</v>
      </c>
      <c r="F647">
        <f t="shared" si="71"/>
        <v>289</v>
      </c>
      <c r="G647" s="3">
        <f t="shared" si="76"/>
        <v>647</v>
      </c>
      <c r="H647" s="4"/>
      <c r="I647" s="5">
        <v>487</v>
      </c>
      <c r="J647" s="6"/>
      <c r="K647" s="7">
        <v>0</v>
      </c>
      <c r="L647" s="6">
        <f t="shared" si="72"/>
        <v>289</v>
      </c>
      <c r="M647" s="7">
        <v>0</v>
      </c>
      <c r="N647" s="8">
        <f t="shared" si="73"/>
        <v>80</v>
      </c>
      <c r="O647" s="7">
        <v>0</v>
      </c>
      <c r="P647" s="6">
        <f t="shared" si="74"/>
        <v>209</v>
      </c>
      <c r="Q647" s="9">
        <v>0</v>
      </c>
      <c r="R647" s="6">
        <f t="shared" si="75"/>
        <v>768</v>
      </c>
      <c r="S647" s="10" t="s">
        <v>1</v>
      </c>
      <c r="T647" s="2" t="s">
        <v>833</v>
      </c>
    </row>
    <row r="648" spans="1:20" ht="37.5" customHeight="1" x14ac:dyDescent="0.25">
      <c r="A648" s="2" t="s">
        <v>834</v>
      </c>
      <c r="B648">
        <f t="shared" si="70"/>
        <v>11089</v>
      </c>
      <c r="C648">
        <v>2085</v>
      </c>
      <c r="D648">
        <v>9004</v>
      </c>
      <c r="F648">
        <f t="shared" si="71"/>
        <v>188</v>
      </c>
      <c r="G648" s="3">
        <f t="shared" si="76"/>
        <v>648</v>
      </c>
      <c r="H648" s="4"/>
      <c r="I648" s="5">
        <v>488</v>
      </c>
      <c r="J648" s="6"/>
      <c r="K648" s="7">
        <v>10901</v>
      </c>
      <c r="L648" s="6">
        <f t="shared" si="72"/>
        <v>188</v>
      </c>
      <c r="M648" s="7">
        <v>2048</v>
      </c>
      <c r="N648" s="8">
        <f t="shared" si="73"/>
        <v>37</v>
      </c>
      <c r="O648" s="7">
        <v>8853</v>
      </c>
      <c r="P648" s="6">
        <f t="shared" si="74"/>
        <v>151</v>
      </c>
      <c r="Q648" s="9"/>
      <c r="R648" s="6">
        <f t="shared" si="75"/>
        <v>0</v>
      </c>
      <c r="S648" s="10" t="s">
        <v>1</v>
      </c>
      <c r="T648" s="2" t="s">
        <v>834</v>
      </c>
    </row>
    <row r="649" spans="1:20" ht="37.5" customHeight="1" x14ac:dyDescent="0.25">
      <c r="A649" s="2" t="s">
        <v>835</v>
      </c>
      <c r="B649">
        <f t="shared" si="70"/>
        <v>128237</v>
      </c>
      <c r="C649">
        <v>30179</v>
      </c>
      <c r="D649">
        <v>98058</v>
      </c>
      <c r="F649">
        <f t="shared" si="71"/>
        <v>217</v>
      </c>
      <c r="G649" s="3">
        <f t="shared" si="76"/>
        <v>649</v>
      </c>
      <c r="H649" s="4"/>
      <c r="I649" s="5">
        <v>489</v>
      </c>
      <c r="J649" s="6"/>
      <c r="K649" s="7">
        <v>128020</v>
      </c>
      <c r="L649" s="6">
        <f t="shared" si="72"/>
        <v>217</v>
      </c>
      <c r="M649" s="7">
        <v>30150</v>
      </c>
      <c r="N649" s="8">
        <f t="shared" si="73"/>
        <v>29</v>
      </c>
      <c r="O649" s="7">
        <v>97870</v>
      </c>
      <c r="P649" s="6">
        <f t="shared" si="74"/>
        <v>188</v>
      </c>
      <c r="Q649" s="9"/>
      <c r="R649" s="6">
        <f t="shared" si="75"/>
        <v>0</v>
      </c>
      <c r="S649" s="10" t="s">
        <v>1</v>
      </c>
      <c r="T649" s="2" t="s">
        <v>835</v>
      </c>
    </row>
    <row r="650" spans="1:20" ht="37.5" customHeight="1" x14ac:dyDescent="0.25">
      <c r="A650" s="2" t="s">
        <v>836</v>
      </c>
      <c r="B650">
        <f t="shared" si="70"/>
        <v>26454</v>
      </c>
      <c r="C650">
        <v>3874</v>
      </c>
      <c r="D650">
        <v>22580</v>
      </c>
      <c r="F650">
        <f t="shared" si="71"/>
        <v>322</v>
      </c>
      <c r="G650" s="3">
        <f t="shared" si="76"/>
        <v>650</v>
      </c>
      <c r="H650" s="4"/>
      <c r="I650" s="5">
        <v>490</v>
      </c>
      <c r="J650" s="6"/>
      <c r="K650" s="7">
        <v>26132</v>
      </c>
      <c r="L650" s="6">
        <f t="shared" si="72"/>
        <v>322</v>
      </c>
      <c r="M650" s="7">
        <v>3811</v>
      </c>
      <c r="N650" s="8">
        <f t="shared" si="73"/>
        <v>63</v>
      </c>
      <c r="O650" s="7">
        <v>22321</v>
      </c>
      <c r="P650" s="6">
        <f t="shared" si="74"/>
        <v>259</v>
      </c>
      <c r="Q650" s="9"/>
      <c r="R650" s="6">
        <f t="shared" si="75"/>
        <v>0</v>
      </c>
      <c r="S650" s="10" t="s">
        <v>1</v>
      </c>
      <c r="T650" s="2" t="s">
        <v>836</v>
      </c>
    </row>
    <row r="651" spans="1:20" ht="37.5" customHeight="1" x14ac:dyDescent="0.25">
      <c r="A651" s="2" t="s">
        <v>837</v>
      </c>
      <c r="B651">
        <f t="shared" si="70"/>
        <v>23494</v>
      </c>
      <c r="C651">
        <v>4278</v>
      </c>
      <c r="D651">
        <v>19216</v>
      </c>
      <c r="F651">
        <f t="shared" si="71"/>
        <v>311</v>
      </c>
      <c r="G651" s="3">
        <f t="shared" si="76"/>
        <v>651</v>
      </c>
      <c r="H651" s="4"/>
      <c r="I651" s="5">
        <v>491</v>
      </c>
      <c r="J651" s="6"/>
      <c r="K651" s="7">
        <v>23183</v>
      </c>
      <c r="L651" s="6">
        <f t="shared" si="72"/>
        <v>311</v>
      </c>
      <c r="M651" s="7">
        <v>4225</v>
      </c>
      <c r="N651" s="8">
        <f t="shared" si="73"/>
        <v>53</v>
      </c>
      <c r="O651" s="7">
        <v>18958</v>
      </c>
      <c r="P651" s="6">
        <f t="shared" si="74"/>
        <v>258</v>
      </c>
      <c r="Q651" s="9"/>
      <c r="R651" s="6">
        <f t="shared" si="75"/>
        <v>0</v>
      </c>
      <c r="S651" s="10" t="s">
        <v>1</v>
      </c>
      <c r="T651" s="2" t="s">
        <v>837</v>
      </c>
    </row>
    <row r="652" spans="1:20" ht="37.5" customHeight="1" x14ac:dyDescent="0.25">
      <c r="A652" s="2" t="s">
        <v>838</v>
      </c>
      <c r="B652">
        <f t="shared" si="70"/>
        <v>18284</v>
      </c>
      <c r="C652">
        <v>2664</v>
      </c>
      <c r="D652">
        <v>15620</v>
      </c>
      <c r="F652">
        <f t="shared" si="71"/>
        <v>384</v>
      </c>
      <c r="G652" s="3">
        <f t="shared" si="76"/>
        <v>652</v>
      </c>
      <c r="H652" s="4"/>
      <c r="I652" s="5">
        <v>492</v>
      </c>
      <c r="J652" s="6"/>
      <c r="K652" s="7">
        <v>17900</v>
      </c>
      <c r="L652" s="6">
        <f t="shared" si="72"/>
        <v>384</v>
      </c>
      <c r="M652" s="7">
        <v>2617</v>
      </c>
      <c r="N652" s="8">
        <f t="shared" si="73"/>
        <v>47</v>
      </c>
      <c r="O652" s="7">
        <v>15283</v>
      </c>
      <c r="P652" s="6">
        <f t="shared" si="74"/>
        <v>337</v>
      </c>
      <c r="Q652" s="9"/>
      <c r="R652" s="6">
        <f t="shared" si="75"/>
        <v>0</v>
      </c>
      <c r="S652" s="10" t="s">
        <v>1</v>
      </c>
      <c r="T652" s="2" t="s">
        <v>838</v>
      </c>
    </row>
    <row r="653" spans="1:20" ht="37.5" customHeight="1" x14ac:dyDescent="0.25">
      <c r="A653" s="2" t="s">
        <v>839</v>
      </c>
      <c r="B653">
        <f t="shared" si="70"/>
        <v>28423</v>
      </c>
      <c r="C653">
        <v>5250</v>
      </c>
      <c r="D653">
        <v>23173</v>
      </c>
      <c r="F653">
        <f t="shared" si="71"/>
        <v>309</v>
      </c>
      <c r="G653" s="3">
        <f t="shared" si="76"/>
        <v>653</v>
      </c>
      <c r="H653" s="4"/>
      <c r="I653" s="5">
        <v>493</v>
      </c>
      <c r="J653" s="6"/>
      <c r="K653" s="7">
        <v>28114</v>
      </c>
      <c r="L653" s="6">
        <f t="shared" si="72"/>
        <v>309</v>
      </c>
      <c r="M653" s="7">
        <v>5190</v>
      </c>
      <c r="N653" s="8">
        <f t="shared" si="73"/>
        <v>60</v>
      </c>
      <c r="O653" s="7">
        <v>22924</v>
      </c>
      <c r="P653" s="6">
        <f t="shared" si="74"/>
        <v>249</v>
      </c>
      <c r="Q653" s="9"/>
      <c r="R653" s="6">
        <f t="shared" si="75"/>
        <v>0</v>
      </c>
      <c r="S653" s="10" t="s">
        <v>1</v>
      </c>
      <c r="T653" s="2" t="s">
        <v>839</v>
      </c>
    </row>
    <row r="654" spans="1:20" ht="37.5" customHeight="1" x14ac:dyDescent="0.25">
      <c r="A654" s="2" t="s">
        <v>840</v>
      </c>
      <c r="B654">
        <f t="shared" si="70"/>
        <v>15216</v>
      </c>
      <c r="C654">
        <v>2186</v>
      </c>
      <c r="D654">
        <v>13030</v>
      </c>
      <c r="F654">
        <f t="shared" si="71"/>
        <v>282</v>
      </c>
      <c r="G654" s="3">
        <f t="shared" si="76"/>
        <v>654</v>
      </c>
      <c r="H654" s="4"/>
      <c r="I654" s="5">
        <v>494</v>
      </c>
      <c r="J654" s="6"/>
      <c r="K654" s="7">
        <v>14934</v>
      </c>
      <c r="L654" s="6">
        <f t="shared" si="72"/>
        <v>282</v>
      </c>
      <c r="M654" s="7">
        <v>2137</v>
      </c>
      <c r="N654" s="8">
        <f t="shared" si="73"/>
        <v>49</v>
      </c>
      <c r="O654" s="7">
        <v>12797</v>
      </c>
      <c r="P654" s="6">
        <f t="shared" si="74"/>
        <v>233</v>
      </c>
      <c r="Q654" s="9"/>
      <c r="R654" s="6">
        <f t="shared" si="75"/>
        <v>0</v>
      </c>
      <c r="S654" s="10" t="s">
        <v>1</v>
      </c>
      <c r="T654" s="2" t="s">
        <v>840</v>
      </c>
    </row>
    <row r="655" spans="1:20" ht="37.5" customHeight="1" x14ac:dyDescent="0.25">
      <c r="A655" s="2" t="s">
        <v>841</v>
      </c>
      <c r="B655">
        <f t="shared" si="70"/>
        <v>157713</v>
      </c>
      <c r="C655">
        <v>30179</v>
      </c>
      <c r="D655">
        <v>127534</v>
      </c>
      <c r="F655">
        <f t="shared" si="71"/>
        <v>204</v>
      </c>
      <c r="G655" s="3">
        <f t="shared" si="76"/>
        <v>655</v>
      </c>
      <c r="H655" s="4"/>
      <c r="I655" s="5">
        <v>495</v>
      </c>
      <c r="J655" s="6"/>
      <c r="K655" s="7">
        <v>157509</v>
      </c>
      <c r="L655" s="6">
        <f t="shared" si="72"/>
        <v>204</v>
      </c>
      <c r="M655" s="7">
        <v>30148</v>
      </c>
      <c r="N655" s="8">
        <f t="shared" si="73"/>
        <v>31</v>
      </c>
      <c r="O655" s="7">
        <v>127361</v>
      </c>
      <c r="P655" s="6">
        <f t="shared" si="74"/>
        <v>173</v>
      </c>
      <c r="Q655" s="9"/>
      <c r="R655" s="6">
        <f t="shared" si="75"/>
        <v>0</v>
      </c>
      <c r="S655" s="10" t="s">
        <v>1</v>
      </c>
      <c r="T655" s="2" t="s">
        <v>841</v>
      </c>
    </row>
    <row r="656" spans="1:20" ht="37.5" customHeight="1" x14ac:dyDescent="0.25">
      <c r="A656" s="2" t="s">
        <v>842</v>
      </c>
      <c r="B656">
        <f t="shared" si="70"/>
        <v>32684</v>
      </c>
      <c r="C656">
        <v>6498</v>
      </c>
      <c r="D656">
        <v>26186</v>
      </c>
      <c r="F656">
        <f t="shared" si="71"/>
        <v>649</v>
      </c>
      <c r="G656" s="3">
        <f t="shared" si="76"/>
        <v>656</v>
      </c>
      <c r="H656" s="4"/>
      <c r="I656" s="5">
        <v>496</v>
      </c>
      <c r="J656" s="6"/>
      <c r="K656" s="7">
        <v>32035</v>
      </c>
      <c r="L656" s="6">
        <f t="shared" si="72"/>
        <v>649</v>
      </c>
      <c r="M656" s="7">
        <v>6393</v>
      </c>
      <c r="N656" s="8">
        <f t="shared" si="73"/>
        <v>105</v>
      </c>
      <c r="O656" s="7">
        <v>25642</v>
      </c>
      <c r="P656" s="6">
        <f t="shared" si="74"/>
        <v>544</v>
      </c>
      <c r="Q656" s="9"/>
      <c r="R656" s="6">
        <f t="shared" si="75"/>
        <v>0</v>
      </c>
      <c r="S656" s="10" t="s">
        <v>1</v>
      </c>
      <c r="T656" s="2" t="s">
        <v>842</v>
      </c>
    </row>
    <row r="657" spans="1:20" ht="37.5" customHeight="1" x14ac:dyDescent="0.25">
      <c r="A657" s="2" t="s">
        <v>843</v>
      </c>
      <c r="B657">
        <f t="shared" si="70"/>
        <v>10159</v>
      </c>
      <c r="C657">
        <v>2128</v>
      </c>
      <c r="D657">
        <v>8031</v>
      </c>
      <c r="F657">
        <f t="shared" si="71"/>
        <v>206</v>
      </c>
      <c r="G657" s="3">
        <f t="shared" si="76"/>
        <v>657</v>
      </c>
      <c r="H657" s="4"/>
      <c r="I657" s="5">
        <v>497</v>
      </c>
      <c r="J657" s="6"/>
      <c r="K657" s="7">
        <v>9953</v>
      </c>
      <c r="L657" s="6">
        <f t="shared" si="72"/>
        <v>206</v>
      </c>
      <c r="M657" s="7">
        <v>2088</v>
      </c>
      <c r="N657" s="8">
        <f t="shared" si="73"/>
        <v>40</v>
      </c>
      <c r="O657" s="7">
        <v>7865</v>
      </c>
      <c r="P657" s="6">
        <f t="shared" si="74"/>
        <v>166</v>
      </c>
      <c r="Q657" s="9"/>
      <c r="R657" s="6">
        <f t="shared" si="75"/>
        <v>0</v>
      </c>
      <c r="S657" s="10" t="s">
        <v>1</v>
      </c>
      <c r="T657" s="2" t="s">
        <v>843</v>
      </c>
    </row>
    <row r="658" spans="1:20" ht="37.5" customHeight="1" x14ac:dyDescent="0.25">
      <c r="A658" s="2" t="s">
        <v>844</v>
      </c>
      <c r="B658">
        <f t="shared" si="70"/>
        <v>26847</v>
      </c>
      <c r="C658">
        <v>4493</v>
      </c>
      <c r="D658">
        <v>22354</v>
      </c>
      <c r="F658">
        <f t="shared" si="71"/>
        <v>843</v>
      </c>
      <c r="G658" s="3">
        <f t="shared" si="76"/>
        <v>658</v>
      </c>
      <c r="H658" s="4"/>
      <c r="I658" s="5">
        <v>498</v>
      </c>
      <c r="J658" s="6"/>
      <c r="K658" s="7">
        <v>26004</v>
      </c>
      <c r="L658" s="6">
        <f t="shared" si="72"/>
        <v>843</v>
      </c>
      <c r="M658" s="7">
        <v>4355</v>
      </c>
      <c r="N658" s="8">
        <f t="shared" si="73"/>
        <v>138</v>
      </c>
      <c r="O658" s="7">
        <v>21649</v>
      </c>
      <c r="P658" s="6">
        <f t="shared" si="74"/>
        <v>705</v>
      </c>
      <c r="Q658" s="9"/>
      <c r="R658" s="6">
        <f t="shared" si="75"/>
        <v>0</v>
      </c>
      <c r="S658" s="10" t="s">
        <v>1</v>
      </c>
      <c r="T658" s="2" t="s">
        <v>844</v>
      </c>
    </row>
    <row r="659" spans="1:20" ht="37.5" customHeight="1" x14ac:dyDescent="0.25">
      <c r="A659" s="2" t="s">
        <v>845</v>
      </c>
      <c r="B659">
        <f t="shared" si="70"/>
        <v>15971</v>
      </c>
      <c r="C659">
        <v>2759</v>
      </c>
      <c r="D659">
        <v>13212</v>
      </c>
      <c r="F659">
        <f t="shared" si="71"/>
        <v>163</v>
      </c>
      <c r="G659" s="3">
        <f t="shared" si="76"/>
        <v>659</v>
      </c>
      <c r="H659" s="4"/>
      <c r="I659" s="5">
        <v>499</v>
      </c>
      <c r="J659" s="6"/>
      <c r="K659" s="7">
        <v>15808</v>
      </c>
      <c r="L659" s="6">
        <f t="shared" si="72"/>
        <v>163</v>
      </c>
      <c r="M659" s="7">
        <v>2729</v>
      </c>
      <c r="N659" s="8">
        <f t="shared" si="73"/>
        <v>30</v>
      </c>
      <c r="O659" s="7">
        <v>13079</v>
      </c>
      <c r="P659" s="6">
        <f t="shared" si="74"/>
        <v>133</v>
      </c>
      <c r="Q659" s="9"/>
      <c r="R659" s="6">
        <f t="shared" si="75"/>
        <v>0</v>
      </c>
      <c r="S659" s="10" t="s">
        <v>1</v>
      </c>
      <c r="T659" s="2" t="s">
        <v>845</v>
      </c>
    </row>
    <row r="660" spans="1:20" ht="37.5" customHeight="1" x14ac:dyDescent="0.25">
      <c r="A660" s="2" t="s">
        <v>846</v>
      </c>
      <c r="B660">
        <f t="shared" si="70"/>
        <v>34723</v>
      </c>
      <c r="C660">
        <v>6608</v>
      </c>
      <c r="D660">
        <v>28115</v>
      </c>
      <c r="F660">
        <f t="shared" si="71"/>
        <v>249</v>
      </c>
      <c r="G660" s="3">
        <f t="shared" si="76"/>
        <v>660</v>
      </c>
      <c r="H660" s="4"/>
      <c r="I660" s="5">
        <v>500</v>
      </c>
      <c r="J660" s="6"/>
      <c r="K660" s="7">
        <v>34474</v>
      </c>
      <c r="L660" s="6">
        <f t="shared" si="72"/>
        <v>249</v>
      </c>
      <c r="M660" s="7">
        <v>6561</v>
      </c>
      <c r="N660" s="8">
        <f t="shared" si="73"/>
        <v>47</v>
      </c>
      <c r="O660" s="7">
        <v>27913</v>
      </c>
      <c r="P660" s="6">
        <f t="shared" si="74"/>
        <v>202</v>
      </c>
      <c r="Q660" s="9"/>
      <c r="R660" s="6">
        <f t="shared" si="75"/>
        <v>0</v>
      </c>
      <c r="S660" s="10" t="s">
        <v>1</v>
      </c>
      <c r="T660" s="2" t="s">
        <v>846</v>
      </c>
    </row>
    <row r="661" spans="1:20" ht="37.5" customHeight="1" x14ac:dyDescent="0.25">
      <c r="A661" s="2" t="s">
        <v>847</v>
      </c>
      <c r="B661">
        <f t="shared" si="70"/>
        <v>23792</v>
      </c>
      <c r="C661">
        <v>4647</v>
      </c>
      <c r="D661">
        <v>19145</v>
      </c>
      <c r="F661">
        <f t="shared" si="71"/>
        <v>569</v>
      </c>
      <c r="G661" s="3">
        <f t="shared" si="76"/>
        <v>661</v>
      </c>
      <c r="H661" s="4"/>
      <c r="I661" s="5">
        <v>501</v>
      </c>
      <c r="J661" s="6"/>
      <c r="K661" s="7">
        <v>23223</v>
      </c>
      <c r="L661" s="6">
        <f t="shared" si="72"/>
        <v>569</v>
      </c>
      <c r="M661" s="7">
        <v>4534</v>
      </c>
      <c r="N661" s="8">
        <f t="shared" si="73"/>
        <v>113</v>
      </c>
      <c r="O661" s="7">
        <v>18689</v>
      </c>
      <c r="P661" s="6">
        <f t="shared" si="74"/>
        <v>456</v>
      </c>
      <c r="Q661" s="9"/>
      <c r="R661" s="6">
        <f t="shared" si="75"/>
        <v>0</v>
      </c>
      <c r="S661" s="10" t="s">
        <v>1</v>
      </c>
      <c r="T661" s="2" t="s">
        <v>847</v>
      </c>
    </row>
    <row r="662" spans="1:20" ht="37.5" customHeight="1" x14ac:dyDescent="0.25">
      <c r="A662" s="2" t="s">
        <v>848</v>
      </c>
      <c r="B662">
        <f t="shared" si="70"/>
        <v>14151</v>
      </c>
      <c r="C662">
        <v>2706</v>
      </c>
      <c r="D662">
        <v>11445</v>
      </c>
      <c r="F662">
        <f t="shared" si="71"/>
        <v>519</v>
      </c>
      <c r="G662" s="3">
        <f t="shared" si="76"/>
        <v>662</v>
      </c>
      <c r="H662" s="4"/>
      <c r="I662" s="5">
        <v>502</v>
      </c>
      <c r="J662" s="6"/>
      <c r="K662" s="7">
        <v>13632</v>
      </c>
      <c r="L662" s="6">
        <f t="shared" si="72"/>
        <v>519</v>
      </c>
      <c r="M662" s="7">
        <v>2601</v>
      </c>
      <c r="N662" s="8">
        <f t="shared" si="73"/>
        <v>105</v>
      </c>
      <c r="O662" s="7">
        <v>11031</v>
      </c>
      <c r="P662" s="6">
        <f t="shared" si="74"/>
        <v>414</v>
      </c>
      <c r="Q662" s="9"/>
      <c r="R662" s="6">
        <f t="shared" si="75"/>
        <v>0</v>
      </c>
      <c r="S662" s="10" t="s">
        <v>1</v>
      </c>
      <c r="T662" s="2" t="s">
        <v>848</v>
      </c>
    </row>
    <row r="663" spans="1:20" ht="37.5" customHeight="1" x14ac:dyDescent="0.25">
      <c r="A663" s="2" t="s">
        <v>849</v>
      </c>
      <c r="B663">
        <f t="shared" si="70"/>
        <v>48326</v>
      </c>
      <c r="C663">
        <v>14294</v>
      </c>
      <c r="D663">
        <v>34032</v>
      </c>
      <c r="F663">
        <f t="shared" si="71"/>
        <v>458</v>
      </c>
      <c r="G663" s="3">
        <f t="shared" si="76"/>
        <v>663</v>
      </c>
      <c r="H663" s="4"/>
      <c r="I663" s="5">
        <v>503</v>
      </c>
      <c r="J663" s="6"/>
      <c r="K663" s="7">
        <v>47868</v>
      </c>
      <c r="L663" s="6">
        <f t="shared" si="72"/>
        <v>458</v>
      </c>
      <c r="M663" s="7">
        <v>14206</v>
      </c>
      <c r="N663" s="8">
        <f t="shared" si="73"/>
        <v>88</v>
      </c>
      <c r="O663" s="7">
        <v>33662</v>
      </c>
      <c r="P663" s="6">
        <f t="shared" si="74"/>
        <v>370</v>
      </c>
      <c r="Q663" s="9"/>
      <c r="R663" s="6">
        <f t="shared" si="75"/>
        <v>0</v>
      </c>
      <c r="S663" s="10" t="s">
        <v>1</v>
      </c>
      <c r="T663" s="2" t="s">
        <v>849</v>
      </c>
    </row>
    <row r="664" spans="1:20" ht="37.5" customHeight="1" x14ac:dyDescent="0.25">
      <c r="A664" s="2" t="s">
        <v>850</v>
      </c>
      <c r="B664">
        <f t="shared" si="70"/>
        <v>142480</v>
      </c>
      <c r="C664">
        <v>41193</v>
      </c>
      <c r="D664">
        <v>101287</v>
      </c>
      <c r="F664">
        <f t="shared" si="71"/>
        <v>357</v>
      </c>
      <c r="G664" s="3">
        <f t="shared" si="76"/>
        <v>664</v>
      </c>
      <c r="H664" s="4"/>
      <c r="I664" s="5">
        <v>504</v>
      </c>
      <c r="J664" s="6"/>
      <c r="K664" s="7">
        <v>142123</v>
      </c>
      <c r="L664" s="6">
        <f t="shared" si="72"/>
        <v>357</v>
      </c>
      <c r="M664" s="7">
        <v>41124</v>
      </c>
      <c r="N664" s="8">
        <f t="shared" si="73"/>
        <v>69</v>
      </c>
      <c r="O664" s="7">
        <v>100999</v>
      </c>
      <c r="P664" s="6">
        <f t="shared" si="74"/>
        <v>288</v>
      </c>
      <c r="Q664" s="9"/>
      <c r="R664" s="6">
        <f t="shared" si="75"/>
        <v>0</v>
      </c>
      <c r="S664" s="10" t="s">
        <v>1</v>
      </c>
      <c r="T664" s="2" t="s">
        <v>850</v>
      </c>
    </row>
    <row r="665" spans="1:20" ht="37.5" customHeight="1" x14ac:dyDescent="0.25">
      <c r="A665" s="2" t="s">
        <v>851</v>
      </c>
      <c r="B665">
        <f t="shared" si="70"/>
        <v>23753</v>
      </c>
      <c r="C665">
        <v>3872</v>
      </c>
      <c r="D665">
        <v>19881</v>
      </c>
      <c r="F665">
        <f t="shared" si="71"/>
        <v>171</v>
      </c>
      <c r="G665" s="3">
        <f t="shared" si="76"/>
        <v>665</v>
      </c>
      <c r="H665" s="4"/>
      <c r="I665" s="5">
        <v>505</v>
      </c>
      <c r="J665" s="6"/>
      <c r="K665" s="7">
        <v>23582</v>
      </c>
      <c r="L665" s="6">
        <f t="shared" si="72"/>
        <v>171</v>
      </c>
      <c r="M665" s="7">
        <v>3840</v>
      </c>
      <c r="N665" s="8">
        <f t="shared" si="73"/>
        <v>32</v>
      </c>
      <c r="O665" s="7">
        <v>19742</v>
      </c>
      <c r="P665" s="6">
        <f t="shared" si="74"/>
        <v>139</v>
      </c>
      <c r="Q665" s="9"/>
      <c r="R665" s="6">
        <f t="shared" si="75"/>
        <v>0</v>
      </c>
      <c r="S665" s="10" t="s">
        <v>1</v>
      </c>
      <c r="T665" s="2" t="s">
        <v>851</v>
      </c>
    </row>
    <row r="666" spans="1:20" ht="37.5" customHeight="1" x14ac:dyDescent="0.25">
      <c r="A666" s="2" t="s">
        <v>852</v>
      </c>
      <c r="B666">
        <f t="shared" si="70"/>
        <v>34800</v>
      </c>
      <c r="C666">
        <v>6690</v>
      </c>
      <c r="D666">
        <v>28110</v>
      </c>
      <c r="F666">
        <f t="shared" si="71"/>
        <v>51</v>
      </c>
      <c r="G666" s="3">
        <f t="shared" si="76"/>
        <v>666</v>
      </c>
      <c r="H666" s="4"/>
      <c r="I666" s="5">
        <v>506</v>
      </c>
      <c r="J666" s="6"/>
      <c r="K666" s="7">
        <v>34749</v>
      </c>
      <c r="L666" s="6">
        <f t="shared" si="72"/>
        <v>51</v>
      </c>
      <c r="M666" s="7">
        <v>6681</v>
      </c>
      <c r="N666" s="8">
        <f t="shared" si="73"/>
        <v>9</v>
      </c>
      <c r="O666" s="7">
        <v>28068</v>
      </c>
      <c r="P666" s="6">
        <f t="shared" si="74"/>
        <v>42</v>
      </c>
      <c r="Q666" s="9"/>
      <c r="R666" s="6">
        <f t="shared" si="75"/>
        <v>0</v>
      </c>
      <c r="S666" s="10" t="s">
        <v>1</v>
      </c>
      <c r="T666" s="2" t="s">
        <v>852</v>
      </c>
    </row>
    <row r="667" spans="1:20" ht="37.5" customHeight="1" x14ac:dyDescent="0.25">
      <c r="A667" s="2" t="s">
        <v>853</v>
      </c>
      <c r="B667">
        <f t="shared" si="70"/>
        <v>8981</v>
      </c>
      <c r="C667">
        <v>1810</v>
      </c>
      <c r="D667">
        <v>7171</v>
      </c>
      <c r="E667">
        <v>18778</v>
      </c>
      <c r="F667">
        <f t="shared" si="71"/>
        <v>217</v>
      </c>
      <c r="G667" s="3">
        <f t="shared" si="76"/>
        <v>667</v>
      </c>
      <c r="H667" s="4"/>
      <c r="I667" s="5">
        <v>507</v>
      </c>
      <c r="J667" s="6"/>
      <c r="K667" s="7">
        <f>M667+O667</f>
        <v>8764</v>
      </c>
      <c r="L667" s="6">
        <f t="shared" si="72"/>
        <v>217</v>
      </c>
      <c r="M667" s="7">
        <v>1775</v>
      </c>
      <c r="N667" s="8">
        <f t="shared" si="73"/>
        <v>35</v>
      </c>
      <c r="O667" s="7">
        <v>6989</v>
      </c>
      <c r="P667" s="6">
        <f t="shared" si="74"/>
        <v>182</v>
      </c>
      <c r="Q667" s="9">
        <v>17862</v>
      </c>
      <c r="R667" s="6">
        <f t="shared" si="75"/>
        <v>916</v>
      </c>
      <c r="S667" s="10" t="s">
        <v>1</v>
      </c>
      <c r="T667" s="2" t="s">
        <v>853</v>
      </c>
    </row>
    <row r="668" spans="1:20" ht="37.5" customHeight="1" x14ac:dyDescent="0.25">
      <c r="A668" s="2" t="s">
        <v>854</v>
      </c>
      <c r="B668">
        <f t="shared" si="70"/>
        <v>4704</v>
      </c>
      <c r="C668">
        <v>564</v>
      </c>
      <c r="D668">
        <v>4140</v>
      </c>
      <c r="E668">
        <v>6073</v>
      </c>
      <c r="F668">
        <f t="shared" si="71"/>
        <v>184</v>
      </c>
      <c r="G668" s="3">
        <f t="shared" si="76"/>
        <v>668</v>
      </c>
      <c r="H668" s="4"/>
      <c r="I668" s="5">
        <v>508</v>
      </c>
      <c r="J668" s="6"/>
      <c r="K668" s="7">
        <f>M668+O668</f>
        <v>4520</v>
      </c>
      <c r="L668" s="6">
        <f t="shared" si="72"/>
        <v>184</v>
      </c>
      <c r="M668" s="7">
        <v>517</v>
      </c>
      <c r="N668" s="8">
        <f t="shared" si="73"/>
        <v>47</v>
      </c>
      <c r="O668" s="7">
        <v>4003</v>
      </c>
      <c r="P668" s="6">
        <f t="shared" si="74"/>
        <v>137</v>
      </c>
      <c r="Q668" s="9">
        <v>5467</v>
      </c>
      <c r="R668" s="6">
        <f t="shared" si="75"/>
        <v>606</v>
      </c>
      <c r="S668" s="10" t="s">
        <v>1</v>
      </c>
      <c r="T668" s="2" t="s">
        <v>854</v>
      </c>
    </row>
    <row r="669" spans="1:20" ht="37.5" customHeight="1" x14ac:dyDescent="0.25">
      <c r="A669" s="2" t="s">
        <v>855</v>
      </c>
      <c r="B669">
        <f t="shared" si="70"/>
        <v>55570</v>
      </c>
      <c r="C669">
        <v>9557</v>
      </c>
      <c r="D669">
        <v>46013</v>
      </c>
      <c r="F669">
        <f t="shared" si="71"/>
        <v>199</v>
      </c>
      <c r="G669" s="3">
        <f t="shared" si="76"/>
        <v>669</v>
      </c>
      <c r="H669" s="4"/>
      <c r="I669" s="5">
        <v>509</v>
      </c>
      <c r="J669" s="6"/>
      <c r="K669" s="7">
        <v>55371</v>
      </c>
      <c r="L669" s="6">
        <f t="shared" si="72"/>
        <v>199</v>
      </c>
      <c r="M669" s="7">
        <v>9527</v>
      </c>
      <c r="N669" s="8">
        <f t="shared" si="73"/>
        <v>30</v>
      </c>
      <c r="O669" s="7">
        <v>45844</v>
      </c>
      <c r="P669" s="6">
        <f t="shared" si="74"/>
        <v>169</v>
      </c>
      <c r="Q669" s="9"/>
      <c r="R669" s="6">
        <f t="shared" si="75"/>
        <v>0</v>
      </c>
      <c r="S669" s="10" t="s">
        <v>1</v>
      </c>
      <c r="T669" s="2" t="s">
        <v>855</v>
      </c>
    </row>
    <row r="670" spans="1:20" ht="37.5" customHeight="1" x14ac:dyDescent="0.25">
      <c r="A670" s="2" t="s">
        <v>856</v>
      </c>
      <c r="B670">
        <f t="shared" si="70"/>
        <v>46267</v>
      </c>
      <c r="C670">
        <v>9711</v>
      </c>
      <c r="D670">
        <v>36556</v>
      </c>
      <c r="F670">
        <f t="shared" si="71"/>
        <v>183</v>
      </c>
      <c r="G670" s="3">
        <f t="shared" si="76"/>
        <v>670</v>
      </c>
      <c r="H670" s="4"/>
      <c r="I670" s="5">
        <v>510</v>
      </c>
      <c r="J670" s="6"/>
      <c r="K670" s="7">
        <v>46084</v>
      </c>
      <c r="L670" s="6">
        <f t="shared" si="72"/>
        <v>183</v>
      </c>
      <c r="M670" s="7">
        <v>9680</v>
      </c>
      <c r="N670" s="8">
        <f t="shared" si="73"/>
        <v>31</v>
      </c>
      <c r="O670" s="7">
        <v>36404</v>
      </c>
      <c r="P670" s="6">
        <f t="shared" si="74"/>
        <v>152</v>
      </c>
      <c r="Q670" s="9"/>
      <c r="R670" s="6">
        <f t="shared" si="75"/>
        <v>0</v>
      </c>
      <c r="S670" s="10" t="s">
        <v>1</v>
      </c>
      <c r="T670" s="2" t="s">
        <v>856</v>
      </c>
    </row>
    <row r="671" spans="1:20" ht="37.5" customHeight="1" x14ac:dyDescent="0.25">
      <c r="A671" s="2" t="s">
        <v>857</v>
      </c>
      <c r="B671">
        <f t="shared" si="70"/>
        <v>27171</v>
      </c>
      <c r="C671">
        <v>4563</v>
      </c>
      <c r="D671">
        <v>22608</v>
      </c>
      <c r="F671">
        <f t="shared" si="71"/>
        <v>215</v>
      </c>
      <c r="G671" s="3">
        <f t="shared" si="76"/>
        <v>671</v>
      </c>
      <c r="H671" s="4"/>
      <c r="I671" s="5">
        <v>511</v>
      </c>
      <c r="J671" s="6"/>
      <c r="K671" s="7">
        <v>26956</v>
      </c>
      <c r="L671" s="6">
        <f t="shared" si="72"/>
        <v>215</v>
      </c>
      <c r="M671" s="7">
        <v>4527</v>
      </c>
      <c r="N671" s="8">
        <f t="shared" si="73"/>
        <v>36</v>
      </c>
      <c r="O671" s="7">
        <v>22429</v>
      </c>
      <c r="P671" s="6">
        <f t="shared" si="74"/>
        <v>179</v>
      </c>
      <c r="Q671" s="9"/>
      <c r="R671" s="6">
        <f t="shared" si="75"/>
        <v>0</v>
      </c>
      <c r="S671" s="10" t="s">
        <v>1</v>
      </c>
      <c r="T671" s="2" t="s">
        <v>857</v>
      </c>
    </row>
    <row r="672" spans="1:20" ht="37.5" customHeight="1" x14ac:dyDescent="0.25">
      <c r="A672" s="2" t="s">
        <v>858</v>
      </c>
      <c r="B672">
        <f t="shared" si="70"/>
        <v>53748</v>
      </c>
      <c r="C672">
        <v>9600</v>
      </c>
      <c r="D672">
        <v>44148</v>
      </c>
      <c r="F672">
        <f t="shared" si="71"/>
        <v>258</v>
      </c>
      <c r="G672" s="3">
        <f t="shared" si="76"/>
        <v>672</v>
      </c>
      <c r="H672" s="4"/>
      <c r="I672" s="5" t="s">
        <v>859</v>
      </c>
      <c r="J672" s="6"/>
      <c r="K672" s="7">
        <v>53490</v>
      </c>
      <c r="L672" s="6">
        <f t="shared" si="72"/>
        <v>258</v>
      </c>
      <c r="M672" s="7">
        <v>9565</v>
      </c>
      <c r="N672" s="8">
        <f t="shared" si="73"/>
        <v>35</v>
      </c>
      <c r="O672" s="7">
        <v>43925</v>
      </c>
      <c r="P672" s="6">
        <f t="shared" si="74"/>
        <v>223</v>
      </c>
      <c r="Q672" s="9"/>
      <c r="R672" s="6">
        <f t="shared" si="75"/>
        <v>0</v>
      </c>
      <c r="S672" s="10" t="s">
        <v>1</v>
      </c>
      <c r="T672" s="2" t="s">
        <v>858</v>
      </c>
    </row>
    <row r="673" spans="1:20" ht="37.5" customHeight="1" x14ac:dyDescent="0.25">
      <c r="A673" s="2" t="s">
        <v>860</v>
      </c>
      <c r="B673">
        <f t="shared" si="70"/>
        <v>30860</v>
      </c>
      <c r="C673">
        <v>4492</v>
      </c>
      <c r="D673">
        <v>26368</v>
      </c>
      <c r="F673">
        <f t="shared" si="71"/>
        <v>569</v>
      </c>
      <c r="G673" s="3">
        <f t="shared" si="76"/>
        <v>673</v>
      </c>
      <c r="H673" s="4"/>
      <c r="I673" s="5" t="s">
        <v>861</v>
      </c>
      <c r="J673" s="6"/>
      <c r="K673" s="7">
        <v>30291</v>
      </c>
      <c r="L673" s="6">
        <f t="shared" si="72"/>
        <v>569</v>
      </c>
      <c r="M673" s="7">
        <v>4417</v>
      </c>
      <c r="N673" s="8">
        <f t="shared" si="73"/>
        <v>75</v>
      </c>
      <c r="O673" s="7">
        <v>25874</v>
      </c>
      <c r="P673" s="6">
        <f t="shared" si="74"/>
        <v>494</v>
      </c>
      <c r="Q673" s="9"/>
      <c r="R673" s="6">
        <f t="shared" si="75"/>
        <v>0</v>
      </c>
      <c r="S673" s="10" t="s">
        <v>1</v>
      </c>
      <c r="T673" s="2" t="s">
        <v>860</v>
      </c>
    </row>
    <row r="674" spans="1:20" ht="37.5" customHeight="1" x14ac:dyDescent="0.25">
      <c r="A674" s="2" t="s">
        <v>862</v>
      </c>
      <c r="B674">
        <f t="shared" si="70"/>
        <v>92206</v>
      </c>
      <c r="C674">
        <v>27659</v>
      </c>
      <c r="D674">
        <v>64547</v>
      </c>
      <c r="F674">
        <f t="shared" si="71"/>
        <v>289</v>
      </c>
      <c r="G674" s="3">
        <f t="shared" si="76"/>
        <v>674</v>
      </c>
      <c r="H674" s="4"/>
      <c r="I674" s="5">
        <v>512</v>
      </c>
      <c r="J674" s="6"/>
      <c r="K674" s="7">
        <v>91917</v>
      </c>
      <c r="L674" s="6">
        <f t="shared" si="72"/>
        <v>289</v>
      </c>
      <c r="M674" s="7">
        <v>27608</v>
      </c>
      <c r="N674" s="8">
        <f t="shared" si="73"/>
        <v>51</v>
      </c>
      <c r="O674" s="7">
        <v>64309</v>
      </c>
      <c r="P674" s="6">
        <f t="shared" si="74"/>
        <v>238</v>
      </c>
      <c r="Q674" s="9"/>
      <c r="R674" s="6">
        <f t="shared" si="75"/>
        <v>0</v>
      </c>
      <c r="S674" s="10" t="s">
        <v>1</v>
      </c>
      <c r="T674" s="2" t="s">
        <v>862</v>
      </c>
    </row>
    <row r="675" spans="1:20" ht="37.5" customHeight="1" x14ac:dyDescent="0.25">
      <c r="A675" s="2" t="s">
        <v>863</v>
      </c>
      <c r="B675">
        <f t="shared" si="70"/>
        <v>24487</v>
      </c>
      <c r="C675">
        <v>3841</v>
      </c>
      <c r="D675">
        <v>20646</v>
      </c>
      <c r="F675">
        <f t="shared" si="71"/>
        <v>454</v>
      </c>
      <c r="G675" s="3">
        <f t="shared" si="76"/>
        <v>675</v>
      </c>
      <c r="H675" s="4"/>
      <c r="I675" s="5" t="s">
        <v>864</v>
      </c>
      <c r="J675" s="6"/>
      <c r="K675" s="7">
        <v>24033</v>
      </c>
      <c r="L675" s="6">
        <f t="shared" si="72"/>
        <v>454</v>
      </c>
      <c r="M675" s="7">
        <v>3768</v>
      </c>
      <c r="N675" s="8">
        <f t="shared" si="73"/>
        <v>73</v>
      </c>
      <c r="O675" s="7">
        <v>20265</v>
      </c>
      <c r="P675" s="6">
        <f t="shared" si="74"/>
        <v>381</v>
      </c>
      <c r="Q675" s="9"/>
      <c r="R675" s="6">
        <f t="shared" si="75"/>
        <v>0</v>
      </c>
      <c r="S675" s="10" t="s">
        <v>1</v>
      </c>
      <c r="T675" s="2" t="s">
        <v>863</v>
      </c>
    </row>
    <row r="676" spans="1:20" ht="37.5" customHeight="1" x14ac:dyDescent="0.25">
      <c r="A676" s="2" t="s">
        <v>865</v>
      </c>
      <c r="B676">
        <f t="shared" si="70"/>
        <v>55154</v>
      </c>
      <c r="C676">
        <v>9045</v>
      </c>
      <c r="D676">
        <v>46109</v>
      </c>
      <c r="F676">
        <f t="shared" si="71"/>
        <v>76</v>
      </c>
      <c r="G676" s="3">
        <f t="shared" si="76"/>
        <v>676</v>
      </c>
      <c r="H676" s="4"/>
      <c r="I676" s="5" t="s">
        <v>866</v>
      </c>
      <c r="J676" s="6"/>
      <c r="K676" s="7">
        <v>55078</v>
      </c>
      <c r="L676" s="6">
        <f t="shared" si="72"/>
        <v>76</v>
      </c>
      <c r="M676" s="7">
        <v>9030</v>
      </c>
      <c r="N676" s="8">
        <f t="shared" si="73"/>
        <v>15</v>
      </c>
      <c r="O676" s="7">
        <v>46048</v>
      </c>
      <c r="P676" s="6">
        <f t="shared" si="74"/>
        <v>61</v>
      </c>
      <c r="Q676" s="9"/>
      <c r="R676" s="6">
        <f t="shared" si="75"/>
        <v>0</v>
      </c>
      <c r="S676" s="10" t="s">
        <v>1</v>
      </c>
      <c r="T676" s="2" t="s">
        <v>865</v>
      </c>
    </row>
    <row r="677" spans="1:20" ht="37.5" customHeight="1" x14ac:dyDescent="0.25">
      <c r="A677" s="2" t="s">
        <v>867</v>
      </c>
      <c r="B677">
        <f t="shared" si="70"/>
        <v>62663</v>
      </c>
      <c r="C677">
        <v>10743</v>
      </c>
      <c r="D677">
        <v>51920</v>
      </c>
      <c r="F677">
        <f t="shared" si="71"/>
        <v>0</v>
      </c>
      <c r="G677" s="3">
        <f t="shared" si="76"/>
        <v>677</v>
      </c>
      <c r="H677" s="4"/>
      <c r="I677" s="5" t="s">
        <v>868</v>
      </c>
      <c r="J677" s="6"/>
      <c r="K677" s="7">
        <v>62663</v>
      </c>
      <c r="L677" s="6">
        <f t="shared" si="72"/>
        <v>0</v>
      </c>
      <c r="M677" s="7">
        <v>10743</v>
      </c>
      <c r="N677" s="8">
        <f t="shared" si="73"/>
        <v>0</v>
      </c>
      <c r="O677" s="7">
        <v>51920</v>
      </c>
      <c r="P677" s="6">
        <f t="shared" si="74"/>
        <v>0</v>
      </c>
      <c r="Q677" s="9"/>
      <c r="R677" s="6">
        <f t="shared" si="75"/>
        <v>0</v>
      </c>
      <c r="S677" s="10" t="s">
        <v>1</v>
      </c>
      <c r="T677" s="2" t="s">
        <v>867</v>
      </c>
    </row>
    <row r="678" spans="1:20" ht="37.5" customHeight="1" x14ac:dyDescent="0.25">
      <c r="A678" s="2" t="s">
        <v>869</v>
      </c>
      <c r="B678">
        <f t="shared" si="70"/>
        <v>35491</v>
      </c>
      <c r="C678">
        <v>8564</v>
      </c>
      <c r="D678">
        <v>26927</v>
      </c>
      <c r="F678">
        <f t="shared" si="71"/>
        <v>112</v>
      </c>
      <c r="G678" s="3">
        <f t="shared" si="76"/>
        <v>678</v>
      </c>
      <c r="H678" s="4"/>
      <c r="I678" s="5" t="s">
        <v>870</v>
      </c>
      <c r="J678" s="6"/>
      <c r="K678" s="7">
        <v>35379</v>
      </c>
      <c r="L678" s="6">
        <f t="shared" si="72"/>
        <v>112</v>
      </c>
      <c r="M678" s="7">
        <v>8545</v>
      </c>
      <c r="N678" s="8">
        <f t="shared" si="73"/>
        <v>19</v>
      </c>
      <c r="O678" s="7">
        <v>26834</v>
      </c>
      <c r="P678" s="6">
        <f t="shared" si="74"/>
        <v>93</v>
      </c>
      <c r="Q678" s="9"/>
      <c r="R678" s="6">
        <f t="shared" si="75"/>
        <v>0</v>
      </c>
      <c r="S678" s="10" t="s">
        <v>1</v>
      </c>
      <c r="T678" s="2" t="s">
        <v>869</v>
      </c>
    </row>
    <row r="679" spans="1:20" ht="37.5" customHeight="1" x14ac:dyDescent="0.25">
      <c r="A679" s="2" t="s">
        <v>871</v>
      </c>
      <c r="B679">
        <f t="shared" si="70"/>
        <v>15407</v>
      </c>
      <c r="C679">
        <v>2328</v>
      </c>
      <c r="D679">
        <v>13079</v>
      </c>
      <c r="F679">
        <f t="shared" si="71"/>
        <v>381</v>
      </c>
      <c r="G679" s="3">
        <f t="shared" si="76"/>
        <v>679</v>
      </c>
      <c r="H679" s="4"/>
      <c r="I679" s="5" t="s">
        <v>872</v>
      </c>
      <c r="J679" s="6"/>
      <c r="K679" s="7">
        <v>15026</v>
      </c>
      <c r="L679" s="6">
        <f t="shared" si="72"/>
        <v>381</v>
      </c>
      <c r="M679" s="7">
        <v>2259</v>
      </c>
      <c r="N679" s="8">
        <f t="shared" si="73"/>
        <v>69</v>
      </c>
      <c r="O679" s="7">
        <v>12767</v>
      </c>
      <c r="P679" s="6">
        <f t="shared" si="74"/>
        <v>312</v>
      </c>
      <c r="Q679" s="9"/>
      <c r="R679" s="6">
        <f t="shared" si="75"/>
        <v>0</v>
      </c>
      <c r="S679" s="10" t="s">
        <v>1</v>
      </c>
      <c r="T679" s="2" t="s">
        <v>871</v>
      </c>
    </row>
    <row r="680" spans="1:20" ht="37.5" customHeight="1" x14ac:dyDescent="0.25">
      <c r="A680" s="2" t="s">
        <v>873</v>
      </c>
      <c r="B680">
        <f t="shared" si="70"/>
        <v>60794</v>
      </c>
      <c r="C680">
        <v>13816</v>
      </c>
      <c r="D680">
        <v>46978</v>
      </c>
      <c r="F680">
        <f t="shared" si="71"/>
        <v>156</v>
      </c>
      <c r="G680" s="3">
        <f t="shared" si="76"/>
        <v>680</v>
      </c>
      <c r="H680" s="4"/>
      <c r="I680" s="5">
        <v>513</v>
      </c>
      <c r="J680" s="6"/>
      <c r="K680" s="7">
        <v>60638</v>
      </c>
      <c r="L680" s="6">
        <f t="shared" si="72"/>
        <v>156</v>
      </c>
      <c r="M680" s="7">
        <v>13788</v>
      </c>
      <c r="N680" s="8">
        <f t="shared" si="73"/>
        <v>28</v>
      </c>
      <c r="O680" s="7">
        <v>46850</v>
      </c>
      <c r="P680" s="6">
        <f t="shared" si="74"/>
        <v>128</v>
      </c>
      <c r="Q680" s="9"/>
      <c r="R680" s="6">
        <f t="shared" si="75"/>
        <v>0</v>
      </c>
      <c r="S680" s="10" t="s">
        <v>1</v>
      </c>
      <c r="T680" s="2" t="s">
        <v>873</v>
      </c>
    </row>
    <row r="681" spans="1:20" ht="37.5" customHeight="1" x14ac:dyDescent="0.25">
      <c r="A681" s="2" t="s">
        <v>874</v>
      </c>
      <c r="B681">
        <f t="shared" si="70"/>
        <v>23873</v>
      </c>
      <c r="C681">
        <v>4139</v>
      </c>
      <c r="D681">
        <v>19734</v>
      </c>
      <c r="F681">
        <f t="shared" si="71"/>
        <v>405</v>
      </c>
      <c r="G681" s="3">
        <f t="shared" si="76"/>
        <v>681</v>
      </c>
      <c r="H681" s="4"/>
      <c r="I681" s="5">
        <v>514</v>
      </c>
      <c r="J681" s="6"/>
      <c r="K681" s="7">
        <v>23468</v>
      </c>
      <c r="L681" s="6">
        <f t="shared" si="72"/>
        <v>405</v>
      </c>
      <c r="M681" s="7">
        <v>4070</v>
      </c>
      <c r="N681" s="8">
        <f t="shared" si="73"/>
        <v>69</v>
      </c>
      <c r="O681" s="7">
        <v>19398</v>
      </c>
      <c r="P681" s="6">
        <f t="shared" si="74"/>
        <v>336</v>
      </c>
      <c r="Q681" s="9"/>
      <c r="R681" s="6">
        <f t="shared" si="75"/>
        <v>0</v>
      </c>
      <c r="S681" s="10" t="s">
        <v>1</v>
      </c>
      <c r="T681" s="2" t="s">
        <v>874</v>
      </c>
    </row>
    <row r="682" spans="1:20" ht="37.5" customHeight="1" x14ac:dyDescent="0.25">
      <c r="A682" s="2" t="s">
        <v>875</v>
      </c>
      <c r="B682">
        <f t="shared" si="70"/>
        <v>15885</v>
      </c>
      <c r="C682">
        <v>2685</v>
      </c>
      <c r="D682">
        <v>13200</v>
      </c>
      <c r="F682">
        <f t="shared" si="71"/>
        <v>164</v>
      </c>
      <c r="G682" s="3">
        <f t="shared" si="76"/>
        <v>682</v>
      </c>
      <c r="H682" s="4"/>
      <c r="I682" s="5">
        <v>515</v>
      </c>
      <c r="J682" s="6"/>
      <c r="K682" s="7">
        <v>15721</v>
      </c>
      <c r="L682" s="6">
        <f t="shared" si="72"/>
        <v>164</v>
      </c>
      <c r="M682" s="7">
        <v>2642</v>
      </c>
      <c r="N682" s="8">
        <f t="shared" si="73"/>
        <v>43</v>
      </c>
      <c r="O682" s="7">
        <v>13079</v>
      </c>
      <c r="P682" s="6">
        <f t="shared" si="74"/>
        <v>121</v>
      </c>
      <c r="Q682" s="9"/>
      <c r="R682" s="6">
        <f t="shared" si="75"/>
        <v>0</v>
      </c>
      <c r="S682" s="10" t="s">
        <v>1</v>
      </c>
      <c r="T682" s="2" t="s">
        <v>875</v>
      </c>
    </row>
    <row r="683" spans="1:20" ht="37.5" customHeight="1" x14ac:dyDescent="0.25">
      <c r="A683" s="2" t="s">
        <v>876</v>
      </c>
      <c r="B683">
        <f t="shared" si="70"/>
        <v>14333</v>
      </c>
      <c r="C683">
        <v>2113</v>
      </c>
      <c r="D683">
        <v>12220</v>
      </c>
      <c r="F683">
        <f t="shared" si="71"/>
        <v>7</v>
      </c>
      <c r="G683" s="3">
        <f t="shared" si="76"/>
        <v>683</v>
      </c>
      <c r="H683" s="4"/>
      <c r="I683" s="5">
        <v>516</v>
      </c>
      <c r="J683" s="6"/>
      <c r="K683" s="7">
        <v>14326</v>
      </c>
      <c r="L683" s="6">
        <f t="shared" si="72"/>
        <v>7</v>
      </c>
      <c r="M683" s="7">
        <v>2111</v>
      </c>
      <c r="N683" s="8">
        <f t="shared" si="73"/>
        <v>2</v>
      </c>
      <c r="O683" s="7">
        <v>12215</v>
      </c>
      <c r="P683" s="6">
        <f t="shared" si="74"/>
        <v>5</v>
      </c>
      <c r="Q683" s="9"/>
      <c r="R683" s="6">
        <f t="shared" si="75"/>
        <v>0</v>
      </c>
      <c r="S683" s="10" t="s">
        <v>1</v>
      </c>
      <c r="T683" s="2" t="s">
        <v>876</v>
      </c>
    </row>
    <row r="684" spans="1:20" ht="37.5" customHeight="1" x14ac:dyDescent="0.25">
      <c r="A684" s="2" t="s">
        <v>877</v>
      </c>
      <c r="B684">
        <f t="shared" si="70"/>
        <v>60314</v>
      </c>
      <c r="C684">
        <v>10180</v>
      </c>
      <c r="D684">
        <v>50134</v>
      </c>
      <c r="F684">
        <f t="shared" si="71"/>
        <v>215</v>
      </c>
      <c r="G684" s="3">
        <f t="shared" si="76"/>
        <v>684</v>
      </c>
      <c r="H684" s="4"/>
      <c r="I684" s="5">
        <v>517</v>
      </c>
      <c r="J684" s="6"/>
      <c r="K684" s="7">
        <v>60099</v>
      </c>
      <c r="L684" s="6">
        <f t="shared" si="72"/>
        <v>215</v>
      </c>
      <c r="M684" s="7">
        <v>10124</v>
      </c>
      <c r="N684" s="8">
        <f t="shared" si="73"/>
        <v>56</v>
      </c>
      <c r="O684" s="7">
        <v>49975</v>
      </c>
      <c r="P684" s="6">
        <f t="shared" si="74"/>
        <v>159</v>
      </c>
      <c r="Q684" s="9"/>
      <c r="R684" s="6">
        <f t="shared" si="75"/>
        <v>0</v>
      </c>
      <c r="S684" s="10" t="s">
        <v>1</v>
      </c>
      <c r="T684" s="2" t="s">
        <v>877</v>
      </c>
    </row>
    <row r="685" spans="1:20" ht="37.5" customHeight="1" x14ac:dyDescent="0.25">
      <c r="A685" s="2" t="s">
        <v>878</v>
      </c>
      <c r="B685">
        <f t="shared" si="70"/>
        <v>123025</v>
      </c>
      <c r="C685">
        <v>25769</v>
      </c>
      <c r="D685">
        <v>97256</v>
      </c>
      <c r="F685">
        <f t="shared" si="71"/>
        <v>754</v>
      </c>
      <c r="G685" s="3">
        <f t="shared" si="76"/>
        <v>685</v>
      </c>
      <c r="H685" s="4"/>
      <c r="I685" s="5">
        <v>518</v>
      </c>
      <c r="J685" s="6"/>
      <c r="K685" s="7">
        <v>122271</v>
      </c>
      <c r="L685" s="6">
        <f t="shared" si="72"/>
        <v>754</v>
      </c>
      <c r="M685" s="7">
        <v>25671</v>
      </c>
      <c r="N685" s="8">
        <f t="shared" si="73"/>
        <v>98</v>
      </c>
      <c r="O685" s="7">
        <v>96600</v>
      </c>
      <c r="P685" s="6">
        <f t="shared" si="74"/>
        <v>656</v>
      </c>
      <c r="Q685" s="9"/>
      <c r="R685" s="6">
        <f t="shared" si="75"/>
        <v>0</v>
      </c>
      <c r="S685" s="10" t="s">
        <v>1</v>
      </c>
      <c r="T685" s="2" t="s">
        <v>878</v>
      </c>
    </row>
    <row r="686" spans="1:20" ht="37.5" customHeight="1" x14ac:dyDescent="0.25">
      <c r="A686" s="2" t="s">
        <v>879</v>
      </c>
      <c r="B686">
        <f t="shared" si="70"/>
        <v>18605</v>
      </c>
      <c r="C686">
        <v>2875</v>
      </c>
      <c r="D686">
        <v>15730</v>
      </c>
      <c r="F686">
        <f t="shared" si="71"/>
        <v>383</v>
      </c>
      <c r="G686" s="3">
        <f t="shared" si="76"/>
        <v>686</v>
      </c>
      <c r="H686" s="4"/>
      <c r="I686" s="5">
        <v>519</v>
      </c>
      <c r="J686" s="6"/>
      <c r="K686" s="7">
        <v>18222</v>
      </c>
      <c r="L686" s="6">
        <f t="shared" si="72"/>
        <v>383</v>
      </c>
      <c r="M686" s="7">
        <v>2808</v>
      </c>
      <c r="N686" s="8">
        <f t="shared" si="73"/>
        <v>67</v>
      </c>
      <c r="O686" s="7">
        <v>15414</v>
      </c>
      <c r="P686" s="6">
        <f t="shared" si="74"/>
        <v>316</v>
      </c>
      <c r="Q686" s="9"/>
      <c r="R686" s="6">
        <f t="shared" si="75"/>
        <v>0</v>
      </c>
      <c r="S686" s="10" t="s">
        <v>1</v>
      </c>
      <c r="T686" s="2" t="s">
        <v>879</v>
      </c>
    </row>
    <row r="687" spans="1:20" ht="37.5" customHeight="1" x14ac:dyDescent="0.25">
      <c r="A687" s="2" t="s">
        <v>880</v>
      </c>
      <c r="B687">
        <f t="shared" si="70"/>
        <v>68041</v>
      </c>
      <c r="C687">
        <v>8923</v>
      </c>
      <c r="D687">
        <v>59118</v>
      </c>
      <c r="F687">
        <f t="shared" si="71"/>
        <v>190</v>
      </c>
      <c r="G687" s="3">
        <f t="shared" si="76"/>
        <v>687</v>
      </c>
      <c r="H687" s="4"/>
      <c r="I687" s="5">
        <v>520</v>
      </c>
      <c r="J687" s="6"/>
      <c r="K687" s="7">
        <v>67851</v>
      </c>
      <c r="L687" s="6">
        <f t="shared" si="72"/>
        <v>190</v>
      </c>
      <c r="M687" s="7">
        <v>8891</v>
      </c>
      <c r="N687" s="8">
        <f t="shared" si="73"/>
        <v>32</v>
      </c>
      <c r="O687" s="7">
        <v>58960</v>
      </c>
      <c r="P687" s="6">
        <f t="shared" si="74"/>
        <v>158</v>
      </c>
      <c r="Q687" s="9"/>
      <c r="R687" s="6">
        <f t="shared" si="75"/>
        <v>0</v>
      </c>
      <c r="S687" s="10" t="s">
        <v>1</v>
      </c>
      <c r="T687" s="2" t="s">
        <v>880</v>
      </c>
    </row>
    <row r="688" spans="1:20" ht="37.5" customHeight="1" x14ac:dyDescent="0.25">
      <c r="A688" s="2" t="s">
        <v>881</v>
      </c>
      <c r="B688">
        <f t="shared" si="70"/>
        <v>9315</v>
      </c>
      <c r="C688">
        <v>1409</v>
      </c>
      <c r="D688">
        <v>7906</v>
      </c>
      <c r="F688">
        <f t="shared" si="71"/>
        <v>334</v>
      </c>
      <c r="G688" s="3">
        <f t="shared" si="76"/>
        <v>688</v>
      </c>
      <c r="H688" s="4"/>
      <c r="I688" s="5">
        <v>521</v>
      </c>
      <c r="J688" s="6"/>
      <c r="K688" s="7">
        <v>8981</v>
      </c>
      <c r="L688" s="6">
        <f t="shared" si="72"/>
        <v>334</v>
      </c>
      <c r="M688" s="7">
        <v>1352</v>
      </c>
      <c r="N688" s="8">
        <f t="shared" si="73"/>
        <v>57</v>
      </c>
      <c r="O688" s="7">
        <v>7629</v>
      </c>
      <c r="P688" s="6">
        <f t="shared" si="74"/>
        <v>277</v>
      </c>
      <c r="Q688" s="9"/>
      <c r="R688" s="6">
        <f t="shared" si="75"/>
        <v>0</v>
      </c>
      <c r="S688" s="10" t="s">
        <v>1</v>
      </c>
      <c r="T688" s="2" t="s">
        <v>881</v>
      </c>
    </row>
    <row r="689" spans="1:20" ht="37.5" customHeight="1" x14ac:dyDescent="0.25">
      <c r="A689" s="2" t="s">
        <v>882</v>
      </c>
      <c r="B689">
        <f t="shared" si="70"/>
        <v>66607</v>
      </c>
      <c r="C689">
        <v>17634</v>
      </c>
      <c r="D689">
        <v>48973</v>
      </c>
      <c r="F689">
        <f t="shared" si="71"/>
        <v>210</v>
      </c>
      <c r="G689" s="3">
        <f t="shared" si="76"/>
        <v>689</v>
      </c>
      <c r="H689" s="4"/>
      <c r="I689" s="5">
        <v>522</v>
      </c>
      <c r="J689" s="6"/>
      <c r="K689" s="7">
        <v>66397</v>
      </c>
      <c r="L689" s="6">
        <f t="shared" si="72"/>
        <v>210</v>
      </c>
      <c r="M689" s="7">
        <v>17604</v>
      </c>
      <c r="N689" s="8">
        <f t="shared" si="73"/>
        <v>30</v>
      </c>
      <c r="O689" s="7">
        <v>48793</v>
      </c>
      <c r="P689" s="6">
        <f t="shared" si="74"/>
        <v>180</v>
      </c>
      <c r="Q689" s="9"/>
      <c r="R689" s="6">
        <f t="shared" si="75"/>
        <v>0</v>
      </c>
      <c r="S689" s="10" t="s">
        <v>1</v>
      </c>
      <c r="T689" s="2" t="s">
        <v>882</v>
      </c>
    </row>
    <row r="690" spans="1:20" ht="37.5" customHeight="1" x14ac:dyDescent="0.25">
      <c r="A690" s="2" t="s">
        <v>883</v>
      </c>
      <c r="B690">
        <f t="shared" si="70"/>
        <v>35028</v>
      </c>
      <c r="C690">
        <v>6340</v>
      </c>
      <c r="D690">
        <v>28688</v>
      </c>
      <c r="F690">
        <f t="shared" si="71"/>
        <v>163</v>
      </c>
      <c r="G690" s="3">
        <f t="shared" si="76"/>
        <v>690</v>
      </c>
      <c r="H690" s="4"/>
      <c r="I690" s="5">
        <v>523</v>
      </c>
      <c r="J690" s="6"/>
      <c r="K690" s="7">
        <v>34865</v>
      </c>
      <c r="L690" s="6">
        <f t="shared" si="72"/>
        <v>163</v>
      </c>
      <c r="M690" s="7">
        <v>6307</v>
      </c>
      <c r="N690" s="8">
        <f t="shared" si="73"/>
        <v>33</v>
      </c>
      <c r="O690" s="7">
        <v>28558</v>
      </c>
      <c r="P690" s="6">
        <f t="shared" si="74"/>
        <v>130</v>
      </c>
      <c r="Q690" s="9"/>
      <c r="R690" s="6">
        <f t="shared" si="75"/>
        <v>0</v>
      </c>
      <c r="S690" s="10" t="s">
        <v>1</v>
      </c>
      <c r="T690" s="2" t="s">
        <v>883</v>
      </c>
    </row>
    <row r="691" spans="1:20" ht="37.5" customHeight="1" x14ac:dyDescent="0.25">
      <c r="A691" s="2" t="s">
        <v>884</v>
      </c>
      <c r="B691">
        <f t="shared" si="70"/>
        <v>76432</v>
      </c>
      <c r="C691">
        <v>18215</v>
      </c>
      <c r="D691">
        <v>58217</v>
      </c>
      <c r="F691">
        <f t="shared" si="71"/>
        <v>0</v>
      </c>
      <c r="G691" s="3">
        <f t="shared" si="76"/>
        <v>691</v>
      </c>
      <c r="H691" s="4"/>
      <c r="I691" s="5">
        <v>524</v>
      </c>
      <c r="J691" s="6"/>
      <c r="K691" s="7">
        <v>76432</v>
      </c>
      <c r="L691" s="6">
        <f t="shared" si="72"/>
        <v>0</v>
      </c>
      <c r="M691" s="7">
        <v>18215</v>
      </c>
      <c r="N691" s="8">
        <f t="shared" si="73"/>
        <v>0</v>
      </c>
      <c r="O691" s="7">
        <v>58217</v>
      </c>
      <c r="P691" s="6">
        <f t="shared" si="74"/>
        <v>0</v>
      </c>
      <c r="Q691" s="9"/>
      <c r="R691" s="6">
        <f t="shared" si="75"/>
        <v>0</v>
      </c>
      <c r="S691" s="10" t="s">
        <v>1</v>
      </c>
      <c r="T691" s="2" t="s">
        <v>884</v>
      </c>
    </row>
    <row r="692" spans="1:20" ht="37.5" customHeight="1" x14ac:dyDescent="0.25">
      <c r="A692" s="2" t="s">
        <v>885</v>
      </c>
      <c r="B692">
        <f t="shared" si="70"/>
        <v>26398</v>
      </c>
      <c r="C692">
        <v>8329</v>
      </c>
      <c r="D692">
        <v>18069</v>
      </c>
      <c r="F692">
        <f t="shared" si="71"/>
        <v>147</v>
      </c>
      <c r="G692" s="3">
        <f t="shared" si="76"/>
        <v>692</v>
      </c>
      <c r="H692" s="4"/>
      <c r="I692" s="5">
        <v>525</v>
      </c>
      <c r="J692" s="6"/>
      <c r="K692" s="7">
        <v>26251</v>
      </c>
      <c r="L692" s="6">
        <f t="shared" si="72"/>
        <v>147</v>
      </c>
      <c r="M692" s="7">
        <v>8306</v>
      </c>
      <c r="N692" s="8">
        <f t="shared" si="73"/>
        <v>23</v>
      </c>
      <c r="O692" s="7">
        <v>17945</v>
      </c>
      <c r="P692" s="6">
        <f t="shared" si="74"/>
        <v>124</v>
      </c>
      <c r="Q692" s="9"/>
      <c r="R692" s="6">
        <f t="shared" si="75"/>
        <v>0</v>
      </c>
      <c r="S692" s="10" t="s">
        <v>1</v>
      </c>
      <c r="T692" s="2" t="s">
        <v>885</v>
      </c>
    </row>
    <row r="693" spans="1:20" ht="37.5" customHeight="1" x14ac:dyDescent="0.25">
      <c r="A693" s="2" t="s">
        <v>886</v>
      </c>
      <c r="B693">
        <f t="shared" si="70"/>
        <v>30970</v>
      </c>
      <c r="C693">
        <v>4385</v>
      </c>
      <c r="D693">
        <v>26585</v>
      </c>
      <c r="F693">
        <f t="shared" si="71"/>
        <v>739</v>
      </c>
      <c r="G693" s="3">
        <f t="shared" si="76"/>
        <v>693</v>
      </c>
      <c r="H693" s="4"/>
      <c r="I693" s="5">
        <v>526</v>
      </c>
      <c r="J693" s="6"/>
      <c r="K693" s="7">
        <v>30231</v>
      </c>
      <c r="L693" s="6">
        <f t="shared" si="72"/>
        <v>739</v>
      </c>
      <c r="M693" s="7">
        <v>4294</v>
      </c>
      <c r="N693" s="8">
        <f t="shared" si="73"/>
        <v>91</v>
      </c>
      <c r="O693" s="7">
        <v>25937</v>
      </c>
      <c r="P693" s="6">
        <f t="shared" si="74"/>
        <v>648</v>
      </c>
      <c r="Q693" s="9"/>
      <c r="R693" s="6">
        <f t="shared" si="75"/>
        <v>0</v>
      </c>
      <c r="S693" s="10" t="s">
        <v>1</v>
      </c>
      <c r="T693" s="2" t="s">
        <v>886</v>
      </c>
    </row>
    <row r="694" spans="1:20" ht="37.5" customHeight="1" x14ac:dyDescent="0.25">
      <c r="A694" s="2" t="s">
        <v>887</v>
      </c>
      <c r="B694">
        <f t="shared" si="70"/>
        <v>119459</v>
      </c>
      <c r="C694">
        <v>26395</v>
      </c>
      <c r="D694">
        <v>93064</v>
      </c>
      <c r="F694">
        <f t="shared" si="71"/>
        <v>680</v>
      </c>
      <c r="G694" s="3">
        <f t="shared" si="76"/>
        <v>694</v>
      </c>
      <c r="H694" s="4"/>
      <c r="I694" s="5">
        <v>527</v>
      </c>
      <c r="J694" s="6"/>
      <c r="K694" s="7">
        <v>118779</v>
      </c>
      <c r="L694" s="6">
        <f t="shared" si="72"/>
        <v>680</v>
      </c>
      <c r="M694" s="7">
        <v>26269</v>
      </c>
      <c r="N694" s="8">
        <f t="shared" si="73"/>
        <v>126</v>
      </c>
      <c r="O694" s="7">
        <v>92510</v>
      </c>
      <c r="P694" s="6">
        <f t="shared" si="74"/>
        <v>554</v>
      </c>
      <c r="Q694" s="9"/>
      <c r="R694" s="6">
        <f t="shared" si="75"/>
        <v>0</v>
      </c>
      <c r="S694" s="10" t="s">
        <v>1</v>
      </c>
      <c r="T694" s="2" t="s">
        <v>887</v>
      </c>
    </row>
    <row r="695" spans="1:20" ht="37.5" customHeight="1" x14ac:dyDescent="0.25">
      <c r="A695" s="2" t="s">
        <v>888</v>
      </c>
      <c r="B695">
        <f t="shared" si="70"/>
        <v>4040</v>
      </c>
      <c r="C695">
        <v>769</v>
      </c>
      <c r="D695">
        <v>3271</v>
      </c>
      <c r="F695">
        <f t="shared" si="71"/>
        <v>349</v>
      </c>
      <c r="G695" s="3">
        <f t="shared" si="76"/>
        <v>695</v>
      </c>
      <c r="H695" s="4"/>
      <c r="I695" s="5">
        <v>528</v>
      </c>
      <c r="J695" s="6"/>
      <c r="K695" s="7">
        <v>3691</v>
      </c>
      <c r="L695" s="6">
        <f t="shared" si="72"/>
        <v>349</v>
      </c>
      <c r="M695" s="7">
        <v>706</v>
      </c>
      <c r="N695" s="8">
        <f t="shared" si="73"/>
        <v>63</v>
      </c>
      <c r="O695" s="7">
        <v>2985</v>
      </c>
      <c r="P695" s="6">
        <f t="shared" si="74"/>
        <v>286</v>
      </c>
      <c r="Q695" s="9"/>
      <c r="R695" s="6">
        <f t="shared" si="75"/>
        <v>0</v>
      </c>
      <c r="S695" s="10" t="s">
        <v>1</v>
      </c>
      <c r="T695" s="2" t="s">
        <v>888</v>
      </c>
    </row>
    <row r="696" spans="1:20" ht="37.5" customHeight="1" x14ac:dyDescent="0.25">
      <c r="A696" s="2" t="s">
        <v>889</v>
      </c>
      <c r="B696">
        <f t="shared" si="70"/>
        <v>83964</v>
      </c>
      <c r="C696">
        <v>20528</v>
      </c>
      <c r="D696">
        <v>63436</v>
      </c>
      <c r="F696">
        <f t="shared" si="71"/>
        <v>864</v>
      </c>
      <c r="G696" s="3">
        <f t="shared" si="76"/>
        <v>696</v>
      </c>
      <c r="H696" s="4"/>
      <c r="I696" s="5">
        <v>529</v>
      </c>
      <c r="J696" s="6"/>
      <c r="K696" s="7">
        <v>83100</v>
      </c>
      <c r="L696" s="6">
        <f t="shared" si="72"/>
        <v>864</v>
      </c>
      <c r="M696" s="7">
        <v>20408</v>
      </c>
      <c r="N696" s="8">
        <f t="shared" si="73"/>
        <v>120</v>
      </c>
      <c r="O696" s="7">
        <v>62692</v>
      </c>
      <c r="P696" s="6">
        <f t="shared" si="74"/>
        <v>744</v>
      </c>
      <c r="Q696" s="9"/>
      <c r="R696" s="6">
        <f t="shared" si="75"/>
        <v>0</v>
      </c>
      <c r="S696" s="10" t="s">
        <v>1</v>
      </c>
      <c r="T696" s="2" t="s">
        <v>889</v>
      </c>
    </row>
    <row r="697" spans="1:20" ht="37.5" customHeight="1" x14ac:dyDescent="0.25">
      <c r="A697" s="2" t="s">
        <v>890</v>
      </c>
      <c r="B697">
        <f t="shared" si="70"/>
        <v>90795</v>
      </c>
      <c r="C697">
        <v>26422</v>
      </c>
      <c r="D697">
        <v>64373</v>
      </c>
      <c r="F697">
        <f t="shared" si="71"/>
        <v>307</v>
      </c>
      <c r="G697" s="3">
        <f t="shared" si="76"/>
        <v>697</v>
      </c>
      <c r="H697" s="4"/>
      <c r="I697" s="5">
        <v>530</v>
      </c>
      <c r="J697" s="6"/>
      <c r="K697" s="7">
        <v>90488</v>
      </c>
      <c r="L697" s="6">
        <f t="shared" si="72"/>
        <v>307</v>
      </c>
      <c r="M697" s="7">
        <v>26379</v>
      </c>
      <c r="N697" s="8">
        <f t="shared" si="73"/>
        <v>43</v>
      </c>
      <c r="O697" s="7">
        <v>64109</v>
      </c>
      <c r="P697" s="6">
        <f t="shared" si="74"/>
        <v>264</v>
      </c>
      <c r="Q697" s="9"/>
      <c r="R697" s="6">
        <f t="shared" si="75"/>
        <v>0</v>
      </c>
      <c r="S697" s="10" t="s">
        <v>1</v>
      </c>
      <c r="T697" s="2" t="s">
        <v>890</v>
      </c>
    </row>
    <row r="698" spans="1:20" ht="37.5" customHeight="1" x14ac:dyDescent="0.25">
      <c r="A698" s="2" t="s">
        <v>891</v>
      </c>
      <c r="B698">
        <f t="shared" si="70"/>
        <v>11025</v>
      </c>
      <c r="C698">
        <v>2173</v>
      </c>
      <c r="D698">
        <v>8852</v>
      </c>
      <c r="E698">
        <v>16928</v>
      </c>
      <c r="F698">
        <f t="shared" si="71"/>
        <v>335</v>
      </c>
      <c r="G698" s="3">
        <f t="shared" si="76"/>
        <v>698</v>
      </c>
      <c r="H698" s="4"/>
      <c r="I698" s="5">
        <v>531</v>
      </c>
      <c r="J698" s="6"/>
      <c r="K698" s="7">
        <f>M698+O698</f>
        <v>10690</v>
      </c>
      <c r="L698" s="6">
        <f t="shared" si="72"/>
        <v>335</v>
      </c>
      <c r="M698" s="7">
        <v>2116</v>
      </c>
      <c r="N698" s="8">
        <f t="shared" si="73"/>
        <v>57</v>
      </c>
      <c r="O698" s="7">
        <v>8574</v>
      </c>
      <c r="P698" s="6">
        <f t="shared" si="74"/>
        <v>278</v>
      </c>
      <c r="Q698" s="9">
        <v>16068</v>
      </c>
      <c r="R698" s="6">
        <f t="shared" si="75"/>
        <v>860</v>
      </c>
      <c r="S698" s="10" t="s">
        <v>1</v>
      </c>
      <c r="T698" s="2" t="s">
        <v>891</v>
      </c>
    </row>
    <row r="699" spans="1:20" ht="37.5" customHeight="1" x14ac:dyDescent="0.25">
      <c r="A699" s="2" t="s">
        <v>892</v>
      </c>
      <c r="B699">
        <f t="shared" si="70"/>
        <v>33621</v>
      </c>
      <c r="C699">
        <v>6547</v>
      </c>
      <c r="D699">
        <v>27074</v>
      </c>
      <c r="F699">
        <f t="shared" si="71"/>
        <v>452</v>
      </c>
      <c r="G699" s="3">
        <f t="shared" si="76"/>
        <v>699</v>
      </c>
      <c r="H699" s="4"/>
      <c r="I699" s="5">
        <v>532</v>
      </c>
      <c r="J699" s="6"/>
      <c r="K699" s="7">
        <v>33169</v>
      </c>
      <c r="L699" s="6">
        <f t="shared" si="72"/>
        <v>452</v>
      </c>
      <c r="M699" s="7">
        <v>6472</v>
      </c>
      <c r="N699" s="8">
        <f t="shared" si="73"/>
        <v>75</v>
      </c>
      <c r="O699" s="7">
        <v>26697</v>
      </c>
      <c r="P699" s="6">
        <f t="shared" si="74"/>
        <v>377</v>
      </c>
      <c r="Q699" s="9"/>
      <c r="R699" s="6">
        <f t="shared" si="75"/>
        <v>0</v>
      </c>
      <c r="S699" s="10" t="s">
        <v>1</v>
      </c>
      <c r="T699" s="2" t="s">
        <v>892</v>
      </c>
    </row>
    <row r="700" spans="1:20" ht="37.5" customHeight="1" x14ac:dyDescent="0.25">
      <c r="A700" s="2" t="s">
        <v>893</v>
      </c>
      <c r="B700">
        <f t="shared" si="70"/>
        <v>20605</v>
      </c>
      <c r="C700">
        <v>3350</v>
      </c>
      <c r="D700">
        <v>17255</v>
      </c>
      <c r="F700">
        <f t="shared" si="71"/>
        <v>183</v>
      </c>
      <c r="G700" s="3">
        <f t="shared" si="76"/>
        <v>700</v>
      </c>
      <c r="H700" s="4"/>
      <c r="I700" s="5">
        <v>533</v>
      </c>
      <c r="J700" s="6"/>
      <c r="K700" s="7">
        <v>20422</v>
      </c>
      <c r="L700" s="6">
        <f t="shared" si="72"/>
        <v>183</v>
      </c>
      <c r="M700" s="7">
        <v>3315</v>
      </c>
      <c r="N700" s="8">
        <f t="shared" si="73"/>
        <v>35</v>
      </c>
      <c r="O700" s="7">
        <v>17107</v>
      </c>
      <c r="P700" s="6">
        <f t="shared" si="74"/>
        <v>148</v>
      </c>
      <c r="Q700" s="9"/>
      <c r="R700" s="6">
        <f t="shared" si="75"/>
        <v>0</v>
      </c>
      <c r="S700" s="10" t="s">
        <v>1</v>
      </c>
      <c r="T700" s="2" t="s">
        <v>893</v>
      </c>
    </row>
    <row r="701" spans="1:20" ht="37.5" customHeight="1" x14ac:dyDescent="0.25">
      <c r="A701" s="2" t="s">
        <v>894</v>
      </c>
      <c r="B701">
        <f t="shared" si="70"/>
        <v>132970</v>
      </c>
      <c r="C701">
        <v>31749</v>
      </c>
      <c r="D701">
        <v>101221</v>
      </c>
      <c r="F701">
        <f t="shared" si="71"/>
        <v>287</v>
      </c>
      <c r="G701" s="3">
        <f t="shared" si="76"/>
        <v>701</v>
      </c>
      <c r="H701" s="4"/>
      <c r="I701" s="5">
        <v>534</v>
      </c>
      <c r="J701" s="6"/>
      <c r="K701" s="7">
        <v>132683</v>
      </c>
      <c r="L701" s="6">
        <f t="shared" si="72"/>
        <v>287</v>
      </c>
      <c r="M701" s="7">
        <v>31710</v>
      </c>
      <c r="N701" s="8">
        <f t="shared" si="73"/>
        <v>39</v>
      </c>
      <c r="O701" s="7">
        <v>100973</v>
      </c>
      <c r="P701" s="6">
        <f t="shared" si="74"/>
        <v>248</v>
      </c>
      <c r="Q701" s="9"/>
      <c r="R701" s="6">
        <f t="shared" si="75"/>
        <v>0</v>
      </c>
      <c r="S701" s="10" t="s">
        <v>1</v>
      </c>
      <c r="T701" s="2" t="s">
        <v>894</v>
      </c>
    </row>
    <row r="702" spans="1:20" ht="37.5" customHeight="1" x14ac:dyDescent="0.25">
      <c r="A702" s="2" t="s">
        <v>895</v>
      </c>
      <c r="B702">
        <f t="shared" si="70"/>
        <v>85027</v>
      </c>
      <c r="C702">
        <v>18966</v>
      </c>
      <c r="D702">
        <v>66061</v>
      </c>
      <c r="F702">
        <f t="shared" si="71"/>
        <v>327</v>
      </c>
      <c r="G702" s="3">
        <f t="shared" si="76"/>
        <v>702</v>
      </c>
      <c r="H702" s="4"/>
      <c r="I702" s="5">
        <v>535</v>
      </c>
      <c r="J702" s="6"/>
      <c r="K702" s="7">
        <v>84700</v>
      </c>
      <c r="L702" s="6">
        <f t="shared" si="72"/>
        <v>327</v>
      </c>
      <c r="M702" s="7">
        <v>18916</v>
      </c>
      <c r="N702" s="8">
        <f t="shared" si="73"/>
        <v>50</v>
      </c>
      <c r="O702" s="7">
        <v>65784</v>
      </c>
      <c r="P702" s="6">
        <f t="shared" si="74"/>
        <v>277</v>
      </c>
      <c r="Q702" s="9"/>
      <c r="R702" s="6">
        <f t="shared" si="75"/>
        <v>0</v>
      </c>
      <c r="S702" s="10" t="s">
        <v>1</v>
      </c>
      <c r="T702" s="2" t="s">
        <v>895</v>
      </c>
    </row>
    <row r="703" spans="1:20" ht="37.5" customHeight="1" x14ac:dyDescent="0.25">
      <c r="A703" s="2" t="s">
        <v>896</v>
      </c>
      <c r="B703">
        <f t="shared" si="70"/>
        <v>82508</v>
      </c>
      <c r="C703">
        <v>18226</v>
      </c>
      <c r="D703">
        <v>64282</v>
      </c>
      <c r="F703">
        <f t="shared" si="71"/>
        <v>160</v>
      </c>
      <c r="G703" s="3">
        <f t="shared" si="76"/>
        <v>703</v>
      </c>
      <c r="H703" s="4"/>
      <c r="I703" s="5">
        <v>536</v>
      </c>
      <c r="J703" s="6"/>
      <c r="K703" s="7">
        <v>82348</v>
      </c>
      <c r="L703" s="6">
        <f t="shared" si="72"/>
        <v>160</v>
      </c>
      <c r="M703" s="7">
        <v>18198</v>
      </c>
      <c r="N703" s="8">
        <f t="shared" si="73"/>
        <v>28</v>
      </c>
      <c r="O703" s="7">
        <v>64150</v>
      </c>
      <c r="P703" s="6">
        <f t="shared" si="74"/>
        <v>132</v>
      </c>
      <c r="Q703" s="9"/>
      <c r="R703" s="6">
        <f t="shared" si="75"/>
        <v>0</v>
      </c>
      <c r="S703" s="10" t="s">
        <v>1</v>
      </c>
      <c r="T703" s="2" t="s">
        <v>896</v>
      </c>
    </row>
    <row r="704" spans="1:20" ht="37.5" customHeight="1" x14ac:dyDescent="0.25">
      <c r="A704" s="2" t="s">
        <v>897</v>
      </c>
      <c r="B704">
        <f t="shared" si="70"/>
        <v>20897</v>
      </c>
      <c r="C704">
        <v>3904</v>
      </c>
      <c r="D704">
        <v>16993</v>
      </c>
      <c r="F704">
        <f t="shared" si="71"/>
        <v>60</v>
      </c>
      <c r="G704" s="3">
        <f t="shared" si="76"/>
        <v>704</v>
      </c>
      <c r="H704" s="4"/>
      <c r="I704" s="5">
        <v>537</v>
      </c>
      <c r="J704" s="6"/>
      <c r="K704" s="7">
        <v>20837</v>
      </c>
      <c r="L704" s="6">
        <f t="shared" si="72"/>
        <v>60</v>
      </c>
      <c r="M704" s="7">
        <v>3904</v>
      </c>
      <c r="N704" s="8">
        <f t="shared" si="73"/>
        <v>0</v>
      </c>
      <c r="O704" s="7">
        <v>16933</v>
      </c>
      <c r="P704" s="6">
        <f t="shared" si="74"/>
        <v>60</v>
      </c>
      <c r="Q704" s="9"/>
      <c r="R704" s="6">
        <f t="shared" si="75"/>
        <v>0</v>
      </c>
      <c r="S704" s="10" t="s">
        <v>1</v>
      </c>
      <c r="T704" s="2" t="s">
        <v>897</v>
      </c>
    </row>
    <row r="705" spans="1:20" ht="37.5" customHeight="1" x14ac:dyDescent="0.25">
      <c r="A705" s="2" t="s">
        <v>898</v>
      </c>
      <c r="B705">
        <f t="shared" si="70"/>
        <v>14294</v>
      </c>
      <c r="C705">
        <v>3020</v>
      </c>
      <c r="D705">
        <v>11274</v>
      </c>
      <c r="F705">
        <f t="shared" si="71"/>
        <v>204</v>
      </c>
      <c r="G705" s="3">
        <f t="shared" si="76"/>
        <v>705</v>
      </c>
      <c r="H705" s="4"/>
      <c r="I705" s="5">
        <v>538</v>
      </c>
      <c r="J705" s="6"/>
      <c r="K705" s="7">
        <v>14090</v>
      </c>
      <c r="L705" s="6">
        <f t="shared" si="72"/>
        <v>204</v>
      </c>
      <c r="M705" s="7">
        <v>2979</v>
      </c>
      <c r="N705" s="8">
        <f t="shared" si="73"/>
        <v>41</v>
      </c>
      <c r="O705" s="7">
        <v>11111</v>
      </c>
      <c r="P705" s="6">
        <f t="shared" si="74"/>
        <v>163</v>
      </c>
      <c r="Q705" s="9"/>
      <c r="R705" s="6">
        <f t="shared" si="75"/>
        <v>0</v>
      </c>
      <c r="S705" s="10" t="s">
        <v>1</v>
      </c>
      <c r="T705" s="2" t="s">
        <v>898</v>
      </c>
    </row>
    <row r="706" spans="1:20" ht="37.5" customHeight="1" x14ac:dyDescent="0.25">
      <c r="A706" s="2" t="s">
        <v>899</v>
      </c>
      <c r="B706">
        <f t="shared" ref="B706:B769" si="77">C706+D706</f>
        <v>68688</v>
      </c>
      <c r="C706">
        <v>13509</v>
      </c>
      <c r="D706">
        <v>55179</v>
      </c>
      <c r="F706">
        <f t="shared" ref="F706:F769" si="78">L706</f>
        <v>273</v>
      </c>
      <c r="G706" s="3">
        <f t="shared" si="76"/>
        <v>706</v>
      </c>
      <c r="H706" s="4"/>
      <c r="I706" s="5">
        <v>539</v>
      </c>
      <c r="J706" s="6"/>
      <c r="K706" s="7">
        <v>68415</v>
      </c>
      <c r="L706" s="6">
        <f t="shared" ref="L706:L769" si="79">B706-K706</f>
        <v>273</v>
      </c>
      <c r="M706" s="7">
        <v>13456</v>
      </c>
      <c r="N706" s="8">
        <f t="shared" ref="N706:N769" si="80">C706-M706</f>
        <v>53</v>
      </c>
      <c r="O706" s="7">
        <v>54959</v>
      </c>
      <c r="P706" s="6">
        <f t="shared" ref="P706:P769" si="81">D706-O706</f>
        <v>220</v>
      </c>
      <c r="Q706" s="9"/>
      <c r="R706" s="6">
        <f t="shared" ref="R706:R769" si="82">E706-Q706</f>
        <v>0</v>
      </c>
      <c r="S706" s="10" t="s">
        <v>1</v>
      </c>
      <c r="T706" s="2" t="s">
        <v>899</v>
      </c>
    </row>
    <row r="707" spans="1:20" ht="37.5" customHeight="1" x14ac:dyDescent="0.25">
      <c r="A707" s="2" t="s">
        <v>900</v>
      </c>
      <c r="B707">
        <f t="shared" si="77"/>
        <v>9189</v>
      </c>
      <c r="C707">
        <v>1287</v>
      </c>
      <c r="D707">
        <v>7902</v>
      </c>
      <c r="E707">
        <v>8182</v>
      </c>
      <c r="F707">
        <f t="shared" si="78"/>
        <v>268</v>
      </c>
      <c r="G707" s="3">
        <f t="shared" ref="G707:G770" si="83">G706+1</f>
        <v>707</v>
      </c>
      <c r="H707" s="4"/>
      <c r="I707" s="5">
        <v>540</v>
      </c>
      <c r="J707" s="6"/>
      <c r="K707" s="7">
        <f>M707+O707</f>
        <v>8921</v>
      </c>
      <c r="L707" s="6">
        <f t="shared" si="79"/>
        <v>268</v>
      </c>
      <c r="M707" s="7">
        <v>1238</v>
      </c>
      <c r="N707" s="8">
        <f t="shared" si="80"/>
        <v>49</v>
      </c>
      <c r="O707" s="7">
        <v>7683</v>
      </c>
      <c r="P707" s="6">
        <f t="shared" si="81"/>
        <v>219</v>
      </c>
      <c r="Q707" s="9">
        <v>7867</v>
      </c>
      <c r="R707" s="6">
        <f t="shared" si="82"/>
        <v>315</v>
      </c>
      <c r="S707" s="10" t="s">
        <v>1</v>
      </c>
      <c r="T707" s="2" t="s">
        <v>900</v>
      </c>
    </row>
    <row r="708" spans="1:20" ht="37.5" customHeight="1" x14ac:dyDescent="0.25">
      <c r="A708" s="2" t="s">
        <v>901</v>
      </c>
      <c r="B708">
        <f t="shared" si="77"/>
        <v>63908</v>
      </c>
      <c r="C708">
        <v>9397</v>
      </c>
      <c r="D708">
        <v>54511</v>
      </c>
      <c r="F708">
        <f t="shared" si="78"/>
        <v>304</v>
      </c>
      <c r="G708" s="3">
        <f t="shared" si="83"/>
        <v>708</v>
      </c>
      <c r="H708" s="4"/>
      <c r="I708" s="5">
        <v>541</v>
      </c>
      <c r="J708" s="6"/>
      <c r="K708" s="7">
        <v>63604</v>
      </c>
      <c r="L708" s="6">
        <f t="shared" si="79"/>
        <v>304</v>
      </c>
      <c r="M708" s="7">
        <v>9339</v>
      </c>
      <c r="N708" s="8">
        <f t="shared" si="80"/>
        <v>58</v>
      </c>
      <c r="O708" s="7">
        <v>54265</v>
      </c>
      <c r="P708" s="6">
        <f t="shared" si="81"/>
        <v>246</v>
      </c>
      <c r="Q708" s="9"/>
      <c r="R708" s="6">
        <f t="shared" si="82"/>
        <v>0</v>
      </c>
      <c r="S708" s="10" t="s">
        <v>1</v>
      </c>
      <c r="T708" s="2" t="s">
        <v>901</v>
      </c>
    </row>
    <row r="709" spans="1:20" ht="37.5" customHeight="1" x14ac:dyDescent="0.25">
      <c r="A709" s="2" t="s">
        <v>902</v>
      </c>
      <c r="B709">
        <f t="shared" si="77"/>
        <v>55192</v>
      </c>
      <c r="C709">
        <v>9241</v>
      </c>
      <c r="D709">
        <v>45951</v>
      </c>
      <c r="F709">
        <f t="shared" si="78"/>
        <v>155</v>
      </c>
      <c r="G709" s="3">
        <f t="shared" si="83"/>
        <v>709</v>
      </c>
      <c r="H709" s="4"/>
      <c r="I709" s="5">
        <v>542</v>
      </c>
      <c r="J709" s="6"/>
      <c r="K709" s="7">
        <v>55037</v>
      </c>
      <c r="L709" s="6">
        <f t="shared" si="79"/>
        <v>155</v>
      </c>
      <c r="M709" s="7">
        <v>9210</v>
      </c>
      <c r="N709" s="8">
        <f t="shared" si="80"/>
        <v>31</v>
      </c>
      <c r="O709" s="7">
        <v>45827</v>
      </c>
      <c r="P709" s="6">
        <f t="shared" si="81"/>
        <v>124</v>
      </c>
      <c r="Q709" s="9"/>
      <c r="R709" s="6">
        <f t="shared" si="82"/>
        <v>0</v>
      </c>
      <c r="S709" s="10" t="s">
        <v>1</v>
      </c>
      <c r="T709" s="2" t="s">
        <v>902</v>
      </c>
    </row>
    <row r="710" spans="1:20" ht="37.5" customHeight="1" x14ac:dyDescent="0.25">
      <c r="A710" s="2" t="s">
        <v>903</v>
      </c>
      <c r="B710">
        <f t="shared" si="77"/>
        <v>5799</v>
      </c>
      <c r="C710">
        <v>1150</v>
      </c>
      <c r="D710">
        <v>4649</v>
      </c>
      <c r="E710">
        <v>4337</v>
      </c>
      <c r="F710">
        <f t="shared" si="78"/>
        <v>266</v>
      </c>
      <c r="G710" s="3">
        <f t="shared" si="83"/>
        <v>710</v>
      </c>
      <c r="H710" s="4"/>
      <c r="I710" s="5">
        <v>543</v>
      </c>
      <c r="J710" s="6"/>
      <c r="K710" s="7">
        <f>M710+O710</f>
        <v>5533</v>
      </c>
      <c r="L710" s="6">
        <f t="shared" si="79"/>
        <v>266</v>
      </c>
      <c r="M710" s="7">
        <v>1078</v>
      </c>
      <c r="N710" s="8">
        <f t="shared" si="80"/>
        <v>72</v>
      </c>
      <c r="O710" s="7">
        <v>4455</v>
      </c>
      <c r="P710" s="6">
        <f t="shared" si="81"/>
        <v>194</v>
      </c>
      <c r="Q710" s="9">
        <v>3707</v>
      </c>
      <c r="R710" s="6">
        <f t="shared" si="82"/>
        <v>630</v>
      </c>
      <c r="S710" s="10" t="s">
        <v>1</v>
      </c>
      <c r="T710" s="2" t="s">
        <v>903</v>
      </c>
    </row>
    <row r="711" spans="1:20" ht="37.5" customHeight="1" x14ac:dyDescent="0.25">
      <c r="A711" s="2" t="s">
        <v>904</v>
      </c>
      <c r="B711">
        <f t="shared" si="77"/>
        <v>75829</v>
      </c>
      <c r="C711">
        <v>27737</v>
      </c>
      <c r="D711">
        <v>48092</v>
      </c>
      <c r="F711">
        <f t="shared" si="78"/>
        <v>241</v>
      </c>
      <c r="G711" s="3">
        <f t="shared" si="83"/>
        <v>711</v>
      </c>
      <c r="H711" s="4"/>
      <c r="I711" s="5">
        <v>544</v>
      </c>
      <c r="J711" s="6"/>
      <c r="K711" s="7">
        <v>75588</v>
      </c>
      <c r="L711" s="6">
        <f t="shared" si="79"/>
        <v>241</v>
      </c>
      <c r="M711" s="7">
        <v>27686</v>
      </c>
      <c r="N711" s="8">
        <f t="shared" si="80"/>
        <v>51</v>
      </c>
      <c r="O711" s="7">
        <v>47902</v>
      </c>
      <c r="P711" s="6">
        <f t="shared" si="81"/>
        <v>190</v>
      </c>
      <c r="Q711" s="9"/>
      <c r="R711" s="6">
        <f t="shared" si="82"/>
        <v>0</v>
      </c>
      <c r="S711" s="10" t="s">
        <v>1</v>
      </c>
      <c r="T711" s="2" t="s">
        <v>904</v>
      </c>
    </row>
    <row r="712" spans="1:20" ht="37.5" customHeight="1" x14ac:dyDescent="0.25">
      <c r="A712" s="2" t="s">
        <v>905</v>
      </c>
      <c r="B712">
        <f t="shared" si="77"/>
        <v>24689</v>
      </c>
      <c r="C712">
        <v>4053</v>
      </c>
      <c r="D712">
        <v>20636</v>
      </c>
      <c r="F712">
        <f t="shared" si="78"/>
        <v>537</v>
      </c>
      <c r="G712" s="3">
        <f t="shared" si="83"/>
        <v>712</v>
      </c>
      <c r="H712" s="4"/>
      <c r="I712" s="5">
        <v>545</v>
      </c>
      <c r="J712" s="6"/>
      <c r="K712" s="7">
        <v>24152</v>
      </c>
      <c r="L712" s="6">
        <f t="shared" si="79"/>
        <v>537</v>
      </c>
      <c r="M712" s="7">
        <v>3960</v>
      </c>
      <c r="N712" s="8">
        <f t="shared" si="80"/>
        <v>93</v>
      </c>
      <c r="O712" s="7">
        <v>20192</v>
      </c>
      <c r="P712" s="6">
        <f t="shared" si="81"/>
        <v>444</v>
      </c>
      <c r="Q712" s="9"/>
      <c r="R712" s="6">
        <f t="shared" si="82"/>
        <v>0</v>
      </c>
      <c r="S712" s="10" t="s">
        <v>1</v>
      </c>
      <c r="T712" s="2" t="s">
        <v>905</v>
      </c>
    </row>
    <row r="713" spans="1:20" ht="37.5" customHeight="1" x14ac:dyDescent="0.25">
      <c r="A713" s="2" t="s">
        <v>906</v>
      </c>
      <c r="B713">
        <f t="shared" si="77"/>
        <v>11582</v>
      </c>
      <c r="C713">
        <v>1997</v>
      </c>
      <c r="D713">
        <v>9585</v>
      </c>
      <c r="F713">
        <f t="shared" si="78"/>
        <v>296</v>
      </c>
      <c r="G713" s="3">
        <f t="shared" si="83"/>
        <v>713</v>
      </c>
      <c r="H713" s="4"/>
      <c r="I713" s="5">
        <v>546</v>
      </c>
      <c r="J713" s="6"/>
      <c r="K713" s="7">
        <v>11286</v>
      </c>
      <c r="L713" s="6">
        <f t="shared" si="79"/>
        <v>296</v>
      </c>
      <c r="M713" s="7">
        <v>1947</v>
      </c>
      <c r="N713" s="8">
        <f t="shared" si="80"/>
        <v>50</v>
      </c>
      <c r="O713" s="7">
        <v>9339</v>
      </c>
      <c r="P713" s="6">
        <f t="shared" si="81"/>
        <v>246</v>
      </c>
      <c r="Q713" s="9"/>
      <c r="R713" s="6">
        <f t="shared" si="82"/>
        <v>0</v>
      </c>
      <c r="S713" s="10" t="s">
        <v>1</v>
      </c>
      <c r="T713" s="2" t="s">
        <v>906</v>
      </c>
    </row>
    <row r="714" spans="1:20" ht="37.5" customHeight="1" x14ac:dyDescent="0.25">
      <c r="A714" s="2" t="s">
        <v>907</v>
      </c>
      <c r="B714">
        <f t="shared" si="77"/>
        <v>67674</v>
      </c>
      <c r="C714">
        <v>20783</v>
      </c>
      <c r="D714">
        <v>46891</v>
      </c>
      <c r="F714">
        <f t="shared" si="78"/>
        <v>236</v>
      </c>
      <c r="G714" s="3">
        <f t="shared" si="83"/>
        <v>714</v>
      </c>
      <c r="H714" s="4"/>
      <c r="I714" s="5">
        <v>547</v>
      </c>
      <c r="J714" s="6"/>
      <c r="K714" s="7">
        <v>67438</v>
      </c>
      <c r="L714" s="6">
        <f t="shared" si="79"/>
        <v>236</v>
      </c>
      <c r="M714" s="7">
        <v>20740</v>
      </c>
      <c r="N714" s="8">
        <f t="shared" si="80"/>
        <v>43</v>
      </c>
      <c r="O714" s="7">
        <v>46698</v>
      </c>
      <c r="P714" s="6">
        <f t="shared" si="81"/>
        <v>193</v>
      </c>
      <c r="Q714" s="9"/>
      <c r="R714" s="6">
        <f t="shared" si="82"/>
        <v>0</v>
      </c>
      <c r="S714" s="10" t="s">
        <v>1</v>
      </c>
      <c r="T714" s="2" t="s">
        <v>907</v>
      </c>
    </row>
    <row r="715" spans="1:20" ht="37.5" customHeight="1" x14ac:dyDescent="0.25">
      <c r="A715" s="2" t="s">
        <v>908</v>
      </c>
      <c r="B715">
        <f t="shared" si="77"/>
        <v>36078</v>
      </c>
      <c r="C715">
        <v>6353</v>
      </c>
      <c r="D715">
        <v>29725</v>
      </c>
      <c r="F715">
        <f t="shared" si="78"/>
        <v>422</v>
      </c>
      <c r="G715" s="3">
        <f t="shared" si="83"/>
        <v>715</v>
      </c>
      <c r="H715" s="4"/>
      <c r="I715" s="5">
        <v>548</v>
      </c>
      <c r="J715" s="6"/>
      <c r="K715" s="7">
        <v>35656</v>
      </c>
      <c r="L715" s="6">
        <f t="shared" si="79"/>
        <v>422</v>
      </c>
      <c r="M715" s="7">
        <v>6284</v>
      </c>
      <c r="N715" s="8">
        <f t="shared" si="80"/>
        <v>69</v>
      </c>
      <c r="O715" s="7">
        <v>29372</v>
      </c>
      <c r="P715" s="6">
        <f t="shared" si="81"/>
        <v>353</v>
      </c>
      <c r="Q715" s="9"/>
      <c r="R715" s="6">
        <f t="shared" si="82"/>
        <v>0</v>
      </c>
      <c r="S715" s="10" t="s">
        <v>1</v>
      </c>
      <c r="T715" s="2" t="s">
        <v>908</v>
      </c>
    </row>
    <row r="716" spans="1:20" ht="37.5" customHeight="1" x14ac:dyDescent="0.25">
      <c r="A716" s="2" t="s">
        <v>909</v>
      </c>
      <c r="B716">
        <f t="shared" si="77"/>
        <v>11857</v>
      </c>
      <c r="C716">
        <v>2241</v>
      </c>
      <c r="D716">
        <v>9616</v>
      </c>
      <c r="F716">
        <f t="shared" si="78"/>
        <v>247</v>
      </c>
      <c r="G716" s="3">
        <f t="shared" si="83"/>
        <v>716</v>
      </c>
      <c r="H716" s="4"/>
      <c r="I716" s="5">
        <v>549</v>
      </c>
      <c r="J716" s="6"/>
      <c r="K716" s="7">
        <v>11610</v>
      </c>
      <c r="L716" s="6">
        <f t="shared" si="79"/>
        <v>247</v>
      </c>
      <c r="M716" s="7">
        <v>2196</v>
      </c>
      <c r="N716" s="8">
        <f t="shared" si="80"/>
        <v>45</v>
      </c>
      <c r="O716" s="7">
        <v>9414</v>
      </c>
      <c r="P716" s="6">
        <f t="shared" si="81"/>
        <v>202</v>
      </c>
      <c r="Q716" s="9"/>
      <c r="R716" s="6">
        <f t="shared" si="82"/>
        <v>0</v>
      </c>
      <c r="S716" s="10" t="s">
        <v>1</v>
      </c>
      <c r="T716" s="2" t="s">
        <v>909</v>
      </c>
    </row>
    <row r="717" spans="1:20" ht="37.5" customHeight="1" x14ac:dyDescent="0.25">
      <c r="A717" s="2" t="s">
        <v>910</v>
      </c>
      <c r="B717">
        <f t="shared" si="77"/>
        <v>16113</v>
      </c>
      <c r="C717">
        <v>2855</v>
      </c>
      <c r="D717">
        <v>13258</v>
      </c>
      <c r="F717">
        <f t="shared" si="78"/>
        <v>159</v>
      </c>
      <c r="G717" s="3">
        <f t="shared" si="83"/>
        <v>717</v>
      </c>
      <c r="H717" s="4"/>
      <c r="I717" s="5">
        <v>550</v>
      </c>
      <c r="J717" s="6"/>
      <c r="K717" s="7">
        <v>15954</v>
      </c>
      <c r="L717" s="6">
        <f t="shared" si="79"/>
        <v>159</v>
      </c>
      <c r="M717" s="7">
        <v>2831</v>
      </c>
      <c r="N717" s="8">
        <f t="shared" si="80"/>
        <v>24</v>
      </c>
      <c r="O717" s="7">
        <v>13123</v>
      </c>
      <c r="P717" s="6">
        <f t="shared" si="81"/>
        <v>135</v>
      </c>
      <c r="Q717" s="9"/>
      <c r="R717" s="6">
        <f t="shared" si="82"/>
        <v>0</v>
      </c>
      <c r="S717" s="10" t="s">
        <v>1</v>
      </c>
      <c r="T717" s="2" t="s">
        <v>910</v>
      </c>
    </row>
    <row r="718" spans="1:20" ht="37.5" customHeight="1" x14ac:dyDescent="0.25">
      <c r="A718" s="2" t="s">
        <v>911</v>
      </c>
      <c r="B718">
        <f t="shared" si="77"/>
        <v>49611</v>
      </c>
      <c r="C718">
        <v>8093</v>
      </c>
      <c r="D718">
        <v>41518</v>
      </c>
      <c r="F718">
        <f t="shared" si="78"/>
        <v>580</v>
      </c>
      <c r="G718" s="3">
        <f t="shared" si="83"/>
        <v>718</v>
      </c>
      <c r="H718" s="4"/>
      <c r="I718" s="5" t="s">
        <v>912</v>
      </c>
      <c r="J718" s="6"/>
      <c r="K718" s="7">
        <v>49031</v>
      </c>
      <c r="L718" s="6">
        <f t="shared" si="79"/>
        <v>580</v>
      </c>
      <c r="M718" s="7">
        <v>7995</v>
      </c>
      <c r="N718" s="8">
        <f t="shared" si="80"/>
        <v>98</v>
      </c>
      <c r="O718" s="7">
        <v>41036</v>
      </c>
      <c r="P718" s="6">
        <f t="shared" si="81"/>
        <v>482</v>
      </c>
      <c r="Q718" s="9"/>
      <c r="R718" s="6">
        <f t="shared" si="82"/>
        <v>0</v>
      </c>
      <c r="S718" s="10" t="s">
        <v>1</v>
      </c>
      <c r="T718" s="2" t="s">
        <v>911</v>
      </c>
    </row>
    <row r="719" spans="1:20" ht="37.5" customHeight="1" x14ac:dyDescent="0.25">
      <c r="A719" s="2" t="s">
        <v>913</v>
      </c>
      <c r="B719">
        <f t="shared" si="77"/>
        <v>142803</v>
      </c>
      <c r="C719">
        <v>29260</v>
      </c>
      <c r="D719">
        <v>113543</v>
      </c>
      <c r="F719">
        <f t="shared" si="78"/>
        <v>1312</v>
      </c>
      <c r="G719" s="3">
        <f t="shared" si="83"/>
        <v>719</v>
      </c>
      <c r="H719" s="4"/>
      <c r="I719" s="5" t="s">
        <v>914</v>
      </c>
      <c r="J719" s="6"/>
      <c r="K719" s="7">
        <v>141491</v>
      </c>
      <c r="L719" s="6">
        <f t="shared" si="79"/>
        <v>1312</v>
      </c>
      <c r="M719" s="7">
        <v>29016</v>
      </c>
      <c r="N719" s="8">
        <f t="shared" si="80"/>
        <v>244</v>
      </c>
      <c r="O719" s="7">
        <v>112475</v>
      </c>
      <c r="P719" s="6">
        <f t="shared" si="81"/>
        <v>1068</v>
      </c>
      <c r="Q719" s="9"/>
      <c r="R719" s="6">
        <f t="shared" si="82"/>
        <v>0</v>
      </c>
      <c r="S719" s="10" t="s">
        <v>1</v>
      </c>
      <c r="T719" s="2" t="s">
        <v>913</v>
      </c>
    </row>
    <row r="720" spans="1:20" ht="37.5" customHeight="1" x14ac:dyDescent="0.25">
      <c r="A720" s="2" t="s">
        <v>915</v>
      </c>
      <c r="B720">
        <f t="shared" si="77"/>
        <v>2596</v>
      </c>
      <c r="C720">
        <v>431</v>
      </c>
      <c r="D720">
        <v>2165</v>
      </c>
      <c r="E720">
        <v>3793</v>
      </c>
      <c r="F720">
        <f t="shared" si="78"/>
        <v>492</v>
      </c>
      <c r="G720" s="3">
        <f t="shared" si="83"/>
        <v>720</v>
      </c>
      <c r="H720" s="4"/>
      <c r="I720" s="5">
        <v>551</v>
      </c>
      <c r="J720" s="6"/>
      <c r="K720" s="7">
        <f>M720+O720</f>
        <v>2104</v>
      </c>
      <c r="L720" s="6">
        <f t="shared" si="79"/>
        <v>492</v>
      </c>
      <c r="M720" s="7">
        <v>319</v>
      </c>
      <c r="N720" s="8">
        <f t="shared" si="80"/>
        <v>112</v>
      </c>
      <c r="O720" s="7">
        <v>1785</v>
      </c>
      <c r="P720" s="6">
        <f t="shared" si="81"/>
        <v>380</v>
      </c>
      <c r="Q720" s="9">
        <v>3154</v>
      </c>
      <c r="R720" s="6">
        <f t="shared" si="82"/>
        <v>639</v>
      </c>
      <c r="S720" s="10" t="s">
        <v>1</v>
      </c>
      <c r="T720" s="2" t="s">
        <v>915</v>
      </c>
    </row>
    <row r="721" spans="1:20" ht="37.5" customHeight="1" x14ac:dyDescent="0.25">
      <c r="A721" s="2" t="s">
        <v>916</v>
      </c>
      <c r="B721">
        <f t="shared" si="77"/>
        <v>7696</v>
      </c>
      <c r="C721">
        <v>1392</v>
      </c>
      <c r="D721">
        <v>6304</v>
      </c>
      <c r="F721">
        <f t="shared" si="78"/>
        <v>365</v>
      </c>
      <c r="G721" s="3">
        <f t="shared" si="83"/>
        <v>721</v>
      </c>
      <c r="H721" s="4"/>
      <c r="I721" s="5">
        <v>552</v>
      </c>
      <c r="J721" s="6"/>
      <c r="K721" s="7">
        <v>7331</v>
      </c>
      <c r="L721" s="6">
        <f t="shared" si="79"/>
        <v>365</v>
      </c>
      <c r="M721" s="7">
        <v>1335</v>
      </c>
      <c r="N721" s="8">
        <f t="shared" si="80"/>
        <v>57</v>
      </c>
      <c r="O721" s="7">
        <v>5996</v>
      </c>
      <c r="P721" s="6">
        <f t="shared" si="81"/>
        <v>308</v>
      </c>
      <c r="Q721" s="9"/>
      <c r="R721" s="6">
        <f t="shared" si="82"/>
        <v>0</v>
      </c>
      <c r="S721" s="10" t="s">
        <v>1</v>
      </c>
      <c r="T721" s="2" t="s">
        <v>916</v>
      </c>
    </row>
    <row r="722" spans="1:20" ht="37.5" customHeight="1" x14ac:dyDescent="0.25">
      <c r="A722" s="2" t="s">
        <v>917</v>
      </c>
      <c r="B722">
        <f t="shared" si="77"/>
        <v>36699</v>
      </c>
      <c r="C722">
        <v>7397</v>
      </c>
      <c r="D722">
        <v>29302</v>
      </c>
      <c r="F722">
        <f t="shared" si="78"/>
        <v>358</v>
      </c>
      <c r="G722" s="3">
        <f t="shared" si="83"/>
        <v>722</v>
      </c>
      <c r="H722" s="4"/>
      <c r="I722" s="5" t="s">
        <v>918</v>
      </c>
      <c r="J722" s="6"/>
      <c r="K722" s="7">
        <v>36341</v>
      </c>
      <c r="L722" s="6">
        <f t="shared" si="79"/>
        <v>358</v>
      </c>
      <c r="M722" s="7">
        <v>7346</v>
      </c>
      <c r="N722" s="8">
        <f t="shared" si="80"/>
        <v>51</v>
      </c>
      <c r="O722" s="7">
        <v>28995</v>
      </c>
      <c r="P722" s="6">
        <f t="shared" si="81"/>
        <v>307</v>
      </c>
      <c r="Q722" s="9"/>
      <c r="R722" s="6">
        <f t="shared" si="82"/>
        <v>0</v>
      </c>
      <c r="S722" s="10" t="s">
        <v>1</v>
      </c>
      <c r="T722" s="2" t="s">
        <v>917</v>
      </c>
    </row>
    <row r="723" spans="1:20" ht="37.5" customHeight="1" x14ac:dyDescent="0.25">
      <c r="A723" s="2" t="s">
        <v>919</v>
      </c>
      <c r="B723">
        <f t="shared" si="77"/>
        <v>49805</v>
      </c>
      <c r="C723">
        <v>10178</v>
      </c>
      <c r="D723">
        <v>39627</v>
      </c>
      <c r="F723">
        <f t="shared" si="78"/>
        <v>268</v>
      </c>
      <c r="G723" s="3">
        <f t="shared" si="83"/>
        <v>723</v>
      </c>
      <c r="H723" s="4"/>
      <c r="I723" s="5" t="s">
        <v>920</v>
      </c>
      <c r="J723" s="6"/>
      <c r="K723" s="7">
        <v>49537</v>
      </c>
      <c r="L723" s="6">
        <f t="shared" si="79"/>
        <v>268</v>
      </c>
      <c r="M723" s="7">
        <v>10124</v>
      </c>
      <c r="N723" s="8">
        <f t="shared" si="80"/>
        <v>54</v>
      </c>
      <c r="O723" s="7">
        <v>39413</v>
      </c>
      <c r="P723" s="6">
        <f t="shared" si="81"/>
        <v>214</v>
      </c>
      <c r="Q723" s="9"/>
      <c r="R723" s="6">
        <f t="shared" si="82"/>
        <v>0</v>
      </c>
      <c r="S723" s="10" t="s">
        <v>1</v>
      </c>
      <c r="T723" s="2" t="s">
        <v>919</v>
      </c>
    </row>
    <row r="724" spans="1:20" ht="37.5" customHeight="1" x14ac:dyDescent="0.25">
      <c r="A724" s="2" t="s">
        <v>921</v>
      </c>
      <c r="B724">
        <f t="shared" si="77"/>
        <v>99335</v>
      </c>
      <c r="C724">
        <v>26939</v>
      </c>
      <c r="D724">
        <v>72396</v>
      </c>
      <c r="F724">
        <f t="shared" si="78"/>
        <v>341</v>
      </c>
      <c r="G724" s="3">
        <f t="shared" si="83"/>
        <v>724</v>
      </c>
      <c r="H724" s="4"/>
      <c r="I724" s="5" t="s">
        <v>922</v>
      </c>
      <c r="J724" s="6"/>
      <c r="K724" s="7">
        <v>98994</v>
      </c>
      <c r="L724" s="6">
        <f t="shared" si="79"/>
        <v>341</v>
      </c>
      <c r="M724" s="7">
        <v>26876</v>
      </c>
      <c r="N724" s="8">
        <f t="shared" si="80"/>
        <v>63</v>
      </c>
      <c r="O724" s="7">
        <v>72118</v>
      </c>
      <c r="P724" s="6">
        <f t="shared" si="81"/>
        <v>278</v>
      </c>
      <c r="Q724" s="9"/>
      <c r="R724" s="6">
        <f t="shared" si="82"/>
        <v>0</v>
      </c>
      <c r="S724" s="10" t="s">
        <v>1</v>
      </c>
      <c r="T724" s="2" t="s">
        <v>921</v>
      </c>
    </row>
    <row r="725" spans="1:20" ht="37.5" customHeight="1" x14ac:dyDescent="0.25">
      <c r="A725" s="2" t="s">
        <v>923</v>
      </c>
      <c r="B725">
        <f t="shared" si="77"/>
        <v>46757</v>
      </c>
      <c r="C725">
        <v>7918</v>
      </c>
      <c r="D725">
        <v>38839</v>
      </c>
      <c r="F725">
        <f t="shared" si="78"/>
        <v>708</v>
      </c>
      <c r="G725" s="3">
        <f t="shared" si="83"/>
        <v>725</v>
      </c>
      <c r="H725" s="4"/>
      <c r="I725" s="5" t="s">
        <v>924</v>
      </c>
      <c r="J725" s="6"/>
      <c r="K725" s="7">
        <v>46049</v>
      </c>
      <c r="L725" s="6">
        <f t="shared" si="79"/>
        <v>708</v>
      </c>
      <c r="M725" s="7">
        <v>7804</v>
      </c>
      <c r="N725" s="8">
        <f t="shared" si="80"/>
        <v>114</v>
      </c>
      <c r="O725" s="7">
        <v>38245</v>
      </c>
      <c r="P725" s="6">
        <f t="shared" si="81"/>
        <v>594</v>
      </c>
      <c r="Q725" s="9"/>
      <c r="R725" s="6">
        <f t="shared" si="82"/>
        <v>0</v>
      </c>
      <c r="S725" s="10" t="s">
        <v>1</v>
      </c>
      <c r="T725" s="2" t="s">
        <v>923</v>
      </c>
    </row>
    <row r="726" spans="1:20" ht="37.5" customHeight="1" x14ac:dyDescent="0.25">
      <c r="A726" s="2" t="s">
        <v>925</v>
      </c>
      <c r="B726">
        <f t="shared" si="77"/>
        <v>63959</v>
      </c>
      <c r="C726">
        <v>8933</v>
      </c>
      <c r="D726">
        <v>55026</v>
      </c>
      <c r="F726">
        <f t="shared" si="78"/>
        <v>894</v>
      </c>
      <c r="G726" s="3">
        <f t="shared" si="83"/>
        <v>726</v>
      </c>
      <c r="H726" s="4"/>
      <c r="I726" s="5" t="s">
        <v>926</v>
      </c>
      <c r="J726" s="6"/>
      <c r="K726" s="7">
        <v>63065</v>
      </c>
      <c r="L726" s="6">
        <f t="shared" si="79"/>
        <v>894</v>
      </c>
      <c r="M726" s="7">
        <v>8838</v>
      </c>
      <c r="N726" s="8">
        <f t="shared" si="80"/>
        <v>95</v>
      </c>
      <c r="O726" s="7">
        <v>54227</v>
      </c>
      <c r="P726" s="6">
        <f t="shared" si="81"/>
        <v>799</v>
      </c>
      <c r="Q726" s="9"/>
      <c r="R726" s="6">
        <f t="shared" si="82"/>
        <v>0</v>
      </c>
      <c r="S726" s="10" t="s">
        <v>1</v>
      </c>
      <c r="T726" s="2" t="s">
        <v>925</v>
      </c>
    </row>
    <row r="727" spans="1:20" ht="37.5" customHeight="1" x14ac:dyDescent="0.25">
      <c r="A727" s="2" t="s">
        <v>927</v>
      </c>
      <c r="B727">
        <f t="shared" si="77"/>
        <v>42313</v>
      </c>
      <c r="C727">
        <v>6855</v>
      </c>
      <c r="D727">
        <v>35458</v>
      </c>
      <c r="F727">
        <f t="shared" si="78"/>
        <v>348</v>
      </c>
      <c r="G727" s="3">
        <f t="shared" si="83"/>
        <v>727</v>
      </c>
      <c r="H727" s="4"/>
      <c r="I727" s="5" t="s">
        <v>928</v>
      </c>
      <c r="J727" s="6"/>
      <c r="K727" s="7">
        <v>41965</v>
      </c>
      <c r="L727" s="6">
        <f t="shared" si="79"/>
        <v>348</v>
      </c>
      <c r="M727" s="7">
        <v>6791</v>
      </c>
      <c r="N727" s="8">
        <f t="shared" si="80"/>
        <v>64</v>
      </c>
      <c r="O727" s="7">
        <v>35174</v>
      </c>
      <c r="P727" s="6">
        <f t="shared" si="81"/>
        <v>284</v>
      </c>
      <c r="Q727" s="9"/>
      <c r="R727" s="6">
        <f t="shared" si="82"/>
        <v>0</v>
      </c>
      <c r="S727" s="10" t="s">
        <v>1</v>
      </c>
      <c r="T727" s="2" t="s">
        <v>927</v>
      </c>
    </row>
    <row r="728" spans="1:20" ht="37.5" customHeight="1" x14ac:dyDescent="0.25">
      <c r="A728" s="2" t="s">
        <v>929</v>
      </c>
      <c r="B728">
        <f t="shared" si="77"/>
        <v>9858</v>
      </c>
      <c r="C728">
        <v>1607</v>
      </c>
      <c r="D728">
        <v>8251</v>
      </c>
      <c r="F728">
        <f t="shared" si="78"/>
        <v>277</v>
      </c>
      <c r="G728" s="3">
        <f t="shared" si="83"/>
        <v>728</v>
      </c>
      <c r="H728" s="4"/>
      <c r="I728" s="5" t="s">
        <v>930</v>
      </c>
      <c r="J728" s="6"/>
      <c r="K728" s="7">
        <v>9581</v>
      </c>
      <c r="L728" s="6">
        <f t="shared" si="79"/>
        <v>277</v>
      </c>
      <c r="M728" s="7">
        <v>1560</v>
      </c>
      <c r="N728" s="8">
        <f t="shared" si="80"/>
        <v>47</v>
      </c>
      <c r="O728" s="7">
        <v>8021</v>
      </c>
      <c r="P728" s="6">
        <f t="shared" si="81"/>
        <v>230</v>
      </c>
      <c r="Q728" s="9"/>
      <c r="R728" s="6">
        <f t="shared" si="82"/>
        <v>0</v>
      </c>
      <c r="S728" s="10" t="s">
        <v>1</v>
      </c>
      <c r="T728" s="2" t="s">
        <v>929</v>
      </c>
    </row>
    <row r="729" spans="1:20" ht="37.5" customHeight="1" x14ac:dyDescent="0.25">
      <c r="A729" s="2" t="s">
        <v>931</v>
      </c>
      <c r="B729">
        <f t="shared" si="77"/>
        <v>4283</v>
      </c>
      <c r="C729">
        <v>1217</v>
      </c>
      <c r="D729">
        <v>3066</v>
      </c>
      <c r="E729">
        <v>4352</v>
      </c>
      <c r="F729">
        <f t="shared" si="78"/>
        <v>400</v>
      </c>
      <c r="G729" s="3">
        <f t="shared" si="83"/>
        <v>729</v>
      </c>
      <c r="H729" s="4"/>
      <c r="I729" s="5">
        <v>553</v>
      </c>
      <c r="J729" s="6"/>
      <c r="K729" s="7">
        <f>M729+O729</f>
        <v>3883</v>
      </c>
      <c r="L729" s="6">
        <f t="shared" si="79"/>
        <v>400</v>
      </c>
      <c r="M729" s="7">
        <v>1108</v>
      </c>
      <c r="N729" s="8">
        <f t="shared" si="80"/>
        <v>109</v>
      </c>
      <c r="O729" s="7">
        <v>2775</v>
      </c>
      <c r="P729" s="6">
        <f t="shared" si="81"/>
        <v>291</v>
      </c>
      <c r="Q729" s="9">
        <v>3813</v>
      </c>
      <c r="R729" s="6">
        <f t="shared" si="82"/>
        <v>539</v>
      </c>
      <c r="S729" s="10" t="s">
        <v>1</v>
      </c>
      <c r="T729" s="2" t="s">
        <v>931</v>
      </c>
    </row>
    <row r="730" spans="1:20" ht="37.5" customHeight="1" x14ac:dyDescent="0.25">
      <c r="A730" s="2" t="s">
        <v>932</v>
      </c>
      <c r="B730">
        <f t="shared" si="77"/>
        <v>80704</v>
      </c>
      <c r="C730">
        <v>29427</v>
      </c>
      <c r="D730">
        <v>51277</v>
      </c>
      <c r="F730">
        <f t="shared" si="78"/>
        <v>334</v>
      </c>
      <c r="G730" s="3">
        <f t="shared" si="83"/>
        <v>730</v>
      </c>
      <c r="H730" s="4"/>
      <c r="I730" s="5">
        <v>554</v>
      </c>
      <c r="J730" s="6"/>
      <c r="K730" s="7">
        <v>80370</v>
      </c>
      <c r="L730" s="6">
        <f t="shared" si="79"/>
        <v>334</v>
      </c>
      <c r="M730" s="7">
        <v>29376</v>
      </c>
      <c r="N730" s="8">
        <f t="shared" si="80"/>
        <v>51</v>
      </c>
      <c r="O730" s="7">
        <v>50994</v>
      </c>
      <c r="P730" s="6">
        <f t="shared" si="81"/>
        <v>283</v>
      </c>
      <c r="Q730" s="9"/>
      <c r="R730" s="6">
        <f t="shared" si="82"/>
        <v>0</v>
      </c>
      <c r="S730" s="10" t="s">
        <v>1</v>
      </c>
      <c r="T730" s="2" t="s">
        <v>932</v>
      </c>
    </row>
    <row r="731" spans="1:20" ht="37.5" customHeight="1" x14ac:dyDescent="0.25">
      <c r="A731" s="2" t="s">
        <v>933</v>
      </c>
      <c r="B731">
        <f t="shared" si="77"/>
        <v>64633</v>
      </c>
      <c r="C731">
        <v>20942</v>
      </c>
      <c r="D731">
        <v>43691</v>
      </c>
      <c r="F731">
        <f t="shared" si="78"/>
        <v>156</v>
      </c>
      <c r="G731" s="3">
        <f t="shared" si="83"/>
        <v>731</v>
      </c>
      <c r="H731" s="4"/>
      <c r="I731" s="5">
        <v>555</v>
      </c>
      <c r="J731" s="6"/>
      <c r="K731" s="7">
        <v>64477</v>
      </c>
      <c r="L731" s="6">
        <f t="shared" si="79"/>
        <v>156</v>
      </c>
      <c r="M731" s="7">
        <v>20918</v>
      </c>
      <c r="N731" s="8">
        <f t="shared" si="80"/>
        <v>24</v>
      </c>
      <c r="O731" s="7">
        <v>43559</v>
      </c>
      <c r="P731" s="6">
        <f t="shared" si="81"/>
        <v>132</v>
      </c>
      <c r="Q731" s="9"/>
      <c r="R731" s="6">
        <f t="shared" si="82"/>
        <v>0</v>
      </c>
      <c r="S731" s="10" t="s">
        <v>1</v>
      </c>
      <c r="T731" s="2" t="s">
        <v>933</v>
      </c>
    </row>
    <row r="732" spans="1:20" ht="37.5" customHeight="1" x14ac:dyDescent="0.25">
      <c r="A732" s="2" t="s">
        <v>934</v>
      </c>
      <c r="B732">
        <f t="shared" si="77"/>
        <v>8446</v>
      </c>
      <c r="C732">
        <v>2572</v>
      </c>
      <c r="D732">
        <v>5874</v>
      </c>
      <c r="E732">
        <v>14376</v>
      </c>
      <c r="F732">
        <f t="shared" si="78"/>
        <v>400</v>
      </c>
      <c r="G732" s="3">
        <f t="shared" si="83"/>
        <v>732</v>
      </c>
      <c r="H732" s="4"/>
      <c r="I732" s="5">
        <v>556</v>
      </c>
      <c r="J732" s="6"/>
      <c r="K732" s="7">
        <f>M732+O732</f>
        <v>8046</v>
      </c>
      <c r="L732" s="6">
        <f t="shared" si="79"/>
        <v>400</v>
      </c>
      <c r="M732" s="7">
        <v>2446</v>
      </c>
      <c r="N732" s="8">
        <f t="shared" si="80"/>
        <v>126</v>
      </c>
      <c r="O732" s="7">
        <v>5600</v>
      </c>
      <c r="P732" s="6">
        <f t="shared" si="81"/>
        <v>274</v>
      </c>
      <c r="Q732" s="9">
        <v>13413</v>
      </c>
      <c r="R732" s="6">
        <f t="shared" si="82"/>
        <v>963</v>
      </c>
      <c r="S732" s="10" t="s">
        <v>1</v>
      </c>
      <c r="T732" s="2" t="s">
        <v>934</v>
      </c>
    </row>
    <row r="733" spans="1:20" ht="37.5" customHeight="1" x14ac:dyDescent="0.25">
      <c r="A733" s="2" t="s">
        <v>935</v>
      </c>
      <c r="B733">
        <f t="shared" si="77"/>
        <v>98047</v>
      </c>
      <c r="C733">
        <v>26526</v>
      </c>
      <c r="D733">
        <v>71521</v>
      </c>
      <c r="F733">
        <f t="shared" si="78"/>
        <v>230</v>
      </c>
      <c r="G733" s="3">
        <f t="shared" si="83"/>
        <v>733</v>
      </c>
      <c r="H733" s="4"/>
      <c r="I733" s="5">
        <v>557</v>
      </c>
      <c r="J733" s="6"/>
      <c r="K733" s="7">
        <v>97817</v>
      </c>
      <c r="L733" s="6">
        <f t="shared" si="79"/>
        <v>230</v>
      </c>
      <c r="M733" s="7">
        <v>26488</v>
      </c>
      <c r="N733" s="8">
        <f t="shared" si="80"/>
        <v>38</v>
      </c>
      <c r="O733" s="7">
        <v>71329</v>
      </c>
      <c r="P733" s="6">
        <f t="shared" si="81"/>
        <v>192</v>
      </c>
      <c r="Q733" s="9"/>
      <c r="R733" s="6">
        <f t="shared" si="82"/>
        <v>0</v>
      </c>
      <c r="S733" s="10" t="s">
        <v>1</v>
      </c>
      <c r="T733" s="2" t="s">
        <v>935</v>
      </c>
    </row>
    <row r="734" spans="1:20" ht="37.5" customHeight="1" x14ac:dyDescent="0.25">
      <c r="A734" s="2" t="s">
        <v>936</v>
      </c>
      <c r="B734">
        <f t="shared" si="77"/>
        <v>59459</v>
      </c>
      <c r="C734">
        <v>11801</v>
      </c>
      <c r="D734">
        <v>47658</v>
      </c>
      <c r="F734">
        <f t="shared" si="78"/>
        <v>241</v>
      </c>
      <c r="G734" s="3">
        <f t="shared" si="83"/>
        <v>734</v>
      </c>
      <c r="H734" s="4"/>
      <c r="I734" s="5">
        <v>558</v>
      </c>
      <c r="J734" s="6"/>
      <c r="K734" s="7">
        <v>59218</v>
      </c>
      <c r="L734" s="6">
        <f t="shared" si="79"/>
        <v>241</v>
      </c>
      <c r="M734" s="7">
        <v>11765</v>
      </c>
      <c r="N734" s="8">
        <f t="shared" si="80"/>
        <v>36</v>
      </c>
      <c r="O734" s="7">
        <v>47453</v>
      </c>
      <c r="P734" s="6">
        <f t="shared" si="81"/>
        <v>205</v>
      </c>
      <c r="Q734" s="9"/>
      <c r="R734" s="6">
        <f t="shared" si="82"/>
        <v>0</v>
      </c>
      <c r="S734" s="10" t="s">
        <v>1</v>
      </c>
      <c r="T734" s="2" t="s">
        <v>936</v>
      </c>
    </row>
    <row r="735" spans="1:20" ht="37.5" customHeight="1" x14ac:dyDescent="0.25">
      <c r="A735" s="2" t="s">
        <v>937</v>
      </c>
      <c r="B735">
        <f t="shared" si="77"/>
        <v>83287</v>
      </c>
      <c r="C735">
        <v>25943</v>
      </c>
      <c r="D735">
        <v>57344</v>
      </c>
      <c r="F735">
        <f t="shared" si="78"/>
        <v>354</v>
      </c>
      <c r="G735" s="3">
        <f t="shared" si="83"/>
        <v>735</v>
      </c>
      <c r="H735" s="4"/>
      <c r="I735" s="5">
        <v>559</v>
      </c>
      <c r="J735" s="6"/>
      <c r="K735" s="7">
        <v>82933</v>
      </c>
      <c r="L735" s="6">
        <f t="shared" si="79"/>
        <v>354</v>
      </c>
      <c r="M735" s="7">
        <v>25890</v>
      </c>
      <c r="N735" s="8">
        <f t="shared" si="80"/>
        <v>53</v>
      </c>
      <c r="O735" s="7">
        <v>57043</v>
      </c>
      <c r="P735" s="6">
        <f t="shared" si="81"/>
        <v>301</v>
      </c>
      <c r="Q735" s="9"/>
      <c r="R735" s="6">
        <f t="shared" si="82"/>
        <v>0</v>
      </c>
      <c r="S735" s="10" t="s">
        <v>1</v>
      </c>
      <c r="T735" s="2" t="s">
        <v>937</v>
      </c>
    </row>
    <row r="736" spans="1:20" ht="37.5" customHeight="1" x14ac:dyDescent="0.25">
      <c r="A736" s="2" t="s">
        <v>938</v>
      </c>
      <c r="B736">
        <f t="shared" si="77"/>
        <v>10291</v>
      </c>
      <c r="C736">
        <v>2329</v>
      </c>
      <c r="D736">
        <v>7962</v>
      </c>
      <c r="E736">
        <v>14862</v>
      </c>
      <c r="F736">
        <f t="shared" si="78"/>
        <v>293</v>
      </c>
      <c r="G736" s="3">
        <f t="shared" si="83"/>
        <v>736</v>
      </c>
      <c r="H736" s="4"/>
      <c r="I736" s="5">
        <v>560</v>
      </c>
      <c r="J736" s="6"/>
      <c r="K736" s="7">
        <f>M736+O736</f>
        <v>9998</v>
      </c>
      <c r="L736" s="6">
        <f t="shared" si="79"/>
        <v>293</v>
      </c>
      <c r="M736" s="7">
        <v>2247</v>
      </c>
      <c r="N736" s="8">
        <f t="shared" si="80"/>
        <v>82</v>
      </c>
      <c r="O736" s="7">
        <v>7751</v>
      </c>
      <c r="P736" s="6">
        <f t="shared" si="81"/>
        <v>211</v>
      </c>
      <c r="Q736" s="9">
        <v>13902</v>
      </c>
      <c r="R736" s="6">
        <f t="shared" si="82"/>
        <v>960</v>
      </c>
      <c r="S736" s="10" t="s">
        <v>1</v>
      </c>
      <c r="T736" s="2" t="s">
        <v>938</v>
      </c>
    </row>
    <row r="737" spans="1:20" ht="37.5" customHeight="1" x14ac:dyDescent="0.25">
      <c r="A737" s="2" t="s">
        <v>939</v>
      </c>
      <c r="B737">
        <f t="shared" si="77"/>
        <v>40873</v>
      </c>
      <c r="C737">
        <v>6527</v>
      </c>
      <c r="D737">
        <v>34346</v>
      </c>
      <c r="F737">
        <f t="shared" si="78"/>
        <v>425</v>
      </c>
      <c r="G737" s="3">
        <f t="shared" si="83"/>
        <v>737</v>
      </c>
      <c r="H737" s="4"/>
      <c r="I737" s="5">
        <v>561</v>
      </c>
      <c r="J737" s="6"/>
      <c r="K737" s="7">
        <v>40448</v>
      </c>
      <c r="L737" s="6">
        <f t="shared" si="79"/>
        <v>425</v>
      </c>
      <c r="M737" s="7">
        <v>6459</v>
      </c>
      <c r="N737" s="8">
        <f t="shared" si="80"/>
        <v>68</v>
      </c>
      <c r="O737" s="7">
        <v>33989</v>
      </c>
      <c r="P737" s="6">
        <f t="shared" si="81"/>
        <v>357</v>
      </c>
      <c r="Q737" s="9"/>
      <c r="R737" s="6">
        <f t="shared" si="82"/>
        <v>0</v>
      </c>
      <c r="S737" s="10" t="s">
        <v>1</v>
      </c>
      <c r="T737" s="2" t="s">
        <v>939</v>
      </c>
    </row>
    <row r="738" spans="1:20" ht="37.5" customHeight="1" x14ac:dyDescent="0.25">
      <c r="A738" s="2" t="s">
        <v>940</v>
      </c>
      <c r="B738">
        <f t="shared" si="77"/>
        <v>42144</v>
      </c>
      <c r="C738">
        <v>6992</v>
      </c>
      <c r="D738">
        <v>35152</v>
      </c>
      <c r="F738">
        <f t="shared" si="78"/>
        <v>808</v>
      </c>
      <c r="G738" s="3">
        <f t="shared" si="83"/>
        <v>738</v>
      </c>
      <c r="H738" s="4"/>
      <c r="I738" s="5">
        <v>562</v>
      </c>
      <c r="J738" s="6"/>
      <c r="K738" s="7">
        <v>41336</v>
      </c>
      <c r="L738" s="6">
        <f t="shared" si="79"/>
        <v>808</v>
      </c>
      <c r="M738" s="7">
        <v>6865</v>
      </c>
      <c r="N738" s="8">
        <f t="shared" si="80"/>
        <v>127</v>
      </c>
      <c r="O738" s="7">
        <v>34471</v>
      </c>
      <c r="P738" s="6">
        <f t="shared" si="81"/>
        <v>681</v>
      </c>
      <c r="Q738" s="9"/>
      <c r="R738" s="6">
        <f t="shared" si="82"/>
        <v>0</v>
      </c>
      <c r="S738" s="10" t="s">
        <v>1</v>
      </c>
      <c r="T738" s="2" t="s">
        <v>940</v>
      </c>
    </row>
    <row r="739" spans="1:20" ht="37.5" customHeight="1" x14ac:dyDescent="0.25">
      <c r="A739" s="2" t="s">
        <v>941</v>
      </c>
      <c r="B739">
        <f t="shared" si="77"/>
        <v>6564</v>
      </c>
      <c r="C739">
        <v>895</v>
      </c>
      <c r="D739">
        <v>5669</v>
      </c>
      <c r="F739">
        <f t="shared" si="78"/>
        <v>121</v>
      </c>
      <c r="G739" s="3">
        <f t="shared" si="83"/>
        <v>739</v>
      </c>
      <c r="H739" s="4"/>
      <c r="I739" s="5">
        <v>563</v>
      </c>
      <c r="J739" s="6"/>
      <c r="K739" s="7">
        <v>6443</v>
      </c>
      <c r="L739" s="6">
        <f t="shared" si="79"/>
        <v>121</v>
      </c>
      <c r="M739" s="7">
        <v>886</v>
      </c>
      <c r="N739" s="8">
        <f t="shared" si="80"/>
        <v>9</v>
      </c>
      <c r="O739" s="7">
        <v>5557</v>
      </c>
      <c r="P739" s="6">
        <f t="shared" si="81"/>
        <v>112</v>
      </c>
      <c r="Q739" s="9"/>
      <c r="R739" s="6">
        <f t="shared" si="82"/>
        <v>0</v>
      </c>
      <c r="S739" s="10" t="s">
        <v>1</v>
      </c>
      <c r="T739" s="2" t="s">
        <v>941</v>
      </c>
    </row>
    <row r="740" spans="1:20" ht="37.5" customHeight="1" x14ac:dyDescent="0.25">
      <c r="A740" s="2" t="s">
        <v>942</v>
      </c>
      <c r="B740">
        <f t="shared" si="77"/>
        <v>75256</v>
      </c>
      <c r="C740">
        <v>14248</v>
      </c>
      <c r="D740">
        <v>61008</v>
      </c>
      <c r="F740">
        <f t="shared" si="78"/>
        <v>268</v>
      </c>
      <c r="G740" s="3">
        <f t="shared" si="83"/>
        <v>740</v>
      </c>
      <c r="H740" s="4"/>
      <c r="I740" s="5">
        <v>564</v>
      </c>
      <c r="J740" s="6"/>
      <c r="K740" s="7">
        <v>74988</v>
      </c>
      <c r="L740" s="6">
        <f t="shared" si="79"/>
        <v>268</v>
      </c>
      <c r="M740" s="7">
        <v>14207</v>
      </c>
      <c r="N740" s="8">
        <f t="shared" si="80"/>
        <v>41</v>
      </c>
      <c r="O740" s="7">
        <v>60781</v>
      </c>
      <c r="P740" s="6">
        <f t="shared" si="81"/>
        <v>227</v>
      </c>
      <c r="Q740" s="9"/>
      <c r="R740" s="6">
        <f t="shared" si="82"/>
        <v>0</v>
      </c>
      <c r="S740" s="10" t="s">
        <v>1</v>
      </c>
      <c r="T740" s="2" t="s">
        <v>942</v>
      </c>
    </row>
    <row r="741" spans="1:20" ht="37.5" customHeight="1" x14ac:dyDescent="0.25">
      <c r="A741" s="2" t="s">
        <v>943</v>
      </c>
      <c r="B741">
        <f t="shared" si="77"/>
        <v>11054</v>
      </c>
      <c r="C741">
        <v>1983</v>
      </c>
      <c r="D741">
        <v>9071</v>
      </c>
      <c r="F741">
        <f t="shared" si="78"/>
        <v>148</v>
      </c>
      <c r="G741" s="3">
        <f t="shared" si="83"/>
        <v>741</v>
      </c>
      <c r="H741" s="4"/>
      <c r="I741" s="5">
        <v>566</v>
      </c>
      <c r="J741" s="6"/>
      <c r="K741" s="7">
        <v>10906</v>
      </c>
      <c r="L741" s="6">
        <f t="shared" si="79"/>
        <v>148</v>
      </c>
      <c r="M741" s="7">
        <v>1956</v>
      </c>
      <c r="N741" s="8">
        <f t="shared" si="80"/>
        <v>27</v>
      </c>
      <c r="O741" s="7">
        <v>8950</v>
      </c>
      <c r="P741" s="6">
        <f t="shared" si="81"/>
        <v>121</v>
      </c>
      <c r="Q741" s="9"/>
      <c r="R741" s="6">
        <f t="shared" si="82"/>
        <v>0</v>
      </c>
      <c r="S741" s="10" t="s">
        <v>1</v>
      </c>
      <c r="T741" s="2" t="s">
        <v>943</v>
      </c>
    </row>
    <row r="742" spans="1:20" ht="37.5" customHeight="1" x14ac:dyDescent="0.25">
      <c r="A742" s="2" t="s">
        <v>944</v>
      </c>
      <c r="B742">
        <f t="shared" si="77"/>
        <v>107235</v>
      </c>
      <c r="C742">
        <v>21220</v>
      </c>
      <c r="D742">
        <v>86015</v>
      </c>
      <c r="F742">
        <f t="shared" si="78"/>
        <v>555</v>
      </c>
      <c r="G742" s="3">
        <f t="shared" si="83"/>
        <v>742</v>
      </c>
      <c r="H742" s="4"/>
      <c r="I742" s="5">
        <v>567</v>
      </c>
      <c r="J742" s="6"/>
      <c r="K742" s="7">
        <v>106680</v>
      </c>
      <c r="L742" s="6">
        <f t="shared" si="79"/>
        <v>555</v>
      </c>
      <c r="M742" s="7">
        <v>21141</v>
      </c>
      <c r="N742" s="8">
        <f t="shared" si="80"/>
        <v>79</v>
      </c>
      <c r="O742" s="7">
        <v>85539</v>
      </c>
      <c r="P742" s="6">
        <f t="shared" si="81"/>
        <v>476</v>
      </c>
      <c r="Q742" s="9"/>
      <c r="R742" s="6">
        <f t="shared" si="82"/>
        <v>0</v>
      </c>
      <c r="S742" s="10" t="s">
        <v>1</v>
      </c>
      <c r="T742" s="2" t="s">
        <v>944</v>
      </c>
    </row>
    <row r="743" spans="1:20" ht="37.5" customHeight="1" x14ac:dyDescent="0.25">
      <c r="A743" s="2" t="s">
        <v>945</v>
      </c>
      <c r="B743">
        <f t="shared" si="77"/>
        <v>42948</v>
      </c>
      <c r="C743">
        <v>6919</v>
      </c>
      <c r="D743">
        <v>36029</v>
      </c>
      <c r="F743">
        <f t="shared" si="78"/>
        <v>305</v>
      </c>
      <c r="G743" s="3">
        <f t="shared" si="83"/>
        <v>743</v>
      </c>
      <c r="H743" s="4"/>
      <c r="I743" s="5">
        <v>568</v>
      </c>
      <c r="J743" s="6"/>
      <c r="K743" s="7">
        <v>42643</v>
      </c>
      <c r="L743" s="6">
        <f t="shared" si="79"/>
        <v>305</v>
      </c>
      <c r="M743" s="7">
        <v>6869</v>
      </c>
      <c r="N743" s="8">
        <f t="shared" si="80"/>
        <v>50</v>
      </c>
      <c r="O743" s="7">
        <v>35774</v>
      </c>
      <c r="P743" s="6">
        <f t="shared" si="81"/>
        <v>255</v>
      </c>
      <c r="Q743" s="9"/>
      <c r="R743" s="6">
        <f t="shared" si="82"/>
        <v>0</v>
      </c>
      <c r="S743" s="10" t="s">
        <v>1</v>
      </c>
      <c r="T743" s="2" t="s">
        <v>945</v>
      </c>
    </row>
    <row r="744" spans="1:20" ht="37.5" customHeight="1" x14ac:dyDescent="0.25">
      <c r="A744" s="2" t="s">
        <v>946</v>
      </c>
      <c r="B744">
        <f t="shared" si="77"/>
        <v>36738</v>
      </c>
      <c r="C744">
        <v>6728</v>
      </c>
      <c r="D744">
        <v>30010</v>
      </c>
      <c r="F744">
        <f t="shared" si="78"/>
        <v>505</v>
      </c>
      <c r="G744" s="3">
        <f t="shared" si="83"/>
        <v>744</v>
      </c>
      <c r="H744" s="4"/>
      <c r="I744" s="5">
        <v>569</v>
      </c>
      <c r="J744" s="6"/>
      <c r="K744" s="7">
        <v>36233</v>
      </c>
      <c r="L744" s="6">
        <f t="shared" si="79"/>
        <v>505</v>
      </c>
      <c r="M744" s="7">
        <v>6612</v>
      </c>
      <c r="N744" s="8">
        <f t="shared" si="80"/>
        <v>116</v>
      </c>
      <c r="O744" s="7">
        <v>29621</v>
      </c>
      <c r="P744" s="6">
        <f t="shared" si="81"/>
        <v>389</v>
      </c>
      <c r="Q744" s="9"/>
      <c r="R744" s="6">
        <f t="shared" si="82"/>
        <v>0</v>
      </c>
      <c r="S744" s="10" t="s">
        <v>1</v>
      </c>
      <c r="T744" s="2" t="s">
        <v>946</v>
      </c>
    </row>
    <row r="745" spans="1:20" ht="37.5" customHeight="1" x14ac:dyDescent="0.25">
      <c r="A745" s="2" t="s">
        <v>947</v>
      </c>
      <c r="B745">
        <f t="shared" si="77"/>
        <v>26530</v>
      </c>
      <c r="C745">
        <v>3671</v>
      </c>
      <c r="D745">
        <v>22859</v>
      </c>
      <c r="F745">
        <f t="shared" si="78"/>
        <v>214</v>
      </c>
      <c r="G745" s="3">
        <f t="shared" si="83"/>
        <v>745</v>
      </c>
      <c r="H745" s="4"/>
      <c r="I745" s="5">
        <v>570</v>
      </c>
      <c r="J745" s="6"/>
      <c r="K745" s="7">
        <v>26316</v>
      </c>
      <c r="L745" s="6">
        <f t="shared" si="79"/>
        <v>214</v>
      </c>
      <c r="M745" s="7">
        <v>3630</v>
      </c>
      <c r="N745" s="8">
        <f t="shared" si="80"/>
        <v>41</v>
      </c>
      <c r="O745" s="7">
        <v>22686</v>
      </c>
      <c r="P745" s="6">
        <f t="shared" si="81"/>
        <v>173</v>
      </c>
      <c r="Q745" s="9"/>
      <c r="R745" s="6">
        <f t="shared" si="82"/>
        <v>0</v>
      </c>
      <c r="S745" s="10" t="s">
        <v>1</v>
      </c>
      <c r="T745" s="2" t="s">
        <v>947</v>
      </c>
    </row>
    <row r="746" spans="1:20" ht="37.5" customHeight="1" x14ac:dyDescent="0.25">
      <c r="A746" s="2" t="s">
        <v>948</v>
      </c>
      <c r="B746">
        <f t="shared" si="77"/>
        <v>30016</v>
      </c>
      <c r="C746">
        <v>4504</v>
      </c>
      <c r="D746">
        <v>25512</v>
      </c>
      <c r="F746">
        <f t="shared" si="78"/>
        <v>432</v>
      </c>
      <c r="G746" s="3">
        <f t="shared" si="83"/>
        <v>746</v>
      </c>
      <c r="H746" s="4"/>
      <c r="I746" s="5">
        <v>571</v>
      </c>
      <c r="J746" s="6"/>
      <c r="K746" s="7">
        <v>29584</v>
      </c>
      <c r="L746" s="6">
        <f t="shared" si="79"/>
        <v>432</v>
      </c>
      <c r="M746" s="7">
        <v>4433</v>
      </c>
      <c r="N746" s="8">
        <f t="shared" si="80"/>
        <v>71</v>
      </c>
      <c r="O746" s="7">
        <v>25151</v>
      </c>
      <c r="P746" s="6">
        <f t="shared" si="81"/>
        <v>361</v>
      </c>
      <c r="Q746" s="9"/>
      <c r="R746" s="6">
        <f t="shared" si="82"/>
        <v>0</v>
      </c>
      <c r="S746" s="10" t="s">
        <v>1</v>
      </c>
      <c r="T746" s="2" t="s">
        <v>948</v>
      </c>
    </row>
    <row r="747" spans="1:20" ht="37.5" customHeight="1" x14ac:dyDescent="0.25">
      <c r="A747" s="2" t="s">
        <v>949</v>
      </c>
      <c r="B747">
        <f t="shared" si="77"/>
        <v>24714</v>
      </c>
      <c r="C747">
        <v>3671</v>
      </c>
      <c r="D747">
        <v>21043</v>
      </c>
      <c r="F747">
        <f t="shared" si="78"/>
        <v>206</v>
      </c>
      <c r="G747" s="3">
        <f t="shared" si="83"/>
        <v>747</v>
      </c>
      <c r="H747" s="4"/>
      <c r="I747" s="5">
        <v>572</v>
      </c>
      <c r="J747" s="6"/>
      <c r="K747" s="7">
        <v>24508</v>
      </c>
      <c r="L747" s="6">
        <f t="shared" si="79"/>
        <v>206</v>
      </c>
      <c r="M747" s="7">
        <v>3635</v>
      </c>
      <c r="N747" s="8">
        <f t="shared" si="80"/>
        <v>36</v>
      </c>
      <c r="O747" s="7">
        <v>20873</v>
      </c>
      <c r="P747" s="6">
        <f t="shared" si="81"/>
        <v>170</v>
      </c>
      <c r="Q747" s="9"/>
      <c r="R747" s="6">
        <f t="shared" si="82"/>
        <v>0</v>
      </c>
      <c r="S747" s="10" t="s">
        <v>1</v>
      </c>
      <c r="T747" s="2" t="s">
        <v>949</v>
      </c>
    </row>
    <row r="748" spans="1:20" ht="37.5" customHeight="1" x14ac:dyDescent="0.25">
      <c r="A748" s="2" t="s">
        <v>950</v>
      </c>
      <c r="B748">
        <f t="shared" si="77"/>
        <v>19285</v>
      </c>
      <c r="C748">
        <v>3323</v>
      </c>
      <c r="D748">
        <v>15962</v>
      </c>
      <c r="F748">
        <f t="shared" si="78"/>
        <v>0</v>
      </c>
      <c r="G748" s="3">
        <f t="shared" si="83"/>
        <v>748</v>
      </c>
      <c r="H748" s="4"/>
      <c r="I748" s="5">
        <v>573</v>
      </c>
      <c r="J748" s="6"/>
      <c r="K748" s="7">
        <v>19285</v>
      </c>
      <c r="L748" s="6">
        <f t="shared" si="79"/>
        <v>0</v>
      </c>
      <c r="M748" s="7">
        <v>3323</v>
      </c>
      <c r="N748" s="8">
        <f t="shared" si="80"/>
        <v>0</v>
      </c>
      <c r="O748" s="7">
        <v>15962</v>
      </c>
      <c r="P748" s="6">
        <f t="shared" si="81"/>
        <v>0</v>
      </c>
      <c r="Q748" s="9"/>
      <c r="R748" s="6">
        <f t="shared" si="82"/>
        <v>0</v>
      </c>
      <c r="S748" s="10" t="s">
        <v>1</v>
      </c>
      <c r="T748" s="2" t="s">
        <v>950</v>
      </c>
    </row>
    <row r="749" spans="1:20" ht="37.5" customHeight="1" x14ac:dyDescent="0.25">
      <c r="A749" s="2" t="s">
        <v>951</v>
      </c>
      <c r="B749">
        <f t="shared" si="77"/>
        <v>60565</v>
      </c>
      <c r="C749">
        <v>9540</v>
      </c>
      <c r="D749">
        <v>51025</v>
      </c>
      <c r="F749">
        <f t="shared" si="78"/>
        <v>348</v>
      </c>
      <c r="G749" s="3">
        <f t="shared" si="83"/>
        <v>749</v>
      </c>
      <c r="H749" s="4"/>
      <c r="I749" s="5">
        <v>574</v>
      </c>
      <c r="J749" s="6"/>
      <c r="K749" s="7">
        <v>60217</v>
      </c>
      <c r="L749" s="6">
        <f t="shared" si="79"/>
        <v>348</v>
      </c>
      <c r="M749" s="7">
        <v>9479</v>
      </c>
      <c r="N749" s="8">
        <f t="shared" si="80"/>
        <v>61</v>
      </c>
      <c r="O749" s="7">
        <v>50738</v>
      </c>
      <c r="P749" s="6">
        <f t="shared" si="81"/>
        <v>287</v>
      </c>
      <c r="Q749" s="9"/>
      <c r="R749" s="6">
        <f t="shared" si="82"/>
        <v>0</v>
      </c>
      <c r="S749" s="10" t="s">
        <v>1</v>
      </c>
      <c r="T749" s="2" t="s">
        <v>951</v>
      </c>
    </row>
    <row r="750" spans="1:20" ht="37.5" customHeight="1" x14ac:dyDescent="0.25">
      <c r="A750" s="2" t="s">
        <v>952</v>
      </c>
      <c r="B750">
        <f t="shared" si="77"/>
        <v>5894</v>
      </c>
      <c r="C750">
        <v>777</v>
      </c>
      <c r="D750">
        <v>5117</v>
      </c>
      <c r="F750">
        <f t="shared" si="78"/>
        <v>309</v>
      </c>
      <c r="G750" s="3">
        <f t="shared" si="83"/>
        <v>750</v>
      </c>
      <c r="H750" s="4"/>
      <c r="I750" s="5">
        <v>575</v>
      </c>
      <c r="J750" s="6"/>
      <c r="K750" s="7">
        <v>5585</v>
      </c>
      <c r="L750" s="6">
        <f t="shared" si="79"/>
        <v>309</v>
      </c>
      <c r="M750" s="7">
        <v>724</v>
      </c>
      <c r="N750" s="8">
        <f t="shared" si="80"/>
        <v>53</v>
      </c>
      <c r="O750" s="7">
        <v>4861</v>
      </c>
      <c r="P750" s="6">
        <f t="shared" si="81"/>
        <v>256</v>
      </c>
      <c r="Q750" s="9"/>
      <c r="R750" s="6">
        <f t="shared" si="82"/>
        <v>0</v>
      </c>
      <c r="S750" s="10" t="s">
        <v>1</v>
      </c>
      <c r="T750" s="2" t="s">
        <v>952</v>
      </c>
    </row>
    <row r="751" spans="1:20" ht="37.5" customHeight="1" x14ac:dyDescent="0.25">
      <c r="A751" s="2" t="s">
        <v>953</v>
      </c>
      <c r="B751">
        <f t="shared" si="77"/>
        <v>18715</v>
      </c>
      <c r="C751">
        <v>3123</v>
      </c>
      <c r="D751">
        <v>15592</v>
      </c>
      <c r="F751">
        <f t="shared" si="78"/>
        <v>494</v>
      </c>
      <c r="G751" s="3">
        <f t="shared" si="83"/>
        <v>751</v>
      </c>
      <c r="H751" s="4"/>
      <c r="I751" s="5">
        <v>576</v>
      </c>
      <c r="J751" s="6"/>
      <c r="K751" s="7">
        <v>18221</v>
      </c>
      <c r="L751" s="6">
        <f t="shared" si="79"/>
        <v>494</v>
      </c>
      <c r="M751" s="7">
        <v>3053</v>
      </c>
      <c r="N751" s="8">
        <f t="shared" si="80"/>
        <v>70</v>
      </c>
      <c r="O751" s="7">
        <v>15168</v>
      </c>
      <c r="P751" s="6">
        <f t="shared" si="81"/>
        <v>424</v>
      </c>
      <c r="Q751" s="9"/>
      <c r="R751" s="6">
        <f t="shared" si="82"/>
        <v>0</v>
      </c>
      <c r="S751" s="10" t="s">
        <v>1</v>
      </c>
      <c r="T751" s="2" t="s">
        <v>953</v>
      </c>
    </row>
    <row r="752" spans="1:20" ht="37.5" customHeight="1" x14ac:dyDescent="0.25">
      <c r="A752" s="2" t="s">
        <v>954</v>
      </c>
      <c r="B752">
        <f t="shared" si="77"/>
        <v>67314</v>
      </c>
      <c r="C752">
        <v>13608</v>
      </c>
      <c r="D752">
        <v>53706</v>
      </c>
      <c r="F752">
        <f t="shared" si="78"/>
        <v>241</v>
      </c>
      <c r="G752" s="3">
        <f t="shared" si="83"/>
        <v>752</v>
      </c>
      <c r="H752" s="4"/>
      <c r="I752" s="5">
        <v>577</v>
      </c>
      <c r="J752" s="6"/>
      <c r="K752" s="7">
        <v>67073</v>
      </c>
      <c r="L752" s="6">
        <f t="shared" si="79"/>
        <v>241</v>
      </c>
      <c r="M752" s="7">
        <v>13573</v>
      </c>
      <c r="N752" s="8">
        <f t="shared" si="80"/>
        <v>35</v>
      </c>
      <c r="O752" s="7">
        <v>53500</v>
      </c>
      <c r="P752" s="6">
        <f t="shared" si="81"/>
        <v>206</v>
      </c>
      <c r="Q752" s="9"/>
      <c r="R752" s="6">
        <f t="shared" si="82"/>
        <v>0</v>
      </c>
      <c r="S752" s="10" t="s">
        <v>1</v>
      </c>
      <c r="T752" s="2" t="s">
        <v>954</v>
      </c>
    </row>
    <row r="753" spans="1:20" ht="37.5" customHeight="1" x14ac:dyDescent="0.25">
      <c r="A753" s="2" t="s">
        <v>955</v>
      </c>
      <c r="B753">
        <f t="shared" si="77"/>
        <v>96527</v>
      </c>
      <c r="C753">
        <v>19904</v>
      </c>
      <c r="D753">
        <v>76623</v>
      </c>
      <c r="F753">
        <f t="shared" si="78"/>
        <v>192</v>
      </c>
      <c r="G753" s="3">
        <f t="shared" si="83"/>
        <v>753</v>
      </c>
      <c r="H753" s="4"/>
      <c r="I753" s="5">
        <v>578</v>
      </c>
      <c r="J753" s="6"/>
      <c r="K753" s="7">
        <v>96335</v>
      </c>
      <c r="L753" s="6">
        <f t="shared" si="79"/>
        <v>192</v>
      </c>
      <c r="M753" s="7">
        <v>19886</v>
      </c>
      <c r="N753" s="8">
        <f t="shared" si="80"/>
        <v>18</v>
      </c>
      <c r="O753" s="7">
        <v>76449</v>
      </c>
      <c r="P753" s="6">
        <f t="shared" si="81"/>
        <v>174</v>
      </c>
      <c r="Q753" s="9"/>
      <c r="R753" s="6">
        <f t="shared" si="82"/>
        <v>0</v>
      </c>
      <c r="S753" s="10" t="s">
        <v>1</v>
      </c>
      <c r="T753" s="2" t="s">
        <v>955</v>
      </c>
    </row>
    <row r="754" spans="1:20" ht="37.5" customHeight="1" x14ac:dyDescent="0.25">
      <c r="A754" s="2" t="s">
        <v>956</v>
      </c>
      <c r="B754">
        <f t="shared" si="77"/>
        <v>5157</v>
      </c>
      <c r="C754">
        <v>1263</v>
      </c>
      <c r="D754">
        <v>3894</v>
      </c>
      <c r="E754">
        <v>3454</v>
      </c>
      <c r="F754">
        <f t="shared" si="78"/>
        <v>429</v>
      </c>
      <c r="G754" s="3">
        <f t="shared" si="83"/>
        <v>754</v>
      </c>
      <c r="H754" s="4"/>
      <c r="I754" s="5">
        <v>579</v>
      </c>
      <c r="J754" s="6"/>
      <c r="K754" s="7">
        <f>M754+O754</f>
        <v>4728</v>
      </c>
      <c r="L754" s="6">
        <f t="shared" si="79"/>
        <v>429</v>
      </c>
      <c r="M754" s="7">
        <v>1152</v>
      </c>
      <c r="N754" s="8">
        <f t="shared" si="80"/>
        <v>111</v>
      </c>
      <c r="O754" s="7">
        <v>3576</v>
      </c>
      <c r="P754" s="6">
        <f t="shared" si="81"/>
        <v>318</v>
      </c>
      <c r="Q754" s="9">
        <v>2918</v>
      </c>
      <c r="R754" s="6">
        <f t="shared" si="82"/>
        <v>536</v>
      </c>
      <c r="S754" s="10" t="s">
        <v>1</v>
      </c>
      <c r="T754" s="2" t="s">
        <v>956</v>
      </c>
    </row>
    <row r="755" spans="1:20" ht="37.5" customHeight="1" x14ac:dyDescent="0.25">
      <c r="A755" s="2" t="s">
        <v>957</v>
      </c>
      <c r="B755">
        <f t="shared" si="77"/>
        <v>13501</v>
      </c>
      <c r="C755">
        <v>3240</v>
      </c>
      <c r="D755">
        <v>10261</v>
      </c>
      <c r="F755">
        <f t="shared" si="78"/>
        <v>8</v>
      </c>
      <c r="G755" s="3">
        <f t="shared" si="83"/>
        <v>755</v>
      </c>
      <c r="H755" s="4"/>
      <c r="I755" s="5">
        <v>580</v>
      </c>
      <c r="J755" s="6"/>
      <c r="K755" s="7">
        <v>13493</v>
      </c>
      <c r="L755" s="6">
        <f t="shared" si="79"/>
        <v>8</v>
      </c>
      <c r="M755" s="7">
        <v>3240</v>
      </c>
      <c r="N755" s="8">
        <f t="shared" si="80"/>
        <v>0</v>
      </c>
      <c r="O755" s="7">
        <v>10253</v>
      </c>
      <c r="P755" s="6">
        <f t="shared" si="81"/>
        <v>8</v>
      </c>
      <c r="Q755" s="9"/>
      <c r="R755" s="6">
        <f t="shared" si="82"/>
        <v>0</v>
      </c>
      <c r="S755" s="10" t="s">
        <v>1</v>
      </c>
      <c r="T755" s="2" t="s">
        <v>957</v>
      </c>
    </row>
    <row r="756" spans="1:20" ht="37.5" customHeight="1" x14ac:dyDescent="0.25">
      <c r="A756" s="2" t="s">
        <v>958</v>
      </c>
      <c r="B756">
        <f t="shared" si="77"/>
        <v>17593</v>
      </c>
      <c r="C756">
        <v>2737</v>
      </c>
      <c r="D756">
        <v>14856</v>
      </c>
      <c r="F756">
        <f t="shared" si="78"/>
        <v>417</v>
      </c>
      <c r="G756" s="3">
        <f t="shared" si="83"/>
        <v>756</v>
      </c>
      <c r="H756" s="4"/>
      <c r="I756" s="5">
        <v>581</v>
      </c>
      <c r="J756" s="6"/>
      <c r="K756" s="7">
        <v>17176</v>
      </c>
      <c r="L756" s="6">
        <f t="shared" si="79"/>
        <v>417</v>
      </c>
      <c r="M756" s="7">
        <v>2681</v>
      </c>
      <c r="N756" s="8">
        <f t="shared" si="80"/>
        <v>56</v>
      </c>
      <c r="O756" s="7">
        <v>14495</v>
      </c>
      <c r="P756" s="6">
        <f t="shared" si="81"/>
        <v>361</v>
      </c>
      <c r="Q756" s="9"/>
      <c r="R756" s="6">
        <f t="shared" si="82"/>
        <v>0</v>
      </c>
      <c r="S756" s="10" t="s">
        <v>1</v>
      </c>
      <c r="T756" s="2" t="s">
        <v>958</v>
      </c>
    </row>
    <row r="757" spans="1:20" ht="37.5" customHeight="1" x14ac:dyDescent="0.25">
      <c r="A757" s="2" t="s">
        <v>959</v>
      </c>
      <c r="B757">
        <f t="shared" si="77"/>
        <v>94113</v>
      </c>
      <c r="C757">
        <v>31550</v>
      </c>
      <c r="D757">
        <v>62563</v>
      </c>
      <c r="F757">
        <f t="shared" si="78"/>
        <v>627</v>
      </c>
      <c r="G757" s="3">
        <f t="shared" si="83"/>
        <v>757</v>
      </c>
      <c r="H757" s="4"/>
      <c r="I757" s="5" t="s">
        <v>960</v>
      </c>
      <c r="J757" s="6"/>
      <c r="K757" s="7">
        <v>93486</v>
      </c>
      <c r="L757" s="6">
        <f t="shared" si="79"/>
        <v>627</v>
      </c>
      <c r="M757" s="7">
        <v>31429</v>
      </c>
      <c r="N757" s="8">
        <f t="shared" si="80"/>
        <v>121</v>
      </c>
      <c r="O757" s="7">
        <v>62057</v>
      </c>
      <c r="P757" s="6">
        <f t="shared" si="81"/>
        <v>506</v>
      </c>
      <c r="Q757" s="9"/>
      <c r="R757" s="6">
        <f t="shared" si="82"/>
        <v>0</v>
      </c>
      <c r="S757" s="10" t="s">
        <v>1</v>
      </c>
      <c r="T757" s="2" t="s">
        <v>959</v>
      </c>
    </row>
    <row r="758" spans="1:20" ht="37.5" customHeight="1" x14ac:dyDescent="0.25">
      <c r="A758" s="2" t="s">
        <v>961</v>
      </c>
      <c r="B758">
        <f t="shared" si="77"/>
        <v>32888</v>
      </c>
      <c r="C758">
        <v>5307</v>
      </c>
      <c r="D758">
        <v>27581</v>
      </c>
      <c r="F758">
        <f t="shared" si="78"/>
        <v>271</v>
      </c>
      <c r="G758" s="3">
        <f t="shared" si="83"/>
        <v>758</v>
      </c>
      <c r="H758" s="4"/>
      <c r="I758" s="5" t="s">
        <v>962</v>
      </c>
      <c r="J758" s="6"/>
      <c r="K758" s="7">
        <v>32617</v>
      </c>
      <c r="L758" s="6">
        <f t="shared" si="79"/>
        <v>271</v>
      </c>
      <c r="M758" s="7">
        <v>5258</v>
      </c>
      <c r="N758" s="8">
        <f t="shared" si="80"/>
        <v>49</v>
      </c>
      <c r="O758" s="7">
        <v>27359</v>
      </c>
      <c r="P758" s="6">
        <f t="shared" si="81"/>
        <v>222</v>
      </c>
      <c r="Q758" s="9"/>
      <c r="R758" s="6">
        <f t="shared" si="82"/>
        <v>0</v>
      </c>
      <c r="S758" s="10" t="s">
        <v>1</v>
      </c>
      <c r="T758" s="2" t="s">
        <v>961</v>
      </c>
    </row>
    <row r="759" spans="1:20" ht="37.5" customHeight="1" x14ac:dyDescent="0.25">
      <c r="A759" s="2" t="s">
        <v>963</v>
      </c>
      <c r="B759">
        <f t="shared" si="77"/>
        <v>84727</v>
      </c>
      <c r="C759">
        <v>25205</v>
      </c>
      <c r="D759">
        <v>59522</v>
      </c>
      <c r="F759">
        <f t="shared" si="78"/>
        <v>418</v>
      </c>
      <c r="G759" s="3">
        <f t="shared" si="83"/>
        <v>759</v>
      </c>
      <c r="H759" s="4"/>
      <c r="I759" s="5" t="s">
        <v>964</v>
      </c>
      <c r="J759" s="6"/>
      <c r="K759" s="7">
        <v>84309</v>
      </c>
      <c r="L759" s="6">
        <f t="shared" si="79"/>
        <v>418</v>
      </c>
      <c r="M759" s="7">
        <v>25130</v>
      </c>
      <c r="N759" s="8">
        <f t="shared" si="80"/>
        <v>75</v>
      </c>
      <c r="O759" s="7">
        <v>59179</v>
      </c>
      <c r="P759" s="6">
        <f t="shared" si="81"/>
        <v>343</v>
      </c>
      <c r="Q759" s="9"/>
      <c r="R759" s="6">
        <f t="shared" si="82"/>
        <v>0</v>
      </c>
      <c r="S759" s="10" t="s">
        <v>1</v>
      </c>
      <c r="T759" s="2" t="s">
        <v>963</v>
      </c>
    </row>
    <row r="760" spans="1:20" ht="37.5" customHeight="1" x14ac:dyDescent="0.25">
      <c r="A760" s="2" t="s">
        <v>965</v>
      </c>
      <c r="B760">
        <f t="shared" si="77"/>
        <v>89329</v>
      </c>
      <c r="C760">
        <v>12909</v>
      </c>
      <c r="D760">
        <v>76420</v>
      </c>
      <c r="F760">
        <f t="shared" si="78"/>
        <v>0</v>
      </c>
      <c r="G760" s="3">
        <f t="shared" si="83"/>
        <v>760</v>
      </c>
      <c r="H760" s="4"/>
      <c r="I760" s="5" t="s">
        <v>966</v>
      </c>
      <c r="J760" s="6"/>
      <c r="K760" s="7">
        <v>89329</v>
      </c>
      <c r="L760" s="6">
        <f t="shared" si="79"/>
        <v>0</v>
      </c>
      <c r="M760" s="7">
        <v>12909</v>
      </c>
      <c r="N760" s="8">
        <f t="shared" si="80"/>
        <v>0</v>
      </c>
      <c r="O760" s="7">
        <v>76420</v>
      </c>
      <c r="P760" s="6">
        <f t="shared" si="81"/>
        <v>0</v>
      </c>
      <c r="Q760" s="9"/>
      <c r="R760" s="6">
        <f t="shared" si="82"/>
        <v>0</v>
      </c>
      <c r="S760" s="10" t="s">
        <v>1</v>
      </c>
      <c r="T760" s="2" t="s">
        <v>965</v>
      </c>
    </row>
    <row r="761" spans="1:20" ht="37.5" customHeight="1" x14ac:dyDescent="0.25">
      <c r="A761" s="2" t="s">
        <v>967</v>
      </c>
      <c r="B761">
        <f t="shared" si="77"/>
        <v>88516</v>
      </c>
      <c r="C761">
        <v>21127</v>
      </c>
      <c r="D761">
        <v>67389</v>
      </c>
      <c r="F761">
        <f t="shared" si="78"/>
        <v>226</v>
      </c>
      <c r="G761" s="3">
        <f t="shared" si="83"/>
        <v>761</v>
      </c>
      <c r="H761" s="4"/>
      <c r="I761" s="5">
        <v>582</v>
      </c>
      <c r="J761" s="6"/>
      <c r="K761" s="7">
        <v>88290</v>
      </c>
      <c r="L761" s="6">
        <f t="shared" si="79"/>
        <v>226</v>
      </c>
      <c r="M761" s="7">
        <v>21093</v>
      </c>
      <c r="N761" s="8">
        <f t="shared" si="80"/>
        <v>34</v>
      </c>
      <c r="O761" s="7">
        <v>67197</v>
      </c>
      <c r="P761" s="6">
        <f t="shared" si="81"/>
        <v>192</v>
      </c>
      <c r="Q761" s="9"/>
      <c r="R761" s="6">
        <f t="shared" si="82"/>
        <v>0</v>
      </c>
      <c r="S761" s="10" t="s">
        <v>1</v>
      </c>
      <c r="T761" s="2" t="s">
        <v>967</v>
      </c>
    </row>
    <row r="762" spans="1:20" ht="37.5" customHeight="1" x14ac:dyDescent="0.25">
      <c r="A762" s="2" t="s">
        <v>968</v>
      </c>
      <c r="B762">
        <f t="shared" si="77"/>
        <v>7055</v>
      </c>
      <c r="C762">
        <v>1229</v>
      </c>
      <c r="D762">
        <v>5826</v>
      </c>
      <c r="F762">
        <f t="shared" si="78"/>
        <v>239</v>
      </c>
      <c r="G762" s="3">
        <f t="shared" si="83"/>
        <v>762</v>
      </c>
      <c r="H762" s="4"/>
      <c r="I762" s="5">
        <v>583</v>
      </c>
      <c r="J762" s="6"/>
      <c r="K762" s="7">
        <v>6816</v>
      </c>
      <c r="L762" s="6">
        <f t="shared" si="79"/>
        <v>239</v>
      </c>
      <c r="M762" s="7">
        <v>1182</v>
      </c>
      <c r="N762" s="8">
        <f t="shared" si="80"/>
        <v>47</v>
      </c>
      <c r="O762" s="7">
        <v>5634</v>
      </c>
      <c r="P762" s="6">
        <f t="shared" si="81"/>
        <v>192</v>
      </c>
      <c r="Q762" s="9"/>
      <c r="R762" s="6">
        <f t="shared" si="82"/>
        <v>0</v>
      </c>
      <c r="S762" s="10" t="s">
        <v>1</v>
      </c>
      <c r="T762" s="2" t="s">
        <v>968</v>
      </c>
    </row>
    <row r="763" spans="1:20" ht="37.5" customHeight="1" x14ac:dyDescent="0.25">
      <c r="A763" s="2" t="s">
        <v>969</v>
      </c>
      <c r="B763">
        <f t="shared" si="77"/>
        <v>74433</v>
      </c>
      <c r="C763">
        <v>11781</v>
      </c>
      <c r="D763">
        <v>62652</v>
      </c>
      <c r="F763">
        <f t="shared" si="78"/>
        <v>602</v>
      </c>
      <c r="G763" s="3">
        <f t="shared" si="83"/>
        <v>763</v>
      </c>
      <c r="H763" s="4"/>
      <c r="I763" s="5">
        <v>584</v>
      </c>
      <c r="J763" s="6"/>
      <c r="K763" s="7">
        <v>73831</v>
      </c>
      <c r="L763" s="6">
        <f t="shared" si="79"/>
        <v>602</v>
      </c>
      <c r="M763" s="7">
        <v>11682</v>
      </c>
      <c r="N763" s="8">
        <f t="shared" si="80"/>
        <v>99</v>
      </c>
      <c r="O763" s="7">
        <v>62149</v>
      </c>
      <c r="P763" s="6">
        <f t="shared" si="81"/>
        <v>503</v>
      </c>
      <c r="Q763" s="9"/>
      <c r="R763" s="6">
        <f t="shared" si="82"/>
        <v>0</v>
      </c>
      <c r="S763" s="10" t="s">
        <v>1</v>
      </c>
      <c r="T763" s="2" t="s">
        <v>969</v>
      </c>
    </row>
    <row r="764" spans="1:20" ht="37.5" customHeight="1" x14ac:dyDescent="0.25">
      <c r="A764" s="2" t="s">
        <v>970</v>
      </c>
      <c r="B764">
        <f t="shared" si="77"/>
        <v>6589</v>
      </c>
      <c r="C764">
        <v>1488</v>
      </c>
      <c r="D764">
        <v>5101</v>
      </c>
      <c r="E764">
        <v>9983</v>
      </c>
      <c r="F764">
        <f t="shared" si="78"/>
        <v>254</v>
      </c>
      <c r="G764" s="3">
        <f t="shared" si="83"/>
        <v>764</v>
      </c>
      <c r="H764" s="4"/>
      <c r="I764" s="5">
        <v>585</v>
      </c>
      <c r="J764" s="6"/>
      <c r="K764" s="7">
        <f>M764+O764</f>
        <v>6335</v>
      </c>
      <c r="L764" s="6">
        <f t="shared" si="79"/>
        <v>254</v>
      </c>
      <c r="M764" s="7">
        <v>1434</v>
      </c>
      <c r="N764" s="8">
        <f t="shared" si="80"/>
        <v>54</v>
      </c>
      <c r="O764" s="7">
        <v>4901</v>
      </c>
      <c r="P764" s="6">
        <f t="shared" si="81"/>
        <v>200</v>
      </c>
      <c r="Q764" s="9">
        <v>9392</v>
      </c>
      <c r="R764" s="6">
        <f t="shared" si="82"/>
        <v>591</v>
      </c>
      <c r="S764" s="10" t="s">
        <v>1</v>
      </c>
      <c r="T764" s="2" t="s">
        <v>970</v>
      </c>
    </row>
    <row r="765" spans="1:20" ht="37.5" customHeight="1" x14ac:dyDescent="0.25">
      <c r="A765" s="2" t="s">
        <v>971</v>
      </c>
      <c r="B765">
        <f t="shared" si="77"/>
        <v>79055</v>
      </c>
      <c r="C765">
        <v>16343</v>
      </c>
      <c r="D765">
        <v>62712</v>
      </c>
      <c r="F765">
        <f t="shared" si="78"/>
        <v>479</v>
      </c>
      <c r="G765" s="3">
        <f t="shared" si="83"/>
        <v>765</v>
      </c>
      <c r="H765" s="4"/>
      <c r="I765" s="5">
        <v>586</v>
      </c>
      <c r="J765" s="6"/>
      <c r="K765" s="7">
        <v>78576</v>
      </c>
      <c r="L765" s="6">
        <f t="shared" si="79"/>
        <v>479</v>
      </c>
      <c r="M765" s="7">
        <v>16279</v>
      </c>
      <c r="N765" s="8">
        <f t="shared" si="80"/>
        <v>64</v>
      </c>
      <c r="O765" s="7">
        <v>62297</v>
      </c>
      <c r="P765" s="6">
        <f t="shared" si="81"/>
        <v>415</v>
      </c>
      <c r="Q765" s="9"/>
      <c r="R765" s="6">
        <f t="shared" si="82"/>
        <v>0</v>
      </c>
      <c r="S765" s="10" t="s">
        <v>1</v>
      </c>
      <c r="T765" s="2" t="s">
        <v>971</v>
      </c>
    </row>
    <row r="766" spans="1:20" ht="37.5" customHeight="1" x14ac:dyDescent="0.25">
      <c r="A766" s="2" t="s">
        <v>972</v>
      </c>
      <c r="B766">
        <f t="shared" si="77"/>
        <v>499</v>
      </c>
      <c r="C766">
        <v>129</v>
      </c>
      <c r="D766">
        <v>370</v>
      </c>
      <c r="E766">
        <v>1661</v>
      </c>
      <c r="F766">
        <f t="shared" si="78"/>
        <v>339</v>
      </c>
      <c r="G766" s="3">
        <f t="shared" si="83"/>
        <v>766</v>
      </c>
      <c r="H766" s="4"/>
      <c r="I766" s="5">
        <v>587</v>
      </c>
      <c r="J766" s="6"/>
      <c r="K766" s="7">
        <f>M766+O766</f>
        <v>160</v>
      </c>
      <c r="L766" s="6">
        <f t="shared" si="79"/>
        <v>339</v>
      </c>
      <c r="M766" s="7">
        <v>52</v>
      </c>
      <c r="N766" s="8">
        <f t="shared" si="80"/>
        <v>77</v>
      </c>
      <c r="O766" s="7">
        <v>108</v>
      </c>
      <c r="P766" s="6">
        <f t="shared" si="81"/>
        <v>262</v>
      </c>
      <c r="Q766" s="9">
        <v>752</v>
      </c>
      <c r="R766" s="6">
        <f t="shared" si="82"/>
        <v>909</v>
      </c>
      <c r="S766" s="10" t="s">
        <v>1</v>
      </c>
      <c r="T766" s="2" t="s">
        <v>972</v>
      </c>
    </row>
    <row r="767" spans="1:20" ht="37.5" customHeight="1" x14ac:dyDescent="0.25">
      <c r="A767" s="2" t="s">
        <v>973</v>
      </c>
      <c r="B767">
        <f t="shared" si="77"/>
        <v>860</v>
      </c>
      <c r="C767">
        <v>222</v>
      </c>
      <c r="D767">
        <v>638</v>
      </c>
      <c r="E767">
        <v>1604</v>
      </c>
      <c r="F767">
        <f t="shared" si="78"/>
        <v>327</v>
      </c>
      <c r="G767" s="3">
        <f t="shared" si="83"/>
        <v>767</v>
      </c>
      <c r="H767" s="4"/>
      <c r="I767" s="5">
        <v>588</v>
      </c>
      <c r="J767" s="6"/>
      <c r="K767" s="7">
        <f>M767+O767</f>
        <v>533</v>
      </c>
      <c r="L767" s="6">
        <f t="shared" si="79"/>
        <v>327</v>
      </c>
      <c r="M767" s="7">
        <v>147</v>
      </c>
      <c r="N767" s="8">
        <f t="shared" si="80"/>
        <v>75</v>
      </c>
      <c r="O767" s="7">
        <v>386</v>
      </c>
      <c r="P767" s="6">
        <f t="shared" si="81"/>
        <v>252</v>
      </c>
      <c r="Q767" s="9">
        <v>1114</v>
      </c>
      <c r="R767" s="6">
        <f t="shared" si="82"/>
        <v>490</v>
      </c>
      <c r="S767" s="10" t="s">
        <v>1</v>
      </c>
      <c r="T767" s="2" t="s">
        <v>973</v>
      </c>
    </row>
    <row r="768" spans="1:20" ht="37.5" customHeight="1" x14ac:dyDescent="0.25">
      <c r="A768" s="2" t="s">
        <v>974</v>
      </c>
      <c r="B768">
        <f t="shared" si="77"/>
        <v>85588</v>
      </c>
      <c r="C768">
        <v>16196</v>
      </c>
      <c r="D768">
        <v>69392</v>
      </c>
      <c r="F768">
        <f t="shared" si="78"/>
        <v>423</v>
      </c>
      <c r="G768" s="3">
        <f t="shared" si="83"/>
        <v>768</v>
      </c>
      <c r="H768" s="4"/>
      <c r="I768" s="5">
        <v>589</v>
      </c>
      <c r="J768" s="6"/>
      <c r="K768" s="7">
        <v>85165</v>
      </c>
      <c r="L768" s="6">
        <f t="shared" si="79"/>
        <v>423</v>
      </c>
      <c r="M768" s="7">
        <v>16133</v>
      </c>
      <c r="N768" s="8">
        <f t="shared" si="80"/>
        <v>63</v>
      </c>
      <c r="O768" s="7">
        <v>69032</v>
      </c>
      <c r="P768" s="6">
        <f t="shared" si="81"/>
        <v>360</v>
      </c>
      <c r="Q768" s="9"/>
      <c r="R768" s="6">
        <f t="shared" si="82"/>
        <v>0</v>
      </c>
      <c r="S768" s="10" t="s">
        <v>1</v>
      </c>
      <c r="T768" s="2" t="s">
        <v>974</v>
      </c>
    </row>
    <row r="769" spans="1:20" ht="37.5" customHeight="1" x14ac:dyDescent="0.25">
      <c r="A769" s="2" t="s">
        <v>975</v>
      </c>
      <c r="B769">
        <f t="shared" si="77"/>
        <v>56875</v>
      </c>
      <c r="C769">
        <v>7891</v>
      </c>
      <c r="D769">
        <v>48984</v>
      </c>
      <c r="F769">
        <f t="shared" si="78"/>
        <v>172</v>
      </c>
      <c r="G769" s="3">
        <f t="shared" si="83"/>
        <v>769</v>
      </c>
      <c r="H769" s="4"/>
      <c r="I769" s="5">
        <v>590</v>
      </c>
      <c r="J769" s="6"/>
      <c r="K769" s="7">
        <v>56703</v>
      </c>
      <c r="L769" s="6">
        <f t="shared" si="79"/>
        <v>172</v>
      </c>
      <c r="M769" s="7">
        <v>7868</v>
      </c>
      <c r="N769" s="8">
        <f t="shared" si="80"/>
        <v>23</v>
      </c>
      <c r="O769" s="7">
        <v>48835</v>
      </c>
      <c r="P769" s="6">
        <f t="shared" si="81"/>
        <v>149</v>
      </c>
      <c r="Q769" s="9"/>
      <c r="R769" s="6">
        <f t="shared" si="82"/>
        <v>0</v>
      </c>
      <c r="S769" s="10" t="s">
        <v>1</v>
      </c>
      <c r="T769" s="2" t="s">
        <v>975</v>
      </c>
    </row>
    <row r="770" spans="1:20" ht="37.5" customHeight="1" x14ac:dyDescent="0.25">
      <c r="A770" s="2" t="s">
        <v>976</v>
      </c>
      <c r="B770">
        <f t="shared" ref="B770:B833" si="84">C770+D770</f>
        <v>31049</v>
      </c>
      <c r="C770">
        <v>5027</v>
      </c>
      <c r="D770">
        <v>26022</v>
      </c>
      <c r="F770">
        <f t="shared" ref="F770:F833" si="85">L770</f>
        <v>17</v>
      </c>
      <c r="G770" s="3">
        <f t="shared" si="83"/>
        <v>770</v>
      </c>
      <c r="H770" s="4"/>
      <c r="I770" s="5">
        <v>591</v>
      </c>
      <c r="J770" s="6"/>
      <c r="K770" s="7">
        <v>31032</v>
      </c>
      <c r="L770" s="6">
        <f t="shared" ref="L770:L833" si="86">B770-K770</f>
        <v>17</v>
      </c>
      <c r="M770" s="7">
        <v>5026</v>
      </c>
      <c r="N770" s="8">
        <f t="shared" ref="N770:N833" si="87">C770-M770</f>
        <v>1</v>
      </c>
      <c r="O770" s="7">
        <v>26006</v>
      </c>
      <c r="P770" s="6">
        <f t="shared" ref="P770:P833" si="88">D770-O770</f>
        <v>16</v>
      </c>
      <c r="Q770" s="9"/>
      <c r="R770" s="6">
        <f t="shared" ref="R770:R833" si="89">E770-Q770</f>
        <v>0</v>
      </c>
      <c r="S770" s="10" t="s">
        <v>1</v>
      </c>
      <c r="T770" s="2" t="s">
        <v>976</v>
      </c>
    </row>
    <row r="771" spans="1:20" ht="37.5" customHeight="1" x14ac:dyDescent="0.25">
      <c r="A771" s="2" t="s">
        <v>977</v>
      </c>
      <c r="B771">
        <f t="shared" si="84"/>
        <v>11412</v>
      </c>
      <c r="C771">
        <v>2970</v>
      </c>
      <c r="D771">
        <v>8442</v>
      </c>
      <c r="E771">
        <v>7136</v>
      </c>
      <c r="F771">
        <f t="shared" si="85"/>
        <v>427</v>
      </c>
      <c r="G771" s="3">
        <f t="shared" ref="G771:G834" si="90">G770+1</f>
        <v>771</v>
      </c>
      <c r="H771" s="4"/>
      <c r="I771" s="5">
        <v>592</v>
      </c>
      <c r="J771" s="6"/>
      <c r="K771" s="7">
        <f>M771+O771</f>
        <v>10985</v>
      </c>
      <c r="L771" s="6">
        <f t="shared" si="86"/>
        <v>427</v>
      </c>
      <c r="M771" s="7">
        <v>2850</v>
      </c>
      <c r="N771" s="8">
        <f t="shared" si="87"/>
        <v>120</v>
      </c>
      <c r="O771" s="7">
        <v>8135</v>
      </c>
      <c r="P771" s="6">
        <f t="shared" si="88"/>
        <v>307</v>
      </c>
      <c r="Q771" s="9">
        <v>6555</v>
      </c>
      <c r="R771" s="6">
        <f t="shared" si="89"/>
        <v>581</v>
      </c>
      <c r="S771" s="10" t="s">
        <v>1</v>
      </c>
      <c r="T771" s="2" t="s">
        <v>977</v>
      </c>
    </row>
    <row r="772" spans="1:20" ht="37.5" customHeight="1" x14ac:dyDescent="0.25">
      <c r="A772" s="2" t="s">
        <v>978</v>
      </c>
      <c r="B772">
        <f t="shared" si="84"/>
        <v>12405</v>
      </c>
      <c r="C772">
        <v>1921</v>
      </c>
      <c r="D772">
        <v>10484</v>
      </c>
      <c r="F772">
        <f t="shared" si="85"/>
        <v>250</v>
      </c>
      <c r="G772" s="3">
        <f t="shared" si="90"/>
        <v>772</v>
      </c>
      <c r="H772" s="4"/>
      <c r="I772" s="5">
        <v>593</v>
      </c>
      <c r="J772" s="6"/>
      <c r="K772" s="7">
        <v>12155</v>
      </c>
      <c r="L772" s="6">
        <f t="shared" si="86"/>
        <v>250</v>
      </c>
      <c r="M772" s="7">
        <v>1878</v>
      </c>
      <c r="N772" s="8">
        <f t="shared" si="87"/>
        <v>43</v>
      </c>
      <c r="O772" s="7">
        <v>10277</v>
      </c>
      <c r="P772" s="6">
        <f t="shared" si="88"/>
        <v>207</v>
      </c>
      <c r="Q772" s="9"/>
      <c r="R772" s="6">
        <f t="shared" si="89"/>
        <v>0</v>
      </c>
      <c r="S772" s="10" t="s">
        <v>1</v>
      </c>
      <c r="T772" s="2" t="s">
        <v>978</v>
      </c>
    </row>
    <row r="773" spans="1:20" ht="37.5" customHeight="1" x14ac:dyDescent="0.25">
      <c r="A773" s="2" t="s">
        <v>979</v>
      </c>
      <c r="B773">
        <f t="shared" si="84"/>
        <v>22882</v>
      </c>
      <c r="C773">
        <v>3987</v>
      </c>
      <c r="D773">
        <v>18895</v>
      </c>
      <c r="F773">
        <f t="shared" si="85"/>
        <v>509</v>
      </c>
      <c r="G773" s="3">
        <f t="shared" si="90"/>
        <v>773</v>
      </c>
      <c r="H773" s="4"/>
      <c r="I773" s="5">
        <v>594</v>
      </c>
      <c r="J773" s="6"/>
      <c r="K773" s="7">
        <v>22373</v>
      </c>
      <c r="L773" s="6">
        <f t="shared" si="86"/>
        <v>509</v>
      </c>
      <c r="M773" s="7">
        <v>3894</v>
      </c>
      <c r="N773" s="8">
        <f t="shared" si="87"/>
        <v>93</v>
      </c>
      <c r="O773" s="7">
        <v>18479</v>
      </c>
      <c r="P773" s="6">
        <f t="shared" si="88"/>
        <v>416</v>
      </c>
      <c r="Q773" s="9"/>
      <c r="R773" s="6">
        <f t="shared" si="89"/>
        <v>0</v>
      </c>
      <c r="S773" s="10" t="s">
        <v>1</v>
      </c>
      <c r="T773" s="2" t="s">
        <v>979</v>
      </c>
    </row>
    <row r="774" spans="1:20" ht="37.5" customHeight="1" x14ac:dyDescent="0.25">
      <c r="A774" s="2" t="s">
        <v>980</v>
      </c>
      <c r="B774">
        <f t="shared" si="84"/>
        <v>8357</v>
      </c>
      <c r="C774">
        <v>1317</v>
      </c>
      <c r="D774">
        <v>7040</v>
      </c>
      <c r="F774">
        <f t="shared" si="85"/>
        <v>85</v>
      </c>
      <c r="G774" s="3">
        <f t="shared" si="90"/>
        <v>774</v>
      </c>
      <c r="H774" s="4"/>
      <c r="I774" s="5">
        <v>595</v>
      </c>
      <c r="J774" s="6"/>
      <c r="K774" s="7">
        <v>8272</v>
      </c>
      <c r="L774" s="6">
        <f t="shared" si="86"/>
        <v>85</v>
      </c>
      <c r="M774" s="7">
        <v>1300</v>
      </c>
      <c r="N774" s="8">
        <f t="shared" si="87"/>
        <v>17</v>
      </c>
      <c r="O774" s="7">
        <v>6972</v>
      </c>
      <c r="P774" s="6">
        <f t="shared" si="88"/>
        <v>68</v>
      </c>
      <c r="Q774" s="9"/>
      <c r="R774" s="6">
        <f t="shared" si="89"/>
        <v>0</v>
      </c>
      <c r="S774" s="10" t="s">
        <v>1</v>
      </c>
      <c r="T774" s="2" t="s">
        <v>980</v>
      </c>
    </row>
    <row r="775" spans="1:20" ht="37.5" customHeight="1" x14ac:dyDescent="0.25">
      <c r="A775" s="2" t="s">
        <v>981</v>
      </c>
      <c r="B775">
        <f t="shared" si="84"/>
        <v>12600</v>
      </c>
      <c r="C775">
        <v>1770</v>
      </c>
      <c r="D775">
        <v>10830</v>
      </c>
      <c r="F775">
        <f t="shared" si="85"/>
        <v>164</v>
      </c>
      <c r="G775" s="3">
        <f t="shared" si="90"/>
        <v>775</v>
      </c>
      <c r="H775" s="4"/>
      <c r="I775" s="5">
        <v>596</v>
      </c>
      <c r="J775" s="6"/>
      <c r="K775" s="7">
        <v>12436</v>
      </c>
      <c r="L775" s="6">
        <f t="shared" si="86"/>
        <v>164</v>
      </c>
      <c r="M775" s="7">
        <v>1738</v>
      </c>
      <c r="N775" s="8">
        <f t="shared" si="87"/>
        <v>32</v>
      </c>
      <c r="O775" s="7">
        <v>10698</v>
      </c>
      <c r="P775" s="6">
        <f t="shared" si="88"/>
        <v>132</v>
      </c>
      <c r="Q775" s="9"/>
      <c r="R775" s="6">
        <f t="shared" si="89"/>
        <v>0</v>
      </c>
      <c r="S775" s="10" t="s">
        <v>1</v>
      </c>
      <c r="T775" s="2" t="s">
        <v>981</v>
      </c>
    </row>
    <row r="776" spans="1:20" ht="37.5" customHeight="1" x14ac:dyDescent="0.25">
      <c r="A776" s="2" t="s">
        <v>982</v>
      </c>
      <c r="B776">
        <f t="shared" si="84"/>
        <v>69641</v>
      </c>
      <c r="C776">
        <v>20947</v>
      </c>
      <c r="D776">
        <v>48694</v>
      </c>
      <c r="F776">
        <f t="shared" si="85"/>
        <v>376</v>
      </c>
      <c r="G776" s="3">
        <f t="shared" si="90"/>
        <v>776</v>
      </c>
      <c r="H776" s="4"/>
      <c r="I776" s="5">
        <v>597</v>
      </c>
      <c r="J776" s="6"/>
      <c r="K776" s="7">
        <v>69265</v>
      </c>
      <c r="L776" s="6">
        <f t="shared" si="86"/>
        <v>376</v>
      </c>
      <c r="M776" s="7">
        <v>20887</v>
      </c>
      <c r="N776" s="8">
        <f t="shared" si="87"/>
        <v>60</v>
      </c>
      <c r="O776" s="7">
        <v>48378</v>
      </c>
      <c r="P776" s="6">
        <f t="shared" si="88"/>
        <v>316</v>
      </c>
      <c r="Q776" s="9"/>
      <c r="R776" s="6">
        <f t="shared" si="89"/>
        <v>0</v>
      </c>
      <c r="S776" s="10" t="s">
        <v>1</v>
      </c>
      <c r="T776" s="2" t="s">
        <v>982</v>
      </c>
    </row>
    <row r="777" spans="1:20" ht="37.5" customHeight="1" x14ac:dyDescent="0.25">
      <c r="A777" s="2" t="s">
        <v>983</v>
      </c>
      <c r="B777">
        <f t="shared" si="84"/>
        <v>75781</v>
      </c>
      <c r="C777">
        <v>16307</v>
      </c>
      <c r="D777">
        <v>59474</v>
      </c>
      <c r="F777">
        <f t="shared" si="85"/>
        <v>166</v>
      </c>
      <c r="G777" s="3">
        <f t="shared" si="90"/>
        <v>777</v>
      </c>
      <c r="H777" s="4"/>
      <c r="I777" s="5">
        <v>598</v>
      </c>
      <c r="J777" s="6"/>
      <c r="K777" s="7">
        <v>75615</v>
      </c>
      <c r="L777" s="6">
        <f t="shared" si="86"/>
        <v>166</v>
      </c>
      <c r="M777" s="7">
        <v>16282</v>
      </c>
      <c r="N777" s="8">
        <f t="shared" si="87"/>
        <v>25</v>
      </c>
      <c r="O777" s="7">
        <v>59333</v>
      </c>
      <c r="P777" s="6">
        <f t="shared" si="88"/>
        <v>141</v>
      </c>
      <c r="Q777" s="9"/>
      <c r="R777" s="6">
        <f t="shared" si="89"/>
        <v>0</v>
      </c>
      <c r="S777" s="10" t="s">
        <v>1</v>
      </c>
      <c r="T777" s="2" t="s">
        <v>983</v>
      </c>
    </row>
    <row r="778" spans="1:20" ht="37.5" customHeight="1" x14ac:dyDescent="0.25">
      <c r="A778" s="2" t="s">
        <v>984</v>
      </c>
      <c r="B778">
        <f t="shared" si="84"/>
        <v>37455</v>
      </c>
      <c r="C778">
        <v>6332</v>
      </c>
      <c r="D778">
        <v>31123</v>
      </c>
      <c r="F778">
        <f t="shared" si="85"/>
        <v>156</v>
      </c>
      <c r="G778" s="3">
        <f t="shared" si="90"/>
        <v>778</v>
      </c>
      <c r="H778" s="4"/>
      <c r="I778" s="5">
        <v>599</v>
      </c>
      <c r="J778" s="6"/>
      <c r="K778" s="7">
        <v>37299</v>
      </c>
      <c r="L778" s="6">
        <f t="shared" si="86"/>
        <v>156</v>
      </c>
      <c r="M778" s="7">
        <v>6299</v>
      </c>
      <c r="N778" s="8">
        <f t="shared" si="87"/>
        <v>33</v>
      </c>
      <c r="O778" s="7">
        <v>31000</v>
      </c>
      <c r="P778" s="6">
        <f t="shared" si="88"/>
        <v>123</v>
      </c>
      <c r="Q778" s="9"/>
      <c r="R778" s="6">
        <f t="shared" si="89"/>
        <v>0</v>
      </c>
      <c r="S778" s="10" t="s">
        <v>1</v>
      </c>
      <c r="T778" s="2" t="s">
        <v>984</v>
      </c>
    </row>
    <row r="779" spans="1:20" ht="37.5" customHeight="1" x14ac:dyDescent="0.25">
      <c r="A779" s="2" t="s">
        <v>985</v>
      </c>
      <c r="B779">
        <f t="shared" si="84"/>
        <v>20842</v>
      </c>
      <c r="C779">
        <v>3576</v>
      </c>
      <c r="D779">
        <v>17266</v>
      </c>
      <c r="F779">
        <f t="shared" si="85"/>
        <v>228</v>
      </c>
      <c r="G779" s="3">
        <f t="shared" si="90"/>
        <v>779</v>
      </c>
      <c r="H779" s="4"/>
      <c r="I779" s="5">
        <v>600</v>
      </c>
      <c r="J779" s="6"/>
      <c r="K779" s="7">
        <v>20614</v>
      </c>
      <c r="L779" s="6">
        <f t="shared" si="86"/>
        <v>228</v>
      </c>
      <c r="M779" s="7">
        <v>3537</v>
      </c>
      <c r="N779" s="8">
        <f t="shared" si="87"/>
        <v>39</v>
      </c>
      <c r="O779" s="7">
        <v>17077</v>
      </c>
      <c r="P779" s="6">
        <f t="shared" si="88"/>
        <v>189</v>
      </c>
      <c r="Q779" s="9"/>
      <c r="R779" s="6">
        <f t="shared" si="89"/>
        <v>0</v>
      </c>
      <c r="S779" s="10" t="s">
        <v>1</v>
      </c>
      <c r="T779" s="2" t="s">
        <v>985</v>
      </c>
    </row>
    <row r="780" spans="1:20" ht="37.5" customHeight="1" x14ac:dyDescent="0.25">
      <c r="A780" s="2" t="s">
        <v>986</v>
      </c>
      <c r="B780">
        <f t="shared" si="84"/>
        <v>44707</v>
      </c>
      <c r="C780">
        <v>9760</v>
      </c>
      <c r="D780">
        <v>34947</v>
      </c>
      <c r="F780">
        <f t="shared" si="85"/>
        <v>371</v>
      </c>
      <c r="G780" s="3">
        <f t="shared" si="90"/>
        <v>780</v>
      </c>
      <c r="H780" s="4"/>
      <c r="I780" s="5">
        <v>601</v>
      </c>
      <c r="J780" s="6"/>
      <c r="K780" s="7">
        <v>44336</v>
      </c>
      <c r="L780" s="6">
        <f t="shared" si="86"/>
        <v>371</v>
      </c>
      <c r="M780" s="7">
        <v>9682</v>
      </c>
      <c r="N780" s="8">
        <f t="shared" si="87"/>
        <v>78</v>
      </c>
      <c r="O780" s="7">
        <v>34654</v>
      </c>
      <c r="P780" s="6">
        <f t="shared" si="88"/>
        <v>293</v>
      </c>
      <c r="Q780" s="9"/>
      <c r="R780" s="6">
        <f t="shared" si="89"/>
        <v>0</v>
      </c>
      <c r="S780" s="10" t="s">
        <v>1</v>
      </c>
      <c r="T780" s="2" t="s">
        <v>986</v>
      </c>
    </row>
    <row r="781" spans="1:20" ht="37.5" customHeight="1" x14ac:dyDescent="0.25">
      <c r="A781" s="2" t="s">
        <v>987</v>
      </c>
      <c r="B781">
        <f t="shared" si="84"/>
        <v>6896</v>
      </c>
      <c r="C781">
        <v>1356</v>
      </c>
      <c r="D781">
        <v>5540</v>
      </c>
      <c r="F781">
        <f t="shared" si="85"/>
        <v>186</v>
      </c>
      <c r="G781" s="3">
        <f t="shared" si="90"/>
        <v>781</v>
      </c>
      <c r="H781" s="4"/>
      <c r="I781" s="5">
        <v>602</v>
      </c>
      <c r="J781" s="6"/>
      <c r="K781" s="7">
        <v>6710</v>
      </c>
      <c r="L781" s="6">
        <f t="shared" si="86"/>
        <v>186</v>
      </c>
      <c r="M781" s="7">
        <v>1316</v>
      </c>
      <c r="N781" s="8">
        <f t="shared" si="87"/>
        <v>40</v>
      </c>
      <c r="O781" s="7">
        <v>5394</v>
      </c>
      <c r="P781" s="6">
        <f t="shared" si="88"/>
        <v>146</v>
      </c>
      <c r="Q781" s="9"/>
      <c r="R781" s="6">
        <f t="shared" si="89"/>
        <v>0</v>
      </c>
      <c r="S781" s="10" t="s">
        <v>1</v>
      </c>
      <c r="T781" s="2" t="s">
        <v>987</v>
      </c>
    </row>
    <row r="782" spans="1:20" ht="37.5" customHeight="1" x14ac:dyDescent="0.25">
      <c r="A782" s="2" t="s">
        <v>988</v>
      </c>
      <c r="B782">
        <f t="shared" si="84"/>
        <v>35353</v>
      </c>
      <c r="C782">
        <v>5745</v>
      </c>
      <c r="D782">
        <v>29608</v>
      </c>
      <c r="F782">
        <f t="shared" si="85"/>
        <v>450</v>
      </c>
      <c r="G782" s="3">
        <f t="shared" si="90"/>
        <v>782</v>
      </c>
      <c r="H782" s="4"/>
      <c r="I782" s="5">
        <v>603</v>
      </c>
      <c r="J782" s="6"/>
      <c r="K782" s="7">
        <v>34903</v>
      </c>
      <c r="L782" s="6">
        <f t="shared" si="86"/>
        <v>450</v>
      </c>
      <c r="M782" s="7">
        <v>5666</v>
      </c>
      <c r="N782" s="8">
        <f t="shared" si="87"/>
        <v>79</v>
      </c>
      <c r="O782" s="7">
        <v>29237</v>
      </c>
      <c r="P782" s="6">
        <f t="shared" si="88"/>
        <v>371</v>
      </c>
      <c r="Q782" s="9"/>
      <c r="R782" s="6">
        <f t="shared" si="89"/>
        <v>0</v>
      </c>
      <c r="S782" s="10" t="s">
        <v>1</v>
      </c>
      <c r="T782" s="2" t="s">
        <v>988</v>
      </c>
    </row>
    <row r="783" spans="1:20" ht="37.5" customHeight="1" x14ac:dyDescent="0.25">
      <c r="A783" s="2" t="s">
        <v>989</v>
      </c>
      <c r="B783">
        <f t="shared" si="84"/>
        <v>69184</v>
      </c>
      <c r="C783">
        <v>22348</v>
      </c>
      <c r="D783">
        <v>46836</v>
      </c>
      <c r="F783">
        <f t="shared" si="85"/>
        <v>0</v>
      </c>
      <c r="G783" s="3">
        <f t="shared" si="90"/>
        <v>783</v>
      </c>
      <c r="H783" s="4"/>
      <c r="I783" s="5">
        <v>604</v>
      </c>
      <c r="J783" s="6"/>
      <c r="K783" s="7">
        <v>69184</v>
      </c>
      <c r="L783" s="6">
        <f t="shared" si="86"/>
        <v>0</v>
      </c>
      <c r="M783" s="7">
        <v>22348</v>
      </c>
      <c r="N783" s="8">
        <f t="shared" si="87"/>
        <v>0</v>
      </c>
      <c r="O783" s="7">
        <v>46836</v>
      </c>
      <c r="P783" s="6">
        <f t="shared" si="88"/>
        <v>0</v>
      </c>
      <c r="Q783" s="9"/>
      <c r="R783" s="6">
        <f t="shared" si="89"/>
        <v>0</v>
      </c>
      <c r="S783" s="10" t="s">
        <v>1</v>
      </c>
      <c r="T783" s="2" t="s">
        <v>989</v>
      </c>
    </row>
    <row r="784" spans="1:20" ht="37.5" customHeight="1" x14ac:dyDescent="0.25">
      <c r="A784" s="2" t="s">
        <v>990</v>
      </c>
      <c r="B784">
        <f t="shared" si="84"/>
        <v>42908</v>
      </c>
      <c r="C784">
        <v>8755</v>
      </c>
      <c r="D784">
        <v>34153</v>
      </c>
      <c r="F784">
        <f t="shared" si="85"/>
        <v>133</v>
      </c>
      <c r="G784" s="3">
        <f t="shared" si="90"/>
        <v>784</v>
      </c>
      <c r="H784" s="4"/>
      <c r="I784" s="5">
        <v>605</v>
      </c>
      <c r="J784" s="6"/>
      <c r="K784" s="7">
        <v>42775</v>
      </c>
      <c r="L784" s="6">
        <f t="shared" si="86"/>
        <v>133</v>
      </c>
      <c r="M784" s="7">
        <v>8733</v>
      </c>
      <c r="N784" s="8">
        <f t="shared" si="87"/>
        <v>22</v>
      </c>
      <c r="O784" s="7">
        <v>34042</v>
      </c>
      <c r="P784" s="6">
        <f t="shared" si="88"/>
        <v>111</v>
      </c>
      <c r="Q784" s="9"/>
      <c r="R784" s="6">
        <f t="shared" si="89"/>
        <v>0</v>
      </c>
      <c r="S784" s="10" t="s">
        <v>1</v>
      </c>
      <c r="T784" s="2" t="s">
        <v>990</v>
      </c>
    </row>
    <row r="785" spans="1:20" ht="37.5" customHeight="1" x14ac:dyDescent="0.25">
      <c r="A785" s="2" t="s">
        <v>991</v>
      </c>
      <c r="B785">
        <f t="shared" si="84"/>
        <v>20956</v>
      </c>
      <c r="C785">
        <v>3192</v>
      </c>
      <c r="D785">
        <v>17764</v>
      </c>
      <c r="F785">
        <f t="shared" si="85"/>
        <v>392</v>
      </c>
      <c r="G785" s="3">
        <f t="shared" si="90"/>
        <v>785</v>
      </c>
      <c r="H785" s="4"/>
      <c r="I785" s="5">
        <v>606</v>
      </c>
      <c r="J785" s="6"/>
      <c r="K785" s="7">
        <v>20564</v>
      </c>
      <c r="L785" s="6">
        <f t="shared" si="86"/>
        <v>392</v>
      </c>
      <c r="M785" s="7">
        <v>3137</v>
      </c>
      <c r="N785" s="8">
        <f t="shared" si="87"/>
        <v>55</v>
      </c>
      <c r="O785" s="7">
        <v>17427</v>
      </c>
      <c r="P785" s="6">
        <f t="shared" si="88"/>
        <v>337</v>
      </c>
      <c r="Q785" s="9"/>
      <c r="R785" s="6">
        <f t="shared" si="89"/>
        <v>0</v>
      </c>
      <c r="S785" s="10" t="s">
        <v>1</v>
      </c>
      <c r="T785" s="2" t="s">
        <v>991</v>
      </c>
    </row>
    <row r="786" spans="1:20" ht="37.5" customHeight="1" x14ac:dyDescent="0.25">
      <c r="A786" s="2" t="s">
        <v>992</v>
      </c>
      <c r="B786">
        <f t="shared" si="84"/>
        <v>20527</v>
      </c>
      <c r="C786">
        <v>3880</v>
      </c>
      <c r="D786">
        <v>16647</v>
      </c>
      <c r="F786">
        <f t="shared" si="85"/>
        <v>268</v>
      </c>
      <c r="G786" s="3">
        <f t="shared" si="90"/>
        <v>786</v>
      </c>
      <c r="H786" s="4"/>
      <c r="I786" s="5">
        <v>607</v>
      </c>
      <c r="J786" s="6"/>
      <c r="K786" s="7">
        <v>20259</v>
      </c>
      <c r="L786" s="6">
        <f t="shared" si="86"/>
        <v>268</v>
      </c>
      <c r="M786" s="7">
        <v>3818</v>
      </c>
      <c r="N786" s="8">
        <f t="shared" si="87"/>
        <v>62</v>
      </c>
      <c r="O786" s="7">
        <v>16441</v>
      </c>
      <c r="P786" s="6">
        <f t="shared" si="88"/>
        <v>206</v>
      </c>
      <c r="Q786" s="9"/>
      <c r="R786" s="6">
        <f t="shared" si="89"/>
        <v>0</v>
      </c>
      <c r="S786" s="10" t="s">
        <v>1</v>
      </c>
      <c r="T786" s="2" t="s">
        <v>992</v>
      </c>
    </row>
    <row r="787" spans="1:20" ht="37.5" customHeight="1" x14ac:dyDescent="0.25">
      <c r="A787" s="2" t="s">
        <v>993</v>
      </c>
      <c r="B787">
        <f t="shared" si="84"/>
        <v>48197</v>
      </c>
      <c r="C787">
        <v>20337</v>
      </c>
      <c r="D787">
        <v>27860</v>
      </c>
      <c r="F787">
        <f t="shared" si="85"/>
        <v>232</v>
      </c>
      <c r="G787" s="3">
        <f t="shared" si="90"/>
        <v>787</v>
      </c>
      <c r="H787" s="4"/>
      <c r="I787" s="5">
        <v>608</v>
      </c>
      <c r="J787" s="6"/>
      <c r="K787" s="7">
        <v>47965</v>
      </c>
      <c r="L787" s="6">
        <f t="shared" si="86"/>
        <v>232</v>
      </c>
      <c r="M787" s="7">
        <v>20304</v>
      </c>
      <c r="N787" s="8">
        <f t="shared" si="87"/>
        <v>33</v>
      </c>
      <c r="O787" s="7">
        <v>27661</v>
      </c>
      <c r="P787" s="6">
        <f t="shared" si="88"/>
        <v>199</v>
      </c>
      <c r="Q787" s="9"/>
      <c r="R787" s="6">
        <f t="shared" si="89"/>
        <v>0</v>
      </c>
      <c r="S787" s="10" t="s">
        <v>1</v>
      </c>
      <c r="T787" s="2" t="s">
        <v>993</v>
      </c>
    </row>
    <row r="788" spans="1:20" ht="37.5" customHeight="1" x14ac:dyDescent="0.25">
      <c r="A788" s="2" t="s">
        <v>994</v>
      </c>
      <c r="B788">
        <f t="shared" si="84"/>
        <v>1903</v>
      </c>
      <c r="C788">
        <v>502</v>
      </c>
      <c r="D788">
        <v>1401</v>
      </c>
      <c r="E788">
        <v>5461</v>
      </c>
      <c r="F788">
        <f t="shared" si="85"/>
        <v>154</v>
      </c>
      <c r="G788" s="3">
        <f t="shared" si="90"/>
        <v>788</v>
      </c>
      <c r="H788" s="4"/>
      <c r="I788" s="5">
        <v>609</v>
      </c>
      <c r="J788" s="6"/>
      <c r="K788" s="7">
        <f>M788+O788</f>
        <v>1749</v>
      </c>
      <c r="L788" s="6">
        <f t="shared" si="86"/>
        <v>154</v>
      </c>
      <c r="M788" s="7">
        <v>459</v>
      </c>
      <c r="N788" s="8">
        <f t="shared" si="87"/>
        <v>43</v>
      </c>
      <c r="O788" s="7">
        <v>1290</v>
      </c>
      <c r="P788" s="6">
        <f t="shared" si="88"/>
        <v>111</v>
      </c>
      <c r="Q788" s="9">
        <v>4492</v>
      </c>
      <c r="R788" s="6">
        <f t="shared" si="89"/>
        <v>969</v>
      </c>
      <c r="S788" s="10" t="s">
        <v>1</v>
      </c>
      <c r="T788" s="2" t="s">
        <v>994</v>
      </c>
    </row>
    <row r="789" spans="1:20" ht="37.5" customHeight="1" x14ac:dyDescent="0.25">
      <c r="A789" s="2" t="s">
        <v>995</v>
      </c>
      <c r="B789">
        <f t="shared" si="84"/>
        <v>89369</v>
      </c>
      <c r="C789">
        <v>30291</v>
      </c>
      <c r="D789">
        <v>59078</v>
      </c>
      <c r="F789">
        <f t="shared" si="85"/>
        <v>440</v>
      </c>
      <c r="G789" s="3">
        <f t="shared" si="90"/>
        <v>789</v>
      </c>
      <c r="H789" s="4"/>
      <c r="I789" s="5">
        <v>610</v>
      </c>
      <c r="J789" s="6"/>
      <c r="K789" s="7">
        <v>88929</v>
      </c>
      <c r="L789" s="6">
        <f t="shared" si="86"/>
        <v>440</v>
      </c>
      <c r="M789" s="7">
        <v>30194</v>
      </c>
      <c r="N789" s="8">
        <f t="shared" si="87"/>
        <v>97</v>
      </c>
      <c r="O789" s="7">
        <v>58735</v>
      </c>
      <c r="P789" s="6">
        <f t="shared" si="88"/>
        <v>343</v>
      </c>
      <c r="Q789" s="9"/>
      <c r="R789" s="6">
        <f t="shared" si="89"/>
        <v>0</v>
      </c>
      <c r="S789" s="10" t="s">
        <v>1</v>
      </c>
      <c r="T789" s="2" t="s">
        <v>995</v>
      </c>
    </row>
    <row r="790" spans="1:20" ht="37.5" customHeight="1" x14ac:dyDescent="0.25">
      <c r="A790" s="2" t="s">
        <v>996</v>
      </c>
      <c r="B790">
        <f t="shared" si="84"/>
        <v>22840</v>
      </c>
      <c r="C790">
        <v>4089</v>
      </c>
      <c r="D790">
        <v>18751</v>
      </c>
      <c r="F790">
        <f t="shared" si="85"/>
        <v>480</v>
      </c>
      <c r="G790" s="3">
        <f t="shared" si="90"/>
        <v>790</v>
      </c>
      <c r="H790" s="4"/>
      <c r="I790" s="5">
        <v>611</v>
      </c>
      <c r="J790" s="6"/>
      <c r="K790" s="7">
        <v>22360</v>
      </c>
      <c r="L790" s="6">
        <f t="shared" si="86"/>
        <v>480</v>
      </c>
      <c r="M790" s="7">
        <v>4009</v>
      </c>
      <c r="N790" s="8">
        <f t="shared" si="87"/>
        <v>80</v>
      </c>
      <c r="O790" s="7">
        <v>18351</v>
      </c>
      <c r="P790" s="6">
        <f t="shared" si="88"/>
        <v>400</v>
      </c>
      <c r="Q790" s="9"/>
      <c r="R790" s="6">
        <f t="shared" si="89"/>
        <v>0</v>
      </c>
      <c r="S790" s="10" t="s">
        <v>1</v>
      </c>
      <c r="T790" s="2" t="s">
        <v>996</v>
      </c>
    </row>
    <row r="791" spans="1:20" ht="37.5" customHeight="1" x14ac:dyDescent="0.25">
      <c r="A791" s="2" t="s">
        <v>997</v>
      </c>
      <c r="B791">
        <f t="shared" si="84"/>
        <v>14976</v>
      </c>
      <c r="C791">
        <v>3441</v>
      </c>
      <c r="D791">
        <v>11535</v>
      </c>
      <c r="E791">
        <v>20741</v>
      </c>
      <c r="F791">
        <f t="shared" si="85"/>
        <v>225</v>
      </c>
      <c r="G791" s="3">
        <f t="shared" si="90"/>
        <v>791</v>
      </c>
      <c r="H791" s="4"/>
      <c r="I791" s="5">
        <v>612</v>
      </c>
      <c r="J791" s="6"/>
      <c r="K791" s="7">
        <f>M791+O791</f>
        <v>14751</v>
      </c>
      <c r="L791" s="6">
        <f t="shared" si="86"/>
        <v>225</v>
      </c>
      <c r="M791" s="7">
        <v>3378</v>
      </c>
      <c r="N791" s="8">
        <f t="shared" si="87"/>
        <v>63</v>
      </c>
      <c r="O791" s="7">
        <v>11373</v>
      </c>
      <c r="P791" s="6">
        <f t="shared" si="88"/>
        <v>162</v>
      </c>
      <c r="Q791" s="9">
        <v>19697</v>
      </c>
      <c r="R791" s="6">
        <f t="shared" si="89"/>
        <v>1044</v>
      </c>
      <c r="S791" s="10" t="s">
        <v>1</v>
      </c>
      <c r="T791" s="2" t="s">
        <v>997</v>
      </c>
    </row>
    <row r="792" spans="1:20" ht="37.5" customHeight="1" x14ac:dyDescent="0.25">
      <c r="A792" s="2" t="s">
        <v>998</v>
      </c>
      <c r="B792">
        <f t="shared" si="84"/>
        <v>19397</v>
      </c>
      <c r="C792">
        <v>3451</v>
      </c>
      <c r="D792">
        <v>15946</v>
      </c>
      <c r="F792">
        <f t="shared" si="85"/>
        <v>415</v>
      </c>
      <c r="G792" s="3">
        <f t="shared" si="90"/>
        <v>792</v>
      </c>
      <c r="H792" s="4"/>
      <c r="I792" s="5">
        <v>613</v>
      </c>
      <c r="J792" s="6"/>
      <c r="K792" s="7">
        <v>18982</v>
      </c>
      <c r="L792" s="6">
        <f t="shared" si="86"/>
        <v>415</v>
      </c>
      <c r="M792" s="7">
        <v>3391</v>
      </c>
      <c r="N792" s="8">
        <f t="shared" si="87"/>
        <v>60</v>
      </c>
      <c r="O792" s="7">
        <v>15591</v>
      </c>
      <c r="P792" s="6">
        <f t="shared" si="88"/>
        <v>355</v>
      </c>
      <c r="Q792" s="9"/>
      <c r="R792" s="6">
        <f t="shared" si="89"/>
        <v>0</v>
      </c>
      <c r="S792" s="10" t="s">
        <v>1</v>
      </c>
      <c r="T792" s="2" t="s">
        <v>998</v>
      </c>
    </row>
    <row r="793" spans="1:20" ht="37.5" customHeight="1" x14ac:dyDescent="0.25">
      <c r="A793" s="2" t="s">
        <v>999</v>
      </c>
      <c r="B793">
        <f t="shared" si="84"/>
        <v>3442</v>
      </c>
      <c r="C793">
        <v>437</v>
      </c>
      <c r="D793">
        <v>3005</v>
      </c>
      <c r="F793">
        <f t="shared" si="85"/>
        <v>293</v>
      </c>
      <c r="G793" s="3">
        <f t="shared" si="90"/>
        <v>793</v>
      </c>
      <c r="H793" s="4"/>
      <c r="I793" s="5">
        <v>614</v>
      </c>
      <c r="J793" s="6"/>
      <c r="K793" s="7">
        <v>3149</v>
      </c>
      <c r="L793" s="6">
        <f t="shared" si="86"/>
        <v>293</v>
      </c>
      <c r="M793" s="7">
        <v>409</v>
      </c>
      <c r="N793" s="8">
        <f t="shared" si="87"/>
        <v>28</v>
      </c>
      <c r="O793" s="7">
        <v>2740</v>
      </c>
      <c r="P793" s="6">
        <f t="shared" si="88"/>
        <v>265</v>
      </c>
      <c r="Q793" s="9"/>
      <c r="R793" s="6">
        <f t="shared" si="89"/>
        <v>0</v>
      </c>
      <c r="S793" s="10" t="s">
        <v>1</v>
      </c>
      <c r="T793" s="2" t="s">
        <v>999</v>
      </c>
    </row>
    <row r="794" spans="1:20" ht="37.5" customHeight="1" x14ac:dyDescent="0.25">
      <c r="A794" s="2" t="s">
        <v>1000</v>
      </c>
      <c r="B794">
        <f t="shared" si="84"/>
        <v>2533</v>
      </c>
      <c r="C794">
        <v>598</v>
      </c>
      <c r="D794">
        <v>1935</v>
      </c>
      <c r="E794">
        <v>4129</v>
      </c>
      <c r="F794">
        <f t="shared" si="85"/>
        <v>508</v>
      </c>
      <c r="G794" s="3">
        <f t="shared" si="90"/>
        <v>794</v>
      </c>
      <c r="H794" s="4"/>
      <c r="I794" s="5">
        <v>615</v>
      </c>
      <c r="J794" s="6"/>
      <c r="K794" s="7">
        <f>M794+O794</f>
        <v>2025</v>
      </c>
      <c r="L794" s="6">
        <f t="shared" si="86"/>
        <v>508</v>
      </c>
      <c r="M794" s="7">
        <v>487</v>
      </c>
      <c r="N794" s="8">
        <f t="shared" si="87"/>
        <v>111</v>
      </c>
      <c r="O794" s="7">
        <v>1538</v>
      </c>
      <c r="P794" s="6">
        <f t="shared" si="88"/>
        <v>397</v>
      </c>
      <c r="Q794" s="9">
        <v>3303</v>
      </c>
      <c r="R794" s="6">
        <f t="shared" si="89"/>
        <v>826</v>
      </c>
      <c r="S794" s="10" t="s">
        <v>1</v>
      </c>
      <c r="T794" s="2" t="s">
        <v>1000</v>
      </c>
    </row>
    <row r="795" spans="1:20" ht="37.5" customHeight="1" x14ac:dyDescent="0.25">
      <c r="A795" s="2" t="s">
        <v>1001</v>
      </c>
      <c r="B795">
        <f t="shared" si="84"/>
        <v>7849</v>
      </c>
      <c r="C795">
        <v>1491</v>
      </c>
      <c r="D795">
        <v>6358</v>
      </c>
      <c r="F795">
        <f t="shared" si="85"/>
        <v>136</v>
      </c>
      <c r="G795" s="3">
        <f t="shared" si="90"/>
        <v>795</v>
      </c>
      <c r="H795" s="4"/>
      <c r="I795" s="5">
        <v>616</v>
      </c>
      <c r="J795" s="6"/>
      <c r="K795" s="7">
        <v>7713</v>
      </c>
      <c r="L795" s="6">
        <f t="shared" si="86"/>
        <v>136</v>
      </c>
      <c r="M795" s="7">
        <v>1467</v>
      </c>
      <c r="N795" s="8">
        <f t="shared" si="87"/>
        <v>24</v>
      </c>
      <c r="O795" s="7">
        <v>6246</v>
      </c>
      <c r="P795" s="6">
        <f t="shared" si="88"/>
        <v>112</v>
      </c>
      <c r="Q795" s="9"/>
      <c r="R795" s="6">
        <f t="shared" si="89"/>
        <v>0</v>
      </c>
      <c r="S795" s="10" t="s">
        <v>1</v>
      </c>
      <c r="T795" s="2" t="s">
        <v>1001</v>
      </c>
    </row>
    <row r="796" spans="1:20" ht="37.5" customHeight="1" x14ac:dyDescent="0.25">
      <c r="A796" s="2" t="s">
        <v>1002</v>
      </c>
      <c r="B796">
        <f t="shared" si="84"/>
        <v>1744</v>
      </c>
      <c r="C796">
        <v>529</v>
      </c>
      <c r="D796">
        <v>1215</v>
      </c>
      <c r="E796">
        <v>3082</v>
      </c>
      <c r="F796">
        <f t="shared" si="85"/>
        <v>487</v>
      </c>
      <c r="G796" s="3">
        <f t="shared" si="90"/>
        <v>796</v>
      </c>
      <c r="H796" s="4"/>
      <c r="I796" s="5">
        <v>617</v>
      </c>
      <c r="J796" s="6"/>
      <c r="K796" s="7">
        <f>M796+O796</f>
        <v>1257</v>
      </c>
      <c r="L796" s="6">
        <f t="shared" si="86"/>
        <v>487</v>
      </c>
      <c r="M796" s="7">
        <v>405</v>
      </c>
      <c r="N796" s="8">
        <f t="shared" si="87"/>
        <v>124</v>
      </c>
      <c r="O796" s="7">
        <v>852</v>
      </c>
      <c r="P796" s="6">
        <f t="shared" si="88"/>
        <v>363</v>
      </c>
      <c r="Q796" s="9">
        <v>2131</v>
      </c>
      <c r="R796" s="6">
        <f t="shared" si="89"/>
        <v>951</v>
      </c>
      <c r="S796" s="10" t="s">
        <v>1</v>
      </c>
      <c r="T796" s="2" t="s">
        <v>1002</v>
      </c>
    </row>
    <row r="797" spans="1:20" ht="37.5" customHeight="1" x14ac:dyDescent="0.25">
      <c r="A797" s="2" t="s">
        <v>1003</v>
      </c>
      <c r="B797">
        <f t="shared" si="84"/>
        <v>101755</v>
      </c>
      <c r="C797">
        <v>19194</v>
      </c>
      <c r="D797">
        <v>82561</v>
      </c>
      <c r="F797">
        <f t="shared" si="85"/>
        <v>16</v>
      </c>
      <c r="G797" s="3">
        <f t="shared" si="90"/>
        <v>797</v>
      </c>
      <c r="H797" s="4"/>
      <c r="I797" s="5">
        <v>618</v>
      </c>
      <c r="J797" s="6"/>
      <c r="K797" s="7">
        <v>101739</v>
      </c>
      <c r="L797" s="6">
        <f t="shared" si="86"/>
        <v>16</v>
      </c>
      <c r="M797" s="7">
        <v>19191</v>
      </c>
      <c r="N797" s="8">
        <f t="shared" si="87"/>
        <v>3</v>
      </c>
      <c r="O797" s="7">
        <v>82548</v>
      </c>
      <c r="P797" s="6">
        <f t="shared" si="88"/>
        <v>13</v>
      </c>
      <c r="Q797" s="9"/>
      <c r="R797" s="6">
        <f t="shared" si="89"/>
        <v>0</v>
      </c>
      <c r="S797" s="10" t="s">
        <v>1</v>
      </c>
      <c r="T797" s="2" t="s">
        <v>1003</v>
      </c>
    </row>
    <row r="798" spans="1:20" ht="37.5" customHeight="1" x14ac:dyDescent="0.25">
      <c r="A798" s="2" t="s">
        <v>1004</v>
      </c>
      <c r="B798">
        <f t="shared" si="84"/>
        <v>58636</v>
      </c>
      <c r="C798">
        <v>18988</v>
      </c>
      <c r="D798">
        <v>39648</v>
      </c>
      <c r="F798">
        <f t="shared" si="85"/>
        <v>395</v>
      </c>
      <c r="G798" s="3">
        <f t="shared" si="90"/>
        <v>798</v>
      </c>
      <c r="H798" s="4"/>
      <c r="I798" s="5">
        <v>619</v>
      </c>
      <c r="J798" s="6"/>
      <c r="K798" s="7">
        <v>58241</v>
      </c>
      <c r="L798" s="6">
        <f t="shared" si="86"/>
        <v>395</v>
      </c>
      <c r="M798" s="7">
        <v>18906</v>
      </c>
      <c r="N798" s="8">
        <f t="shared" si="87"/>
        <v>82</v>
      </c>
      <c r="O798" s="7">
        <v>39335</v>
      </c>
      <c r="P798" s="6">
        <f t="shared" si="88"/>
        <v>313</v>
      </c>
      <c r="Q798" s="9"/>
      <c r="R798" s="6">
        <f t="shared" si="89"/>
        <v>0</v>
      </c>
      <c r="S798" s="10" t="s">
        <v>1</v>
      </c>
      <c r="T798" s="2" t="s">
        <v>1004</v>
      </c>
    </row>
    <row r="799" spans="1:20" ht="37.5" customHeight="1" x14ac:dyDescent="0.25">
      <c r="A799" s="2" t="s">
        <v>1005</v>
      </c>
      <c r="B799">
        <f t="shared" si="84"/>
        <v>161269</v>
      </c>
      <c r="C799">
        <v>19590</v>
      </c>
      <c r="D799">
        <v>141679</v>
      </c>
      <c r="F799">
        <f t="shared" si="85"/>
        <v>979</v>
      </c>
      <c r="G799" s="3">
        <f t="shared" si="90"/>
        <v>799</v>
      </c>
      <c r="H799" s="4"/>
      <c r="I799" s="5" t="s">
        <v>1006</v>
      </c>
      <c r="J799" s="6"/>
      <c r="K799" s="7">
        <v>160290</v>
      </c>
      <c r="L799" s="6">
        <f t="shared" si="86"/>
        <v>979</v>
      </c>
      <c r="M799" s="7">
        <v>19396</v>
      </c>
      <c r="N799" s="8">
        <f t="shared" si="87"/>
        <v>194</v>
      </c>
      <c r="O799" s="7">
        <v>140894</v>
      </c>
      <c r="P799" s="6">
        <f t="shared" si="88"/>
        <v>785</v>
      </c>
      <c r="Q799" s="9"/>
      <c r="R799" s="6">
        <f t="shared" si="89"/>
        <v>0</v>
      </c>
      <c r="S799" s="10" t="s">
        <v>1</v>
      </c>
      <c r="T799" s="2" t="s">
        <v>1005</v>
      </c>
    </row>
    <row r="800" spans="1:20" ht="37.5" customHeight="1" x14ac:dyDescent="0.25">
      <c r="A800" s="2" t="s">
        <v>1007</v>
      </c>
      <c r="B800">
        <f t="shared" si="84"/>
        <v>3281</v>
      </c>
      <c r="C800">
        <v>733</v>
      </c>
      <c r="D800">
        <v>2548</v>
      </c>
      <c r="E800">
        <v>7549</v>
      </c>
      <c r="F800">
        <f t="shared" si="85"/>
        <v>212</v>
      </c>
      <c r="G800" s="3">
        <f t="shared" si="90"/>
        <v>800</v>
      </c>
      <c r="H800" s="4"/>
      <c r="I800" s="5">
        <v>620</v>
      </c>
      <c r="J800" s="6"/>
      <c r="K800" s="7">
        <f>M800+O800</f>
        <v>3069</v>
      </c>
      <c r="L800" s="6">
        <f t="shared" si="86"/>
        <v>212</v>
      </c>
      <c r="M800" s="7">
        <v>667</v>
      </c>
      <c r="N800" s="8">
        <f t="shared" si="87"/>
        <v>66</v>
      </c>
      <c r="O800" s="7">
        <v>2402</v>
      </c>
      <c r="P800" s="6">
        <f t="shared" si="88"/>
        <v>146</v>
      </c>
      <c r="Q800" s="9">
        <v>6666</v>
      </c>
      <c r="R800" s="6">
        <f t="shared" si="89"/>
        <v>883</v>
      </c>
      <c r="S800" s="10" t="s">
        <v>1</v>
      </c>
      <c r="T800" s="2" t="s">
        <v>1007</v>
      </c>
    </row>
    <row r="801" spans="1:20" ht="37.5" customHeight="1" x14ac:dyDescent="0.25">
      <c r="A801" s="2" t="s">
        <v>1008</v>
      </c>
      <c r="B801">
        <f t="shared" si="84"/>
        <v>102181</v>
      </c>
      <c r="C801">
        <v>19954</v>
      </c>
      <c r="D801">
        <v>82227</v>
      </c>
      <c r="F801">
        <f t="shared" si="85"/>
        <v>880</v>
      </c>
      <c r="G801" s="3">
        <f t="shared" si="90"/>
        <v>801</v>
      </c>
      <c r="H801" s="4"/>
      <c r="I801" s="5">
        <v>621</v>
      </c>
      <c r="J801" s="6"/>
      <c r="K801" s="7">
        <v>101301</v>
      </c>
      <c r="L801" s="6">
        <f t="shared" si="86"/>
        <v>880</v>
      </c>
      <c r="M801" s="7">
        <v>19805</v>
      </c>
      <c r="N801" s="8">
        <f t="shared" si="87"/>
        <v>149</v>
      </c>
      <c r="O801" s="7">
        <v>81496</v>
      </c>
      <c r="P801" s="6">
        <f t="shared" si="88"/>
        <v>731</v>
      </c>
      <c r="Q801" s="9"/>
      <c r="R801" s="6">
        <f t="shared" si="89"/>
        <v>0</v>
      </c>
      <c r="S801" s="10" t="s">
        <v>1</v>
      </c>
      <c r="T801" s="2" t="s">
        <v>1008</v>
      </c>
    </row>
    <row r="802" spans="1:20" ht="37.5" customHeight="1" x14ac:dyDescent="0.25">
      <c r="A802" s="2" t="s">
        <v>1009</v>
      </c>
      <c r="B802">
        <f t="shared" si="84"/>
        <v>78611</v>
      </c>
      <c r="C802">
        <v>13098</v>
      </c>
      <c r="D802">
        <v>65513</v>
      </c>
      <c r="F802">
        <f t="shared" si="85"/>
        <v>482</v>
      </c>
      <c r="G802" s="3">
        <f t="shared" si="90"/>
        <v>802</v>
      </c>
      <c r="H802" s="4"/>
      <c r="I802" s="5">
        <v>622</v>
      </c>
      <c r="J802" s="6"/>
      <c r="K802" s="7">
        <v>78129</v>
      </c>
      <c r="L802" s="6">
        <f t="shared" si="86"/>
        <v>482</v>
      </c>
      <c r="M802" s="7">
        <v>13012</v>
      </c>
      <c r="N802" s="8">
        <f t="shared" si="87"/>
        <v>86</v>
      </c>
      <c r="O802" s="7">
        <v>65117</v>
      </c>
      <c r="P802" s="6">
        <f t="shared" si="88"/>
        <v>396</v>
      </c>
      <c r="Q802" s="9"/>
      <c r="R802" s="6">
        <f t="shared" si="89"/>
        <v>0</v>
      </c>
      <c r="S802" s="10" t="s">
        <v>1</v>
      </c>
      <c r="T802" s="2" t="s">
        <v>1009</v>
      </c>
    </row>
    <row r="803" spans="1:20" ht="37.5" customHeight="1" x14ac:dyDescent="0.25">
      <c r="A803" s="2" t="s">
        <v>1010</v>
      </c>
      <c r="B803">
        <f t="shared" si="84"/>
        <v>259</v>
      </c>
      <c r="C803">
        <v>62</v>
      </c>
      <c r="D803">
        <v>197</v>
      </c>
      <c r="E803">
        <v>850</v>
      </c>
      <c r="F803">
        <f t="shared" si="85"/>
        <v>259</v>
      </c>
      <c r="G803" s="3">
        <f t="shared" si="90"/>
        <v>803</v>
      </c>
      <c r="H803" s="4"/>
      <c r="I803" s="5">
        <v>623</v>
      </c>
      <c r="J803" s="6"/>
      <c r="K803" s="7">
        <v>0</v>
      </c>
      <c r="L803" s="6">
        <f t="shared" si="86"/>
        <v>259</v>
      </c>
      <c r="M803" s="7">
        <v>0</v>
      </c>
      <c r="N803" s="8">
        <f t="shared" si="87"/>
        <v>62</v>
      </c>
      <c r="O803" s="7">
        <v>0</v>
      </c>
      <c r="P803" s="6">
        <f t="shared" si="88"/>
        <v>197</v>
      </c>
      <c r="Q803" s="9">
        <v>0</v>
      </c>
      <c r="R803" s="6">
        <f t="shared" si="89"/>
        <v>850</v>
      </c>
      <c r="S803" s="10" t="s">
        <v>1</v>
      </c>
      <c r="T803" s="2" t="s">
        <v>1010</v>
      </c>
    </row>
    <row r="804" spans="1:20" ht="37.5" customHeight="1" x14ac:dyDescent="0.25">
      <c r="A804" s="2" t="s">
        <v>1011</v>
      </c>
      <c r="B804">
        <f t="shared" si="84"/>
        <v>129124</v>
      </c>
      <c r="C804">
        <v>25282</v>
      </c>
      <c r="D804">
        <v>103842</v>
      </c>
      <c r="F804">
        <f t="shared" si="85"/>
        <v>515</v>
      </c>
      <c r="G804" s="3">
        <f t="shared" si="90"/>
        <v>804</v>
      </c>
      <c r="H804" s="4"/>
      <c r="I804" s="5">
        <v>624</v>
      </c>
      <c r="J804" s="6"/>
      <c r="K804" s="7">
        <v>128609</v>
      </c>
      <c r="L804" s="6">
        <f t="shared" si="86"/>
        <v>515</v>
      </c>
      <c r="M804" s="7">
        <v>25211</v>
      </c>
      <c r="N804" s="8">
        <f t="shared" si="87"/>
        <v>71</v>
      </c>
      <c r="O804" s="7">
        <v>103398</v>
      </c>
      <c r="P804" s="6">
        <f t="shared" si="88"/>
        <v>444</v>
      </c>
      <c r="Q804" s="9"/>
      <c r="R804" s="6">
        <f t="shared" si="89"/>
        <v>0</v>
      </c>
      <c r="S804" s="10" t="s">
        <v>1</v>
      </c>
      <c r="T804" s="2" t="s">
        <v>1011</v>
      </c>
    </row>
    <row r="805" spans="1:20" ht="37.5" customHeight="1" x14ac:dyDescent="0.25">
      <c r="A805" s="2" t="s">
        <v>1012</v>
      </c>
      <c r="B805">
        <f t="shared" si="84"/>
        <v>90163</v>
      </c>
      <c r="C805">
        <v>16029</v>
      </c>
      <c r="D805">
        <v>74134</v>
      </c>
      <c r="F805">
        <f t="shared" si="85"/>
        <v>288</v>
      </c>
      <c r="G805" s="3">
        <f t="shared" si="90"/>
        <v>805</v>
      </c>
      <c r="H805" s="4"/>
      <c r="I805" s="5">
        <v>625</v>
      </c>
      <c r="J805" s="6"/>
      <c r="K805" s="7">
        <v>89875</v>
      </c>
      <c r="L805" s="6">
        <f t="shared" si="86"/>
        <v>288</v>
      </c>
      <c r="M805" s="7">
        <v>15977</v>
      </c>
      <c r="N805" s="8">
        <f t="shared" si="87"/>
        <v>52</v>
      </c>
      <c r="O805" s="7">
        <v>73898</v>
      </c>
      <c r="P805" s="6">
        <f t="shared" si="88"/>
        <v>236</v>
      </c>
      <c r="Q805" s="9"/>
      <c r="R805" s="6">
        <f t="shared" si="89"/>
        <v>0</v>
      </c>
      <c r="S805" s="10" t="s">
        <v>1</v>
      </c>
      <c r="T805" s="2" t="s">
        <v>1012</v>
      </c>
    </row>
    <row r="806" spans="1:20" ht="37.5" customHeight="1" x14ac:dyDescent="0.25">
      <c r="A806" s="2" t="s">
        <v>1013</v>
      </c>
      <c r="B806">
        <f t="shared" si="84"/>
        <v>18227</v>
      </c>
      <c r="C806">
        <v>3894</v>
      </c>
      <c r="D806">
        <v>14333</v>
      </c>
      <c r="F806">
        <f t="shared" si="85"/>
        <v>14</v>
      </c>
      <c r="G806" s="3">
        <f t="shared" si="90"/>
        <v>806</v>
      </c>
      <c r="H806" s="4"/>
      <c r="I806" s="5">
        <v>626</v>
      </c>
      <c r="J806" s="6"/>
      <c r="K806" s="7">
        <v>18213</v>
      </c>
      <c r="L806" s="6">
        <f t="shared" si="86"/>
        <v>14</v>
      </c>
      <c r="M806" s="7">
        <v>3893</v>
      </c>
      <c r="N806" s="8">
        <f t="shared" si="87"/>
        <v>1</v>
      </c>
      <c r="O806" s="7">
        <v>14320</v>
      </c>
      <c r="P806" s="6">
        <f t="shared" si="88"/>
        <v>13</v>
      </c>
      <c r="Q806" s="9"/>
      <c r="R806" s="6">
        <f t="shared" si="89"/>
        <v>0</v>
      </c>
      <c r="S806" s="10" t="s">
        <v>1</v>
      </c>
      <c r="T806" s="2" t="s">
        <v>1013</v>
      </c>
    </row>
    <row r="807" spans="1:20" ht="37.5" customHeight="1" x14ac:dyDescent="0.25">
      <c r="A807" s="2" t="s">
        <v>1014</v>
      </c>
      <c r="B807">
        <f t="shared" si="84"/>
        <v>6478</v>
      </c>
      <c r="C807">
        <v>1614</v>
      </c>
      <c r="D807">
        <v>4864</v>
      </c>
      <c r="E807">
        <v>4858</v>
      </c>
      <c r="F807">
        <f t="shared" si="85"/>
        <v>644</v>
      </c>
      <c r="G807" s="3">
        <f t="shared" si="90"/>
        <v>807</v>
      </c>
      <c r="H807" s="4"/>
      <c r="I807" s="5">
        <v>627</v>
      </c>
      <c r="J807" s="6"/>
      <c r="K807" s="7">
        <f>M807+O807</f>
        <v>5834</v>
      </c>
      <c r="L807" s="6">
        <f t="shared" si="86"/>
        <v>644</v>
      </c>
      <c r="M807" s="7">
        <v>1452</v>
      </c>
      <c r="N807" s="8">
        <f t="shared" si="87"/>
        <v>162</v>
      </c>
      <c r="O807" s="7">
        <v>4382</v>
      </c>
      <c r="P807" s="6">
        <f t="shared" si="88"/>
        <v>482</v>
      </c>
      <c r="Q807" s="9">
        <v>3919</v>
      </c>
      <c r="R807" s="6">
        <f t="shared" si="89"/>
        <v>939</v>
      </c>
      <c r="S807" s="10" t="s">
        <v>1</v>
      </c>
      <c r="T807" s="2" t="s">
        <v>1014</v>
      </c>
    </row>
    <row r="808" spans="1:20" ht="37.5" customHeight="1" x14ac:dyDescent="0.25">
      <c r="A808" s="2" t="s">
        <v>1015</v>
      </c>
      <c r="B808">
        <f t="shared" si="84"/>
        <v>68166</v>
      </c>
      <c r="C808">
        <v>13334</v>
      </c>
      <c r="D808">
        <v>54832</v>
      </c>
      <c r="F808">
        <f t="shared" si="85"/>
        <v>581</v>
      </c>
      <c r="G808" s="3">
        <f t="shared" si="90"/>
        <v>808</v>
      </c>
      <c r="H808" s="4"/>
      <c r="I808" s="5">
        <v>630</v>
      </c>
      <c r="J808" s="6"/>
      <c r="K808" s="7">
        <v>67585</v>
      </c>
      <c r="L808" s="6">
        <f t="shared" si="86"/>
        <v>581</v>
      </c>
      <c r="M808" s="7"/>
      <c r="N808" s="8">
        <f t="shared" si="87"/>
        <v>13334</v>
      </c>
      <c r="O808" s="7"/>
      <c r="P808" s="6">
        <f t="shared" si="88"/>
        <v>54832</v>
      </c>
      <c r="Q808" s="9"/>
      <c r="R808" s="6">
        <f t="shared" si="89"/>
        <v>0</v>
      </c>
      <c r="S808" s="10" t="s">
        <v>1</v>
      </c>
      <c r="T808" s="2" t="s">
        <v>1015</v>
      </c>
    </row>
    <row r="809" spans="1:20" ht="37.5" customHeight="1" x14ac:dyDescent="0.25">
      <c r="A809" s="2" t="s">
        <v>1016</v>
      </c>
      <c r="B809">
        <f t="shared" si="84"/>
        <v>78964</v>
      </c>
      <c r="C809">
        <v>11596</v>
      </c>
      <c r="D809">
        <v>67368</v>
      </c>
      <c r="F809">
        <f t="shared" si="85"/>
        <v>676</v>
      </c>
      <c r="G809" s="3">
        <f t="shared" si="90"/>
        <v>809</v>
      </c>
      <c r="H809" s="4"/>
      <c r="I809" s="5">
        <v>631</v>
      </c>
      <c r="J809" s="6"/>
      <c r="K809" s="7">
        <v>78288</v>
      </c>
      <c r="L809" s="6">
        <f t="shared" si="86"/>
        <v>676</v>
      </c>
      <c r="M809" s="7">
        <v>11507</v>
      </c>
      <c r="N809" s="8">
        <f t="shared" si="87"/>
        <v>89</v>
      </c>
      <c r="O809" s="7">
        <v>66781</v>
      </c>
      <c r="P809" s="6">
        <f t="shared" si="88"/>
        <v>587</v>
      </c>
      <c r="Q809" s="9"/>
      <c r="R809" s="6">
        <f t="shared" si="89"/>
        <v>0</v>
      </c>
      <c r="S809" s="10" t="s">
        <v>1</v>
      </c>
      <c r="T809" s="2" t="s">
        <v>1016</v>
      </c>
    </row>
    <row r="810" spans="1:20" ht="37.5" customHeight="1" x14ac:dyDescent="0.25">
      <c r="A810" s="2" t="s">
        <v>1017</v>
      </c>
      <c r="B810">
        <f t="shared" si="84"/>
        <v>21605</v>
      </c>
      <c r="C810">
        <v>5249</v>
      </c>
      <c r="D810">
        <v>16356</v>
      </c>
      <c r="E810">
        <v>19788</v>
      </c>
      <c r="F810">
        <f t="shared" si="85"/>
        <v>550</v>
      </c>
      <c r="G810" s="3">
        <f t="shared" si="90"/>
        <v>810</v>
      </c>
      <c r="H810" s="4"/>
      <c r="I810" s="5">
        <v>632</v>
      </c>
      <c r="J810" s="6"/>
      <c r="K810" s="7">
        <f>M810+O810</f>
        <v>21055</v>
      </c>
      <c r="L810" s="6">
        <f t="shared" si="86"/>
        <v>550</v>
      </c>
      <c r="M810" s="7">
        <v>5100</v>
      </c>
      <c r="N810" s="8">
        <f t="shared" si="87"/>
        <v>149</v>
      </c>
      <c r="O810" s="7">
        <v>15955</v>
      </c>
      <c r="P810" s="6">
        <f t="shared" si="88"/>
        <v>401</v>
      </c>
      <c r="Q810" s="9">
        <v>18750</v>
      </c>
      <c r="R810" s="6">
        <f t="shared" si="89"/>
        <v>1038</v>
      </c>
      <c r="S810" s="10" t="s">
        <v>1</v>
      </c>
      <c r="T810" s="2" t="s">
        <v>1017</v>
      </c>
    </row>
    <row r="811" spans="1:20" ht="37.5" customHeight="1" x14ac:dyDescent="0.25">
      <c r="A811" s="2" t="s">
        <v>1018</v>
      </c>
      <c r="B811">
        <f t="shared" si="84"/>
        <v>18237</v>
      </c>
      <c r="C811">
        <v>4185</v>
      </c>
      <c r="D811">
        <v>14052</v>
      </c>
      <c r="E811">
        <v>16831</v>
      </c>
      <c r="F811">
        <f t="shared" si="85"/>
        <v>538</v>
      </c>
      <c r="G811" s="3">
        <f t="shared" si="90"/>
        <v>811</v>
      </c>
      <c r="H811" s="4"/>
      <c r="I811" s="5">
        <v>633</v>
      </c>
      <c r="J811" s="6"/>
      <c r="K811" s="7">
        <f>M811+O811</f>
        <v>17699</v>
      </c>
      <c r="L811" s="6">
        <f t="shared" si="86"/>
        <v>538</v>
      </c>
      <c r="M811" s="7">
        <v>4025</v>
      </c>
      <c r="N811" s="8">
        <f t="shared" si="87"/>
        <v>160</v>
      </c>
      <c r="O811" s="7">
        <v>13674</v>
      </c>
      <c r="P811" s="6">
        <f t="shared" si="88"/>
        <v>378</v>
      </c>
      <c r="Q811" s="9">
        <v>15749</v>
      </c>
      <c r="R811" s="6">
        <f t="shared" si="89"/>
        <v>1082</v>
      </c>
      <c r="S811" s="10" t="s">
        <v>1</v>
      </c>
      <c r="T811" s="2" t="s">
        <v>1018</v>
      </c>
    </row>
    <row r="812" spans="1:20" ht="37.5" customHeight="1" x14ac:dyDescent="0.25">
      <c r="A812" s="2" t="s">
        <v>1019</v>
      </c>
      <c r="B812">
        <f t="shared" si="84"/>
        <v>10635</v>
      </c>
      <c r="C812">
        <v>2907</v>
      </c>
      <c r="D812">
        <v>7728</v>
      </c>
      <c r="E812">
        <v>13087</v>
      </c>
      <c r="F812">
        <f t="shared" si="85"/>
        <v>701</v>
      </c>
      <c r="G812" s="3">
        <f t="shared" si="90"/>
        <v>812</v>
      </c>
      <c r="H812" s="4"/>
      <c r="I812" s="5">
        <v>634</v>
      </c>
      <c r="J812" s="6"/>
      <c r="K812" s="7">
        <f>M812+O812</f>
        <v>9934</v>
      </c>
      <c r="L812" s="6">
        <f t="shared" si="86"/>
        <v>701</v>
      </c>
      <c r="M812" s="7">
        <v>2743</v>
      </c>
      <c r="N812" s="8">
        <f t="shared" si="87"/>
        <v>164</v>
      </c>
      <c r="O812" s="7">
        <v>7191</v>
      </c>
      <c r="P812" s="6">
        <f t="shared" si="88"/>
        <v>537</v>
      </c>
      <c r="Q812" s="9">
        <v>12372</v>
      </c>
      <c r="R812" s="6">
        <f t="shared" si="89"/>
        <v>715</v>
      </c>
      <c r="S812" s="10" t="s">
        <v>1</v>
      </c>
      <c r="T812" s="2" t="s">
        <v>1019</v>
      </c>
    </row>
    <row r="813" spans="1:20" ht="37.5" customHeight="1" x14ac:dyDescent="0.25">
      <c r="A813" s="2" t="s">
        <v>1020</v>
      </c>
      <c r="B813">
        <f t="shared" si="84"/>
        <v>2628</v>
      </c>
      <c r="C813">
        <v>774</v>
      </c>
      <c r="D813">
        <v>1854</v>
      </c>
      <c r="E813">
        <v>29733</v>
      </c>
      <c r="F813">
        <f t="shared" si="85"/>
        <v>112</v>
      </c>
      <c r="G813" s="3">
        <f t="shared" si="90"/>
        <v>813</v>
      </c>
      <c r="H813" s="4"/>
      <c r="I813" s="5">
        <v>635</v>
      </c>
      <c r="J813" s="6"/>
      <c r="K813" s="7">
        <f>M813+O813</f>
        <v>2516</v>
      </c>
      <c r="L813" s="6">
        <f t="shared" si="86"/>
        <v>112</v>
      </c>
      <c r="M813" s="7">
        <v>739</v>
      </c>
      <c r="N813" s="8">
        <f t="shared" si="87"/>
        <v>35</v>
      </c>
      <c r="O813" s="7">
        <v>1777</v>
      </c>
      <c r="P813" s="6">
        <f t="shared" si="88"/>
        <v>77</v>
      </c>
      <c r="Q813" s="9">
        <v>28440</v>
      </c>
      <c r="R813" s="6">
        <f t="shared" si="89"/>
        <v>1293</v>
      </c>
      <c r="S813" s="10" t="s">
        <v>1</v>
      </c>
      <c r="T813" s="2" t="s">
        <v>1020</v>
      </c>
    </row>
    <row r="814" spans="1:20" ht="37.5" customHeight="1" x14ac:dyDescent="0.25">
      <c r="A814" s="2" t="s">
        <v>1021</v>
      </c>
      <c r="B814">
        <f t="shared" si="84"/>
        <v>68431</v>
      </c>
      <c r="C814">
        <v>10263</v>
      </c>
      <c r="D814">
        <v>58168</v>
      </c>
      <c r="F814">
        <f t="shared" si="85"/>
        <v>433</v>
      </c>
      <c r="G814" s="3">
        <f t="shared" si="90"/>
        <v>814</v>
      </c>
      <c r="H814" s="4"/>
      <c r="I814" s="5">
        <v>636</v>
      </c>
      <c r="J814" s="6"/>
      <c r="K814" s="7">
        <v>67998</v>
      </c>
      <c r="L814" s="6">
        <f t="shared" si="86"/>
        <v>433</v>
      </c>
      <c r="M814" s="7">
        <v>10190</v>
      </c>
      <c r="N814" s="8">
        <f t="shared" si="87"/>
        <v>73</v>
      </c>
      <c r="O814" s="7">
        <v>57808</v>
      </c>
      <c r="P814" s="6">
        <f t="shared" si="88"/>
        <v>360</v>
      </c>
      <c r="Q814" s="9"/>
      <c r="R814" s="6">
        <f t="shared" si="89"/>
        <v>0</v>
      </c>
      <c r="S814" s="10" t="s">
        <v>1</v>
      </c>
      <c r="T814" s="2" t="s">
        <v>1021</v>
      </c>
    </row>
    <row r="815" spans="1:20" ht="37.5" customHeight="1" x14ac:dyDescent="0.25">
      <c r="A815" s="2" t="s">
        <v>1022</v>
      </c>
      <c r="B815">
        <f t="shared" si="84"/>
        <v>77165</v>
      </c>
      <c r="C815">
        <v>13910</v>
      </c>
      <c r="D815">
        <v>63255</v>
      </c>
      <c r="F815">
        <f t="shared" si="85"/>
        <v>419</v>
      </c>
      <c r="G815" s="3">
        <f t="shared" si="90"/>
        <v>815</v>
      </c>
      <c r="H815" s="4"/>
      <c r="I815" s="5">
        <v>637</v>
      </c>
      <c r="J815" s="6"/>
      <c r="K815" s="7">
        <v>76746</v>
      </c>
      <c r="L815" s="6">
        <f t="shared" si="86"/>
        <v>419</v>
      </c>
      <c r="M815" s="7">
        <v>13846</v>
      </c>
      <c r="N815" s="8">
        <f t="shared" si="87"/>
        <v>64</v>
      </c>
      <c r="O815" s="7">
        <v>62900</v>
      </c>
      <c r="P815" s="6">
        <f t="shared" si="88"/>
        <v>355</v>
      </c>
      <c r="Q815" s="9"/>
      <c r="R815" s="6">
        <f t="shared" si="89"/>
        <v>0</v>
      </c>
      <c r="S815" s="10" t="s">
        <v>1</v>
      </c>
      <c r="T815" s="2" t="s">
        <v>1022</v>
      </c>
    </row>
    <row r="816" spans="1:20" ht="37.5" customHeight="1" x14ac:dyDescent="0.25">
      <c r="A816" s="2" t="s">
        <v>1023</v>
      </c>
      <c r="B816">
        <f t="shared" si="84"/>
        <v>17258</v>
      </c>
      <c r="C816">
        <v>2804</v>
      </c>
      <c r="D816">
        <v>14454</v>
      </c>
      <c r="F816">
        <f t="shared" si="85"/>
        <v>162</v>
      </c>
      <c r="G816" s="3">
        <f t="shared" si="90"/>
        <v>816</v>
      </c>
      <c r="H816" s="4"/>
      <c r="I816" s="5">
        <v>638</v>
      </c>
      <c r="J816" s="6"/>
      <c r="K816" s="7">
        <v>17096</v>
      </c>
      <c r="L816" s="6">
        <f t="shared" si="86"/>
        <v>162</v>
      </c>
      <c r="M816" s="7">
        <v>2764</v>
      </c>
      <c r="N816" s="8">
        <f t="shared" si="87"/>
        <v>40</v>
      </c>
      <c r="O816" s="7">
        <v>14332</v>
      </c>
      <c r="P816" s="6">
        <f t="shared" si="88"/>
        <v>122</v>
      </c>
      <c r="Q816" s="9"/>
      <c r="R816" s="6">
        <f t="shared" si="89"/>
        <v>0</v>
      </c>
      <c r="S816" s="10" t="s">
        <v>1</v>
      </c>
      <c r="T816" s="2" t="s">
        <v>1023</v>
      </c>
    </row>
    <row r="817" spans="1:20" ht="37.5" customHeight="1" x14ac:dyDescent="0.25">
      <c r="A817" s="2" t="s">
        <v>1024</v>
      </c>
      <c r="B817">
        <f t="shared" si="84"/>
        <v>15873</v>
      </c>
      <c r="C817">
        <v>2956</v>
      </c>
      <c r="D817">
        <v>12917</v>
      </c>
      <c r="F817">
        <f t="shared" si="85"/>
        <v>451</v>
      </c>
      <c r="G817" s="3">
        <f t="shared" si="90"/>
        <v>817</v>
      </c>
      <c r="H817" s="4"/>
      <c r="I817" s="5">
        <v>639</v>
      </c>
      <c r="J817" s="6"/>
      <c r="K817" s="7">
        <v>15422</v>
      </c>
      <c r="L817" s="6">
        <f t="shared" si="86"/>
        <v>451</v>
      </c>
      <c r="M817" s="7">
        <v>2864</v>
      </c>
      <c r="N817" s="8">
        <f t="shared" si="87"/>
        <v>92</v>
      </c>
      <c r="O817" s="7">
        <v>12558</v>
      </c>
      <c r="P817" s="6">
        <f t="shared" si="88"/>
        <v>359</v>
      </c>
      <c r="Q817" s="9"/>
      <c r="R817" s="6">
        <f t="shared" si="89"/>
        <v>0</v>
      </c>
      <c r="S817" s="10" t="s">
        <v>1</v>
      </c>
      <c r="T817" s="2" t="s">
        <v>1024</v>
      </c>
    </row>
    <row r="818" spans="1:20" ht="37.5" customHeight="1" x14ac:dyDescent="0.25">
      <c r="A818" s="2" t="s">
        <v>1025</v>
      </c>
      <c r="B818">
        <f t="shared" si="84"/>
        <v>42472</v>
      </c>
      <c r="C818">
        <v>8366</v>
      </c>
      <c r="D818">
        <v>34106</v>
      </c>
      <c r="F818">
        <f t="shared" si="85"/>
        <v>56</v>
      </c>
      <c r="G818" s="3">
        <f t="shared" si="90"/>
        <v>818</v>
      </c>
      <c r="H818" s="4"/>
      <c r="I818" s="5">
        <v>640</v>
      </c>
      <c r="J818" s="6"/>
      <c r="K818" s="7">
        <v>42416</v>
      </c>
      <c r="L818" s="6">
        <f t="shared" si="86"/>
        <v>56</v>
      </c>
      <c r="M818" s="7">
        <v>8355</v>
      </c>
      <c r="N818" s="8">
        <f t="shared" si="87"/>
        <v>11</v>
      </c>
      <c r="O818" s="7">
        <v>34061</v>
      </c>
      <c r="P818" s="6">
        <f t="shared" si="88"/>
        <v>45</v>
      </c>
      <c r="Q818" s="9"/>
      <c r="R818" s="6">
        <f t="shared" si="89"/>
        <v>0</v>
      </c>
      <c r="S818" s="10" t="s">
        <v>1</v>
      </c>
      <c r="T818" s="2" t="s">
        <v>1025</v>
      </c>
    </row>
    <row r="819" spans="1:20" ht="37.5" customHeight="1" x14ac:dyDescent="0.25">
      <c r="A819" s="2" t="s">
        <v>1026</v>
      </c>
      <c r="B819">
        <f t="shared" si="84"/>
        <v>10815</v>
      </c>
      <c r="C819">
        <v>2101</v>
      </c>
      <c r="D819">
        <v>8714</v>
      </c>
      <c r="E819">
        <v>13475</v>
      </c>
      <c r="F819">
        <f t="shared" si="85"/>
        <v>507</v>
      </c>
      <c r="G819" s="3">
        <f t="shared" si="90"/>
        <v>819</v>
      </c>
      <c r="H819" s="4"/>
      <c r="I819" s="5">
        <v>641</v>
      </c>
      <c r="J819" s="6"/>
      <c r="K819" s="7">
        <f>M819+O819</f>
        <v>10308</v>
      </c>
      <c r="L819" s="6">
        <f t="shared" si="86"/>
        <v>507</v>
      </c>
      <c r="M819" s="7">
        <v>2000</v>
      </c>
      <c r="N819" s="8">
        <f t="shared" si="87"/>
        <v>101</v>
      </c>
      <c r="O819" s="7">
        <v>8308</v>
      </c>
      <c r="P819" s="6">
        <f t="shared" si="88"/>
        <v>406</v>
      </c>
      <c r="Q819" s="9">
        <v>12012</v>
      </c>
      <c r="R819" s="6">
        <f t="shared" si="89"/>
        <v>1463</v>
      </c>
      <c r="S819" s="10" t="s">
        <v>1</v>
      </c>
      <c r="T819" s="2" t="s">
        <v>1026</v>
      </c>
    </row>
    <row r="820" spans="1:20" ht="37.5" customHeight="1" x14ac:dyDescent="0.25">
      <c r="A820" s="2" t="s">
        <v>1027</v>
      </c>
      <c r="B820">
        <f>227+K820</f>
        <v>87623</v>
      </c>
      <c r="F820">
        <f t="shared" si="85"/>
        <v>227</v>
      </c>
      <c r="G820" s="3">
        <f t="shared" si="90"/>
        <v>820</v>
      </c>
      <c r="H820" s="4"/>
      <c r="I820" s="5">
        <v>642</v>
      </c>
      <c r="J820" s="6"/>
      <c r="K820" s="7">
        <v>87396</v>
      </c>
      <c r="L820" s="6">
        <f t="shared" si="86"/>
        <v>227</v>
      </c>
      <c r="M820" s="7">
        <v>20303</v>
      </c>
      <c r="N820" s="8">
        <f t="shared" si="87"/>
        <v>-20303</v>
      </c>
      <c r="O820" s="7">
        <v>67093</v>
      </c>
      <c r="P820" s="6">
        <f t="shared" si="88"/>
        <v>-67093</v>
      </c>
      <c r="Q820" s="9"/>
      <c r="R820" s="6">
        <f t="shared" si="89"/>
        <v>0</v>
      </c>
      <c r="S820" s="10" t="s">
        <v>1</v>
      </c>
      <c r="T820" s="2" t="s">
        <v>1027</v>
      </c>
    </row>
    <row r="821" spans="1:20" ht="37.5" customHeight="1" x14ac:dyDescent="0.25">
      <c r="A821" s="2" t="s">
        <v>1028</v>
      </c>
      <c r="B821">
        <f t="shared" si="84"/>
        <v>8498</v>
      </c>
      <c r="C821">
        <v>1701</v>
      </c>
      <c r="D821">
        <v>6797</v>
      </c>
      <c r="F821">
        <f t="shared" si="85"/>
        <v>326</v>
      </c>
      <c r="G821" s="3">
        <f t="shared" si="90"/>
        <v>821</v>
      </c>
      <c r="H821" s="4"/>
      <c r="I821" s="5">
        <v>643</v>
      </c>
      <c r="J821" s="6"/>
      <c r="K821" s="7">
        <v>8172</v>
      </c>
      <c r="L821" s="6">
        <f t="shared" si="86"/>
        <v>326</v>
      </c>
      <c r="M821" s="7">
        <v>1643</v>
      </c>
      <c r="N821" s="8">
        <f t="shared" si="87"/>
        <v>58</v>
      </c>
      <c r="O821" s="7">
        <v>6529</v>
      </c>
      <c r="P821" s="6">
        <f t="shared" si="88"/>
        <v>268</v>
      </c>
      <c r="Q821" s="9"/>
      <c r="R821" s="6">
        <f t="shared" si="89"/>
        <v>0</v>
      </c>
      <c r="S821" s="10" t="s">
        <v>1</v>
      </c>
      <c r="T821" s="2" t="s">
        <v>1028</v>
      </c>
    </row>
    <row r="822" spans="1:20" ht="37.5" customHeight="1" x14ac:dyDescent="0.25">
      <c r="A822" s="2" t="s">
        <v>1029</v>
      </c>
      <c r="B822">
        <f t="shared" si="84"/>
        <v>15928</v>
      </c>
      <c r="C822">
        <v>3368</v>
      </c>
      <c r="D822">
        <v>12560</v>
      </c>
      <c r="E822">
        <v>21526</v>
      </c>
      <c r="F822">
        <f t="shared" si="85"/>
        <v>103</v>
      </c>
      <c r="G822" s="3">
        <f t="shared" si="90"/>
        <v>822</v>
      </c>
      <c r="H822" s="4"/>
      <c r="I822" s="5">
        <v>644</v>
      </c>
      <c r="J822" s="6"/>
      <c r="K822" s="7">
        <f>M822+O822</f>
        <v>15825</v>
      </c>
      <c r="L822" s="6">
        <f t="shared" si="86"/>
        <v>103</v>
      </c>
      <c r="M822" s="7">
        <v>3332</v>
      </c>
      <c r="N822" s="8">
        <f t="shared" si="87"/>
        <v>36</v>
      </c>
      <c r="O822" s="7">
        <v>12493</v>
      </c>
      <c r="P822" s="6">
        <f t="shared" si="88"/>
        <v>67</v>
      </c>
      <c r="Q822" s="9">
        <v>20367</v>
      </c>
      <c r="R822" s="6">
        <f t="shared" si="89"/>
        <v>1159</v>
      </c>
      <c r="S822" s="10" t="s">
        <v>1</v>
      </c>
      <c r="T822" s="2" t="s">
        <v>1029</v>
      </c>
    </row>
    <row r="823" spans="1:20" ht="37.5" customHeight="1" x14ac:dyDescent="0.25">
      <c r="A823" s="2" t="s">
        <v>1030</v>
      </c>
      <c r="B823">
        <f t="shared" si="84"/>
        <v>76688</v>
      </c>
      <c r="C823">
        <v>11838</v>
      </c>
      <c r="D823">
        <v>64850</v>
      </c>
      <c r="F823">
        <f t="shared" si="85"/>
        <v>24</v>
      </c>
      <c r="G823" s="3">
        <f t="shared" si="90"/>
        <v>823</v>
      </c>
      <c r="H823" s="4"/>
      <c r="I823" s="5">
        <v>645</v>
      </c>
      <c r="J823" s="6"/>
      <c r="K823" s="7">
        <v>76664</v>
      </c>
      <c r="L823" s="6">
        <f t="shared" si="86"/>
        <v>24</v>
      </c>
      <c r="M823" s="7">
        <v>11835</v>
      </c>
      <c r="N823" s="8">
        <f t="shared" si="87"/>
        <v>3</v>
      </c>
      <c r="O823" s="7">
        <v>64829</v>
      </c>
      <c r="P823" s="6">
        <f t="shared" si="88"/>
        <v>21</v>
      </c>
      <c r="Q823" s="9"/>
      <c r="R823" s="6">
        <f t="shared" si="89"/>
        <v>0</v>
      </c>
      <c r="S823" s="10" t="s">
        <v>1</v>
      </c>
      <c r="T823" s="2" t="s">
        <v>1030</v>
      </c>
    </row>
    <row r="824" spans="1:20" ht="37.5" customHeight="1" x14ac:dyDescent="0.25">
      <c r="A824" s="2" t="s">
        <v>1031</v>
      </c>
      <c r="B824">
        <f t="shared" si="84"/>
        <v>27690</v>
      </c>
      <c r="C824">
        <v>4031</v>
      </c>
      <c r="D824">
        <v>23659</v>
      </c>
      <c r="F824">
        <f t="shared" si="85"/>
        <v>184</v>
      </c>
      <c r="G824" s="3">
        <f t="shared" si="90"/>
        <v>824</v>
      </c>
      <c r="H824" s="4"/>
      <c r="I824" s="5">
        <v>646</v>
      </c>
      <c r="J824" s="6"/>
      <c r="K824" s="7">
        <v>27506</v>
      </c>
      <c r="L824" s="6">
        <f t="shared" si="86"/>
        <v>184</v>
      </c>
      <c r="M824" s="7">
        <v>4000</v>
      </c>
      <c r="N824" s="8">
        <f t="shared" si="87"/>
        <v>31</v>
      </c>
      <c r="O824" s="7">
        <v>23506</v>
      </c>
      <c r="P824" s="6">
        <f t="shared" si="88"/>
        <v>153</v>
      </c>
      <c r="Q824" s="9"/>
      <c r="R824" s="6">
        <f t="shared" si="89"/>
        <v>0</v>
      </c>
      <c r="S824" s="10" t="s">
        <v>1</v>
      </c>
      <c r="T824" s="2" t="s">
        <v>1031</v>
      </c>
    </row>
    <row r="825" spans="1:20" ht="37.5" customHeight="1" x14ac:dyDescent="0.25">
      <c r="A825" s="2" t="s">
        <v>1032</v>
      </c>
      <c r="B825">
        <f t="shared" si="84"/>
        <v>30419</v>
      </c>
      <c r="C825">
        <v>5403</v>
      </c>
      <c r="D825">
        <v>25016</v>
      </c>
      <c r="F825">
        <f t="shared" si="85"/>
        <v>43</v>
      </c>
      <c r="G825" s="3">
        <f t="shared" si="90"/>
        <v>825</v>
      </c>
      <c r="H825" s="4"/>
      <c r="I825" s="5">
        <v>647</v>
      </c>
      <c r="J825" s="6"/>
      <c r="K825" s="7">
        <v>30376</v>
      </c>
      <c r="L825" s="6">
        <f t="shared" si="86"/>
        <v>43</v>
      </c>
      <c r="M825" s="7">
        <v>5392</v>
      </c>
      <c r="N825" s="8">
        <f t="shared" si="87"/>
        <v>11</v>
      </c>
      <c r="O825" s="7">
        <v>24980</v>
      </c>
      <c r="P825" s="6">
        <f t="shared" si="88"/>
        <v>36</v>
      </c>
      <c r="Q825" s="9"/>
      <c r="R825" s="6">
        <f t="shared" si="89"/>
        <v>0</v>
      </c>
      <c r="S825" s="10" t="s">
        <v>1</v>
      </c>
      <c r="T825" s="2" t="s">
        <v>1032</v>
      </c>
    </row>
    <row r="826" spans="1:20" ht="37.5" customHeight="1" x14ac:dyDescent="0.25">
      <c r="A826" s="2" t="s">
        <v>1033</v>
      </c>
      <c r="B826">
        <f t="shared" si="84"/>
        <v>93393</v>
      </c>
      <c r="C826">
        <v>18071</v>
      </c>
      <c r="D826">
        <v>75322</v>
      </c>
      <c r="F826">
        <f t="shared" si="85"/>
        <v>3229</v>
      </c>
      <c r="G826" s="3">
        <f t="shared" si="90"/>
        <v>826</v>
      </c>
      <c r="H826" s="4"/>
      <c r="I826" s="5">
        <v>648</v>
      </c>
      <c r="J826" s="6"/>
      <c r="K826" s="7">
        <v>90164</v>
      </c>
      <c r="L826" s="6">
        <f t="shared" si="86"/>
        <v>3229</v>
      </c>
      <c r="M826" s="7">
        <v>17392</v>
      </c>
      <c r="N826" s="8">
        <f t="shared" si="87"/>
        <v>679</v>
      </c>
      <c r="O826" s="7">
        <v>72772</v>
      </c>
      <c r="P826" s="6">
        <f t="shared" si="88"/>
        <v>2550</v>
      </c>
      <c r="Q826" s="9"/>
      <c r="R826" s="6">
        <f t="shared" si="89"/>
        <v>0</v>
      </c>
      <c r="S826" s="10" t="s">
        <v>1</v>
      </c>
      <c r="T826" s="2" t="s">
        <v>1033</v>
      </c>
    </row>
    <row r="827" spans="1:20" ht="37.5" customHeight="1" x14ac:dyDescent="0.25">
      <c r="A827" s="2" t="s">
        <v>1034</v>
      </c>
      <c r="B827">
        <f t="shared" si="84"/>
        <v>47646</v>
      </c>
      <c r="C827">
        <v>9465</v>
      </c>
      <c r="D827">
        <v>38181</v>
      </c>
      <c r="F827">
        <f t="shared" si="85"/>
        <v>319</v>
      </c>
      <c r="G827" s="3">
        <f t="shared" si="90"/>
        <v>827</v>
      </c>
      <c r="H827" s="4"/>
      <c r="I827" s="5">
        <v>649</v>
      </c>
      <c r="J827" s="6"/>
      <c r="K827" s="7">
        <v>47327</v>
      </c>
      <c r="L827" s="6">
        <f t="shared" si="86"/>
        <v>319</v>
      </c>
      <c r="M827" s="7">
        <v>9406</v>
      </c>
      <c r="N827" s="8">
        <f t="shared" si="87"/>
        <v>59</v>
      </c>
      <c r="O827" s="7">
        <v>37921</v>
      </c>
      <c r="P827" s="6">
        <f t="shared" si="88"/>
        <v>260</v>
      </c>
      <c r="Q827" s="9"/>
      <c r="R827" s="6">
        <f t="shared" si="89"/>
        <v>0</v>
      </c>
      <c r="S827" s="10" t="s">
        <v>1</v>
      </c>
      <c r="T827" s="2" t="s">
        <v>1034</v>
      </c>
    </row>
    <row r="828" spans="1:20" ht="37.5" customHeight="1" x14ac:dyDescent="0.25">
      <c r="A828" s="2" t="s">
        <v>1035</v>
      </c>
      <c r="B828">
        <f t="shared" si="84"/>
        <v>5618</v>
      </c>
      <c r="C828">
        <v>896</v>
      </c>
      <c r="D828">
        <v>4722</v>
      </c>
      <c r="F828">
        <f t="shared" si="85"/>
        <v>110</v>
      </c>
      <c r="G828" s="3">
        <f t="shared" si="90"/>
        <v>828</v>
      </c>
      <c r="H828" s="4"/>
      <c r="I828" s="5">
        <v>650</v>
      </c>
      <c r="J828" s="6"/>
      <c r="K828" s="7">
        <v>5508</v>
      </c>
      <c r="L828" s="6">
        <f t="shared" si="86"/>
        <v>110</v>
      </c>
      <c r="M828" s="7">
        <v>881</v>
      </c>
      <c r="N828" s="8">
        <f t="shared" si="87"/>
        <v>15</v>
      </c>
      <c r="O828" s="7">
        <v>4627</v>
      </c>
      <c r="P828" s="6">
        <f t="shared" si="88"/>
        <v>95</v>
      </c>
      <c r="Q828" s="9"/>
      <c r="R828" s="6">
        <f t="shared" si="89"/>
        <v>0</v>
      </c>
      <c r="S828" s="10" t="s">
        <v>1</v>
      </c>
      <c r="T828" s="2" t="s">
        <v>1035</v>
      </c>
    </row>
    <row r="829" spans="1:20" ht="37.5" customHeight="1" x14ac:dyDescent="0.25">
      <c r="A829" s="2" t="s">
        <v>1036</v>
      </c>
      <c r="B829">
        <f t="shared" si="84"/>
        <v>43623</v>
      </c>
      <c r="C829">
        <v>7250</v>
      </c>
      <c r="D829">
        <v>36373</v>
      </c>
      <c r="F829">
        <f t="shared" si="85"/>
        <v>458</v>
      </c>
      <c r="G829" s="3">
        <f t="shared" si="90"/>
        <v>829</v>
      </c>
      <c r="H829" s="4"/>
      <c r="I829" s="5">
        <v>651</v>
      </c>
      <c r="J829" s="6"/>
      <c r="K829" s="7">
        <v>43165</v>
      </c>
      <c r="L829" s="6">
        <f t="shared" si="86"/>
        <v>458</v>
      </c>
      <c r="M829" s="7">
        <v>7171</v>
      </c>
      <c r="N829" s="8">
        <f t="shared" si="87"/>
        <v>79</v>
      </c>
      <c r="O829" s="7">
        <v>35994</v>
      </c>
      <c r="P829" s="6">
        <f t="shared" si="88"/>
        <v>379</v>
      </c>
      <c r="Q829" s="9"/>
      <c r="R829" s="6">
        <f t="shared" si="89"/>
        <v>0</v>
      </c>
      <c r="S829" s="10" t="s">
        <v>1</v>
      </c>
      <c r="T829" s="2" t="s">
        <v>1036</v>
      </c>
    </row>
    <row r="830" spans="1:20" ht="37.5" customHeight="1" x14ac:dyDescent="0.25">
      <c r="A830" s="2" t="s">
        <v>1037</v>
      </c>
      <c r="B830">
        <f t="shared" si="84"/>
        <v>111127</v>
      </c>
      <c r="C830">
        <v>18937</v>
      </c>
      <c r="D830">
        <v>92190</v>
      </c>
      <c r="F830">
        <f t="shared" si="85"/>
        <v>444</v>
      </c>
      <c r="G830" s="3">
        <f t="shared" si="90"/>
        <v>830</v>
      </c>
      <c r="H830" s="4"/>
      <c r="I830" s="5">
        <v>652</v>
      </c>
      <c r="J830" s="6"/>
      <c r="K830" s="7">
        <v>110683</v>
      </c>
      <c r="L830" s="6">
        <f t="shared" si="86"/>
        <v>444</v>
      </c>
      <c r="M830" s="7">
        <v>18880</v>
      </c>
      <c r="N830" s="8">
        <f t="shared" si="87"/>
        <v>57</v>
      </c>
      <c r="O830" s="7">
        <v>91803</v>
      </c>
      <c r="P830" s="6">
        <f t="shared" si="88"/>
        <v>387</v>
      </c>
      <c r="Q830" s="9"/>
      <c r="R830" s="6">
        <f t="shared" si="89"/>
        <v>0</v>
      </c>
      <c r="S830" s="10" t="s">
        <v>1</v>
      </c>
      <c r="T830" s="2" t="s">
        <v>1037</v>
      </c>
    </row>
    <row r="831" spans="1:20" ht="37.5" customHeight="1" x14ac:dyDescent="0.25">
      <c r="A831" s="2" t="s">
        <v>1038</v>
      </c>
      <c r="B831">
        <f t="shared" si="84"/>
        <v>16585</v>
      </c>
      <c r="C831">
        <v>3073</v>
      </c>
      <c r="D831">
        <v>13512</v>
      </c>
      <c r="F831">
        <f t="shared" si="85"/>
        <v>23</v>
      </c>
      <c r="G831" s="3">
        <f t="shared" si="90"/>
        <v>831</v>
      </c>
      <c r="H831" s="4"/>
      <c r="I831" s="5">
        <v>653</v>
      </c>
      <c r="J831" s="6"/>
      <c r="K831" s="7">
        <v>16562</v>
      </c>
      <c r="L831" s="6">
        <f t="shared" si="86"/>
        <v>23</v>
      </c>
      <c r="M831" s="7">
        <v>3043</v>
      </c>
      <c r="N831" s="8">
        <f t="shared" si="87"/>
        <v>30</v>
      </c>
      <c r="O831" s="7">
        <v>13393</v>
      </c>
      <c r="P831" s="6">
        <f t="shared" si="88"/>
        <v>119</v>
      </c>
      <c r="Q831" s="9"/>
      <c r="R831" s="6">
        <f t="shared" si="89"/>
        <v>0</v>
      </c>
      <c r="S831" s="10" t="s">
        <v>1</v>
      </c>
      <c r="T831" s="2" t="s">
        <v>1038</v>
      </c>
    </row>
    <row r="832" spans="1:20" ht="37.5" customHeight="1" x14ac:dyDescent="0.25">
      <c r="A832" s="2" t="s">
        <v>1039</v>
      </c>
      <c r="B832">
        <f t="shared" si="84"/>
        <v>3835</v>
      </c>
      <c r="C832">
        <v>730</v>
      </c>
      <c r="D832">
        <v>3105</v>
      </c>
      <c r="E832">
        <v>5850</v>
      </c>
      <c r="F832">
        <f t="shared" si="85"/>
        <v>202</v>
      </c>
      <c r="G832" s="3">
        <f t="shared" si="90"/>
        <v>832</v>
      </c>
      <c r="H832" s="4"/>
      <c r="I832" s="5" t="s">
        <v>1040</v>
      </c>
      <c r="J832" s="6"/>
      <c r="K832" s="7">
        <f>M832+O832</f>
        <v>3633</v>
      </c>
      <c r="L832" s="6">
        <f t="shared" si="86"/>
        <v>202</v>
      </c>
      <c r="M832" s="7">
        <v>670</v>
      </c>
      <c r="N832" s="8">
        <f t="shared" si="87"/>
        <v>60</v>
      </c>
      <c r="O832" s="7">
        <v>2963</v>
      </c>
      <c r="P832" s="6">
        <f t="shared" si="88"/>
        <v>142</v>
      </c>
      <c r="Q832" s="9">
        <v>4919</v>
      </c>
      <c r="R832" s="6">
        <f t="shared" si="89"/>
        <v>931</v>
      </c>
      <c r="S832" s="10" t="s">
        <v>1</v>
      </c>
      <c r="T832" s="2" t="s">
        <v>1039</v>
      </c>
    </row>
    <row r="833" spans="1:20" ht="37.5" customHeight="1" x14ac:dyDescent="0.25">
      <c r="A833" s="2" t="s">
        <v>1041</v>
      </c>
      <c r="B833">
        <f t="shared" si="84"/>
        <v>11457</v>
      </c>
      <c r="C833">
        <v>1571</v>
      </c>
      <c r="D833">
        <v>9886</v>
      </c>
      <c r="F833">
        <f t="shared" si="85"/>
        <v>96</v>
      </c>
      <c r="G833" s="3">
        <f t="shared" si="90"/>
        <v>833</v>
      </c>
      <c r="H833" s="4"/>
      <c r="I833" s="5" t="s">
        <v>1042</v>
      </c>
      <c r="J833" s="6"/>
      <c r="K833" s="7">
        <v>11361</v>
      </c>
      <c r="L833" s="6">
        <f t="shared" si="86"/>
        <v>96</v>
      </c>
      <c r="M833" s="7">
        <v>1561</v>
      </c>
      <c r="N833" s="8">
        <f t="shared" si="87"/>
        <v>10</v>
      </c>
      <c r="O833" s="7">
        <v>9800</v>
      </c>
      <c r="P833" s="6">
        <f t="shared" si="88"/>
        <v>86</v>
      </c>
      <c r="Q833" s="9"/>
      <c r="R833" s="6">
        <f t="shared" si="89"/>
        <v>0</v>
      </c>
      <c r="S833" s="10" t="s">
        <v>1</v>
      </c>
      <c r="T833" s="2" t="s">
        <v>1041</v>
      </c>
    </row>
    <row r="834" spans="1:20" ht="37.5" customHeight="1" x14ac:dyDescent="0.25">
      <c r="A834" s="2" t="s">
        <v>1043</v>
      </c>
      <c r="B834">
        <f t="shared" ref="B834:B897" si="91">C834+D834</f>
        <v>4055</v>
      </c>
      <c r="C834">
        <v>805</v>
      </c>
      <c r="D834">
        <v>3250</v>
      </c>
      <c r="F834">
        <f t="shared" ref="F834:F897" si="92">L834</f>
        <v>144</v>
      </c>
      <c r="G834" s="3">
        <f t="shared" si="90"/>
        <v>834</v>
      </c>
      <c r="H834" s="4"/>
      <c r="I834" s="5" t="s">
        <v>1044</v>
      </c>
      <c r="J834" s="6"/>
      <c r="K834" s="7">
        <v>3911</v>
      </c>
      <c r="L834" s="6">
        <f t="shared" ref="L834:L897" si="93">B834-K834</f>
        <v>144</v>
      </c>
      <c r="M834" s="7">
        <v>771</v>
      </c>
      <c r="N834" s="8">
        <f t="shared" ref="N834:N897" si="94">C834-M834</f>
        <v>34</v>
      </c>
      <c r="O834" s="7">
        <v>3140</v>
      </c>
      <c r="P834" s="6">
        <f t="shared" ref="P834:P897" si="95">D834-O834</f>
        <v>110</v>
      </c>
      <c r="Q834" s="9"/>
      <c r="R834" s="6">
        <f t="shared" ref="R834:R897" si="96">E834-Q834</f>
        <v>0</v>
      </c>
      <c r="S834" s="10" t="s">
        <v>1</v>
      </c>
      <c r="T834" s="2" t="s">
        <v>1043</v>
      </c>
    </row>
    <row r="835" spans="1:20" ht="37.5" customHeight="1" x14ac:dyDescent="0.25">
      <c r="A835" s="2" t="s">
        <v>1045</v>
      </c>
      <c r="B835">
        <f t="shared" si="91"/>
        <v>73240</v>
      </c>
      <c r="C835">
        <v>17221</v>
      </c>
      <c r="D835">
        <v>56019</v>
      </c>
      <c r="F835">
        <f t="shared" si="92"/>
        <v>266</v>
      </c>
      <c r="G835" s="3">
        <f t="shared" ref="G835:G898" si="97">G834+1</f>
        <v>835</v>
      </c>
      <c r="H835" s="4"/>
      <c r="I835" s="5" t="s">
        <v>1046</v>
      </c>
      <c r="J835" s="6"/>
      <c r="K835" s="7">
        <v>72974</v>
      </c>
      <c r="L835" s="6">
        <f t="shared" si="93"/>
        <v>266</v>
      </c>
      <c r="M835" s="7">
        <v>17173</v>
      </c>
      <c r="N835" s="8">
        <f t="shared" si="94"/>
        <v>48</v>
      </c>
      <c r="O835" s="7">
        <v>55801</v>
      </c>
      <c r="P835" s="6">
        <f t="shared" si="95"/>
        <v>218</v>
      </c>
      <c r="Q835" s="9"/>
      <c r="R835" s="6">
        <f t="shared" si="96"/>
        <v>0</v>
      </c>
      <c r="S835" s="10" t="s">
        <v>1</v>
      </c>
      <c r="T835" s="2" t="s">
        <v>1045</v>
      </c>
    </row>
    <row r="836" spans="1:20" ht="37.5" customHeight="1" x14ac:dyDescent="0.25">
      <c r="A836" s="2" t="s">
        <v>1047</v>
      </c>
      <c r="B836">
        <f t="shared" si="91"/>
        <v>27334</v>
      </c>
      <c r="C836">
        <v>5208</v>
      </c>
      <c r="D836">
        <v>22126</v>
      </c>
      <c r="F836">
        <f t="shared" si="92"/>
        <v>229</v>
      </c>
      <c r="G836" s="3">
        <f t="shared" si="97"/>
        <v>836</v>
      </c>
      <c r="H836" s="4"/>
      <c r="I836" s="5" t="s">
        <v>1048</v>
      </c>
      <c r="J836" s="6"/>
      <c r="K836" s="7">
        <v>27105</v>
      </c>
      <c r="L836" s="6">
        <f t="shared" si="93"/>
        <v>229</v>
      </c>
      <c r="M836" s="7">
        <v>5152</v>
      </c>
      <c r="N836" s="8">
        <f t="shared" si="94"/>
        <v>56</v>
      </c>
      <c r="O836" s="7">
        <v>21953</v>
      </c>
      <c r="P836" s="6">
        <f t="shared" si="95"/>
        <v>173</v>
      </c>
      <c r="Q836" s="9"/>
      <c r="R836" s="6">
        <f t="shared" si="96"/>
        <v>0</v>
      </c>
      <c r="S836" s="10" t="s">
        <v>1</v>
      </c>
      <c r="T836" s="2" t="s">
        <v>1047</v>
      </c>
    </row>
    <row r="837" spans="1:20" ht="37.5" customHeight="1" x14ac:dyDescent="0.25">
      <c r="A837" s="2" t="s">
        <v>1049</v>
      </c>
      <c r="B837">
        <f t="shared" si="91"/>
        <v>19897</v>
      </c>
      <c r="C837">
        <v>3218</v>
      </c>
      <c r="D837">
        <v>16679</v>
      </c>
      <c r="F837">
        <f t="shared" si="92"/>
        <v>206</v>
      </c>
      <c r="G837" s="3">
        <f t="shared" si="97"/>
        <v>837</v>
      </c>
      <c r="H837" s="4"/>
      <c r="I837" s="5" t="s">
        <v>1050</v>
      </c>
      <c r="J837" s="6"/>
      <c r="K837" s="7">
        <v>19691</v>
      </c>
      <c r="L837" s="6">
        <f t="shared" si="93"/>
        <v>206</v>
      </c>
      <c r="M837" s="7">
        <v>3177</v>
      </c>
      <c r="N837" s="8">
        <f t="shared" si="94"/>
        <v>41</v>
      </c>
      <c r="O837" s="7">
        <v>16514</v>
      </c>
      <c r="P837" s="6">
        <f t="shared" si="95"/>
        <v>165</v>
      </c>
      <c r="Q837" s="9"/>
      <c r="R837" s="6">
        <f t="shared" si="96"/>
        <v>0</v>
      </c>
      <c r="S837" s="10" t="s">
        <v>1</v>
      </c>
      <c r="T837" s="2" t="s">
        <v>1049</v>
      </c>
    </row>
    <row r="838" spans="1:20" ht="37.5" customHeight="1" x14ac:dyDescent="0.25">
      <c r="A838" s="2" t="s">
        <v>1051</v>
      </c>
      <c r="B838">
        <f t="shared" si="91"/>
        <v>1118</v>
      </c>
      <c r="C838">
        <v>288</v>
      </c>
      <c r="D838">
        <v>830</v>
      </c>
      <c r="E838">
        <v>3258</v>
      </c>
      <c r="F838">
        <f t="shared" si="92"/>
        <v>141</v>
      </c>
      <c r="G838" s="3">
        <f t="shared" si="97"/>
        <v>838</v>
      </c>
      <c r="H838" s="4"/>
      <c r="I838" s="5">
        <v>657</v>
      </c>
      <c r="J838" s="6"/>
      <c r="K838" s="7">
        <f>M838+O838</f>
        <v>977</v>
      </c>
      <c r="L838" s="6">
        <f t="shared" si="93"/>
        <v>141</v>
      </c>
      <c r="M838" s="7">
        <v>227</v>
      </c>
      <c r="N838" s="8">
        <f t="shared" si="94"/>
        <v>61</v>
      </c>
      <c r="O838" s="7">
        <v>750</v>
      </c>
      <c r="P838" s="6">
        <f t="shared" si="95"/>
        <v>80</v>
      </c>
      <c r="Q838" s="9">
        <v>2198</v>
      </c>
      <c r="R838" s="6">
        <f t="shared" si="96"/>
        <v>1060</v>
      </c>
      <c r="S838" s="10" t="s">
        <v>1</v>
      </c>
      <c r="T838" s="2" t="s">
        <v>1051</v>
      </c>
    </row>
    <row r="839" spans="1:20" ht="37.5" customHeight="1" x14ac:dyDescent="0.25">
      <c r="A839" s="2" t="s">
        <v>1052</v>
      </c>
      <c r="B839">
        <f t="shared" si="91"/>
        <v>45660</v>
      </c>
      <c r="C839">
        <v>8760</v>
      </c>
      <c r="D839">
        <v>36900</v>
      </c>
      <c r="F839">
        <f t="shared" si="92"/>
        <v>16</v>
      </c>
      <c r="G839" s="3">
        <f t="shared" si="97"/>
        <v>839</v>
      </c>
      <c r="H839" s="4"/>
      <c r="I839" s="5">
        <v>658</v>
      </c>
      <c r="J839" s="6"/>
      <c r="K839" s="7">
        <v>45644</v>
      </c>
      <c r="L839" s="6">
        <f t="shared" si="93"/>
        <v>16</v>
      </c>
      <c r="M839" s="7">
        <v>8753</v>
      </c>
      <c r="N839" s="8">
        <f t="shared" si="94"/>
        <v>7</v>
      </c>
      <c r="O839" s="7">
        <v>36891</v>
      </c>
      <c r="P839" s="6">
        <f t="shared" si="95"/>
        <v>9</v>
      </c>
      <c r="Q839" s="9"/>
      <c r="R839" s="6">
        <f t="shared" si="96"/>
        <v>0</v>
      </c>
      <c r="S839" s="10" t="s">
        <v>1</v>
      </c>
      <c r="T839" s="2" t="s">
        <v>1052</v>
      </c>
    </row>
    <row r="840" spans="1:20" ht="37.5" customHeight="1" x14ac:dyDescent="0.25">
      <c r="A840" s="2" t="s">
        <v>1053</v>
      </c>
      <c r="B840">
        <f t="shared" si="91"/>
        <v>141493</v>
      </c>
      <c r="C840">
        <v>22490</v>
      </c>
      <c r="D840">
        <v>119003</v>
      </c>
      <c r="F840">
        <f t="shared" si="92"/>
        <v>545</v>
      </c>
      <c r="G840" s="3">
        <f t="shared" si="97"/>
        <v>840</v>
      </c>
      <c r="H840" s="4"/>
      <c r="I840" s="5">
        <v>659</v>
      </c>
      <c r="J840" s="6"/>
      <c r="K840" s="7">
        <v>140948</v>
      </c>
      <c r="L840" s="6">
        <f t="shared" si="93"/>
        <v>545</v>
      </c>
      <c r="M840" s="7">
        <v>22420</v>
      </c>
      <c r="N840" s="8">
        <f t="shared" si="94"/>
        <v>70</v>
      </c>
      <c r="O840" s="7">
        <v>118528</v>
      </c>
      <c r="P840" s="6">
        <f t="shared" si="95"/>
        <v>475</v>
      </c>
      <c r="Q840" s="9"/>
      <c r="R840" s="6">
        <f t="shared" si="96"/>
        <v>0</v>
      </c>
      <c r="S840" s="10" t="s">
        <v>1</v>
      </c>
      <c r="T840" s="2" t="s">
        <v>1053</v>
      </c>
    </row>
    <row r="841" spans="1:20" ht="37.5" customHeight="1" x14ac:dyDescent="0.25">
      <c r="A841" s="2" t="s">
        <v>1054</v>
      </c>
      <c r="B841">
        <f t="shared" si="91"/>
        <v>93014</v>
      </c>
      <c r="C841">
        <v>14435</v>
      </c>
      <c r="D841">
        <v>78579</v>
      </c>
      <c r="F841">
        <f t="shared" si="92"/>
        <v>131</v>
      </c>
      <c r="G841" s="3">
        <f t="shared" si="97"/>
        <v>841</v>
      </c>
      <c r="H841" s="4"/>
      <c r="I841" s="5">
        <v>660</v>
      </c>
      <c r="J841" s="6"/>
      <c r="K841" s="7">
        <v>92883</v>
      </c>
      <c r="L841" s="6">
        <f t="shared" si="93"/>
        <v>131</v>
      </c>
      <c r="M841" s="7">
        <v>14413</v>
      </c>
      <c r="N841" s="8">
        <f t="shared" si="94"/>
        <v>22</v>
      </c>
      <c r="O841" s="7">
        <v>78470</v>
      </c>
      <c r="P841" s="6">
        <f t="shared" si="95"/>
        <v>109</v>
      </c>
      <c r="Q841" s="9"/>
      <c r="R841" s="6">
        <f t="shared" si="96"/>
        <v>0</v>
      </c>
      <c r="S841" s="10" t="s">
        <v>1</v>
      </c>
      <c r="T841" s="2" t="s">
        <v>1054</v>
      </c>
    </row>
    <row r="842" spans="1:20" ht="37.5" customHeight="1" x14ac:dyDescent="0.25">
      <c r="A842" s="2" t="s">
        <v>1055</v>
      </c>
      <c r="B842">
        <f t="shared" si="91"/>
        <v>4768</v>
      </c>
      <c r="C842">
        <v>981</v>
      </c>
      <c r="D842">
        <v>3787</v>
      </c>
      <c r="E842">
        <v>7167</v>
      </c>
      <c r="F842">
        <f t="shared" si="92"/>
        <v>239</v>
      </c>
      <c r="G842" s="3">
        <f t="shared" si="97"/>
        <v>842</v>
      </c>
      <c r="H842" s="4"/>
      <c r="I842" s="5">
        <v>661</v>
      </c>
      <c r="J842" s="6"/>
      <c r="K842" s="7">
        <f>M842+O842</f>
        <v>4529</v>
      </c>
      <c r="L842" s="6">
        <f t="shared" si="93"/>
        <v>239</v>
      </c>
      <c r="M842" s="7">
        <v>932</v>
      </c>
      <c r="N842" s="8">
        <f t="shared" si="94"/>
        <v>49</v>
      </c>
      <c r="O842" s="7">
        <v>3597</v>
      </c>
      <c r="P842" s="6">
        <f t="shared" si="95"/>
        <v>190</v>
      </c>
      <c r="Q842" s="9">
        <v>6532</v>
      </c>
      <c r="R842" s="6">
        <f t="shared" si="96"/>
        <v>635</v>
      </c>
      <c r="S842" s="10" t="s">
        <v>1</v>
      </c>
      <c r="T842" s="2" t="s">
        <v>1055</v>
      </c>
    </row>
    <row r="843" spans="1:20" ht="37.5" customHeight="1" x14ac:dyDescent="0.25">
      <c r="A843" s="2" t="s">
        <v>1056</v>
      </c>
      <c r="B843">
        <f t="shared" si="91"/>
        <v>2902</v>
      </c>
      <c r="C843">
        <v>572</v>
      </c>
      <c r="D843">
        <v>2330</v>
      </c>
      <c r="E843">
        <v>3052</v>
      </c>
      <c r="F843">
        <f t="shared" si="92"/>
        <v>426</v>
      </c>
      <c r="G843" s="3">
        <f t="shared" si="97"/>
        <v>843</v>
      </c>
      <c r="H843" s="4"/>
      <c r="I843" s="5">
        <v>662</v>
      </c>
      <c r="J843" s="6"/>
      <c r="K843" s="7">
        <f>M843+O843</f>
        <v>2476</v>
      </c>
      <c r="L843" s="6">
        <f t="shared" si="93"/>
        <v>426</v>
      </c>
      <c r="M843" s="7">
        <v>467</v>
      </c>
      <c r="N843" s="8">
        <f t="shared" si="94"/>
        <v>105</v>
      </c>
      <c r="O843" s="7">
        <v>2009</v>
      </c>
      <c r="P843" s="6">
        <f t="shared" si="95"/>
        <v>321</v>
      </c>
      <c r="Q843" s="9">
        <v>2368</v>
      </c>
      <c r="R843" s="6">
        <f t="shared" si="96"/>
        <v>684</v>
      </c>
      <c r="S843" s="10" t="s">
        <v>1</v>
      </c>
      <c r="T843" s="2" t="s">
        <v>1056</v>
      </c>
    </row>
    <row r="844" spans="1:20" ht="37.5" customHeight="1" x14ac:dyDescent="0.25">
      <c r="A844" s="2" t="s">
        <v>1057</v>
      </c>
      <c r="B844">
        <f t="shared" si="91"/>
        <v>24954</v>
      </c>
      <c r="C844">
        <v>4220</v>
      </c>
      <c r="D844">
        <v>20734</v>
      </c>
      <c r="F844">
        <f t="shared" si="92"/>
        <v>410</v>
      </c>
      <c r="G844" s="3">
        <f t="shared" si="97"/>
        <v>844</v>
      </c>
      <c r="H844" s="4"/>
      <c r="I844" s="5">
        <v>663</v>
      </c>
      <c r="J844" s="6"/>
      <c r="K844" s="7">
        <v>24544</v>
      </c>
      <c r="L844" s="6">
        <f t="shared" si="93"/>
        <v>410</v>
      </c>
      <c r="M844" s="7">
        <v>4148</v>
      </c>
      <c r="N844" s="8">
        <f t="shared" si="94"/>
        <v>72</v>
      </c>
      <c r="O844" s="7">
        <v>20396</v>
      </c>
      <c r="P844" s="6">
        <f t="shared" si="95"/>
        <v>338</v>
      </c>
      <c r="Q844" s="9"/>
      <c r="R844" s="6">
        <f t="shared" si="96"/>
        <v>0</v>
      </c>
      <c r="S844" s="10" t="s">
        <v>1</v>
      </c>
      <c r="T844" s="2" t="s">
        <v>1057</v>
      </c>
    </row>
    <row r="845" spans="1:20" ht="37.5" customHeight="1" x14ac:dyDescent="0.25">
      <c r="A845" s="2" t="s">
        <v>1058</v>
      </c>
      <c r="B845">
        <f t="shared" si="91"/>
        <v>17640</v>
      </c>
      <c r="C845">
        <v>2835</v>
      </c>
      <c r="D845">
        <v>14805</v>
      </c>
      <c r="F845">
        <f t="shared" si="92"/>
        <v>495</v>
      </c>
      <c r="G845" s="3">
        <f t="shared" si="97"/>
        <v>845</v>
      </c>
      <c r="H845" s="4"/>
      <c r="I845" s="5">
        <v>664</v>
      </c>
      <c r="J845" s="6"/>
      <c r="K845" s="7">
        <v>17145</v>
      </c>
      <c r="L845" s="6">
        <f t="shared" si="93"/>
        <v>495</v>
      </c>
      <c r="M845" s="7">
        <v>2765</v>
      </c>
      <c r="N845" s="8">
        <f t="shared" si="94"/>
        <v>70</v>
      </c>
      <c r="O845" s="7">
        <v>14380</v>
      </c>
      <c r="P845" s="6">
        <f t="shared" si="95"/>
        <v>425</v>
      </c>
      <c r="Q845" s="9"/>
      <c r="R845" s="6">
        <f t="shared" si="96"/>
        <v>0</v>
      </c>
      <c r="S845" s="10" t="s">
        <v>1</v>
      </c>
      <c r="T845" s="2" t="s">
        <v>1058</v>
      </c>
    </row>
    <row r="846" spans="1:20" ht="37.5" customHeight="1" x14ac:dyDescent="0.25">
      <c r="A846" s="2" t="s">
        <v>1059</v>
      </c>
      <c r="B846">
        <f t="shared" si="91"/>
        <v>59123</v>
      </c>
      <c r="C846">
        <v>16032</v>
      </c>
      <c r="D846">
        <v>43091</v>
      </c>
      <c r="F846">
        <f t="shared" si="92"/>
        <v>346</v>
      </c>
      <c r="G846" s="3">
        <f t="shared" si="97"/>
        <v>846</v>
      </c>
      <c r="H846" s="4"/>
      <c r="I846" s="5">
        <v>666</v>
      </c>
      <c r="J846" s="6"/>
      <c r="K846" s="7">
        <v>58777</v>
      </c>
      <c r="L846" s="6">
        <f t="shared" si="93"/>
        <v>346</v>
      </c>
      <c r="M846" s="7">
        <v>15969</v>
      </c>
      <c r="N846" s="8">
        <f t="shared" si="94"/>
        <v>63</v>
      </c>
      <c r="O846" s="7">
        <v>42808</v>
      </c>
      <c r="P846" s="6">
        <f t="shared" si="95"/>
        <v>283</v>
      </c>
      <c r="Q846" s="9"/>
      <c r="R846" s="6">
        <f t="shared" si="96"/>
        <v>0</v>
      </c>
      <c r="S846" s="10" t="s">
        <v>1</v>
      </c>
      <c r="T846" s="2" t="s">
        <v>1059</v>
      </c>
    </row>
    <row r="847" spans="1:20" ht="37.5" customHeight="1" x14ac:dyDescent="0.25">
      <c r="A847" s="2" t="s">
        <v>1060</v>
      </c>
      <c r="B847">
        <f t="shared" si="91"/>
        <v>33714</v>
      </c>
      <c r="C847">
        <v>5628</v>
      </c>
      <c r="D847">
        <v>28086</v>
      </c>
      <c r="F847">
        <f t="shared" si="92"/>
        <v>455</v>
      </c>
      <c r="G847" s="3">
        <f t="shared" si="97"/>
        <v>847</v>
      </c>
      <c r="H847" s="4"/>
      <c r="I847" s="5">
        <v>667</v>
      </c>
      <c r="J847" s="6"/>
      <c r="K847" s="7">
        <v>33259</v>
      </c>
      <c r="L847" s="6">
        <f t="shared" si="93"/>
        <v>455</v>
      </c>
      <c r="M847" s="7">
        <v>5553</v>
      </c>
      <c r="N847" s="8">
        <f t="shared" si="94"/>
        <v>75</v>
      </c>
      <c r="O847" s="7">
        <v>27706</v>
      </c>
      <c r="P847" s="6">
        <f t="shared" si="95"/>
        <v>380</v>
      </c>
      <c r="Q847" s="9"/>
      <c r="R847" s="6">
        <f t="shared" si="96"/>
        <v>0</v>
      </c>
      <c r="S847" s="10" t="s">
        <v>1</v>
      </c>
      <c r="T847" s="2" t="s">
        <v>1060</v>
      </c>
    </row>
    <row r="848" spans="1:20" ht="37.5" customHeight="1" x14ac:dyDescent="0.25">
      <c r="A848" s="2" t="s">
        <v>1061</v>
      </c>
      <c r="B848">
        <f t="shared" si="91"/>
        <v>44749</v>
      </c>
      <c r="C848">
        <v>7880</v>
      </c>
      <c r="D848">
        <v>36869</v>
      </c>
      <c r="F848">
        <f t="shared" si="92"/>
        <v>984</v>
      </c>
      <c r="G848" s="3">
        <f t="shared" si="97"/>
        <v>848</v>
      </c>
      <c r="H848" s="4"/>
      <c r="I848" s="5">
        <v>668</v>
      </c>
      <c r="J848" s="6"/>
      <c r="K848" s="7">
        <v>43765</v>
      </c>
      <c r="L848" s="6">
        <f t="shared" si="93"/>
        <v>984</v>
      </c>
      <c r="M848" s="7">
        <v>7702</v>
      </c>
      <c r="N848" s="8">
        <f t="shared" si="94"/>
        <v>178</v>
      </c>
      <c r="O848" s="7">
        <v>36063</v>
      </c>
      <c r="P848" s="6">
        <f t="shared" si="95"/>
        <v>806</v>
      </c>
      <c r="Q848" s="9"/>
      <c r="R848" s="6">
        <f t="shared" si="96"/>
        <v>0</v>
      </c>
      <c r="S848" s="10" t="s">
        <v>1</v>
      </c>
      <c r="T848" s="2" t="s">
        <v>1061</v>
      </c>
    </row>
    <row r="849" spans="1:20" ht="37.5" customHeight="1" x14ac:dyDescent="0.25">
      <c r="A849" s="2" t="s">
        <v>1062</v>
      </c>
      <c r="B849">
        <f t="shared" si="91"/>
        <v>15981</v>
      </c>
      <c r="C849">
        <v>3590</v>
      </c>
      <c r="D849">
        <v>12391</v>
      </c>
      <c r="E849">
        <v>8729</v>
      </c>
      <c r="F849">
        <f t="shared" si="92"/>
        <v>625</v>
      </c>
      <c r="G849" s="3">
        <f t="shared" si="97"/>
        <v>849</v>
      </c>
      <c r="H849" s="4"/>
      <c r="I849" s="5">
        <v>669</v>
      </c>
      <c r="J849" s="6"/>
      <c r="K849" s="7">
        <f>M849+O849</f>
        <v>15356</v>
      </c>
      <c r="L849" s="6">
        <f t="shared" si="93"/>
        <v>625</v>
      </c>
      <c r="M849" s="7">
        <v>3430</v>
      </c>
      <c r="N849" s="8">
        <f t="shared" si="94"/>
        <v>160</v>
      </c>
      <c r="O849" s="7">
        <v>11926</v>
      </c>
      <c r="P849" s="6">
        <f t="shared" si="95"/>
        <v>465</v>
      </c>
      <c r="Q849" s="9">
        <v>8098</v>
      </c>
      <c r="R849" s="6">
        <f t="shared" si="96"/>
        <v>631</v>
      </c>
      <c r="S849" s="10" t="s">
        <v>1</v>
      </c>
      <c r="T849" s="2" t="s">
        <v>1062</v>
      </c>
    </row>
    <row r="850" spans="1:20" ht="37.5" customHeight="1" x14ac:dyDescent="0.25">
      <c r="A850" s="2" t="s">
        <v>1063</v>
      </c>
      <c r="B850">
        <f t="shared" si="91"/>
        <v>4577</v>
      </c>
      <c r="C850">
        <v>1052</v>
      </c>
      <c r="D850">
        <v>3525</v>
      </c>
      <c r="E850">
        <v>3028</v>
      </c>
      <c r="F850">
        <f t="shared" si="92"/>
        <v>723</v>
      </c>
      <c r="G850" s="3">
        <f t="shared" si="97"/>
        <v>850</v>
      </c>
      <c r="H850" s="4"/>
      <c r="I850" s="5">
        <v>670</v>
      </c>
      <c r="J850" s="6"/>
      <c r="K850" s="7">
        <f>M850+O850</f>
        <v>3854</v>
      </c>
      <c r="L850" s="6">
        <f t="shared" si="93"/>
        <v>723</v>
      </c>
      <c r="M850" s="7">
        <v>873</v>
      </c>
      <c r="N850" s="8">
        <f t="shared" si="94"/>
        <v>179</v>
      </c>
      <c r="O850" s="7">
        <v>2981</v>
      </c>
      <c r="P850" s="6">
        <f t="shared" si="95"/>
        <v>544</v>
      </c>
      <c r="Q850" s="9">
        <v>2103</v>
      </c>
      <c r="R850" s="6">
        <f t="shared" si="96"/>
        <v>925</v>
      </c>
      <c r="S850" s="10" t="s">
        <v>1</v>
      </c>
      <c r="T850" s="2" t="s">
        <v>1063</v>
      </c>
    </row>
    <row r="851" spans="1:20" ht="37.5" customHeight="1" x14ac:dyDescent="0.25">
      <c r="A851" s="2" t="s">
        <v>1064</v>
      </c>
      <c r="B851">
        <f t="shared" si="91"/>
        <v>8200</v>
      </c>
      <c r="C851">
        <v>1396</v>
      </c>
      <c r="D851">
        <v>6804</v>
      </c>
      <c r="F851">
        <f t="shared" si="92"/>
        <v>3</v>
      </c>
      <c r="G851" s="3">
        <f t="shared" si="97"/>
        <v>851</v>
      </c>
      <c r="H851" s="4"/>
      <c r="I851" s="5">
        <v>671</v>
      </c>
      <c r="J851" s="6"/>
      <c r="K851" s="7">
        <v>8197</v>
      </c>
      <c r="L851" s="6">
        <f t="shared" si="93"/>
        <v>3</v>
      </c>
      <c r="M851" s="7">
        <v>1396</v>
      </c>
      <c r="N851" s="8">
        <f t="shared" si="94"/>
        <v>0</v>
      </c>
      <c r="O851" s="7">
        <v>6801</v>
      </c>
      <c r="P851" s="6">
        <f t="shared" si="95"/>
        <v>3</v>
      </c>
      <c r="Q851" s="9"/>
      <c r="R851" s="6">
        <f t="shared" si="96"/>
        <v>0</v>
      </c>
      <c r="S851" s="10" t="s">
        <v>1</v>
      </c>
      <c r="T851" s="2" t="s">
        <v>1064</v>
      </c>
    </row>
    <row r="852" spans="1:20" ht="37.5" customHeight="1" x14ac:dyDescent="0.25">
      <c r="A852" s="2" t="s">
        <v>1065</v>
      </c>
      <c r="B852">
        <f t="shared" si="91"/>
        <v>78740</v>
      </c>
      <c r="C852">
        <v>13268</v>
      </c>
      <c r="D852">
        <v>65472</v>
      </c>
      <c r="F852">
        <f t="shared" si="92"/>
        <v>250</v>
      </c>
      <c r="G852" s="3">
        <f t="shared" si="97"/>
        <v>852</v>
      </c>
      <c r="H852" s="4"/>
      <c r="I852" s="5">
        <v>672</v>
      </c>
      <c r="J852" s="6"/>
      <c r="K852" s="7">
        <v>78490</v>
      </c>
      <c r="L852" s="6">
        <f t="shared" si="93"/>
        <v>250</v>
      </c>
      <c r="M852" s="7">
        <v>13228</v>
      </c>
      <c r="N852" s="8">
        <f t="shared" si="94"/>
        <v>40</v>
      </c>
      <c r="O852" s="7">
        <v>65262</v>
      </c>
      <c r="P852" s="6">
        <f t="shared" si="95"/>
        <v>210</v>
      </c>
      <c r="Q852" s="9"/>
      <c r="R852" s="6">
        <f t="shared" si="96"/>
        <v>0</v>
      </c>
      <c r="S852" s="10" t="s">
        <v>1</v>
      </c>
      <c r="T852" s="2" t="s">
        <v>1065</v>
      </c>
    </row>
    <row r="853" spans="1:20" ht="37.5" customHeight="1" x14ac:dyDescent="0.25">
      <c r="A853" s="2" t="s">
        <v>1066</v>
      </c>
      <c r="B853">
        <f t="shared" si="91"/>
        <v>720</v>
      </c>
      <c r="C853">
        <v>240</v>
      </c>
      <c r="D853">
        <v>480</v>
      </c>
      <c r="E853">
        <v>3085</v>
      </c>
      <c r="F853">
        <f t="shared" si="92"/>
        <v>456</v>
      </c>
      <c r="G853" s="3">
        <f t="shared" si="97"/>
        <v>853</v>
      </c>
      <c r="H853" s="4"/>
      <c r="I853" s="5">
        <v>673</v>
      </c>
      <c r="J853" s="6"/>
      <c r="K853" s="7">
        <f>M853+O853</f>
        <v>264</v>
      </c>
      <c r="L853" s="6">
        <f t="shared" si="93"/>
        <v>456</v>
      </c>
      <c r="M853" s="7">
        <v>104</v>
      </c>
      <c r="N853" s="8">
        <f t="shared" si="94"/>
        <v>136</v>
      </c>
      <c r="O853" s="7">
        <v>160</v>
      </c>
      <c r="P853" s="6">
        <f t="shared" si="95"/>
        <v>320</v>
      </c>
      <c r="Q853" s="9">
        <v>2257</v>
      </c>
      <c r="R853" s="6">
        <f t="shared" si="96"/>
        <v>828</v>
      </c>
      <c r="S853" s="10" t="s">
        <v>1</v>
      </c>
      <c r="T853" s="2" t="s">
        <v>1066</v>
      </c>
    </row>
    <row r="854" spans="1:20" ht="37.5" customHeight="1" x14ac:dyDescent="0.25">
      <c r="A854" s="2" t="s">
        <v>1067</v>
      </c>
      <c r="B854">
        <f t="shared" si="91"/>
        <v>24290</v>
      </c>
      <c r="C854">
        <v>4341</v>
      </c>
      <c r="D854">
        <v>19949</v>
      </c>
      <c r="F854">
        <f t="shared" si="92"/>
        <v>292</v>
      </c>
      <c r="G854" s="3">
        <f t="shared" si="97"/>
        <v>854</v>
      </c>
      <c r="H854" s="4"/>
      <c r="I854" s="5">
        <v>674</v>
      </c>
      <c r="J854" s="6"/>
      <c r="K854" s="7">
        <v>23998</v>
      </c>
      <c r="L854" s="6">
        <f t="shared" si="93"/>
        <v>292</v>
      </c>
      <c r="M854" s="7">
        <v>4300</v>
      </c>
      <c r="N854" s="8">
        <f t="shared" si="94"/>
        <v>41</v>
      </c>
      <c r="O854" s="7">
        <v>19698</v>
      </c>
      <c r="P854" s="6">
        <f t="shared" si="95"/>
        <v>251</v>
      </c>
      <c r="Q854" s="9"/>
      <c r="R854" s="6">
        <f t="shared" si="96"/>
        <v>0</v>
      </c>
      <c r="S854" s="10" t="s">
        <v>1</v>
      </c>
      <c r="T854" s="2" t="s">
        <v>1067</v>
      </c>
    </row>
    <row r="855" spans="1:20" ht="37.5" customHeight="1" x14ac:dyDescent="0.25">
      <c r="A855" s="2" t="s">
        <v>1068</v>
      </c>
      <c r="B855">
        <f t="shared" si="91"/>
        <v>11513</v>
      </c>
      <c r="C855">
        <v>2149</v>
      </c>
      <c r="D855">
        <v>9364</v>
      </c>
      <c r="E855">
        <v>12510</v>
      </c>
      <c r="F855">
        <f t="shared" si="92"/>
        <v>403</v>
      </c>
      <c r="G855" s="3">
        <f t="shared" si="97"/>
        <v>855</v>
      </c>
      <c r="H855" s="4"/>
      <c r="I855" s="5">
        <v>675</v>
      </c>
      <c r="J855" s="6"/>
      <c r="K855" s="7">
        <f>M855+O855</f>
        <v>11110</v>
      </c>
      <c r="L855" s="6">
        <f t="shared" si="93"/>
        <v>403</v>
      </c>
      <c r="M855" s="7">
        <v>2066</v>
      </c>
      <c r="N855" s="8">
        <f t="shared" si="94"/>
        <v>83</v>
      </c>
      <c r="O855" s="7">
        <v>9044</v>
      </c>
      <c r="P855" s="6">
        <f t="shared" si="95"/>
        <v>320</v>
      </c>
      <c r="Q855" s="9">
        <v>11367</v>
      </c>
      <c r="R855" s="6">
        <f t="shared" si="96"/>
        <v>1143</v>
      </c>
      <c r="S855" s="10" t="s">
        <v>1</v>
      </c>
      <c r="T855" s="2" t="s">
        <v>1068</v>
      </c>
    </row>
    <row r="856" spans="1:20" ht="37.5" customHeight="1" x14ac:dyDescent="0.25">
      <c r="A856" s="2" t="s">
        <v>1069</v>
      </c>
      <c r="B856">
        <f t="shared" si="91"/>
        <v>14514</v>
      </c>
      <c r="C856">
        <v>3196</v>
      </c>
      <c r="D856">
        <v>11318</v>
      </c>
      <c r="E856">
        <v>11464</v>
      </c>
      <c r="F856">
        <f t="shared" si="92"/>
        <v>841</v>
      </c>
      <c r="G856" s="3">
        <f t="shared" si="97"/>
        <v>856</v>
      </c>
      <c r="H856" s="4"/>
      <c r="I856" s="5">
        <v>676</v>
      </c>
      <c r="J856" s="6"/>
      <c r="K856" s="7">
        <f>M856+O856</f>
        <v>13673</v>
      </c>
      <c r="L856" s="6">
        <f t="shared" si="93"/>
        <v>841</v>
      </c>
      <c r="M856" s="7">
        <v>2987</v>
      </c>
      <c r="N856" s="8">
        <f t="shared" si="94"/>
        <v>209</v>
      </c>
      <c r="O856" s="7">
        <v>10686</v>
      </c>
      <c r="P856" s="6">
        <f t="shared" si="95"/>
        <v>632</v>
      </c>
      <c r="Q856" s="9">
        <v>10358</v>
      </c>
      <c r="R856" s="6">
        <f t="shared" si="96"/>
        <v>1106</v>
      </c>
      <c r="S856" s="10" t="s">
        <v>1</v>
      </c>
      <c r="T856" s="2" t="s">
        <v>1069</v>
      </c>
    </row>
    <row r="857" spans="1:20" ht="37.5" customHeight="1" x14ac:dyDescent="0.25">
      <c r="A857" s="2" t="s">
        <v>1070</v>
      </c>
      <c r="B857">
        <f t="shared" si="91"/>
        <v>9159</v>
      </c>
      <c r="C857">
        <v>2232</v>
      </c>
      <c r="D857">
        <v>6927</v>
      </c>
      <c r="E857">
        <v>13202</v>
      </c>
      <c r="F857">
        <f t="shared" si="92"/>
        <v>497</v>
      </c>
      <c r="G857" s="3">
        <f t="shared" si="97"/>
        <v>857</v>
      </c>
      <c r="H857" s="4"/>
      <c r="I857" s="5">
        <v>677</v>
      </c>
      <c r="J857" s="6"/>
      <c r="K857" s="7">
        <f>M857+O857</f>
        <v>8662</v>
      </c>
      <c r="L857" s="6">
        <f t="shared" si="93"/>
        <v>497</v>
      </c>
      <c r="M857" s="7">
        <v>2137</v>
      </c>
      <c r="N857" s="8">
        <f t="shared" si="94"/>
        <v>95</v>
      </c>
      <c r="O857" s="7">
        <v>6525</v>
      </c>
      <c r="P857" s="6">
        <f t="shared" si="95"/>
        <v>402</v>
      </c>
      <c r="Q857" s="9">
        <v>12065</v>
      </c>
      <c r="R857" s="6">
        <f t="shared" si="96"/>
        <v>1137</v>
      </c>
      <c r="S857" s="10" t="s">
        <v>1</v>
      </c>
      <c r="T857" s="2" t="s">
        <v>1070</v>
      </c>
    </row>
    <row r="858" spans="1:20" ht="37.5" customHeight="1" x14ac:dyDescent="0.25">
      <c r="A858" s="2" t="s">
        <v>1071</v>
      </c>
      <c r="B858">
        <f t="shared" si="91"/>
        <v>56305</v>
      </c>
      <c r="C858">
        <v>18378</v>
      </c>
      <c r="D858">
        <v>37927</v>
      </c>
      <c r="F858">
        <f t="shared" si="92"/>
        <v>111</v>
      </c>
      <c r="G858" s="3">
        <f t="shared" si="97"/>
        <v>858</v>
      </c>
      <c r="H858" s="4"/>
      <c r="I858" s="5">
        <v>678</v>
      </c>
      <c r="J858" s="6"/>
      <c r="K858" s="7">
        <v>56194</v>
      </c>
      <c r="L858" s="6">
        <f t="shared" si="93"/>
        <v>111</v>
      </c>
      <c r="M858" s="7">
        <v>18359</v>
      </c>
      <c r="N858" s="8">
        <f t="shared" si="94"/>
        <v>19</v>
      </c>
      <c r="O858" s="7">
        <v>37835</v>
      </c>
      <c r="P858" s="6">
        <f t="shared" si="95"/>
        <v>92</v>
      </c>
      <c r="Q858" s="9"/>
      <c r="R858" s="6">
        <f t="shared" si="96"/>
        <v>0</v>
      </c>
      <c r="S858" s="10" t="s">
        <v>1</v>
      </c>
      <c r="T858" s="2" t="s">
        <v>1071</v>
      </c>
    </row>
    <row r="859" spans="1:20" ht="37.5" customHeight="1" x14ac:dyDescent="0.25">
      <c r="A859" s="2" t="s">
        <v>1072</v>
      </c>
      <c r="B859">
        <f t="shared" si="91"/>
        <v>13303</v>
      </c>
      <c r="C859">
        <v>1784</v>
      </c>
      <c r="D859">
        <v>11519</v>
      </c>
      <c r="F859">
        <f t="shared" si="92"/>
        <v>370</v>
      </c>
      <c r="G859" s="3">
        <f t="shared" si="97"/>
        <v>859</v>
      </c>
      <c r="H859" s="4"/>
      <c r="I859" s="5">
        <v>679</v>
      </c>
      <c r="J859" s="6"/>
      <c r="K859" s="7">
        <v>12933</v>
      </c>
      <c r="L859" s="6">
        <f t="shared" si="93"/>
        <v>370</v>
      </c>
      <c r="M859" s="7">
        <v>1714</v>
      </c>
      <c r="N859" s="8">
        <f t="shared" si="94"/>
        <v>70</v>
      </c>
      <c r="O859" s="7">
        <v>11219</v>
      </c>
      <c r="P859" s="6">
        <f t="shared" si="95"/>
        <v>300</v>
      </c>
      <c r="Q859" s="9"/>
      <c r="R859" s="6">
        <f t="shared" si="96"/>
        <v>0</v>
      </c>
      <c r="S859" s="10" t="s">
        <v>1</v>
      </c>
      <c r="T859" s="2" t="s">
        <v>1072</v>
      </c>
    </row>
    <row r="860" spans="1:20" ht="37.5" customHeight="1" x14ac:dyDescent="0.25">
      <c r="A860" s="2" t="s">
        <v>1073</v>
      </c>
      <c r="B860">
        <f t="shared" si="91"/>
        <v>3692</v>
      </c>
      <c r="C860">
        <v>814</v>
      </c>
      <c r="D860">
        <v>2878</v>
      </c>
      <c r="E860">
        <v>8091</v>
      </c>
      <c r="F860">
        <f t="shared" si="92"/>
        <v>206</v>
      </c>
      <c r="G860" s="3">
        <f t="shared" si="97"/>
        <v>860</v>
      </c>
      <c r="H860" s="4"/>
      <c r="I860" s="5">
        <v>680</v>
      </c>
      <c r="J860" s="6"/>
      <c r="K860" s="7">
        <f>M860+O860</f>
        <v>3486</v>
      </c>
      <c r="L860" s="6">
        <f t="shared" si="93"/>
        <v>206</v>
      </c>
      <c r="M860" s="7">
        <v>776</v>
      </c>
      <c r="N860" s="8">
        <f t="shared" si="94"/>
        <v>38</v>
      </c>
      <c r="O860" s="7">
        <v>2710</v>
      </c>
      <c r="P860" s="6">
        <f t="shared" si="95"/>
        <v>168</v>
      </c>
      <c r="Q860" s="9">
        <v>7456</v>
      </c>
      <c r="R860" s="6">
        <f t="shared" si="96"/>
        <v>635</v>
      </c>
      <c r="S860" s="10" t="s">
        <v>1</v>
      </c>
      <c r="T860" s="2" t="s">
        <v>1073</v>
      </c>
    </row>
    <row r="861" spans="1:20" ht="37.5" customHeight="1" x14ac:dyDescent="0.25">
      <c r="A861" s="2" t="s">
        <v>1074</v>
      </c>
      <c r="B861">
        <f t="shared" si="91"/>
        <v>85619</v>
      </c>
      <c r="C861">
        <v>23204</v>
      </c>
      <c r="D861">
        <v>62415</v>
      </c>
      <c r="F861">
        <f t="shared" si="92"/>
        <v>80</v>
      </c>
      <c r="G861" s="3">
        <f t="shared" si="97"/>
        <v>861</v>
      </c>
      <c r="H861" s="4"/>
      <c r="I861" s="5">
        <v>681</v>
      </c>
      <c r="J861" s="6"/>
      <c r="K861" s="7">
        <v>85539</v>
      </c>
      <c r="L861" s="6">
        <f t="shared" si="93"/>
        <v>80</v>
      </c>
      <c r="M861" s="7">
        <v>23189</v>
      </c>
      <c r="N861" s="8">
        <f t="shared" si="94"/>
        <v>15</v>
      </c>
      <c r="O861" s="7">
        <v>62350</v>
      </c>
      <c r="P861" s="6">
        <f t="shared" si="95"/>
        <v>65</v>
      </c>
      <c r="Q861" s="9"/>
      <c r="R861" s="6">
        <f t="shared" si="96"/>
        <v>0</v>
      </c>
      <c r="S861" s="10" t="s">
        <v>1</v>
      </c>
      <c r="T861" s="2" t="s">
        <v>1074</v>
      </c>
    </row>
    <row r="862" spans="1:20" ht="37.5" customHeight="1" x14ac:dyDescent="0.25">
      <c r="A862" s="2" t="s">
        <v>1075</v>
      </c>
      <c r="B862">
        <f t="shared" si="91"/>
        <v>26568</v>
      </c>
      <c r="C862">
        <v>8897</v>
      </c>
      <c r="D862">
        <v>17671</v>
      </c>
      <c r="F862">
        <f t="shared" si="92"/>
        <v>116</v>
      </c>
      <c r="G862" s="3">
        <f t="shared" si="97"/>
        <v>862</v>
      </c>
      <c r="H862" s="4"/>
      <c r="I862" s="5">
        <v>682</v>
      </c>
      <c r="J862" s="6"/>
      <c r="K862" s="7">
        <v>26452</v>
      </c>
      <c r="L862" s="6">
        <f t="shared" si="93"/>
        <v>116</v>
      </c>
      <c r="M862" s="7">
        <v>8879</v>
      </c>
      <c r="N862" s="8">
        <f t="shared" si="94"/>
        <v>18</v>
      </c>
      <c r="O862" s="7">
        <v>17573</v>
      </c>
      <c r="P862" s="6">
        <f t="shared" si="95"/>
        <v>98</v>
      </c>
      <c r="Q862" s="9"/>
      <c r="R862" s="6">
        <f t="shared" si="96"/>
        <v>0</v>
      </c>
      <c r="S862" s="10" t="s">
        <v>1</v>
      </c>
      <c r="T862" s="2" t="s">
        <v>1075</v>
      </c>
    </row>
    <row r="863" spans="1:20" ht="37.5" customHeight="1" x14ac:dyDescent="0.25">
      <c r="A863" s="2" t="s">
        <v>1076</v>
      </c>
      <c r="B863">
        <f t="shared" si="91"/>
        <v>53488</v>
      </c>
      <c r="C863">
        <v>11991</v>
      </c>
      <c r="D863">
        <v>41497</v>
      </c>
      <c r="F863">
        <f t="shared" si="92"/>
        <v>35</v>
      </c>
      <c r="G863" s="3">
        <f t="shared" si="97"/>
        <v>863</v>
      </c>
      <c r="H863" s="4"/>
      <c r="I863" s="5">
        <v>683</v>
      </c>
      <c r="J863" s="6"/>
      <c r="K863" s="7">
        <v>53453</v>
      </c>
      <c r="L863" s="6">
        <f t="shared" si="93"/>
        <v>35</v>
      </c>
      <c r="M863" s="7">
        <v>11984</v>
      </c>
      <c r="N863" s="8">
        <f t="shared" si="94"/>
        <v>7</v>
      </c>
      <c r="O863" s="7">
        <v>41469</v>
      </c>
      <c r="P863" s="6">
        <f t="shared" si="95"/>
        <v>28</v>
      </c>
      <c r="Q863" s="9"/>
      <c r="R863" s="6">
        <f t="shared" si="96"/>
        <v>0</v>
      </c>
      <c r="S863" s="10" t="s">
        <v>1</v>
      </c>
      <c r="T863" s="2" t="s">
        <v>1076</v>
      </c>
    </row>
    <row r="864" spans="1:20" ht="37.5" customHeight="1" x14ac:dyDescent="0.25">
      <c r="A864" s="2" t="s">
        <v>1077</v>
      </c>
      <c r="B864">
        <f t="shared" si="91"/>
        <v>49839</v>
      </c>
      <c r="C864">
        <v>12349</v>
      </c>
      <c r="D864">
        <v>37490</v>
      </c>
      <c r="F864">
        <f t="shared" si="92"/>
        <v>178</v>
      </c>
      <c r="G864" s="3">
        <f t="shared" si="97"/>
        <v>864</v>
      </c>
      <c r="H864" s="4"/>
      <c r="I864" s="5">
        <v>684</v>
      </c>
      <c r="J864" s="6"/>
      <c r="K864" s="7">
        <v>49661</v>
      </c>
      <c r="L864" s="6">
        <f t="shared" si="93"/>
        <v>178</v>
      </c>
      <c r="M864" s="7">
        <v>12326</v>
      </c>
      <c r="N864" s="8">
        <f t="shared" si="94"/>
        <v>23</v>
      </c>
      <c r="O864" s="7">
        <v>37335</v>
      </c>
      <c r="P864" s="6">
        <f t="shared" si="95"/>
        <v>155</v>
      </c>
      <c r="Q864" s="9"/>
      <c r="R864" s="6">
        <f t="shared" si="96"/>
        <v>0</v>
      </c>
      <c r="S864" s="10" t="s">
        <v>1</v>
      </c>
      <c r="T864" s="2" t="s">
        <v>1077</v>
      </c>
    </row>
    <row r="865" spans="1:20" ht="37.5" customHeight="1" x14ac:dyDescent="0.25">
      <c r="A865" s="2" t="s">
        <v>1078</v>
      </c>
      <c r="B865">
        <f t="shared" si="91"/>
        <v>64135</v>
      </c>
      <c r="C865">
        <v>13623</v>
      </c>
      <c r="D865">
        <v>50512</v>
      </c>
      <c r="F865">
        <f t="shared" si="92"/>
        <v>283</v>
      </c>
      <c r="G865" s="3">
        <f t="shared" si="97"/>
        <v>865</v>
      </c>
      <c r="H865" s="4"/>
      <c r="I865" s="5">
        <v>685</v>
      </c>
      <c r="J865" s="6"/>
      <c r="K865" s="7">
        <v>63852</v>
      </c>
      <c r="L865" s="6">
        <f t="shared" si="93"/>
        <v>283</v>
      </c>
      <c r="M865" s="7">
        <v>13587</v>
      </c>
      <c r="N865" s="8">
        <f t="shared" si="94"/>
        <v>36</v>
      </c>
      <c r="O865" s="7">
        <v>50265</v>
      </c>
      <c r="P865" s="6">
        <f t="shared" si="95"/>
        <v>247</v>
      </c>
      <c r="Q865" s="9"/>
      <c r="R865" s="6">
        <f t="shared" si="96"/>
        <v>0</v>
      </c>
      <c r="S865" s="10" t="s">
        <v>1</v>
      </c>
      <c r="T865" s="2" t="s">
        <v>1078</v>
      </c>
    </row>
    <row r="866" spans="1:20" ht="37.5" customHeight="1" x14ac:dyDescent="0.25">
      <c r="A866" s="2" t="s">
        <v>1079</v>
      </c>
      <c r="B866">
        <f t="shared" si="91"/>
        <v>44568</v>
      </c>
      <c r="C866">
        <v>9120</v>
      </c>
      <c r="D866">
        <v>35448</v>
      </c>
      <c r="F866">
        <f t="shared" si="92"/>
        <v>261</v>
      </c>
      <c r="G866" s="3">
        <f t="shared" si="97"/>
        <v>866</v>
      </c>
      <c r="H866" s="4"/>
      <c r="I866" s="5">
        <v>686</v>
      </c>
      <c r="J866" s="6"/>
      <c r="K866" s="7">
        <v>44307</v>
      </c>
      <c r="L866" s="6">
        <f t="shared" si="93"/>
        <v>261</v>
      </c>
      <c r="M866" s="7">
        <v>9080</v>
      </c>
      <c r="N866" s="8">
        <f t="shared" si="94"/>
        <v>40</v>
      </c>
      <c r="O866" s="7">
        <v>35227</v>
      </c>
      <c r="P866" s="6">
        <f t="shared" si="95"/>
        <v>221</v>
      </c>
      <c r="Q866" s="9"/>
      <c r="R866" s="6">
        <f t="shared" si="96"/>
        <v>0</v>
      </c>
      <c r="S866" s="10" t="s">
        <v>1</v>
      </c>
      <c r="T866" s="2" t="s">
        <v>1079</v>
      </c>
    </row>
    <row r="867" spans="1:20" ht="37.5" customHeight="1" x14ac:dyDescent="0.25">
      <c r="A867" s="2" t="s">
        <v>1080</v>
      </c>
      <c r="B867">
        <f t="shared" si="91"/>
        <v>11883</v>
      </c>
      <c r="C867">
        <v>4178</v>
      </c>
      <c r="D867">
        <v>7705</v>
      </c>
      <c r="F867">
        <f t="shared" si="92"/>
        <v>0</v>
      </c>
      <c r="G867" s="3">
        <f t="shared" si="97"/>
        <v>867</v>
      </c>
      <c r="H867" s="4"/>
      <c r="I867" s="5">
        <v>687</v>
      </c>
      <c r="J867" s="6"/>
      <c r="K867" s="7">
        <v>11883</v>
      </c>
      <c r="L867" s="6">
        <f t="shared" si="93"/>
        <v>0</v>
      </c>
      <c r="M867" s="7">
        <v>4178</v>
      </c>
      <c r="N867" s="8">
        <f t="shared" si="94"/>
        <v>0</v>
      </c>
      <c r="O867" s="7">
        <v>7705</v>
      </c>
      <c r="P867" s="6">
        <f t="shared" si="95"/>
        <v>0</v>
      </c>
      <c r="Q867" s="9"/>
      <c r="R867" s="6">
        <f t="shared" si="96"/>
        <v>0</v>
      </c>
      <c r="S867" s="10" t="s">
        <v>1</v>
      </c>
      <c r="T867" s="2" t="s">
        <v>1080</v>
      </c>
    </row>
    <row r="868" spans="1:20" ht="37.5" customHeight="1" x14ac:dyDescent="0.25">
      <c r="A868" s="2" t="s">
        <v>1081</v>
      </c>
      <c r="B868">
        <f t="shared" si="91"/>
        <v>93900</v>
      </c>
      <c r="C868">
        <v>18192</v>
      </c>
      <c r="D868">
        <v>75708</v>
      </c>
      <c r="F868">
        <f t="shared" si="92"/>
        <v>342</v>
      </c>
      <c r="G868" s="3">
        <f t="shared" si="97"/>
        <v>868</v>
      </c>
      <c r="H868" s="4"/>
      <c r="I868" s="5">
        <v>688</v>
      </c>
      <c r="J868" s="6"/>
      <c r="K868" s="7">
        <v>93558</v>
      </c>
      <c r="L868" s="6">
        <f t="shared" si="93"/>
        <v>342</v>
      </c>
      <c r="M868" s="7">
        <v>18144</v>
      </c>
      <c r="N868" s="8">
        <f t="shared" si="94"/>
        <v>48</v>
      </c>
      <c r="O868" s="7">
        <v>75414</v>
      </c>
      <c r="P868" s="6">
        <f t="shared" si="95"/>
        <v>294</v>
      </c>
      <c r="Q868" s="9"/>
      <c r="R868" s="6">
        <f t="shared" si="96"/>
        <v>0</v>
      </c>
      <c r="S868" s="10" t="s">
        <v>1</v>
      </c>
      <c r="T868" s="2" t="s">
        <v>1081</v>
      </c>
    </row>
    <row r="869" spans="1:20" ht="37.5" customHeight="1" x14ac:dyDescent="0.25">
      <c r="A869" s="2" t="s">
        <v>1082</v>
      </c>
      <c r="B869">
        <f t="shared" si="91"/>
        <v>56149</v>
      </c>
      <c r="C869">
        <v>10288</v>
      </c>
      <c r="D869">
        <v>45861</v>
      </c>
      <c r="F869">
        <f t="shared" si="92"/>
        <v>292</v>
      </c>
      <c r="G869" s="3">
        <f t="shared" si="97"/>
        <v>869</v>
      </c>
      <c r="H869" s="4"/>
      <c r="I869" s="5">
        <v>689</v>
      </c>
      <c r="J869" s="6"/>
      <c r="K869" s="7">
        <v>55857</v>
      </c>
      <c r="L869" s="6">
        <f t="shared" si="93"/>
        <v>292</v>
      </c>
      <c r="M869" s="7">
        <v>10248</v>
      </c>
      <c r="N869" s="8">
        <f t="shared" si="94"/>
        <v>40</v>
      </c>
      <c r="O869" s="7">
        <v>45609</v>
      </c>
      <c r="P869" s="6">
        <f t="shared" si="95"/>
        <v>252</v>
      </c>
      <c r="Q869" s="9"/>
      <c r="R869" s="6">
        <f t="shared" si="96"/>
        <v>0</v>
      </c>
      <c r="S869" s="10" t="s">
        <v>1</v>
      </c>
      <c r="T869" s="2" t="s">
        <v>1082</v>
      </c>
    </row>
    <row r="870" spans="1:20" ht="37.5" customHeight="1" x14ac:dyDescent="0.25">
      <c r="A870" s="2" t="s">
        <v>1083</v>
      </c>
      <c r="B870">
        <f t="shared" si="91"/>
        <v>82515</v>
      </c>
      <c r="C870">
        <v>12832</v>
      </c>
      <c r="D870">
        <v>69683</v>
      </c>
      <c r="F870">
        <f t="shared" si="92"/>
        <v>395</v>
      </c>
      <c r="G870" s="3">
        <f t="shared" si="97"/>
        <v>870</v>
      </c>
      <c r="H870" s="4"/>
      <c r="I870" s="5">
        <v>690</v>
      </c>
      <c r="J870" s="6"/>
      <c r="K870" s="7">
        <v>82120</v>
      </c>
      <c r="L870" s="6">
        <f t="shared" si="93"/>
        <v>395</v>
      </c>
      <c r="M870" s="7">
        <v>12770</v>
      </c>
      <c r="N870" s="8">
        <f t="shared" si="94"/>
        <v>62</v>
      </c>
      <c r="O870" s="7">
        <v>69350</v>
      </c>
      <c r="P870" s="6">
        <f t="shared" si="95"/>
        <v>333</v>
      </c>
      <c r="Q870" s="9"/>
      <c r="R870" s="6">
        <f t="shared" si="96"/>
        <v>0</v>
      </c>
      <c r="S870" s="10" t="s">
        <v>1</v>
      </c>
      <c r="T870" s="2" t="s">
        <v>1083</v>
      </c>
    </row>
    <row r="871" spans="1:20" ht="37.5" customHeight="1" x14ac:dyDescent="0.25">
      <c r="A871" s="2" t="s">
        <v>1084</v>
      </c>
      <c r="B871">
        <f t="shared" si="91"/>
        <v>99642</v>
      </c>
      <c r="C871">
        <v>24320</v>
      </c>
      <c r="D871">
        <v>75322</v>
      </c>
      <c r="F871">
        <f t="shared" si="92"/>
        <v>8</v>
      </c>
      <c r="G871" s="3">
        <f t="shared" si="97"/>
        <v>871</v>
      </c>
      <c r="H871" s="4"/>
      <c r="I871" s="5">
        <v>691</v>
      </c>
      <c r="J871" s="6"/>
      <c r="K871" s="7">
        <v>99634</v>
      </c>
      <c r="L871" s="6">
        <f t="shared" si="93"/>
        <v>8</v>
      </c>
      <c r="M871" s="7">
        <v>24317</v>
      </c>
      <c r="N871" s="8">
        <f t="shared" si="94"/>
        <v>3</v>
      </c>
      <c r="O871" s="7">
        <v>75317</v>
      </c>
      <c r="P871" s="6">
        <f t="shared" si="95"/>
        <v>5</v>
      </c>
      <c r="Q871" s="9"/>
      <c r="R871" s="6">
        <f t="shared" si="96"/>
        <v>0</v>
      </c>
      <c r="S871" s="10" t="s">
        <v>1</v>
      </c>
      <c r="T871" s="2" t="s">
        <v>1084</v>
      </c>
    </row>
    <row r="872" spans="1:20" ht="37.5" customHeight="1" x14ac:dyDescent="0.25">
      <c r="A872" s="2" t="s">
        <v>1085</v>
      </c>
      <c r="B872">
        <f t="shared" si="91"/>
        <v>61003</v>
      </c>
      <c r="C872">
        <v>13199</v>
      </c>
      <c r="D872">
        <v>47804</v>
      </c>
      <c r="F872">
        <f t="shared" si="92"/>
        <v>180</v>
      </c>
      <c r="G872" s="3">
        <f t="shared" si="97"/>
        <v>872</v>
      </c>
      <c r="H872" s="4"/>
      <c r="I872" s="5">
        <v>692</v>
      </c>
      <c r="J872" s="6"/>
      <c r="K872" s="7">
        <v>60823</v>
      </c>
      <c r="L872" s="6">
        <f t="shared" si="93"/>
        <v>180</v>
      </c>
      <c r="M872" s="7">
        <v>13172</v>
      </c>
      <c r="N872" s="8">
        <f t="shared" si="94"/>
        <v>27</v>
      </c>
      <c r="O872" s="7">
        <v>47651</v>
      </c>
      <c r="P872" s="6">
        <f t="shared" si="95"/>
        <v>153</v>
      </c>
      <c r="Q872" s="9"/>
      <c r="R872" s="6">
        <f t="shared" si="96"/>
        <v>0</v>
      </c>
      <c r="S872" s="10" t="s">
        <v>1</v>
      </c>
      <c r="T872" s="2" t="s">
        <v>1085</v>
      </c>
    </row>
    <row r="873" spans="1:20" ht="37.5" customHeight="1" x14ac:dyDescent="0.25">
      <c r="A873" s="2" t="s">
        <v>1086</v>
      </c>
      <c r="B873">
        <f t="shared" si="91"/>
        <v>29650</v>
      </c>
      <c r="C873">
        <v>7689</v>
      </c>
      <c r="D873">
        <v>21961</v>
      </c>
      <c r="F873">
        <f t="shared" si="92"/>
        <v>513</v>
      </c>
      <c r="G873" s="3">
        <f t="shared" si="97"/>
        <v>873</v>
      </c>
      <c r="H873" s="4"/>
      <c r="I873" s="5">
        <v>693</v>
      </c>
      <c r="J873" s="6"/>
      <c r="K873" s="7">
        <v>29137</v>
      </c>
      <c r="L873" s="6">
        <f t="shared" si="93"/>
        <v>513</v>
      </c>
      <c r="M873" s="7">
        <v>7590</v>
      </c>
      <c r="N873" s="8">
        <f t="shared" si="94"/>
        <v>99</v>
      </c>
      <c r="O873" s="7">
        <v>21547</v>
      </c>
      <c r="P873" s="6">
        <f t="shared" si="95"/>
        <v>414</v>
      </c>
      <c r="Q873" s="9"/>
      <c r="R873" s="6">
        <f t="shared" si="96"/>
        <v>0</v>
      </c>
      <c r="S873" s="10" t="s">
        <v>1</v>
      </c>
      <c r="T873" s="2" t="s">
        <v>1086</v>
      </c>
    </row>
    <row r="874" spans="1:20" ht="37.5" customHeight="1" x14ac:dyDescent="0.25">
      <c r="A874" s="2" t="s">
        <v>1087</v>
      </c>
      <c r="B874">
        <f t="shared" si="91"/>
        <v>70487</v>
      </c>
      <c r="C874">
        <v>16025</v>
      </c>
      <c r="D874">
        <v>54462</v>
      </c>
      <c r="F874">
        <f t="shared" si="92"/>
        <v>20</v>
      </c>
      <c r="G874" s="3">
        <f t="shared" si="97"/>
        <v>874</v>
      </c>
      <c r="H874" s="4"/>
      <c r="I874" s="5">
        <v>694</v>
      </c>
      <c r="J874" s="6"/>
      <c r="K874" s="7">
        <v>70467</v>
      </c>
      <c r="L874" s="6">
        <f t="shared" si="93"/>
        <v>20</v>
      </c>
      <c r="M874" s="7">
        <v>16025</v>
      </c>
      <c r="N874" s="8">
        <f t="shared" si="94"/>
        <v>0</v>
      </c>
      <c r="O874" s="7">
        <v>54442</v>
      </c>
      <c r="P874" s="6">
        <f t="shared" si="95"/>
        <v>20</v>
      </c>
      <c r="Q874" s="9"/>
      <c r="R874" s="6">
        <f t="shared" si="96"/>
        <v>0</v>
      </c>
      <c r="S874" s="10" t="s">
        <v>1</v>
      </c>
      <c r="T874" s="2" t="s">
        <v>1087</v>
      </c>
    </row>
    <row r="875" spans="1:20" ht="37.5" customHeight="1" x14ac:dyDescent="0.25">
      <c r="A875" s="2" t="s">
        <v>1088</v>
      </c>
      <c r="B875">
        <f t="shared" si="91"/>
        <v>1290</v>
      </c>
      <c r="C875">
        <v>186</v>
      </c>
      <c r="D875">
        <v>1104</v>
      </c>
      <c r="F875">
        <f t="shared" si="92"/>
        <v>48</v>
      </c>
      <c r="G875" s="3">
        <f t="shared" si="97"/>
        <v>875</v>
      </c>
      <c r="H875" s="4"/>
      <c r="I875" s="5">
        <v>695</v>
      </c>
      <c r="J875" s="6"/>
      <c r="K875" s="7">
        <v>1242</v>
      </c>
      <c r="L875" s="6">
        <f t="shared" si="93"/>
        <v>48</v>
      </c>
      <c r="M875" s="7">
        <v>180</v>
      </c>
      <c r="N875" s="8">
        <f t="shared" si="94"/>
        <v>6</v>
      </c>
      <c r="O875" s="7">
        <v>1062</v>
      </c>
      <c r="P875" s="6">
        <f t="shared" si="95"/>
        <v>42</v>
      </c>
      <c r="Q875" s="9"/>
      <c r="R875" s="6">
        <f t="shared" si="96"/>
        <v>0</v>
      </c>
      <c r="S875" s="10" t="s">
        <v>1</v>
      </c>
      <c r="T875" s="2" t="s">
        <v>1088</v>
      </c>
    </row>
    <row r="876" spans="1:20" ht="37.5" customHeight="1" x14ac:dyDescent="0.25">
      <c r="A876" s="2" t="s">
        <v>1089</v>
      </c>
      <c r="B876">
        <f t="shared" si="91"/>
        <v>69480</v>
      </c>
      <c r="C876">
        <v>15987</v>
      </c>
      <c r="D876">
        <v>53493</v>
      </c>
      <c r="F876">
        <f t="shared" si="92"/>
        <v>465</v>
      </c>
      <c r="G876" s="3">
        <f t="shared" si="97"/>
        <v>876</v>
      </c>
      <c r="H876" s="4"/>
      <c r="I876" s="5">
        <v>696</v>
      </c>
      <c r="J876" s="6"/>
      <c r="K876" s="7">
        <v>69015</v>
      </c>
      <c r="L876" s="6">
        <f t="shared" si="93"/>
        <v>465</v>
      </c>
      <c r="M876" s="7">
        <v>15926</v>
      </c>
      <c r="N876" s="8">
        <f t="shared" si="94"/>
        <v>61</v>
      </c>
      <c r="O876" s="7">
        <v>53089</v>
      </c>
      <c r="P876" s="6">
        <f t="shared" si="95"/>
        <v>404</v>
      </c>
      <c r="Q876" s="9"/>
      <c r="R876" s="6">
        <f t="shared" si="96"/>
        <v>0</v>
      </c>
      <c r="S876" s="10" t="s">
        <v>1</v>
      </c>
      <c r="T876" s="2" t="s">
        <v>1089</v>
      </c>
    </row>
    <row r="877" spans="1:20" ht="37.5" customHeight="1" x14ac:dyDescent="0.25">
      <c r="A877" s="2" t="s">
        <v>1090</v>
      </c>
      <c r="B877">
        <f t="shared" si="91"/>
        <v>4131</v>
      </c>
      <c r="C877">
        <v>595</v>
      </c>
      <c r="D877">
        <v>3536</v>
      </c>
      <c r="F877">
        <f t="shared" si="92"/>
        <v>447</v>
      </c>
      <c r="G877" s="3">
        <f t="shared" si="97"/>
        <v>877</v>
      </c>
      <c r="H877" s="4"/>
      <c r="I877" s="5">
        <v>697</v>
      </c>
      <c r="J877" s="6"/>
      <c r="K877" s="7">
        <v>3684</v>
      </c>
      <c r="L877" s="6">
        <f t="shared" si="93"/>
        <v>447</v>
      </c>
      <c r="M877" s="7">
        <v>513</v>
      </c>
      <c r="N877" s="8">
        <f t="shared" si="94"/>
        <v>82</v>
      </c>
      <c r="O877" s="7">
        <v>3171</v>
      </c>
      <c r="P877" s="6">
        <f t="shared" si="95"/>
        <v>365</v>
      </c>
      <c r="Q877" s="9"/>
      <c r="R877" s="6">
        <f t="shared" si="96"/>
        <v>0</v>
      </c>
      <c r="S877" s="10" t="s">
        <v>1</v>
      </c>
      <c r="T877" s="2" t="s">
        <v>1090</v>
      </c>
    </row>
    <row r="878" spans="1:20" ht="37.5" customHeight="1" x14ac:dyDescent="0.25">
      <c r="A878" s="2" t="s">
        <v>1091</v>
      </c>
      <c r="B878">
        <f t="shared" si="91"/>
        <v>38076</v>
      </c>
      <c r="C878">
        <v>5835</v>
      </c>
      <c r="D878">
        <v>32241</v>
      </c>
      <c r="F878">
        <f t="shared" si="92"/>
        <v>237</v>
      </c>
      <c r="G878" s="3">
        <f t="shared" si="97"/>
        <v>878</v>
      </c>
      <c r="H878" s="4"/>
      <c r="I878" s="5">
        <v>698</v>
      </c>
      <c r="J878" s="6"/>
      <c r="K878" s="7">
        <v>37839</v>
      </c>
      <c r="L878" s="6">
        <f t="shared" si="93"/>
        <v>237</v>
      </c>
      <c r="M878" s="7">
        <v>5795</v>
      </c>
      <c r="N878" s="8">
        <f t="shared" si="94"/>
        <v>40</v>
      </c>
      <c r="O878" s="7">
        <v>32044</v>
      </c>
      <c r="P878" s="6">
        <f t="shared" si="95"/>
        <v>197</v>
      </c>
      <c r="Q878" s="9"/>
      <c r="R878" s="6">
        <f t="shared" si="96"/>
        <v>0</v>
      </c>
      <c r="S878" s="10" t="s">
        <v>1</v>
      </c>
      <c r="T878" s="2" t="s">
        <v>1091</v>
      </c>
    </row>
    <row r="879" spans="1:20" ht="37.5" customHeight="1" x14ac:dyDescent="0.25">
      <c r="A879" s="2" t="s">
        <v>1092</v>
      </c>
      <c r="B879">
        <f t="shared" si="91"/>
        <v>62851</v>
      </c>
      <c r="C879">
        <v>16250</v>
      </c>
      <c r="D879">
        <v>46601</v>
      </c>
      <c r="F879">
        <f t="shared" si="92"/>
        <v>216</v>
      </c>
      <c r="G879" s="3">
        <f t="shared" si="97"/>
        <v>879</v>
      </c>
      <c r="H879" s="4"/>
      <c r="I879" s="5">
        <v>699</v>
      </c>
      <c r="J879" s="6"/>
      <c r="K879" s="7">
        <v>62635</v>
      </c>
      <c r="L879" s="6">
        <f t="shared" si="93"/>
        <v>216</v>
      </c>
      <c r="M879" s="7">
        <v>16215</v>
      </c>
      <c r="N879" s="8">
        <f t="shared" si="94"/>
        <v>35</v>
      </c>
      <c r="O879" s="7">
        <v>46420</v>
      </c>
      <c r="P879" s="6">
        <f t="shared" si="95"/>
        <v>181</v>
      </c>
      <c r="Q879" s="9"/>
      <c r="R879" s="6">
        <f t="shared" si="96"/>
        <v>0</v>
      </c>
      <c r="S879" s="10" t="s">
        <v>1</v>
      </c>
      <c r="T879" s="2" t="s">
        <v>1092</v>
      </c>
    </row>
    <row r="880" spans="1:20" ht="37.5" customHeight="1" x14ac:dyDescent="0.25">
      <c r="A880" s="2" t="s">
        <v>1093</v>
      </c>
      <c r="B880">
        <f t="shared" si="91"/>
        <v>46505</v>
      </c>
      <c r="C880">
        <v>9881</v>
      </c>
      <c r="D880">
        <v>36624</v>
      </c>
      <c r="F880">
        <f t="shared" si="92"/>
        <v>159</v>
      </c>
      <c r="G880" s="3">
        <f t="shared" si="97"/>
        <v>880</v>
      </c>
      <c r="H880" s="4"/>
      <c r="I880" s="5">
        <v>700</v>
      </c>
      <c r="J880" s="6"/>
      <c r="K880" s="7">
        <v>46346</v>
      </c>
      <c r="L880" s="6">
        <f t="shared" si="93"/>
        <v>159</v>
      </c>
      <c r="M880" s="7">
        <v>9857</v>
      </c>
      <c r="N880" s="8">
        <f t="shared" si="94"/>
        <v>24</v>
      </c>
      <c r="O880" s="7">
        <v>36489</v>
      </c>
      <c r="P880" s="6">
        <f t="shared" si="95"/>
        <v>135</v>
      </c>
      <c r="Q880" s="9"/>
      <c r="R880" s="6">
        <f t="shared" si="96"/>
        <v>0</v>
      </c>
      <c r="S880" s="10" t="s">
        <v>1</v>
      </c>
      <c r="T880" s="2" t="s">
        <v>1093</v>
      </c>
    </row>
    <row r="881" spans="1:20" ht="37.5" customHeight="1" x14ac:dyDescent="0.25">
      <c r="A881" s="2" t="s">
        <v>1094</v>
      </c>
      <c r="B881">
        <f t="shared" si="91"/>
        <v>40437</v>
      </c>
      <c r="C881">
        <v>6860</v>
      </c>
      <c r="D881">
        <v>33577</v>
      </c>
      <c r="F881">
        <f t="shared" si="92"/>
        <v>266</v>
      </c>
      <c r="G881" s="3">
        <f t="shared" si="97"/>
        <v>881</v>
      </c>
      <c r="H881" s="4"/>
      <c r="I881" s="5">
        <v>701</v>
      </c>
      <c r="J881" s="6"/>
      <c r="K881" s="7">
        <v>40171</v>
      </c>
      <c r="L881" s="6">
        <f t="shared" si="93"/>
        <v>266</v>
      </c>
      <c r="M881" s="7">
        <v>6817</v>
      </c>
      <c r="N881" s="8">
        <f t="shared" si="94"/>
        <v>43</v>
      </c>
      <c r="O881" s="7">
        <v>33354</v>
      </c>
      <c r="P881" s="6">
        <f t="shared" si="95"/>
        <v>223</v>
      </c>
      <c r="Q881" s="9"/>
      <c r="R881" s="6">
        <f t="shared" si="96"/>
        <v>0</v>
      </c>
      <c r="S881" s="10" t="s">
        <v>1</v>
      </c>
      <c r="T881" s="2" t="s">
        <v>1094</v>
      </c>
    </row>
    <row r="882" spans="1:20" ht="37.5" customHeight="1" x14ac:dyDescent="0.25">
      <c r="A882" s="2" t="s">
        <v>1095</v>
      </c>
      <c r="B882">
        <f t="shared" si="91"/>
        <v>29046</v>
      </c>
      <c r="C882">
        <v>5566</v>
      </c>
      <c r="D882">
        <v>23480</v>
      </c>
      <c r="F882">
        <f t="shared" si="92"/>
        <v>217</v>
      </c>
      <c r="G882" s="3">
        <f t="shared" si="97"/>
        <v>882</v>
      </c>
      <c r="H882" s="4"/>
      <c r="I882" s="5">
        <v>702</v>
      </c>
      <c r="J882" s="6"/>
      <c r="K882" s="7">
        <v>28829</v>
      </c>
      <c r="L882" s="6">
        <f t="shared" si="93"/>
        <v>217</v>
      </c>
      <c r="M882" s="7">
        <v>5531</v>
      </c>
      <c r="N882" s="8">
        <f t="shared" si="94"/>
        <v>35</v>
      </c>
      <c r="O882" s="7">
        <v>23298</v>
      </c>
      <c r="P882" s="6">
        <f t="shared" si="95"/>
        <v>182</v>
      </c>
      <c r="Q882" s="9"/>
      <c r="R882" s="6">
        <f t="shared" si="96"/>
        <v>0</v>
      </c>
      <c r="S882" s="10" t="s">
        <v>1</v>
      </c>
      <c r="T882" s="2" t="s">
        <v>1095</v>
      </c>
    </row>
    <row r="883" spans="1:20" ht="37.5" customHeight="1" x14ac:dyDescent="0.25">
      <c r="A883" s="2" t="s">
        <v>1096</v>
      </c>
      <c r="B883">
        <f t="shared" si="91"/>
        <v>5655</v>
      </c>
      <c r="C883">
        <v>807</v>
      </c>
      <c r="D883">
        <v>4848</v>
      </c>
      <c r="E883">
        <v>5826</v>
      </c>
      <c r="F883">
        <f t="shared" si="92"/>
        <v>283</v>
      </c>
      <c r="G883" s="3">
        <f t="shared" si="97"/>
        <v>883</v>
      </c>
      <c r="H883" s="4"/>
      <c r="I883" s="5">
        <v>703</v>
      </c>
      <c r="J883" s="6"/>
      <c r="K883" s="7">
        <f>M883+O883</f>
        <v>5372</v>
      </c>
      <c r="L883" s="6">
        <f t="shared" si="93"/>
        <v>283</v>
      </c>
      <c r="M883" s="7">
        <v>731</v>
      </c>
      <c r="N883" s="8">
        <f t="shared" si="94"/>
        <v>76</v>
      </c>
      <c r="O883" s="7">
        <v>4641</v>
      </c>
      <c r="P883" s="6">
        <f t="shared" si="95"/>
        <v>207</v>
      </c>
      <c r="Q883" s="9">
        <v>5109</v>
      </c>
      <c r="R883" s="6">
        <f t="shared" si="96"/>
        <v>717</v>
      </c>
      <c r="S883" s="10" t="s">
        <v>1</v>
      </c>
      <c r="T883" s="2" t="s">
        <v>1096</v>
      </c>
    </row>
    <row r="884" spans="1:20" ht="37.5" customHeight="1" x14ac:dyDescent="0.25">
      <c r="A884" s="2" t="s">
        <v>1097</v>
      </c>
      <c r="B884">
        <f t="shared" si="91"/>
        <v>4813</v>
      </c>
      <c r="C884">
        <v>712</v>
      </c>
      <c r="D884">
        <v>4101</v>
      </c>
      <c r="E884">
        <v>4965</v>
      </c>
      <c r="F884">
        <f t="shared" si="92"/>
        <v>388</v>
      </c>
      <c r="G884" s="3">
        <f t="shared" si="97"/>
        <v>884</v>
      </c>
      <c r="H884" s="4"/>
      <c r="I884" s="5">
        <v>704</v>
      </c>
      <c r="J884" s="6"/>
      <c r="K884" s="7">
        <f>M884+O884</f>
        <v>4425</v>
      </c>
      <c r="L884" s="6">
        <f t="shared" si="93"/>
        <v>388</v>
      </c>
      <c r="M884" s="7">
        <v>635</v>
      </c>
      <c r="N884" s="8">
        <f t="shared" si="94"/>
        <v>77</v>
      </c>
      <c r="O884" s="7">
        <v>3790</v>
      </c>
      <c r="P884" s="6">
        <f t="shared" si="95"/>
        <v>311</v>
      </c>
      <c r="Q884" s="9">
        <v>4375</v>
      </c>
      <c r="R884" s="6">
        <f t="shared" si="96"/>
        <v>590</v>
      </c>
      <c r="S884" s="10" t="s">
        <v>1</v>
      </c>
      <c r="T884" s="2" t="s">
        <v>1097</v>
      </c>
    </row>
    <row r="885" spans="1:20" ht="37.5" customHeight="1" x14ac:dyDescent="0.25">
      <c r="A885" s="2" t="s">
        <v>1098</v>
      </c>
      <c r="B885">
        <f t="shared" si="91"/>
        <v>16032</v>
      </c>
      <c r="C885">
        <v>2151</v>
      </c>
      <c r="D885">
        <v>13881</v>
      </c>
      <c r="F885">
        <f t="shared" si="92"/>
        <v>360</v>
      </c>
      <c r="G885" s="3">
        <f t="shared" si="97"/>
        <v>885</v>
      </c>
      <c r="H885" s="4"/>
      <c r="I885" s="5">
        <v>705</v>
      </c>
      <c r="J885" s="6"/>
      <c r="K885" s="7">
        <v>15672</v>
      </c>
      <c r="L885" s="6">
        <f t="shared" si="93"/>
        <v>360</v>
      </c>
      <c r="M885" s="7">
        <v>2103</v>
      </c>
      <c r="N885" s="8">
        <f t="shared" si="94"/>
        <v>48</v>
      </c>
      <c r="O885" s="7">
        <v>13569</v>
      </c>
      <c r="P885" s="6">
        <f t="shared" si="95"/>
        <v>312</v>
      </c>
      <c r="Q885" s="9"/>
      <c r="R885" s="6">
        <f t="shared" si="96"/>
        <v>0</v>
      </c>
      <c r="S885" s="10" t="s">
        <v>1</v>
      </c>
      <c r="T885" s="2" t="s">
        <v>1098</v>
      </c>
    </row>
    <row r="886" spans="1:20" ht="37.5" customHeight="1" x14ac:dyDescent="0.25">
      <c r="A886" s="2" t="s">
        <v>1099</v>
      </c>
      <c r="B886">
        <f t="shared" si="91"/>
        <v>25773</v>
      </c>
      <c r="C886">
        <v>3224</v>
      </c>
      <c r="D886">
        <v>22549</v>
      </c>
      <c r="F886">
        <f t="shared" si="92"/>
        <v>475</v>
      </c>
      <c r="G886" s="3">
        <f t="shared" si="97"/>
        <v>886</v>
      </c>
      <c r="H886" s="4"/>
      <c r="I886" s="5">
        <v>706</v>
      </c>
      <c r="J886" s="6"/>
      <c r="K886" s="7">
        <v>25298</v>
      </c>
      <c r="L886" s="6">
        <f t="shared" si="93"/>
        <v>475</v>
      </c>
      <c r="M886" s="7">
        <v>3173</v>
      </c>
      <c r="N886" s="8">
        <f t="shared" si="94"/>
        <v>51</v>
      </c>
      <c r="O886" s="7">
        <v>22125</v>
      </c>
      <c r="P886" s="6">
        <f t="shared" si="95"/>
        <v>424</v>
      </c>
      <c r="Q886" s="9"/>
      <c r="R886" s="6">
        <f t="shared" si="96"/>
        <v>0</v>
      </c>
      <c r="S886" s="10" t="s">
        <v>1</v>
      </c>
      <c r="T886" s="2" t="s">
        <v>1099</v>
      </c>
    </row>
    <row r="887" spans="1:20" ht="37.5" customHeight="1" x14ac:dyDescent="0.25">
      <c r="A887" s="2" t="s">
        <v>1100</v>
      </c>
      <c r="B887">
        <f t="shared" si="91"/>
        <v>30629</v>
      </c>
      <c r="C887">
        <v>7112</v>
      </c>
      <c r="D887">
        <v>23517</v>
      </c>
      <c r="F887">
        <f t="shared" si="92"/>
        <v>0</v>
      </c>
      <c r="G887" s="3">
        <f t="shared" si="97"/>
        <v>887</v>
      </c>
      <c r="H887" s="4"/>
      <c r="I887" s="5">
        <v>707</v>
      </c>
      <c r="J887" s="6"/>
      <c r="K887" s="7">
        <v>30629</v>
      </c>
      <c r="L887" s="6">
        <f t="shared" si="93"/>
        <v>0</v>
      </c>
      <c r="M887" s="7">
        <v>7112</v>
      </c>
      <c r="N887" s="8">
        <f t="shared" si="94"/>
        <v>0</v>
      </c>
      <c r="O887" s="7">
        <v>23517</v>
      </c>
      <c r="P887" s="6">
        <f t="shared" si="95"/>
        <v>0</v>
      </c>
      <c r="Q887" s="9"/>
      <c r="R887" s="6">
        <f t="shared" si="96"/>
        <v>0</v>
      </c>
      <c r="S887" s="10" t="s">
        <v>1</v>
      </c>
      <c r="T887" s="2" t="s">
        <v>1100</v>
      </c>
    </row>
    <row r="888" spans="1:20" ht="37.5" customHeight="1" x14ac:dyDescent="0.25">
      <c r="A888" s="2" t="s">
        <v>1101</v>
      </c>
      <c r="B888">
        <f t="shared" si="91"/>
        <v>10013</v>
      </c>
      <c r="C888">
        <v>1437</v>
      </c>
      <c r="D888">
        <v>8576</v>
      </c>
      <c r="F888">
        <f t="shared" si="92"/>
        <v>177</v>
      </c>
      <c r="G888" s="3">
        <f t="shared" si="97"/>
        <v>888</v>
      </c>
      <c r="H888" s="4"/>
      <c r="I888" s="5">
        <v>708</v>
      </c>
      <c r="J888" s="6"/>
      <c r="K888" s="7">
        <v>9836</v>
      </c>
      <c r="L888" s="6">
        <f t="shared" si="93"/>
        <v>177</v>
      </c>
      <c r="M888" s="7">
        <v>1422</v>
      </c>
      <c r="N888" s="8">
        <f t="shared" si="94"/>
        <v>15</v>
      </c>
      <c r="O888" s="7">
        <v>8414</v>
      </c>
      <c r="P888" s="6">
        <f t="shared" si="95"/>
        <v>162</v>
      </c>
      <c r="Q888" s="9"/>
      <c r="R888" s="6">
        <f t="shared" si="96"/>
        <v>0</v>
      </c>
      <c r="S888" s="10" t="s">
        <v>1</v>
      </c>
      <c r="T888" s="2" t="s">
        <v>1101</v>
      </c>
    </row>
    <row r="889" spans="1:20" ht="37.5" customHeight="1" x14ac:dyDescent="0.25">
      <c r="A889" s="2" t="s">
        <v>1102</v>
      </c>
      <c r="F889">
        <f t="shared" si="92"/>
        <v>-39428</v>
      </c>
      <c r="G889" s="3">
        <f t="shared" si="97"/>
        <v>889</v>
      </c>
      <c r="H889" s="4"/>
      <c r="I889" s="5">
        <v>709</v>
      </c>
      <c r="J889" s="6"/>
      <c r="K889" s="7">
        <v>39428</v>
      </c>
      <c r="L889" s="6">
        <f t="shared" si="93"/>
        <v>-39428</v>
      </c>
      <c r="M889" s="7">
        <v>6852</v>
      </c>
      <c r="N889" s="8">
        <f t="shared" si="94"/>
        <v>-6852</v>
      </c>
      <c r="O889" s="7">
        <v>32576</v>
      </c>
      <c r="P889" s="6">
        <f t="shared" si="95"/>
        <v>-32576</v>
      </c>
      <c r="Q889" s="9"/>
      <c r="R889" s="6">
        <f t="shared" si="96"/>
        <v>0</v>
      </c>
      <c r="S889" s="10" t="s">
        <v>1</v>
      </c>
      <c r="T889" s="2" t="s">
        <v>1102</v>
      </c>
    </row>
    <row r="890" spans="1:20" ht="37.5" customHeight="1" x14ac:dyDescent="0.25">
      <c r="A890" s="2" t="s">
        <v>1103</v>
      </c>
      <c r="B890">
        <f t="shared" si="91"/>
        <v>36744</v>
      </c>
      <c r="C890">
        <v>6444</v>
      </c>
      <c r="D890">
        <v>30300</v>
      </c>
      <c r="F890">
        <f t="shared" si="92"/>
        <v>401</v>
      </c>
      <c r="G890" s="3">
        <f t="shared" si="97"/>
        <v>890</v>
      </c>
      <c r="H890" s="4"/>
      <c r="I890" s="5">
        <v>710</v>
      </c>
      <c r="J890" s="6"/>
      <c r="K890" s="7">
        <v>36343</v>
      </c>
      <c r="L890" s="6">
        <f t="shared" si="93"/>
        <v>401</v>
      </c>
      <c r="M890" s="7">
        <v>6366</v>
      </c>
      <c r="N890" s="8">
        <f t="shared" si="94"/>
        <v>78</v>
      </c>
      <c r="O890" s="7">
        <v>29977</v>
      </c>
      <c r="P890" s="6">
        <f t="shared" si="95"/>
        <v>323</v>
      </c>
      <c r="Q890" s="9"/>
      <c r="R890" s="6">
        <f t="shared" si="96"/>
        <v>0</v>
      </c>
      <c r="S890" s="10" t="s">
        <v>1</v>
      </c>
      <c r="T890" s="2" t="s">
        <v>1103</v>
      </c>
    </row>
    <row r="891" spans="1:20" ht="37.5" customHeight="1" x14ac:dyDescent="0.25">
      <c r="A891" s="2" t="s">
        <v>1104</v>
      </c>
      <c r="B891">
        <f t="shared" si="91"/>
        <v>27086</v>
      </c>
      <c r="C891">
        <v>4248</v>
      </c>
      <c r="D891">
        <v>22838</v>
      </c>
      <c r="F891">
        <f t="shared" si="92"/>
        <v>301</v>
      </c>
      <c r="G891" s="3">
        <f t="shared" si="97"/>
        <v>891</v>
      </c>
      <c r="H891" s="4"/>
      <c r="I891" s="5">
        <v>711</v>
      </c>
      <c r="J891" s="6"/>
      <c r="K891" s="7">
        <v>26785</v>
      </c>
      <c r="L891" s="6">
        <f t="shared" si="93"/>
        <v>301</v>
      </c>
      <c r="M891" s="7">
        <v>4198</v>
      </c>
      <c r="N891" s="8">
        <f t="shared" si="94"/>
        <v>50</v>
      </c>
      <c r="O891" s="7">
        <v>22587</v>
      </c>
      <c r="P891" s="6">
        <f t="shared" si="95"/>
        <v>251</v>
      </c>
      <c r="Q891" s="9"/>
      <c r="R891" s="6">
        <f t="shared" si="96"/>
        <v>0</v>
      </c>
      <c r="S891" s="10" t="s">
        <v>1</v>
      </c>
      <c r="T891" s="2" t="s">
        <v>1104</v>
      </c>
    </row>
    <row r="892" spans="1:20" ht="37.5" customHeight="1" x14ac:dyDescent="0.25">
      <c r="A892" s="2" t="s">
        <v>1105</v>
      </c>
      <c r="B892">
        <f t="shared" si="91"/>
        <v>19975</v>
      </c>
      <c r="C892">
        <v>2919</v>
      </c>
      <c r="D892">
        <v>17056</v>
      </c>
      <c r="F892">
        <f t="shared" si="92"/>
        <v>172</v>
      </c>
      <c r="G892" s="3">
        <f t="shared" si="97"/>
        <v>892</v>
      </c>
      <c r="H892" s="4"/>
      <c r="I892" s="5">
        <v>712</v>
      </c>
      <c r="J892" s="6"/>
      <c r="K892" s="7">
        <v>19803</v>
      </c>
      <c r="L892" s="6">
        <f t="shared" si="93"/>
        <v>172</v>
      </c>
      <c r="M892" s="7">
        <v>2891</v>
      </c>
      <c r="N892" s="8">
        <f t="shared" si="94"/>
        <v>28</v>
      </c>
      <c r="O892" s="7">
        <v>16912</v>
      </c>
      <c r="P892" s="6">
        <f t="shared" si="95"/>
        <v>144</v>
      </c>
      <c r="Q892" s="9"/>
      <c r="R892" s="6">
        <f t="shared" si="96"/>
        <v>0</v>
      </c>
      <c r="S892" s="10" t="s">
        <v>1</v>
      </c>
      <c r="T892" s="2" t="s">
        <v>1105</v>
      </c>
    </row>
    <row r="893" spans="1:20" ht="37.5" customHeight="1" x14ac:dyDescent="0.25">
      <c r="A893" s="2" t="s">
        <v>1106</v>
      </c>
      <c r="B893">
        <f t="shared" si="91"/>
        <v>41237</v>
      </c>
      <c r="C893">
        <v>6529</v>
      </c>
      <c r="D893">
        <v>34708</v>
      </c>
      <c r="F893">
        <f t="shared" si="92"/>
        <v>467</v>
      </c>
      <c r="G893" s="3">
        <f t="shared" si="97"/>
        <v>893</v>
      </c>
      <c r="H893" s="4"/>
      <c r="I893" s="5">
        <v>713</v>
      </c>
      <c r="J893" s="6"/>
      <c r="K893" s="7">
        <v>40770</v>
      </c>
      <c r="L893" s="6">
        <f t="shared" si="93"/>
        <v>467</v>
      </c>
      <c r="M893" s="7">
        <v>6461</v>
      </c>
      <c r="N893" s="8">
        <f t="shared" si="94"/>
        <v>68</v>
      </c>
      <c r="O893" s="7">
        <v>34309</v>
      </c>
      <c r="P893" s="6">
        <f t="shared" si="95"/>
        <v>399</v>
      </c>
      <c r="Q893" s="9"/>
      <c r="R893" s="6">
        <f t="shared" si="96"/>
        <v>0</v>
      </c>
      <c r="S893" s="10" t="s">
        <v>1</v>
      </c>
      <c r="T893" s="2" t="s">
        <v>1106</v>
      </c>
    </row>
    <row r="894" spans="1:20" ht="37.5" customHeight="1" x14ac:dyDescent="0.25">
      <c r="A894" s="2" t="s">
        <v>1107</v>
      </c>
      <c r="B894">
        <f t="shared" si="91"/>
        <v>9305</v>
      </c>
      <c r="C894">
        <v>1698</v>
      </c>
      <c r="D894">
        <v>7607</v>
      </c>
      <c r="F894">
        <f t="shared" si="92"/>
        <v>244</v>
      </c>
      <c r="G894" s="3">
        <f t="shared" si="97"/>
        <v>894</v>
      </c>
      <c r="H894" s="4"/>
      <c r="I894" s="5">
        <v>714</v>
      </c>
      <c r="J894" s="6"/>
      <c r="K894" s="7">
        <v>9061</v>
      </c>
      <c r="L894" s="6">
        <f t="shared" si="93"/>
        <v>244</v>
      </c>
      <c r="M894" s="7">
        <v>1656</v>
      </c>
      <c r="N894" s="8">
        <f t="shared" si="94"/>
        <v>42</v>
      </c>
      <c r="O894" s="7">
        <v>7405</v>
      </c>
      <c r="P894" s="6">
        <f t="shared" si="95"/>
        <v>202</v>
      </c>
      <c r="Q894" s="9"/>
      <c r="R894" s="6">
        <f t="shared" si="96"/>
        <v>0</v>
      </c>
      <c r="S894" s="10" t="s">
        <v>1</v>
      </c>
      <c r="T894" s="2" t="s">
        <v>1107</v>
      </c>
    </row>
    <row r="895" spans="1:20" ht="37.5" customHeight="1" x14ac:dyDescent="0.25">
      <c r="A895" s="2" t="s">
        <v>1108</v>
      </c>
      <c r="B895">
        <f t="shared" si="91"/>
        <v>9895</v>
      </c>
      <c r="C895">
        <v>1764</v>
      </c>
      <c r="D895">
        <v>8131</v>
      </c>
      <c r="F895">
        <f t="shared" si="92"/>
        <v>311</v>
      </c>
      <c r="G895" s="3">
        <f t="shared" si="97"/>
        <v>895</v>
      </c>
      <c r="H895" s="4"/>
      <c r="I895" s="5">
        <v>715</v>
      </c>
      <c r="J895" s="6"/>
      <c r="K895" s="7">
        <v>9584</v>
      </c>
      <c r="L895" s="6">
        <f t="shared" si="93"/>
        <v>311</v>
      </c>
      <c r="M895" s="7">
        <v>1705</v>
      </c>
      <c r="N895" s="8">
        <f t="shared" si="94"/>
        <v>59</v>
      </c>
      <c r="O895" s="7">
        <v>7879</v>
      </c>
      <c r="P895" s="6">
        <f t="shared" si="95"/>
        <v>252</v>
      </c>
      <c r="Q895" s="9"/>
      <c r="R895" s="6">
        <f t="shared" si="96"/>
        <v>0</v>
      </c>
      <c r="S895" s="10" t="s">
        <v>1</v>
      </c>
      <c r="T895" s="2" t="s">
        <v>1108</v>
      </c>
    </row>
    <row r="896" spans="1:20" ht="37.5" customHeight="1" x14ac:dyDescent="0.25">
      <c r="A896" s="2" t="s">
        <v>1109</v>
      </c>
      <c r="B896">
        <f t="shared" si="91"/>
        <v>28744</v>
      </c>
      <c r="C896">
        <v>4838</v>
      </c>
      <c r="D896">
        <v>23906</v>
      </c>
      <c r="F896">
        <f t="shared" si="92"/>
        <v>213</v>
      </c>
      <c r="G896" s="3">
        <f t="shared" si="97"/>
        <v>896</v>
      </c>
      <c r="H896" s="4"/>
      <c r="I896" s="5">
        <v>716</v>
      </c>
      <c r="J896" s="6"/>
      <c r="K896" s="7">
        <v>28531</v>
      </c>
      <c r="L896" s="6">
        <f t="shared" si="93"/>
        <v>213</v>
      </c>
      <c r="M896" s="7">
        <v>4796</v>
      </c>
      <c r="N896" s="8">
        <f t="shared" si="94"/>
        <v>42</v>
      </c>
      <c r="O896" s="7">
        <v>23735</v>
      </c>
      <c r="P896" s="6">
        <f t="shared" si="95"/>
        <v>171</v>
      </c>
      <c r="Q896" s="9"/>
      <c r="R896" s="6">
        <f t="shared" si="96"/>
        <v>0</v>
      </c>
      <c r="S896" s="10" t="s">
        <v>1</v>
      </c>
      <c r="T896" s="2" t="s">
        <v>1109</v>
      </c>
    </row>
    <row r="897" spans="1:20" ht="37.5" customHeight="1" x14ac:dyDescent="0.25">
      <c r="A897" s="2" t="s">
        <v>1110</v>
      </c>
      <c r="B897">
        <f t="shared" si="91"/>
        <v>8800</v>
      </c>
      <c r="C897">
        <v>1435</v>
      </c>
      <c r="D897">
        <v>7365</v>
      </c>
      <c r="F897">
        <f t="shared" si="92"/>
        <v>220</v>
      </c>
      <c r="G897" s="3">
        <f t="shared" si="97"/>
        <v>897</v>
      </c>
      <c r="H897" s="4"/>
      <c r="I897" s="5">
        <v>717</v>
      </c>
      <c r="J897" s="6"/>
      <c r="K897" s="7">
        <v>8580</v>
      </c>
      <c r="L897" s="6">
        <f t="shared" si="93"/>
        <v>220</v>
      </c>
      <c r="M897" s="7">
        <v>1400</v>
      </c>
      <c r="N897" s="8">
        <f t="shared" si="94"/>
        <v>35</v>
      </c>
      <c r="O897" s="7">
        <v>7180</v>
      </c>
      <c r="P897" s="6">
        <f t="shared" si="95"/>
        <v>185</v>
      </c>
      <c r="Q897" s="9"/>
      <c r="R897" s="6">
        <f t="shared" si="96"/>
        <v>0</v>
      </c>
      <c r="S897" s="10" t="s">
        <v>1</v>
      </c>
      <c r="T897" s="2" t="s">
        <v>1110</v>
      </c>
    </row>
    <row r="898" spans="1:20" ht="37.5" customHeight="1" x14ac:dyDescent="0.25">
      <c r="A898" s="2" t="s">
        <v>1111</v>
      </c>
      <c r="B898">
        <f t="shared" ref="B898:B961" si="98">C898+D898</f>
        <v>53701</v>
      </c>
      <c r="C898">
        <v>11498</v>
      </c>
      <c r="D898">
        <v>42203</v>
      </c>
      <c r="F898">
        <f t="shared" ref="F898:F961" si="99">L898</f>
        <v>432</v>
      </c>
      <c r="G898" s="3">
        <f t="shared" si="97"/>
        <v>898</v>
      </c>
      <c r="H898" s="4"/>
      <c r="I898" s="5">
        <v>718</v>
      </c>
      <c r="J898" s="6"/>
      <c r="K898" s="7">
        <v>53269</v>
      </c>
      <c r="L898" s="6">
        <f t="shared" ref="L898:L961" si="100">B898-K898</f>
        <v>432</v>
      </c>
      <c r="M898" s="7">
        <v>11376</v>
      </c>
      <c r="N898" s="8">
        <f t="shared" ref="N898:N961" si="101">C898-M898</f>
        <v>122</v>
      </c>
      <c r="O898" s="7">
        <v>41893</v>
      </c>
      <c r="P898" s="6">
        <f t="shared" ref="P898:P961" si="102">D898-O898</f>
        <v>310</v>
      </c>
      <c r="Q898" s="9"/>
      <c r="R898" s="6">
        <f t="shared" ref="R898:R961" si="103">E898-Q898</f>
        <v>0</v>
      </c>
      <c r="S898" s="10" t="s">
        <v>1</v>
      </c>
      <c r="T898" s="2" t="s">
        <v>1111</v>
      </c>
    </row>
    <row r="899" spans="1:20" ht="37.5" customHeight="1" x14ac:dyDescent="0.25">
      <c r="A899" s="2" t="s">
        <v>1112</v>
      </c>
      <c r="B899">
        <f t="shared" si="98"/>
        <v>87910</v>
      </c>
      <c r="C899">
        <v>13933</v>
      </c>
      <c r="D899">
        <v>73977</v>
      </c>
      <c r="F899">
        <f t="shared" si="99"/>
        <v>839</v>
      </c>
      <c r="G899" s="3">
        <f t="shared" ref="G899:G962" si="104">G898+1</f>
        <v>899</v>
      </c>
      <c r="H899" s="4"/>
      <c r="I899" s="5">
        <v>719</v>
      </c>
      <c r="J899" s="6"/>
      <c r="K899" s="7">
        <v>87071</v>
      </c>
      <c r="L899" s="6">
        <f t="shared" si="100"/>
        <v>839</v>
      </c>
      <c r="M899" s="7">
        <v>13784</v>
      </c>
      <c r="N899" s="8">
        <f t="shared" si="101"/>
        <v>149</v>
      </c>
      <c r="O899" s="7">
        <v>73287</v>
      </c>
      <c r="P899" s="6">
        <f t="shared" si="102"/>
        <v>690</v>
      </c>
      <c r="Q899" s="9"/>
      <c r="R899" s="6">
        <f t="shared" si="103"/>
        <v>0</v>
      </c>
      <c r="S899" s="10" t="s">
        <v>1</v>
      </c>
      <c r="T899" s="2" t="s">
        <v>1112</v>
      </c>
    </row>
    <row r="900" spans="1:20" ht="37.5" customHeight="1" x14ac:dyDescent="0.25">
      <c r="A900" s="2" t="s">
        <v>1113</v>
      </c>
      <c r="B900">
        <f t="shared" si="98"/>
        <v>14139</v>
      </c>
      <c r="C900">
        <v>2762</v>
      </c>
      <c r="D900">
        <v>11377</v>
      </c>
      <c r="F900">
        <f t="shared" si="99"/>
        <v>155</v>
      </c>
      <c r="G900" s="3">
        <f t="shared" si="104"/>
        <v>900</v>
      </c>
      <c r="H900" s="4"/>
      <c r="I900" s="5" t="s">
        <v>1114</v>
      </c>
      <c r="J900" s="6"/>
      <c r="K900" s="7">
        <v>13984</v>
      </c>
      <c r="L900" s="6">
        <f t="shared" si="100"/>
        <v>155</v>
      </c>
      <c r="M900" s="7">
        <v>2731</v>
      </c>
      <c r="N900" s="8">
        <f t="shared" si="101"/>
        <v>31</v>
      </c>
      <c r="O900" s="7">
        <v>11253</v>
      </c>
      <c r="P900" s="6">
        <f t="shared" si="102"/>
        <v>124</v>
      </c>
      <c r="Q900" s="9"/>
      <c r="R900" s="6">
        <f t="shared" si="103"/>
        <v>0</v>
      </c>
      <c r="S900" s="10" t="s">
        <v>1</v>
      </c>
      <c r="T900" s="2" t="s">
        <v>1113</v>
      </c>
    </row>
    <row r="901" spans="1:20" ht="37.5" customHeight="1" x14ac:dyDescent="0.25">
      <c r="A901" s="2" t="s">
        <v>1115</v>
      </c>
      <c r="B901">
        <f t="shared" si="98"/>
        <v>50339</v>
      </c>
      <c r="C901">
        <v>8908</v>
      </c>
      <c r="D901">
        <v>41431</v>
      </c>
      <c r="F901">
        <f t="shared" si="99"/>
        <v>211</v>
      </c>
      <c r="G901" s="3">
        <f t="shared" si="104"/>
        <v>901</v>
      </c>
      <c r="H901" s="4"/>
      <c r="I901" s="5">
        <v>721</v>
      </c>
      <c r="J901" s="6"/>
      <c r="K901" s="7">
        <v>50128</v>
      </c>
      <c r="L901" s="6">
        <f t="shared" si="100"/>
        <v>211</v>
      </c>
      <c r="M901" s="7">
        <v>8890</v>
      </c>
      <c r="N901" s="8">
        <f t="shared" si="101"/>
        <v>18</v>
      </c>
      <c r="O901" s="7">
        <v>41238</v>
      </c>
      <c r="P901" s="6">
        <f t="shared" si="102"/>
        <v>193</v>
      </c>
      <c r="Q901" s="9"/>
      <c r="R901" s="6">
        <f t="shared" si="103"/>
        <v>0</v>
      </c>
      <c r="S901" s="10" t="s">
        <v>1</v>
      </c>
      <c r="T901" s="2" t="s">
        <v>1115</v>
      </c>
    </row>
    <row r="902" spans="1:20" ht="37.5" customHeight="1" x14ac:dyDescent="0.25">
      <c r="A902" s="2" t="s">
        <v>1116</v>
      </c>
      <c r="B902">
        <f t="shared" si="98"/>
        <v>15051</v>
      </c>
      <c r="C902">
        <v>2467</v>
      </c>
      <c r="D902">
        <v>12584</v>
      </c>
      <c r="F902">
        <f t="shared" si="99"/>
        <v>193</v>
      </c>
      <c r="G902" s="3">
        <f t="shared" si="104"/>
        <v>902</v>
      </c>
      <c r="H902" s="4"/>
      <c r="I902" s="5" t="s">
        <v>1117</v>
      </c>
      <c r="J902" s="6"/>
      <c r="K902" s="7">
        <v>14858</v>
      </c>
      <c r="L902" s="6">
        <f t="shared" si="100"/>
        <v>193</v>
      </c>
      <c r="M902" s="7">
        <v>2430</v>
      </c>
      <c r="N902" s="8">
        <f t="shared" si="101"/>
        <v>37</v>
      </c>
      <c r="O902" s="7">
        <v>12428</v>
      </c>
      <c r="P902" s="6">
        <f t="shared" si="102"/>
        <v>156</v>
      </c>
      <c r="Q902" s="9"/>
      <c r="R902" s="6">
        <f t="shared" si="103"/>
        <v>0</v>
      </c>
      <c r="S902" s="10" t="s">
        <v>1</v>
      </c>
      <c r="T902" s="2" t="s">
        <v>1116</v>
      </c>
    </row>
    <row r="903" spans="1:20" ht="37.5" customHeight="1" x14ac:dyDescent="0.25">
      <c r="A903" s="2" t="s">
        <v>1118</v>
      </c>
      <c r="B903">
        <f t="shared" si="98"/>
        <v>15431</v>
      </c>
      <c r="C903">
        <v>2535</v>
      </c>
      <c r="D903">
        <v>12896</v>
      </c>
      <c r="F903">
        <f t="shared" si="99"/>
        <v>191</v>
      </c>
      <c r="G903" s="3">
        <f t="shared" si="104"/>
        <v>903</v>
      </c>
      <c r="H903" s="4"/>
      <c r="I903" s="5">
        <v>722</v>
      </c>
      <c r="J903" s="6"/>
      <c r="K903" s="7">
        <v>15240</v>
      </c>
      <c r="L903" s="6">
        <f t="shared" si="100"/>
        <v>191</v>
      </c>
      <c r="M903" s="7">
        <v>2525</v>
      </c>
      <c r="N903" s="8">
        <f t="shared" si="101"/>
        <v>10</v>
      </c>
      <c r="O903" s="7">
        <v>12715</v>
      </c>
      <c r="P903" s="6">
        <f t="shared" si="102"/>
        <v>181</v>
      </c>
      <c r="Q903" s="9"/>
      <c r="R903" s="6">
        <f t="shared" si="103"/>
        <v>0</v>
      </c>
      <c r="S903" s="10" t="s">
        <v>1</v>
      </c>
      <c r="T903" s="2" t="s">
        <v>1118</v>
      </c>
    </row>
    <row r="904" spans="1:20" ht="37.5" customHeight="1" x14ac:dyDescent="0.25">
      <c r="A904" s="2" t="s">
        <v>1119</v>
      </c>
      <c r="B904">
        <f t="shared" si="98"/>
        <v>16825</v>
      </c>
      <c r="C904">
        <v>2974</v>
      </c>
      <c r="D904">
        <v>13851</v>
      </c>
      <c r="F904">
        <f t="shared" si="99"/>
        <v>131</v>
      </c>
      <c r="G904" s="3">
        <f t="shared" si="104"/>
        <v>904</v>
      </c>
      <c r="H904" s="4"/>
      <c r="I904" s="5">
        <v>723</v>
      </c>
      <c r="J904" s="6"/>
      <c r="K904" s="7">
        <v>16694</v>
      </c>
      <c r="L904" s="6">
        <f t="shared" si="100"/>
        <v>131</v>
      </c>
      <c r="M904" s="7">
        <v>2958</v>
      </c>
      <c r="N904" s="8">
        <f t="shared" si="101"/>
        <v>16</v>
      </c>
      <c r="O904" s="7">
        <v>13736</v>
      </c>
      <c r="P904" s="6">
        <f t="shared" si="102"/>
        <v>115</v>
      </c>
      <c r="Q904" s="9"/>
      <c r="R904" s="6">
        <f t="shared" si="103"/>
        <v>0</v>
      </c>
      <c r="S904" s="10" t="s">
        <v>1</v>
      </c>
      <c r="T904" s="2" t="s">
        <v>1119</v>
      </c>
    </row>
    <row r="905" spans="1:20" ht="37.5" customHeight="1" x14ac:dyDescent="0.25">
      <c r="A905" s="2" t="s">
        <v>1120</v>
      </c>
      <c r="B905">
        <f t="shared" si="98"/>
        <v>29290</v>
      </c>
      <c r="C905">
        <v>4362</v>
      </c>
      <c r="D905">
        <v>24928</v>
      </c>
      <c r="F905">
        <f t="shared" si="99"/>
        <v>295</v>
      </c>
      <c r="G905" s="3">
        <f t="shared" si="104"/>
        <v>905</v>
      </c>
      <c r="H905" s="4"/>
      <c r="I905" s="5">
        <v>724</v>
      </c>
      <c r="J905" s="6"/>
      <c r="K905" s="7">
        <v>28995</v>
      </c>
      <c r="L905" s="6">
        <f t="shared" si="100"/>
        <v>295</v>
      </c>
      <c r="M905" s="7">
        <v>4313</v>
      </c>
      <c r="N905" s="8">
        <f t="shared" si="101"/>
        <v>49</v>
      </c>
      <c r="O905" s="7">
        <v>24682</v>
      </c>
      <c r="P905" s="6">
        <f t="shared" si="102"/>
        <v>246</v>
      </c>
      <c r="Q905" s="9"/>
      <c r="R905" s="6">
        <f t="shared" si="103"/>
        <v>0</v>
      </c>
      <c r="S905" s="10" t="s">
        <v>1</v>
      </c>
      <c r="T905" s="2" t="s">
        <v>1120</v>
      </c>
    </row>
    <row r="906" spans="1:20" ht="37.5" customHeight="1" x14ac:dyDescent="0.25">
      <c r="A906" s="2" t="s">
        <v>1121</v>
      </c>
      <c r="B906">
        <f t="shared" si="98"/>
        <v>65129</v>
      </c>
      <c r="C906">
        <v>10844</v>
      </c>
      <c r="D906">
        <v>54285</v>
      </c>
      <c r="F906">
        <f t="shared" si="99"/>
        <v>450</v>
      </c>
      <c r="G906" s="3">
        <f t="shared" si="104"/>
        <v>906</v>
      </c>
      <c r="H906" s="4"/>
      <c r="I906" s="5">
        <v>725</v>
      </c>
      <c r="J906" s="6"/>
      <c r="K906" s="7">
        <v>64679</v>
      </c>
      <c r="L906" s="6">
        <f t="shared" si="100"/>
        <v>450</v>
      </c>
      <c r="M906" s="7">
        <v>10786</v>
      </c>
      <c r="N906" s="8">
        <f t="shared" si="101"/>
        <v>58</v>
      </c>
      <c r="O906" s="7">
        <v>53893</v>
      </c>
      <c r="P906" s="6">
        <f t="shared" si="102"/>
        <v>392</v>
      </c>
      <c r="Q906" s="9"/>
      <c r="R906" s="6">
        <f t="shared" si="103"/>
        <v>0</v>
      </c>
      <c r="S906" s="10" t="s">
        <v>1</v>
      </c>
      <c r="T906" s="2" t="s">
        <v>1121</v>
      </c>
    </row>
    <row r="907" spans="1:20" ht="37.5" customHeight="1" x14ac:dyDescent="0.25">
      <c r="A907" s="2" t="s">
        <v>1122</v>
      </c>
      <c r="B907">
        <f t="shared" si="98"/>
        <v>39836</v>
      </c>
      <c r="C907">
        <v>8101</v>
      </c>
      <c r="D907">
        <v>31735</v>
      </c>
      <c r="F907">
        <f t="shared" si="99"/>
        <v>204</v>
      </c>
      <c r="G907" s="3">
        <f t="shared" si="104"/>
        <v>907</v>
      </c>
      <c r="H907" s="4"/>
      <c r="I907" s="5">
        <v>726</v>
      </c>
      <c r="J907" s="6"/>
      <c r="K907" s="7">
        <v>39632</v>
      </c>
      <c r="L907" s="6">
        <f t="shared" si="100"/>
        <v>204</v>
      </c>
      <c r="M907" s="7">
        <v>8069</v>
      </c>
      <c r="N907" s="8">
        <f t="shared" si="101"/>
        <v>32</v>
      </c>
      <c r="O907" s="7">
        <v>31563</v>
      </c>
      <c r="P907" s="6">
        <f t="shared" si="102"/>
        <v>172</v>
      </c>
      <c r="Q907" s="9"/>
      <c r="R907" s="6">
        <f t="shared" si="103"/>
        <v>0</v>
      </c>
      <c r="S907" s="10" t="s">
        <v>1</v>
      </c>
      <c r="T907" s="2" t="s">
        <v>1122</v>
      </c>
    </row>
    <row r="908" spans="1:20" ht="37.5" customHeight="1" x14ac:dyDescent="0.25">
      <c r="A908" s="2" t="s">
        <v>1123</v>
      </c>
      <c r="B908">
        <f t="shared" si="98"/>
        <v>70476</v>
      </c>
      <c r="C908">
        <v>11181</v>
      </c>
      <c r="D908">
        <v>59295</v>
      </c>
      <c r="F908">
        <f t="shared" si="99"/>
        <v>370</v>
      </c>
      <c r="G908" s="3">
        <f t="shared" si="104"/>
        <v>908</v>
      </c>
      <c r="H908" s="4"/>
      <c r="I908" s="5">
        <v>727</v>
      </c>
      <c r="J908" s="6"/>
      <c r="K908" s="7">
        <v>70106</v>
      </c>
      <c r="L908" s="6">
        <f t="shared" si="100"/>
        <v>370</v>
      </c>
      <c r="M908" s="7">
        <v>11122</v>
      </c>
      <c r="N908" s="8">
        <f t="shared" si="101"/>
        <v>59</v>
      </c>
      <c r="O908" s="7">
        <v>58984</v>
      </c>
      <c r="P908" s="6">
        <f t="shared" si="102"/>
        <v>311</v>
      </c>
      <c r="Q908" s="9"/>
      <c r="R908" s="6">
        <f t="shared" si="103"/>
        <v>0</v>
      </c>
      <c r="S908" s="10" t="s">
        <v>1</v>
      </c>
      <c r="T908" s="2" t="s">
        <v>1123</v>
      </c>
    </row>
    <row r="909" spans="1:20" ht="37.5" customHeight="1" x14ac:dyDescent="0.25">
      <c r="A909" s="2" t="s">
        <v>1124</v>
      </c>
      <c r="B909">
        <f t="shared" si="98"/>
        <v>22326</v>
      </c>
      <c r="C909">
        <v>4433</v>
      </c>
      <c r="D909">
        <v>17893</v>
      </c>
      <c r="F909">
        <f t="shared" si="99"/>
        <v>449</v>
      </c>
      <c r="G909" s="3">
        <f t="shared" si="104"/>
        <v>909</v>
      </c>
      <c r="H909" s="4"/>
      <c r="I909" s="5">
        <v>728</v>
      </c>
      <c r="J909" s="6"/>
      <c r="K909" s="7">
        <v>21877</v>
      </c>
      <c r="L909" s="6">
        <f t="shared" si="100"/>
        <v>449</v>
      </c>
      <c r="M909" s="7">
        <v>4344</v>
      </c>
      <c r="N909" s="8">
        <f t="shared" si="101"/>
        <v>89</v>
      </c>
      <c r="O909" s="7">
        <v>17533</v>
      </c>
      <c r="P909" s="6">
        <f t="shared" si="102"/>
        <v>360</v>
      </c>
      <c r="Q909" s="9"/>
      <c r="R909" s="6">
        <f t="shared" si="103"/>
        <v>0</v>
      </c>
      <c r="S909" s="10" t="s">
        <v>1</v>
      </c>
      <c r="T909" s="2" t="s">
        <v>1124</v>
      </c>
    </row>
    <row r="910" spans="1:20" ht="37.5" customHeight="1" x14ac:dyDescent="0.25">
      <c r="A910" s="2" t="s">
        <v>1125</v>
      </c>
      <c r="B910">
        <f t="shared" si="98"/>
        <v>9895</v>
      </c>
      <c r="C910">
        <v>2170</v>
      </c>
      <c r="D910">
        <v>7725</v>
      </c>
      <c r="F910">
        <f t="shared" si="99"/>
        <v>182</v>
      </c>
      <c r="G910" s="3">
        <f t="shared" si="104"/>
        <v>910</v>
      </c>
      <c r="H910" s="4"/>
      <c r="I910" s="5">
        <v>729</v>
      </c>
      <c r="J910" s="6"/>
      <c r="K910" s="7">
        <v>9713</v>
      </c>
      <c r="L910" s="6">
        <f t="shared" si="100"/>
        <v>182</v>
      </c>
      <c r="M910" s="7">
        <v>2141</v>
      </c>
      <c r="N910" s="8">
        <f t="shared" si="101"/>
        <v>29</v>
      </c>
      <c r="O910" s="7">
        <v>7572</v>
      </c>
      <c r="P910" s="6">
        <f t="shared" si="102"/>
        <v>153</v>
      </c>
      <c r="Q910" s="9"/>
      <c r="R910" s="6">
        <f t="shared" si="103"/>
        <v>0</v>
      </c>
      <c r="S910" s="10" t="s">
        <v>1</v>
      </c>
      <c r="T910" s="2" t="s">
        <v>1125</v>
      </c>
    </row>
    <row r="911" spans="1:20" ht="37.5" customHeight="1" x14ac:dyDescent="0.25">
      <c r="A911" s="2" t="s">
        <v>1126</v>
      </c>
      <c r="B911">
        <f t="shared" si="98"/>
        <v>19041</v>
      </c>
      <c r="C911">
        <v>3731</v>
      </c>
      <c r="D911">
        <v>15310</v>
      </c>
      <c r="F911">
        <f t="shared" si="99"/>
        <v>240</v>
      </c>
      <c r="G911" s="3">
        <f t="shared" si="104"/>
        <v>911</v>
      </c>
      <c r="H911" s="4"/>
      <c r="I911" s="5">
        <v>730</v>
      </c>
      <c r="J911" s="6"/>
      <c r="K911" s="7">
        <v>18801</v>
      </c>
      <c r="L911" s="6">
        <f t="shared" si="100"/>
        <v>240</v>
      </c>
      <c r="M911" s="7">
        <v>3685</v>
      </c>
      <c r="N911" s="8">
        <f t="shared" si="101"/>
        <v>46</v>
      </c>
      <c r="O911" s="7">
        <v>15116</v>
      </c>
      <c r="P911" s="6">
        <f t="shared" si="102"/>
        <v>194</v>
      </c>
      <c r="Q911" s="9"/>
      <c r="R911" s="6">
        <f t="shared" si="103"/>
        <v>0</v>
      </c>
      <c r="S911" s="10" t="s">
        <v>1</v>
      </c>
      <c r="T911" s="2" t="s">
        <v>1126</v>
      </c>
    </row>
    <row r="912" spans="1:20" ht="37.5" customHeight="1" x14ac:dyDescent="0.25">
      <c r="A912" s="2" t="s">
        <v>1127</v>
      </c>
      <c r="B912">
        <f t="shared" si="98"/>
        <v>45974</v>
      </c>
      <c r="C912">
        <v>8258</v>
      </c>
      <c r="D912">
        <v>37716</v>
      </c>
      <c r="F912">
        <f t="shared" si="99"/>
        <v>249</v>
      </c>
      <c r="G912" s="3">
        <f t="shared" si="104"/>
        <v>912</v>
      </c>
      <c r="H912" s="4"/>
      <c r="I912" s="5">
        <v>731</v>
      </c>
      <c r="J912" s="6"/>
      <c r="K912" s="7">
        <v>45725</v>
      </c>
      <c r="L912" s="6">
        <f t="shared" si="100"/>
        <v>249</v>
      </c>
      <c r="M912" s="7">
        <v>8222</v>
      </c>
      <c r="N912" s="8">
        <f t="shared" si="101"/>
        <v>36</v>
      </c>
      <c r="O912" s="7">
        <v>37503</v>
      </c>
      <c r="P912" s="6">
        <f t="shared" si="102"/>
        <v>213</v>
      </c>
      <c r="Q912" s="9"/>
      <c r="R912" s="6">
        <f t="shared" si="103"/>
        <v>0</v>
      </c>
      <c r="S912" s="10" t="s">
        <v>1</v>
      </c>
      <c r="T912" s="2" t="s">
        <v>1127</v>
      </c>
    </row>
    <row r="913" spans="1:20" ht="37.5" customHeight="1" x14ac:dyDescent="0.25">
      <c r="A913" s="2" t="s">
        <v>1128</v>
      </c>
      <c r="B913">
        <f t="shared" si="98"/>
        <v>23372</v>
      </c>
      <c r="C913">
        <v>2719</v>
      </c>
      <c r="D913">
        <v>20653</v>
      </c>
      <c r="F913">
        <f t="shared" si="99"/>
        <v>419</v>
      </c>
      <c r="G913" s="3">
        <f t="shared" si="104"/>
        <v>913</v>
      </c>
      <c r="H913" s="4"/>
      <c r="I913" s="5">
        <v>732</v>
      </c>
      <c r="J913" s="6"/>
      <c r="K913" s="7">
        <v>22953</v>
      </c>
      <c r="L913" s="6">
        <f t="shared" si="100"/>
        <v>419</v>
      </c>
      <c r="M913" s="7">
        <v>2663</v>
      </c>
      <c r="N913" s="8">
        <f t="shared" si="101"/>
        <v>56</v>
      </c>
      <c r="O913" s="7">
        <v>20290</v>
      </c>
      <c r="P913" s="6">
        <f t="shared" si="102"/>
        <v>363</v>
      </c>
      <c r="Q913" s="9"/>
      <c r="R913" s="6">
        <f t="shared" si="103"/>
        <v>0</v>
      </c>
      <c r="S913" s="10" t="s">
        <v>1</v>
      </c>
      <c r="T913" s="2" t="s">
        <v>1128</v>
      </c>
    </row>
    <row r="914" spans="1:20" ht="37.5" customHeight="1" x14ac:dyDescent="0.25">
      <c r="A914" s="2" t="s">
        <v>1129</v>
      </c>
      <c r="B914">
        <f t="shared" si="98"/>
        <v>99236</v>
      </c>
      <c r="C914">
        <v>14730</v>
      </c>
      <c r="D914">
        <v>84506</v>
      </c>
      <c r="F914">
        <f t="shared" si="99"/>
        <v>501</v>
      </c>
      <c r="G914" s="3">
        <f t="shared" si="104"/>
        <v>914</v>
      </c>
      <c r="H914" s="4"/>
      <c r="I914" s="5">
        <v>733</v>
      </c>
      <c r="J914" s="6"/>
      <c r="K914" s="7">
        <v>98735</v>
      </c>
      <c r="L914" s="6">
        <f t="shared" si="100"/>
        <v>501</v>
      </c>
      <c r="M914" s="7">
        <v>14665</v>
      </c>
      <c r="N914" s="8">
        <f t="shared" si="101"/>
        <v>65</v>
      </c>
      <c r="O914" s="7">
        <v>84070</v>
      </c>
      <c r="P914" s="6">
        <f t="shared" si="102"/>
        <v>436</v>
      </c>
      <c r="Q914" s="9"/>
      <c r="R914" s="6">
        <f t="shared" si="103"/>
        <v>0</v>
      </c>
      <c r="S914" s="10" t="s">
        <v>1</v>
      </c>
      <c r="T914" s="2" t="s">
        <v>1129</v>
      </c>
    </row>
    <row r="915" spans="1:20" ht="37.5" customHeight="1" x14ac:dyDescent="0.25">
      <c r="A915" s="2" t="s">
        <v>1130</v>
      </c>
      <c r="B915">
        <f t="shared" si="98"/>
        <v>59055</v>
      </c>
      <c r="C915">
        <v>11983</v>
      </c>
      <c r="D915">
        <v>47072</v>
      </c>
      <c r="F915">
        <f t="shared" si="99"/>
        <v>273</v>
      </c>
      <c r="G915" s="3">
        <f t="shared" si="104"/>
        <v>915</v>
      </c>
      <c r="H915" s="4"/>
      <c r="I915" s="5">
        <v>734</v>
      </c>
      <c r="J915" s="6"/>
      <c r="K915" s="7">
        <v>58782</v>
      </c>
      <c r="L915" s="6">
        <f t="shared" si="100"/>
        <v>273</v>
      </c>
      <c r="M915" s="7">
        <v>11934</v>
      </c>
      <c r="N915" s="8">
        <f t="shared" si="101"/>
        <v>49</v>
      </c>
      <c r="O915" s="7">
        <v>46848</v>
      </c>
      <c r="P915" s="6">
        <f t="shared" si="102"/>
        <v>224</v>
      </c>
      <c r="Q915" s="9"/>
      <c r="R915" s="6">
        <f t="shared" si="103"/>
        <v>0</v>
      </c>
      <c r="S915" s="10" t="s">
        <v>1</v>
      </c>
      <c r="T915" s="2" t="s">
        <v>1130</v>
      </c>
    </row>
    <row r="916" spans="1:20" ht="37.5" customHeight="1" x14ac:dyDescent="0.25">
      <c r="A916" s="2" t="s">
        <v>1131</v>
      </c>
      <c r="B916">
        <f t="shared" si="98"/>
        <v>1824</v>
      </c>
      <c r="C916">
        <v>411</v>
      </c>
      <c r="D916">
        <v>1413</v>
      </c>
      <c r="E916">
        <v>3442</v>
      </c>
      <c r="F916">
        <f t="shared" si="99"/>
        <v>237</v>
      </c>
      <c r="G916" s="3">
        <f t="shared" si="104"/>
        <v>916</v>
      </c>
      <c r="H916" s="4"/>
      <c r="I916" s="5">
        <v>735</v>
      </c>
      <c r="J916" s="6"/>
      <c r="K916" s="7">
        <f>M916+O916</f>
        <v>1587</v>
      </c>
      <c r="L916" s="6">
        <f t="shared" si="100"/>
        <v>237</v>
      </c>
      <c r="M916" s="7">
        <v>347</v>
      </c>
      <c r="N916" s="8">
        <f t="shared" si="101"/>
        <v>64</v>
      </c>
      <c r="O916" s="7">
        <v>1240</v>
      </c>
      <c r="P916" s="6">
        <f t="shared" si="102"/>
        <v>173</v>
      </c>
      <c r="Q916" s="9">
        <v>2827</v>
      </c>
      <c r="R916" s="6">
        <f t="shared" si="103"/>
        <v>615</v>
      </c>
      <c r="S916" s="10" t="s">
        <v>1</v>
      </c>
      <c r="T916" s="2" t="s">
        <v>1131</v>
      </c>
    </row>
    <row r="917" spans="1:20" ht="37.5" customHeight="1" x14ac:dyDescent="0.25">
      <c r="A917" s="2" t="s">
        <v>1132</v>
      </c>
      <c r="B917">
        <f t="shared" si="98"/>
        <v>40387</v>
      </c>
      <c r="C917">
        <v>10170</v>
      </c>
      <c r="D917">
        <v>30217</v>
      </c>
      <c r="F917">
        <f t="shared" si="99"/>
        <v>295</v>
      </c>
      <c r="G917" s="3">
        <f t="shared" si="104"/>
        <v>917</v>
      </c>
      <c r="H917" s="4"/>
      <c r="I917" s="5">
        <v>736</v>
      </c>
      <c r="J917" s="6"/>
      <c r="K917" s="7">
        <v>40092</v>
      </c>
      <c r="L917" s="6">
        <f t="shared" si="100"/>
        <v>295</v>
      </c>
      <c r="M917" s="7">
        <v>10124</v>
      </c>
      <c r="N917" s="8">
        <f t="shared" si="101"/>
        <v>46</v>
      </c>
      <c r="O917" s="7">
        <v>29968</v>
      </c>
      <c r="P917" s="6">
        <f t="shared" si="102"/>
        <v>249</v>
      </c>
      <c r="Q917" s="9"/>
      <c r="R917" s="6">
        <f t="shared" si="103"/>
        <v>0</v>
      </c>
      <c r="S917" s="10" t="s">
        <v>1</v>
      </c>
      <c r="T917" s="2" t="s">
        <v>1132</v>
      </c>
    </row>
    <row r="918" spans="1:20" ht="37.5" customHeight="1" x14ac:dyDescent="0.25">
      <c r="A918" s="2" t="s">
        <v>1133</v>
      </c>
      <c r="B918">
        <f t="shared" si="98"/>
        <v>51405</v>
      </c>
      <c r="C918">
        <v>14096</v>
      </c>
      <c r="D918">
        <v>37309</v>
      </c>
      <c r="F918">
        <f t="shared" si="99"/>
        <v>140</v>
      </c>
      <c r="G918" s="3">
        <f t="shared" si="104"/>
        <v>918</v>
      </c>
      <c r="H918" s="4"/>
      <c r="I918" s="5">
        <v>737</v>
      </c>
      <c r="J918" s="6"/>
      <c r="K918" s="7">
        <v>51265</v>
      </c>
      <c r="L918" s="6">
        <f t="shared" si="100"/>
        <v>140</v>
      </c>
      <c r="M918" s="7">
        <v>14073</v>
      </c>
      <c r="N918" s="8">
        <f t="shared" si="101"/>
        <v>23</v>
      </c>
      <c r="O918" s="7">
        <v>37192</v>
      </c>
      <c r="P918" s="6">
        <f t="shared" si="102"/>
        <v>117</v>
      </c>
      <c r="Q918" s="9"/>
      <c r="R918" s="6">
        <f t="shared" si="103"/>
        <v>0</v>
      </c>
      <c r="S918" s="10" t="s">
        <v>1</v>
      </c>
      <c r="T918" s="2" t="s">
        <v>1133</v>
      </c>
    </row>
    <row r="919" spans="1:20" ht="37.5" customHeight="1" x14ac:dyDescent="0.25">
      <c r="A919" s="2" t="s">
        <v>1134</v>
      </c>
      <c r="B919">
        <f t="shared" si="98"/>
        <v>21654</v>
      </c>
      <c r="C919">
        <v>3422</v>
      </c>
      <c r="D919">
        <v>18232</v>
      </c>
      <c r="F919">
        <f t="shared" si="99"/>
        <v>124</v>
      </c>
      <c r="G919" s="3">
        <f t="shared" si="104"/>
        <v>919</v>
      </c>
      <c r="H919" s="4"/>
      <c r="I919" s="5">
        <v>738</v>
      </c>
      <c r="J919" s="6"/>
      <c r="K919" s="7">
        <v>21530</v>
      </c>
      <c r="L919" s="6">
        <f t="shared" si="100"/>
        <v>124</v>
      </c>
      <c r="M919" s="7">
        <v>3404</v>
      </c>
      <c r="N919" s="8">
        <f t="shared" si="101"/>
        <v>18</v>
      </c>
      <c r="O919" s="7">
        <v>18126</v>
      </c>
      <c r="P919" s="6">
        <f t="shared" si="102"/>
        <v>106</v>
      </c>
      <c r="Q919" s="9"/>
      <c r="R919" s="6">
        <f t="shared" si="103"/>
        <v>0</v>
      </c>
      <c r="S919" s="10" t="s">
        <v>1</v>
      </c>
      <c r="T919" s="2" t="s">
        <v>1134</v>
      </c>
    </row>
    <row r="920" spans="1:20" ht="37.5" customHeight="1" x14ac:dyDescent="0.25">
      <c r="A920" s="2" t="s">
        <v>1135</v>
      </c>
      <c r="B920">
        <f t="shared" si="98"/>
        <v>22758</v>
      </c>
      <c r="C920">
        <v>3732</v>
      </c>
      <c r="D920">
        <v>19026</v>
      </c>
      <c r="F920">
        <f t="shared" si="99"/>
        <v>153</v>
      </c>
      <c r="G920" s="3">
        <f t="shared" si="104"/>
        <v>920</v>
      </c>
      <c r="H920" s="4"/>
      <c r="I920" s="5">
        <v>739</v>
      </c>
      <c r="J920" s="6"/>
      <c r="K920" s="7">
        <v>22605</v>
      </c>
      <c r="L920" s="6">
        <f t="shared" si="100"/>
        <v>153</v>
      </c>
      <c r="M920" s="7">
        <v>3697</v>
      </c>
      <c r="N920" s="8">
        <f t="shared" si="101"/>
        <v>35</v>
      </c>
      <c r="O920" s="7">
        <v>18908</v>
      </c>
      <c r="P920" s="6">
        <f t="shared" si="102"/>
        <v>118</v>
      </c>
      <c r="Q920" s="9"/>
      <c r="R920" s="6">
        <f t="shared" si="103"/>
        <v>0</v>
      </c>
      <c r="S920" s="10" t="s">
        <v>1</v>
      </c>
      <c r="T920" s="2" t="s">
        <v>1135</v>
      </c>
    </row>
    <row r="921" spans="1:20" ht="37.5" customHeight="1" x14ac:dyDescent="0.25">
      <c r="A921" s="2" t="s">
        <v>1136</v>
      </c>
      <c r="B921">
        <f t="shared" si="98"/>
        <v>110383</v>
      </c>
      <c r="C921">
        <v>20195</v>
      </c>
      <c r="D921">
        <v>90188</v>
      </c>
      <c r="F921">
        <f t="shared" si="99"/>
        <v>196</v>
      </c>
      <c r="G921" s="3">
        <f t="shared" si="104"/>
        <v>921</v>
      </c>
      <c r="H921" s="4"/>
      <c r="I921" s="5">
        <v>740</v>
      </c>
      <c r="J921" s="6"/>
      <c r="K921" s="7">
        <v>110187</v>
      </c>
      <c r="L921" s="6">
        <f t="shared" si="100"/>
        <v>196</v>
      </c>
      <c r="M921" s="7">
        <v>20162</v>
      </c>
      <c r="N921" s="8">
        <f t="shared" si="101"/>
        <v>33</v>
      </c>
      <c r="O921" s="7">
        <v>90025</v>
      </c>
      <c r="P921" s="6">
        <f t="shared" si="102"/>
        <v>163</v>
      </c>
      <c r="Q921" s="9"/>
      <c r="R921" s="6">
        <f t="shared" si="103"/>
        <v>0</v>
      </c>
      <c r="S921" s="10" t="s">
        <v>1</v>
      </c>
      <c r="T921" s="2" t="s">
        <v>1136</v>
      </c>
    </row>
    <row r="922" spans="1:20" ht="37.5" customHeight="1" x14ac:dyDescent="0.25">
      <c r="A922" s="2" t="s">
        <v>1137</v>
      </c>
      <c r="B922">
        <f t="shared" si="98"/>
        <v>3002</v>
      </c>
      <c r="C922">
        <v>693</v>
      </c>
      <c r="D922">
        <v>2309</v>
      </c>
      <c r="E922">
        <v>4678</v>
      </c>
      <c r="F922">
        <f t="shared" si="99"/>
        <v>424</v>
      </c>
      <c r="G922" s="3">
        <f t="shared" si="104"/>
        <v>922</v>
      </c>
      <c r="H922" s="4"/>
      <c r="I922" s="5">
        <v>741</v>
      </c>
      <c r="J922" s="6"/>
      <c r="K922" s="7">
        <f>M922+O922</f>
        <v>2578</v>
      </c>
      <c r="L922" s="6">
        <f t="shared" si="100"/>
        <v>424</v>
      </c>
      <c r="M922" s="7">
        <v>605</v>
      </c>
      <c r="N922" s="8">
        <f t="shared" si="101"/>
        <v>88</v>
      </c>
      <c r="O922" s="7">
        <v>1973</v>
      </c>
      <c r="P922" s="6">
        <f t="shared" si="102"/>
        <v>336</v>
      </c>
      <c r="Q922" s="9">
        <v>3777</v>
      </c>
      <c r="R922" s="6">
        <f t="shared" si="103"/>
        <v>901</v>
      </c>
      <c r="S922" s="10" t="s">
        <v>1</v>
      </c>
      <c r="T922" s="2" t="s">
        <v>1137</v>
      </c>
    </row>
    <row r="923" spans="1:20" ht="37.5" customHeight="1" x14ac:dyDescent="0.25">
      <c r="A923" s="2" t="s">
        <v>1138</v>
      </c>
      <c r="B923">
        <f t="shared" si="98"/>
        <v>10283</v>
      </c>
      <c r="C923">
        <v>1946</v>
      </c>
      <c r="D923">
        <v>8337</v>
      </c>
      <c r="F923">
        <f t="shared" si="99"/>
        <v>59</v>
      </c>
      <c r="G923" s="3">
        <f t="shared" si="104"/>
        <v>923</v>
      </c>
      <c r="H923" s="4"/>
      <c r="I923" s="5">
        <v>742</v>
      </c>
      <c r="J923" s="6"/>
      <c r="K923" s="7">
        <v>10224</v>
      </c>
      <c r="L923" s="6">
        <f t="shared" si="100"/>
        <v>59</v>
      </c>
      <c r="M923" s="7">
        <v>1934</v>
      </c>
      <c r="N923" s="8">
        <f t="shared" si="101"/>
        <v>12</v>
      </c>
      <c r="O923" s="7">
        <v>8290</v>
      </c>
      <c r="P923" s="6">
        <f t="shared" si="102"/>
        <v>47</v>
      </c>
      <c r="Q923" s="9"/>
      <c r="R923" s="6">
        <f t="shared" si="103"/>
        <v>0</v>
      </c>
      <c r="S923" s="10" t="s">
        <v>1</v>
      </c>
      <c r="T923" s="2" t="s">
        <v>1138</v>
      </c>
    </row>
    <row r="924" spans="1:20" ht="37.5" customHeight="1" x14ac:dyDescent="0.25">
      <c r="A924" s="2" t="s">
        <v>1139</v>
      </c>
      <c r="B924">
        <f t="shared" si="98"/>
        <v>63652</v>
      </c>
      <c r="C924">
        <v>13037</v>
      </c>
      <c r="D924">
        <v>50615</v>
      </c>
      <c r="F924">
        <f t="shared" si="99"/>
        <v>217</v>
      </c>
      <c r="G924" s="3">
        <f t="shared" si="104"/>
        <v>924</v>
      </c>
      <c r="H924" s="4"/>
      <c r="I924" s="5">
        <v>743</v>
      </c>
      <c r="J924" s="6"/>
      <c r="K924" s="7">
        <v>63435</v>
      </c>
      <c r="L924" s="6">
        <f t="shared" si="100"/>
        <v>217</v>
      </c>
      <c r="M924" s="7">
        <v>13001</v>
      </c>
      <c r="N924" s="8">
        <f t="shared" si="101"/>
        <v>36</v>
      </c>
      <c r="O924" s="7">
        <v>50434</v>
      </c>
      <c r="P924" s="6">
        <f t="shared" si="102"/>
        <v>181</v>
      </c>
      <c r="Q924" s="9"/>
      <c r="R924" s="6">
        <f t="shared" si="103"/>
        <v>0</v>
      </c>
      <c r="S924" s="10" t="s">
        <v>1</v>
      </c>
      <c r="T924" s="2" t="s">
        <v>1139</v>
      </c>
    </row>
    <row r="925" spans="1:20" ht="37.5" customHeight="1" x14ac:dyDescent="0.25">
      <c r="A925" s="2" t="s">
        <v>1140</v>
      </c>
      <c r="B925">
        <f t="shared" si="98"/>
        <v>68112</v>
      </c>
      <c r="C925">
        <v>12236</v>
      </c>
      <c r="D925">
        <v>55876</v>
      </c>
      <c r="F925">
        <f t="shared" si="99"/>
        <v>115</v>
      </c>
      <c r="G925" s="3">
        <f t="shared" si="104"/>
        <v>925</v>
      </c>
      <c r="H925" s="4"/>
      <c r="I925" s="5">
        <v>744</v>
      </c>
      <c r="J925" s="6"/>
      <c r="K925" s="7">
        <v>67997</v>
      </c>
      <c r="L925" s="6">
        <f t="shared" si="100"/>
        <v>115</v>
      </c>
      <c r="M925" s="7">
        <v>12215</v>
      </c>
      <c r="N925" s="8">
        <f t="shared" si="101"/>
        <v>21</v>
      </c>
      <c r="O925" s="7">
        <v>55782</v>
      </c>
      <c r="P925" s="6">
        <f t="shared" si="102"/>
        <v>94</v>
      </c>
      <c r="Q925" s="9"/>
      <c r="R925" s="6">
        <f t="shared" si="103"/>
        <v>0</v>
      </c>
      <c r="S925" s="10" t="s">
        <v>1</v>
      </c>
      <c r="T925" s="2" t="s">
        <v>1140</v>
      </c>
    </row>
    <row r="926" spans="1:20" ht="37.5" customHeight="1" x14ac:dyDescent="0.25">
      <c r="A926" s="2" t="s">
        <v>1141</v>
      </c>
      <c r="B926">
        <f t="shared" si="98"/>
        <v>45185</v>
      </c>
      <c r="C926">
        <v>9940</v>
      </c>
      <c r="D926">
        <v>35245</v>
      </c>
      <c r="F926">
        <f t="shared" si="99"/>
        <v>131</v>
      </c>
      <c r="G926" s="3">
        <f t="shared" si="104"/>
        <v>926</v>
      </c>
      <c r="H926" s="4"/>
      <c r="I926" s="5">
        <v>745</v>
      </c>
      <c r="J926" s="6"/>
      <c r="K926" s="7">
        <v>45054</v>
      </c>
      <c r="L926" s="6">
        <f t="shared" si="100"/>
        <v>131</v>
      </c>
      <c r="M926" s="7">
        <v>9896</v>
      </c>
      <c r="N926" s="8">
        <f t="shared" si="101"/>
        <v>44</v>
      </c>
      <c r="O926" s="7">
        <v>35158</v>
      </c>
      <c r="P926" s="6">
        <f t="shared" si="102"/>
        <v>87</v>
      </c>
      <c r="Q926" s="9"/>
      <c r="R926" s="6">
        <f t="shared" si="103"/>
        <v>0</v>
      </c>
      <c r="S926" s="10" t="s">
        <v>1</v>
      </c>
      <c r="T926" s="2" t="s">
        <v>1141</v>
      </c>
    </row>
    <row r="927" spans="1:20" ht="37.5" customHeight="1" x14ac:dyDescent="0.25">
      <c r="A927" s="2" t="s">
        <v>1142</v>
      </c>
      <c r="B927">
        <f t="shared" si="98"/>
        <v>5368</v>
      </c>
      <c r="C927">
        <v>763</v>
      </c>
      <c r="D927">
        <v>4605</v>
      </c>
      <c r="F927">
        <f t="shared" si="99"/>
        <v>94</v>
      </c>
      <c r="G927" s="3">
        <f t="shared" si="104"/>
        <v>927</v>
      </c>
      <c r="H927" s="4"/>
      <c r="I927" s="5">
        <v>746</v>
      </c>
      <c r="J927" s="6"/>
      <c r="K927" s="7">
        <v>5274</v>
      </c>
      <c r="L927" s="6">
        <f t="shared" si="100"/>
        <v>94</v>
      </c>
      <c r="M927" s="7">
        <v>743</v>
      </c>
      <c r="N927" s="8">
        <f t="shared" si="101"/>
        <v>20</v>
      </c>
      <c r="O927" s="7">
        <v>4531</v>
      </c>
      <c r="P927" s="6">
        <f t="shared" si="102"/>
        <v>74</v>
      </c>
      <c r="Q927" s="9"/>
      <c r="R927" s="6">
        <f t="shared" si="103"/>
        <v>0</v>
      </c>
      <c r="S927" s="10" t="s">
        <v>1</v>
      </c>
      <c r="T927" s="2" t="s">
        <v>1142</v>
      </c>
    </row>
    <row r="928" spans="1:20" ht="37.5" customHeight="1" x14ac:dyDescent="0.25">
      <c r="A928" s="2" t="s">
        <v>1143</v>
      </c>
      <c r="B928">
        <f t="shared" si="98"/>
        <v>8710</v>
      </c>
      <c r="C928">
        <v>1505</v>
      </c>
      <c r="D928">
        <v>7205</v>
      </c>
      <c r="F928">
        <f t="shared" si="99"/>
        <v>156</v>
      </c>
      <c r="G928" s="3">
        <f t="shared" si="104"/>
        <v>928</v>
      </c>
      <c r="H928" s="4"/>
      <c r="I928" s="5">
        <v>747</v>
      </c>
      <c r="J928" s="6"/>
      <c r="K928" s="7">
        <v>8554</v>
      </c>
      <c r="L928" s="6">
        <f t="shared" si="100"/>
        <v>156</v>
      </c>
      <c r="M928" s="7">
        <v>1480</v>
      </c>
      <c r="N928" s="8">
        <f t="shared" si="101"/>
        <v>25</v>
      </c>
      <c r="O928" s="7">
        <v>7074</v>
      </c>
      <c r="P928" s="6">
        <f t="shared" si="102"/>
        <v>131</v>
      </c>
      <c r="Q928" s="9"/>
      <c r="R928" s="6">
        <f t="shared" si="103"/>
        <v>0</v>
      </c>
      <c r="S928" s="10" t="s">
        <v>1</v>
      </c>
      <c r="T928" s="2" t="s">
        <v>1143</v>
      </c>
    </row>
    <row r="929" spans="1:20" ht="37.5" customHeight="1" x14ac:dyDescent="0.25">
      <c r="A929" s="2" t="s">
        <v>1144</v>
      </c>
      <c r="B929">
        <f t="shared" si="98"/>
        <v>5693</v>
      </c>
      <c r="C929">
        <v>1152</v>
      </c>
      <c r="D929">
        <v>4541</v>
      </c>
      <c r="F929">
        <f t="shared" si="99"/>
        <v>0</v>
      </c>
      <c r="G929" s="3">
        <f t="shared" si="104"/>
        <v>929</v>
      </c>
      <c r="H929" s="4"/>
      <c r="I929" s="5">
        <v>748</v>
      </c>
      <c r="J929" s="6"/>
      <c r="K929" s="7">
        <v>5693</v>
      </c>
      <c r="L929" s="6">
        <f t="shared" si="100"/>
        <v>0</v>
      </c>
      <c r="M929" s="7">
        <v>1152</v>
      </c>
      <c r="N929" s="8">
        <f t="shared" si="101"/>
        <v>0</v>
      </c>
      <c r="O929" s="7">
        <v>4541</v>
      </c>
      <c r="P929" s="6">
        <f t="shared" si="102"/>
        <v>0</v>
      </c>
      <c r="Q929" s="9"/>
      <c r="R929" s="6">
        <f t="shared" si="103"/>
        <v>0</v>
      </c>
      <c r="S929" s="10" t="s">
        <v>1</v>
      </c>
      <c r="T929" s="2" t="s">
        <v>1144</v>
      </c>
    </row>
    <row r="930" spans="1:20" ht="37.5" customHeight="1" x14ac:dyDescent="0.25">
      <c r="A930" s="2" t="s">
        <v>1145</v>
      </c>
      <c r="B930">
        <f t="shared" si="98"/>
        <v>7147</v>
      </c>
      <c r="C930">
        <v>914</v>
      </c>
      <c r="D930">
        <v>6233</v>
      </c>
      <c r="F930">
        <f t="shared" si="99"/>
        <v>105</v>
      </c>
      <c r="G930" s="3">
        <f t="shared" si="104"/>
        <v>930</v>
      </c>
      <c r="H930" s="4"/>
      <c r="I930" s="5">
        <v>749</v>
      </c>
      <c r="J930" s="6"/>
      <c r="K930" s="7">
        <v>7042</v>
      </c>
      <c r="L930" s="6">
        <f t="shared" si="100"/>
        <v>105</v>
      </c>
      <c r="M930" s="7">
        <v>893</v>
      </c>
      <c r="N930" s="8">
        <f t="shared" si="101"/>
        <v>21</v>
      </c>
      <c r="O930" s="7">
        <v>6149</v>
      </c>
      <c r="P930" s="6">
        <f t="shared" si="102"/>
        <v>84</v>
      </c>
      <c r="Q930" s="9"/>
      <c r="R930" s="6">
        <f t="shared" si="103"/>
        <v>0</v>
      </c>
      <c r="S930" s="10" t="s">
        <v>1</v>
      </c>
      <c r="T930" s="2" t="s">
        <v>1145</v>
      </c>
    </row>
    <row r="931" spans="1:20" ht="37.5" customHeight="1" x14ac:dyDescent="0.25">
      <c r="A931" s="2" t="s">
        <v>1146</v>
      </c>
      <c r="B931">
        <f t="shared" si="98"/>
        <v>61349</v>
      </c>
      <c r="C931">
        <v>13738</v>
      </c>
      <c r="D931">
        <v>47611</v>
      </c>
      <c r="F931">
        <f t="shared" si="99"/>
        <v>166</v>
      </c>
      <c r="G931" s="3">
        <f t="shared" si="104"/>
        <v>931</v>
      </c>
      <c r="H931" s="4"/>
      <c r="I931" s="5">
        <v>750</v>
      </c>
      <c r="J931" s="6"/>
      <c r="K931" s="7">
        <v>61183</v>
      </c>
      <c r="L931" s="6">
        <f t="shared" si="100"/>
        <v>166</v>
      </c>
      <c r="M931" s="7">
        <v>13707</v>
      </c>
      <c r="N931" s="8">
        <f t="shared" si="101"/>
        <v>31</v>
      </c>
      <c r="O931" s="7">
        <v>47476</v>
      </c>
      <c r="P931" s="6">
        <f t="shared" si="102"/>
        <v>135</v>
      </c>
      <c r="Q931" s="9"/>
      <c r="R931" s="6">
        <f t="shared" si="103"/>
        <v>0</v>
      </c>
      <c r="S931" s="10" t="s">
        <v>1</v>
      </c>
      <c r="T931" s="2" t="s">
        <v>1146</v>
      </c>
    </row>
    <row r="932" spans="1:20" ht="37.5" customHeight="1" x14ac:dyDescent="0.25">
      <c r="A932" s="2" t="s">
        <v>1147</v>
      </c>
      <c r="B932">
        <f t="shared" si="98"/>
        <v>51282</v>
      </c>
      <c r="C932">
        <v>12543</v>
      </c>
      <c r="D932">
        <v>38739</v>
      </c>
      <c r="F932">
        <f t="shared" si="99"/>
        <v>153</v>
      </c>
      <c r="G932" s="3">
        <f t="shared" si="104"/>
        <v>932</v>
      </c>
      <c r="H932" s="4"/>
      <c r="I932" s="5">
        <v>751</v>
      </c>
      <c r="J932" s="6"/>
      <c r="K932" s="7">
        <v>51129</v>
      </c>
      <c r="L932" s="6">
        <f t="shared" si="100"/>
        <v>153</v>
      </c>
      <c r="M932" s="7">
        <v>12514</v>
      </c>
      <c r="N932" s="8">
        <f t="shared" si="101"/>
        <v>29</v>
      </c>
      <c r="O932" s="7">
        <v>38615</v>
      </c>
      <c r="P932" s="6">
        <f t="shared" si="102"/>
        <v>124</v>
      </c>
      <c r="Q932" s="9"/>
      <c r="R932" s="6">
        <f t="shared" si="103"/>
        <v>0</v>
      </c>
      <c r="S932" s="10" t="s">
        <v>1</v>
      </c>
      <c r="T932" s="2" t="s">
        <v>1147</v>
      </c>
    </row>
    <row r="933" spans="1:20" ht="37.5" customHeight="1" x14ac:dyDescent="0.25">
      <c r="A933" s="2" t="s">
        <v>1148</v>
      </c>
      <c r="B933">
        <f t="shared" si="98"/>
        <v>17759</v>
      </c>
      <c r="C933">
        <v>1974</v>
      </c>
      <c r="D933">
        <v>15785</v>
      </c>
      <c r="F933">
        <f t="shared" si="99"/>
        <v>9</v>
      </c>
      <c r="G933" s="3">
        <f t="shared" si="104"/>
        <v>933</v>
      </c>
      <c r="H933" s="4"/>
      <c r="I933" s="5">
        <v>752</v>
      </c>
      <c r="J933" s="6"/>
      <c r="K933" s="7">
        <v>17750</v>
      </c>
      <c r="L933" s="6">
        <f t="shared" si="100"/>
        <v>9</v>
      </c>
      <c r="M933" s="7">
        <v>1972</v>
      </c>
      <c r="N933" s="8">
        <f t="shared" si="101"/>
        <v>2</v>
      </c>
      <c r="O933" s="7">
        <v>15778</v>
      </c>
      <c r="P933" s="6">
        <f t="shared" si="102"/>
        <v>7</v>
      </c>
      <c r="Q933" s="9"/>
      <c r="R933" s="6">
        <f t="shared" si="103"/>
        <v>0</v>
      </c>
      <c r="S933" s="10" t="s">
        <v>1</v>
      </c>
      <c r="T933" s="2" t="s">
        <v>1148</v>
      </c>
    </row>
    <row r="934" spans="1:20" ht="37.5" customHeight="1" x14ac:dyDescent="0.25">
      <c r="A934" s="2" t="s">
        <v>1149</v>
      </c>
      <c r="B934">
        <f t="shared" si="98"/>
        <v>79680</v>
      </c>
      <c r="C934">
        <v>20850</v>
      </c>
      <c r="D934">
        <v>58830</v>
      </c>
      <c r="F934">
        <f t="shared" si="99"/>
        <v>6</v>
      </c>
      <c r="G934" s="3">
        <f t="shared" si="104"/>
        <v>934</v>
      </c>
      <c r="H934" s="4"/>
      <c r="I934" s="5">
        <v>753</v>
      </c>
      <c r="J934" s="6"/>
      <c r="K934" s="7">
        <v>79674</v>
      </c>
      <c r="L934" s="6">
        <f t="shared" si="100"/>
        <v>6</v>
      </c>
      <c r="M934" s="7">
        <v>20817</v>
      </c>
      <c r="N934" s="8">
        <f t="shared" si="101"/>
        <v>33</v>
      </c>
      <c r="O934" s="7">
        <v>58857</v>
      </c>
      <c r="P934" s="6">
        <f t="shared" si="102"/>
        <v>-27</v>
      </c>
      <c r="Q934" s="9"/>
      <c r="R934" s="6">
        <f t="shared" si="103"/>
        <v>0</v>
      </c>
      <c r="S934" s="10" t="s">
        <v>1</v>
      </c>
      <c r="T934" s="2" t="s">
        <v>1149</v>
      </c>
    </row>
    <row r="935" spans="1:20" ht="37.5" customHeight="1" x14ac:dyDescent="0.25">
      <c r="A935" s="2" t="s">
        <v>1150</v>
      </c>
      <c r="B935">
        <f t="shared" si="98"/>
        <v>69506</v>
      </c>
      <c r="C935">
        <v>16050</v>
      </c>
      <c r="D935">
        <v>53456</v>
      </c>
      <c r="F935">
        <f t="shared" si="99"/>
        <v>189</v>
      </c>
      <c r="G935" s="3">
        <f t="shared" si="104"/>
        <v>935</v>
      </c>
      <c r="H935" s="4"/>
      <c r="I935" s="5">
        <v>754</v>
      </c>
      <c r="J935" s="6"/>
      <c r="K935" s="7">
        <v>69317</v>
      </c>
      <c r="L935" s="6">
        <f t="shared" si="100"/>
        <v>189</v>
      </c>
      <c r="M935" s="7">
        <v>16013</v>
      </c>
      <c r="N935" s="8">
        <f t="shared" si="101"/>
        <v>37</v>
      </c>
      <c r="O935" s="7">
        <v>53304</v>
      </c>
      <c r="P935" s="6">
        <f t="shared" si="102"/>
        <v>152</v>
      </c>
      <c r="Q935" s="9"/>
      <c r="R935" s="6">
        <f t="shared" si="103"/>
        <v>0</v>
      </c>
      <c r="S935" s="10" t="s">
        <v>1</v>
      </c>
      <c r="T935" s="2" t="s">
        <v>1150</v>
      </c>
    </row>
    <row r="936" spans="1:20" ht="37.5" customHeight="1" x14ac:dyDescent="0.25">
      <c r="A936" s="2" t="s">
        <v>1151</v>
      </c>
      <c r="B936">
        <f t="shared" si="98"/>
        <v>65064</v>
      </c>
      <c r="C936">
        <v>10932</v>
      </c>
      <c r="D936">
        <v>54132</v>
      </c>
      <c r="F936">
        <f t="shared" si="99"/>
        <v>208</v>
      </c>
      <c r="G936" s="3">
        <f t="shared" si="104"/>
        <v>936</v>
      </c>
      <c r="H936" s="4"/>
      <c r="I936" s="5">
        <v>755</v>
      </c>
      <c r="J936" s="6"/>
      <c r="K936" s="7">
        <v>64856</v>
      </c>
      <c r="L936" s="6">
        <f t="shared" si="100"/>
        <v>208</v>
      </c>
      <c r="M936" s="7">
        <v>10901</v>
      </c>
      <c r="N936" s="8">
        <f t="shared" si="101"/>
        <v>31</v>
      </c>
      <c r="O936" s="7">
        <v>53955</v>
      </c>
      <c r="P936" s="6">
        <f t="shared" si="102"/>
        <v>177</v>
      </c>
      <c r="Q936" s="9"/>
      <c r="R936" s="6">
        <f t="shared" si="103"/>
        <v>0</v>
      </c>
      <c r="S936" s="10" t="s">
        <v>1</v>
      </c>
      <c r="T936" s="2" t="s">
        <v>1151</v>
      </c>
    </row>
    <row r="937" spans="1:20" ht="37.5" customHeight="1" x14ac:dyDescent="0.25">
      <c r="A937" s="2" t="s">
        <v>1152</v>
      </c>
      <c r="B937">
        <f t="shared" si="98"/>
        <v>62626</v>
      </c>
      <c r="C937">
        <v>12229</v>
      </c>
      <c r="D937">
        <v>50397</v>
      </c>
      <c r="F937">
        <f t="shared" si="99"/>
        <v>385</v>
      </c>
      <c r="G937" s="3">
        <f t="shared" si="104"/>
        <v>937</v>
      </c>
      <c r="H937" s="4"/>
      <c r="I937" s="5">
        <v>756</v>
      </c>
      <c r="J937" s="6"/>
      <c r="K937" s="7">
        <v>62241</v>
      </c>
      <c r="L937" s="6">
        <f t="shared" si="100"/>
        <v>385</v>
      </c>
      <c r="M937" s="7">
        <v>12171</v>
      </c>
      <c r="N937" s="8">
        <f t="shared" si="101"/>
        <v>58</v>
      </c>
      <c r="O937" s="7">
        <v>50070</v>
      </c>
      <c r="P937" s="6">
        <f t="shared" si="102"/>
        <v>327</v>
      </c>
      <c r="Q937" s="9"/>
      <c r="R937" s="6">
        <f t="shared" si="103"/>
        <v>0</v>
      </c>
      <c r="S937" s="10" t="s">
        <v>1</v>
      </c>
      <c r="T937" s="2" t="s">
        <v>1152</v>
      </c>
    </row>
    <row r="938" spans="1:20" ht="37.5" customHeight="1" x14ac:dyDescent="0.25">
      <c r="A938" s="2" t="s">
        <v>1153</v>
      </c>
      <c r="B938">
        <f t="shared" si="98"/>
        <v>34237</v>
      </c>
      <c r="C938">
        <v>7069</v>
      </c>
      <c r="D938">
        <v>27168</v>
      </c>
      <c r="F938">
        <f t="shared" si="99"/>
        <v>110</v>
      </c>
      <c r="G938" s="3">
        <f t="shared" si="104"/>
        <v>938</v>
      </c>
      <c r="H938" s="4"/>
      <c r="I938" s="5">
        <v>757</v>
      </c>
      <c r="J938" s="6"/>
      <c r="K938" s="7">
        <v>34127</v>
      </c>
      <c r="L938" s="6">
        <f t="shared" si="100"/>
        <v>110</v>
      </c>
      <c r="M938" s="7">
        <v>7051</v>
      </c>
      <c r="N938" s="8">
        <f t="shared" si="101"/>
        <v>18</v>
      </c>
      <c r="O938" s="7">
        <v>27076</v>
      </c>
      <c r="P938" s="6">
        <f t="shared" si="102"/>
        <v>92</v>
      </c>
      <c r="Q938" s="9"/>
      <c r="R938" s="6">
        <f t="shared" si="103"/>
        <v>0</v>
      </c>
      <c r="S938" s="10" t="s">
        <v>1</v>
      </c>
      <c r="T938" s="2" t="s">
        <v>1153</v>
      </c>
    </row>
    <row r="939" spans="1:20" ht="37.5" customHeight="1" x14ac:dyDescent="0.25">
      <c r="A939" s="2" t="s">
        <v>1154</v>
      </c>
      <c r="B939">
        <f t="shared" si="98"/>
        <v>32863</v>
      </c>
      <c r="C939">
        <v>8598</v>
      </c>
      <c r="D939">
        <v>24265</v>
      </c>
      <c r="F939">
        <f t="shared" si="99"/>
        <v>28</v>
      </c>
      <c r="G939" s="3">
        <f t="shared" si="104"/>
        <v>939</v>
      </c>
      <c r="H939" s="4"/>
      <c r="I939" s="5">
        <v>758</v>
      </c>
      <c r="J939" s="6"/>
      <c r="K939" s="7">
        <v>32835</v>
      </c>
      <c r="L939" s="6">
        <f t="shared" si="100"/>
        <v>28</v>
      </c>
      <c r="M939" s="7">
        <v>8595</v>
      </c>
      <c r="N939" s="8">
        <f t="shared" si="101"/>
        <v>3</v>
      </c>
      <c r="O939" s="7">
        <v>24240</v>
      </c>
      <c r="P939" s="6">
        <f t="shared" si="102"/>
        <v>25</v>
      </c>
      <c r="Q939" s="9"/>
      <c r="R939" s="6">
        <f t="shared" si="103"/>
        <v>0</v>
      </c>
      <c r="S939" s="10" t="s">
        <v>1</v>
      </c>
      <c r="T939" s="2" t="s">
        <v>1154</v>
      </c>
    </row>
    <row r="940" spans="1:20" ht="37.5" customHeight="1" x14ac:dyDescent="0.25">
      <c r="A940" s="2" t="s">
        <v>1155</v>
      </c>
      <c r="B940">
        <f t="shared" si="98"/>
        <v>68122</v>
      </c>
      <c r="C940">
        <v>22279</v>
      </c>
      <c r="D940">
        <v>45843</v>
      </c>
      <c r="F940">
        <f t="shared" si="99"/>
        <v>2</v>
      </c>
      <c r="G940" s="3">
        <f t="shared" si="104"/>
        <v>940</v>
      </c>
      <c r="H940" s="4"/>
      <c r="I940" s="5">
        <v>759</v>
      </c>
      <c r="J940" s="6"/>
      <c r="K940" s="7">
        <v>68120</v>
      </c>
      <c r="L940" s="6">
        <f t="shared" si="100"/>
        <v>2</v>
      </c>
      <c r="M940" s="7">
        <v>22279</v>
      </c>
      <c r="N940" s="8">
        <f t="shared" si="101"/>
        <v>0</v>
      </c>
      <c r="O940" s="7">
        <v>45841</v>
      </c>
      <c r="P940" s="6">
        <f t="shared" si="102"/>
        <v>2</v>
      </c>
      <c r="Q940" s="9"/>
      <c r="R940" s="6">
        <f t="shared" si="103"/>
        <v>0</v>
      </c>
      <c r="S940" s="10" t="s">
        <v>1</v>
      </c>
      <c r="T940" s="2" t="s">
        <v>1155</v>
      </c>
    </row>
    <row r="941" spans="1:20" ht="37.5" customHeight="1" x14ac:dyDescent="0.25">
      <c r="A941" s="2" t="s">
        <v>1156</v>
      </c>
      <c r="B941">
        <f t="shared" si="98"/>
        <v>12923</v>
      </c>
      <c r="C941">
        <v>2316</v>
      </c>
      <c r="D941">
        <v>10607</v>
      </c>
      <c r="F941">
        <f t="shared" si="99"/>
        <v>325</v>
      </c>
      <c r="G941" s="3">
        <f t="shared" si="104"/>
        <v>941</v>
      </c>
      <c r="H941" s="4"/>
      <c r="I941" s="5">
        <v>760</v>
      </c>
      <c r="J941" s="6"/>
      <c r="K941" s="7">
        <v>12598</v>
      </c>
      <c r="L941" s="6">
        <f t="shared" si="100"/>
        <v>325</v>
      </c>
      <c r="M941" s="7">
        <v>2266</v>
      </c>
      <c r="N941" s="8">
        <f t="shared" si="101"/>
        <v>50</v>
      </c>
      <c r="O941" s="7">
        <v>10332</v>
      </c>
      <c r="P941" s="6">
        <f t="shared" si="102"/>
        <v>275</v>
      </c>
      <c r="Q941" s="9"/>
      <c r="R941" s="6">
        <f t="shared" si="103"/>
        <v>0</v>
      </c>
      <c r="S941" s="10" t="s">
        <v>1</v>
      </c>
      <c r="T941" s="2" t="s">
        <v>1156</v>
      </c>
    </row>
    <row r="942" spans="1:20" ht="37.5" customHeight="1" x14ac:dyDescent="0.25">
      <c r="A942" s="2" t="s">
        <v>1157</v>
      </c>
      <c r="B942">
        <f t="shared" si="98"/>
        <v>20508</v>
      </c>
      <c r="C942">
        <v>3604</v>
      </c>
      <c r="D942">
        <v>16904</v>
      </c>
      <c r="F942">
        <f t="shared" si="99"/>
        <v>187</v>
      </c>
      <c r="G942" s="3">
        <f t="shared" si="104"/>
        <v>942</v>
      </c>
      <c r="H942" s="4"/>
      <c r="I942" s="5">
        <v>761</v>
      </c>
      <c r="J942" s="6"/>
      <c r="K942" s="7">
        <v>20321</v>
      </c>
      <c r="L942" s="6">
        <f t="shared" si="100"/>
        <v>187</v>
      </c>
      <c r="M942" s="7">
        <v>3569</v>
      </c>
      <c r="N942" s="8">
        <f t="shared" si="101"/>
        <v>35</v>
      </c>
      <c r="O942" s="7">
        <v>16752</v>
      </c>
      <c r="P942" s="6">
        <f t="shared" si="102"/>
        <v>152</v>
      </c>
      <c r="Q942" s="9"/>
      <c r="R942" s="6">
        <f t="shared" si="103"/>
        <v>0</v>
      </c>
      <c r="S942" s="10" t="s">
        <v>1</v>
      </c>
      <c r="T942" s="2" t="s">
        <v>1157</v>
      </c>
    </row>
    <row r="943" spans="1:20" ht="37.5" customHeight="1" x14ac:dyDescent="0.25">
      <c r="A943" s="2" t="s">
        <v>1158</v>
      </c>
      <c r="B943">
        <f t="shared" si="98"/>
        <v>57305</v>
      </c>
      <c r="C943">
        <v>11730</v>
      </c>
      <c r="D943">
        <v>45575</v>
      </c>
      <c r="F943">
        <f t="shared" si="99"/>
        <v>85</v>
      </c>
      <c r="G943" s="3">
        <f t="shared" si="104"/>
        <v>943</v>
      </c>
      <c r="H943" s="4"/>
      <c r="I943" s="5">
        <v>762</v>
      </c>
      <c r="J943" s="6"/>
      <c r="K943" s="7">
        <v>57220</v>
      </c>
      <c r="L943" s="6">
        <f t="shared" si="100"/>
        <v>85</v>
      </c>
      <c r="M943" s="7">
        <v>11718</v>
      </c>
      <c r="N943" s="8">
        <f t="shared" si="101"/>
        <v>12</v>
      </c>
      <c r="O943" s="7">
        <v>45502</v>
      </c>
      <c r="P943" s="6">
        <f t="shared" si="102"/>
        <v>73</v>
      </c>
      <c r="Q943" s="9"/>
      <c r="R943" s="6">
        <f t="shared" si="103"/>
        <v>0</v>
      </c>
      <c r="S943" s="10" t="s">
        <v>1</v>
      </c>
      <c r="T943" s="2" t="s">
        <v>1158</v>
      </c>
    </row>
    <row r="944" spans="1:20" ht="37.5" customHeight="1" x14ac:dyDescent="0.25">
      <c r="A944" s="2" t="s">
        <v>1159</v>
      </c>
      <c r="B944">
        <f t="shared" si="98"/>
        <v>3307</v>
      </c>
      <c r="C944">
        <v>346</v>
      </c>
      <c r="D944">
        <v>2961</v>
      </c>
      <c r="F944">
        <f t="shared" si="99"/>
        <v>277</v>
      </c>
      <c r="G944" s="3">
        <f t="shared" si="104"/>
        <v>944</v>
      </c>
      <c r="H944" s="4"/>
      <c r="I944" s="5" t="s">
        <v>1160</v>
      </c>
      <c r="J944" s="6"/>
      <c r="K944" s="7">
        <v>3030</v>
      </c>
      <c r="L944" s="6">
        <f t="shared" si="100"/>
        <v>277</v>
      </c>
      <c r="M944" s="7">
        <v>345</v>
      </c>
      <c r="N944" s="8">
        <f t="shared" si="101"/>
        <v>1</v>
      </c>
      <c r="O944" s="7">
        <v>2685</v>
      </c>
      <c r="P944" s="6">
        <f t="shared" si="102"/>
        <v>276</v>
      </c>
      <c r="Q944" s="9"/>
      <c r="R944" s="6">
        <f t="shared" si="103"/>
        <v>0</v>
      </c>
      <c r="S944" s="10" t="s">
        <v>1</v>
      </c>
      <c r="T944" s="2" t="s">
        <v>1159</v>
      </c>
    </row>
    <row r="945" spans="1:20" ht="37.5" customHeight="1" x14ac:dyDescent="0.25">
      <c r="A945" s="2" t="s">
        <v>1161</v>
      </c>
      <c r="B945">
        <f t="shared" si="98"/>
        <v>48542</v>
      </c>
      <c r="C945">
        <v>10656</v>
      </c>
      <c r="D945">
        <v>37886</v>
      </c>
      <c r="F945">
        <f t="shared" si="99"/>
        <v>140</v>
      </c>
      <c r="G945" s="3">
        <f t="shared" si="104"/>
        <v>945</v>
      </c>
      <c r="H945" s="4"/>
      <c r="I945" s="5">
        <v>763</v>
      </c>
      <c r="J945" s="6"/>
      <c r="K945" s="7">
        <v>48402</v>
      </c>
      <c r="L945" s="6">
        <f t="shared" si="100"/>
        <v>140</v>
      </c>
      <c r="M945" s="7">
        <v>10637</v>
      </c>
      <c r="N945" s="8">
        <f t="shared" si="101"/>
        <v>19</v>
      </c>
      <c r="O945" s="7">
        <v>37765</v>
      </c>
      <c r="P945" s="6">
        <f t="shared" si="102"/>
        <v>121</v>
      </c>
      <c r="Q945" s="9"/>
      <c r="R945" s="6">
        <f t="shared" si="103"/>
        <v>0</v>
      </c>
      <c r="S945" s="10" t="s">
        <v>1</v>
      </c>
      <c r="T945" s="2" t="s">
        <v>1161</v>
      </c>
    </row>
    <row r="946" spans="1:20" ht="37.5" customHeight="1" x14ac:dyDescent="0.25">
      <c r="A946" s="2" t="s">
        <v>1162</v>
      </c>
      <c r="B946">
        <f t="shared" si="98"/>
        <v>18377</v>
      </c>
      <c r="C946">
        <v>3190</v>
      </c>
      <c r="D946">
        <v>15187</v>
      </c>
      <c r="F946">
        <f t="shared" si="99"/>
        <v>486</v>
      </c>
      <c r="G946" s="3">
        <f t="shared" si="104"/>
        <v>946</v>
      </c>
      <c r="H946" s="4"/>
      <c r="I946" s="5" t="s">
        <v>1163</v>
      </c>
      <c r="J946" s="6"/>
      <c r="K946" s="7">
        <v>17891</v>
      </c>
      <c r="L946" s="6">
        <f t="shared" si="100"/>
        <v>486</v>
      </c>
      <c r="M946" s="7">
        <v>3118</v>
      </c>
      <c r="N946" s="8">
        <f t="shared" si="101"/>
        <v>72</v>
      </c>
      <c r="O946" s="7">
        <v>14773</v>
      </c>
      <c r="P946" s="6">
        <f t="shared" si="102"/>
        <v>414</v>
      </c>
      <c r="Q946" s="9"/>
      <c r="R946" s="6">
        <f t="shared" si="103"/>
        <v>0</v>
      </c>
      <c r="S946" s="10" t="s">
        <v>1</v>
      </c>
      <c r="T946" s="2" t="s">
        <v>1162</v>
      </c>
    </row>
    <row r="947" spans="1:20" ht="37.5" customHeight="1" x14ac:dyDescent="0.25">
      <c r="A947" s="2" t="s">
        <v>1164</v>
      </c>
      <c r="B947">
        <f t="shared" si="98"/>
        <v>59248</v>
      </c>
      <c r="C947">
        <v>13847</v>
      </c>
      <c r="D947">
        <v>45401</v>
      </c>
      <c r="F947">
        <f t="shared" si="99"/>
        <v>212</v>
      </c>
      <c r="G947" s="3">
        <f t="shared" si="104"/>
        <v>947</v>
      </c>
      <c r="H947" s="4"/>
      <c r="I947" s="5">
        <v>764</v>
      </c>
      <c r="J947" s="6"/>
      <c r="K947" s="7">
        <v>59036</v>
      </c>
      <c r="L947" s="6">
        <f t="shared" si="100"/>
        <v>212</v>
      </c>
      <c r="M947" s="7">
        <v>13812</v>
      </c>
      <c r="N947" s="8">
        <f t="shared" si="101"/>
        <v>35</v>
      </c>
      <c r="O947" s="7">
        <v>45224</v>
      </c>
      <c r="P947" s="6">
        <f t="shared" si="102"/>
        <v>177</v>
      </c>
      <c r="Q947" s="9"/>
      <c r="R947" s="6">
        <f t="shared" si="103"/>
        <v>0</v>
      </c>
      <c r="S947" s="10" t="s">
        <v>1</v>
      </c>
      <c r="T947" s="2" t="s">
        <v>1164</v>
      </c>
    </row>
    <row r="948" spans="1:20" ht="37.5" customHeight="1" x14ac:dyDescent="0.25">
      <c r="A948" s="2" t="s">
        <v>1165</v>
      </c>
      <c r="B948">
        <f t="shared" si="98"/>
        <v>49558</v>
      </c>
      <c r="C948">
        <v>8152</v>
      </c>
      <c r="D948">
        <v>41406</v>
      </c>
      <c r="F948">
        <f t="shared" si="99"/>
        <v>83</v>
      </c>
      <c r="G948" s="3">
        <f t="shared" si="104"/>
        <v>948</v>
      </c>
      <c r="H948" s="4"/>
      <c r="I948" s="5">
        <v>765</v>
      </c>
      <c r="J948" s="6"/>
      <c r="K948" s="7">
        <v>49475</v>
      </c>
      <c r="L948" s="6">
        <f t="shared" si="100"/>
        <v>83</v>
      </c>
      <c r="M948" s="7">
        <v>8138</v>
      </c>
      <c r="N948" s="8">
        <f t="shared" si="101"/>
        <v>14</v>
      </c>
      <c r="O948" s="7">
        <v>41337</v>
      </c>
      <c r="P948" s="6">
        <f t="shared" si="102"/>
        <v>69</v>
      </c>
      <c r="Q948" s="9"/>
      <c r="R948" s="6">
        <f t="shared" si="103"/>
        <v>0</v>
      </c>
      <c r="S948" s="10" t="s">
        <v>1</v>
      </c>
      <c r="T948" s="2" t="s">
        <v>1165</v>
      </c>
    </row>
    <row r="949" spans="1:20" ht="37.5" customHeight="1" x14ac:dyDescent="0.25">
      <c r="A949" s="2" t="s">
        <v>1166</v>
      </c>
      <c r="B949">
        <f t="shared" si="98"/>
        <v>61423</v>
      </c>
      <c r="C949">
        <v>11447</v>
      </c>
      <c r="D949">
        <v>49976</v>
      </c>
      <c r="F949">
        <f t="shared" si="99"/>
        <v>400</v>
      </c>
      <c r="G949" s="3">
        <f t="shared" si="104"/>
        <v>949</v>
      </c>
      <c r="H949" s="4"/>
      <c r="I949" s="5">
        <v>766</v>
      </c>
      <c r="J949" s="6"/>
      <c r="K949" s="7">
        <v>61023</v>
      </c>
      <c r="L949" s="6">
        <f t="shared" si="100"/>
        <v>400</v>
      </c>
      <c r="M949" s="7">
        <v>11384</v>
      </c>
      <c r="N949" s="8">
        <f t="shared" si="101"/>
        <v>63</v>
      </c>
      <c r="O949" s="7">
        <v>49639</v>
      </c>
      <c r="P949" s="6">
        <f t="shared" si="102"/>
        <v>337</v>
      </c>
      <c r="Q949" s="9"/>
      <c r="R949" s="6">
        <f t="shared" si="103"/>
        <v>0</v>
      </c>
      <c r="S949" s="10" t="s">
        <v>1</v>
      </c>
      <c r="T949" s="2" t="s">
        <v>1166</v>
      </c>
    </row>
    <row r="950" spans="1:20" ht="37.5" customHeight="1" x14ac:dyDescent="0.25">
      <c r="A950" s="2" t="s">
        <v>1167</v>
      </c>
      <c r="B950">
        <f t="shared" si="98"/>
        <v>10068</v>
      </c>
      <c r="C950">
        <v>1793</v>
      </c>
      <c r="D950">
        <v>8275</v>
      </c>
      <c r="F950">
        <f t="shared" si="99"/>
        <v>147</v>
      </c>
      <c r="G950" s="3">
        <f t="shared" si="104"/>
        <v>950</v>
      </c>
      <c r="H950" s="4"/>
      <c r="I950" s="5">
        <v>767</v>
      </c>
      <c r="J950" s="6"/>
      <c r="K950" s="7">
        <v>9921</v>
      </c>
      <c r="L950" s="6">
        <f t="shared" si="100"/>
        <v>147</v>
      </c>
      <c r="M950" s="7">
        <v>1768</v>
      </c>
      <c r="N950" s="8">
        <f t="shared" si="101"/>
        <v>25</v>
      </c>
      <c r="O950" s="7">
        <v>8153</v>
      </c>
      <c r="P950" s="6">
        <f t="shared" si="102"/>
        <v>122</v>
      </c>
      <c r="Q950" s="9"/>
      <c r="R950" s="6">
        <f t="shared" si="103"/>
        <v>0</v>
      </c>
      <c r="S950" s="10" t="s">
        <v>1</v>
      </c>
      <c r="T950" s="2" t="s">
        <v>1167</v>
      </c>
    </row>
    <row r="951" spans="1:20" ht="37.5" customHeight="1" x14ac:dyDescent="0.25">
      <c r="A951" s="2" t="s">
        <v>1168</v>
      </c>
      <c r="B951">
        <f t="shared" si="98"/>
        <v>59263</v>
      </c>
      <c r="C951">
        <v>10371</v>
      </c>
      <c r="D951">
        <v>48892</v>
      </c>
      <c r="F951">
        <f t="shared" si="99"/>
        <v>275</v>
      </c>
      <c r="G951" s="3">
        <f t="shared" si="104"/>
        <v>951</v>
      </c>
      <c r="H951" s="4"/>
      <c r="I951" s="5">
        <v>768</v>
      </c>
      <c r="J951" s="6"/>
      <c r="K951" s="7">
        <v>58988</v>
      </c>
      <c r="L951" s="6">
        <f t="shared" si="100"/>
        <v>275</v>
      </c>
      <c r="M951" s="7">
        <v>10320</v>
      </c>
      <c r="N951" s="8">
        <f t="shared" si="101"/>
        <v>51</v>
      </c>
      <c r="O951" s="7">
        <v>48668</v>
      </c>
      <c r="P951" s="6">
        <f t="shared" si="102"/>
        <v>224</v>
      </c>
      <c r="Q951" s="9"/>
      <c r="R951" s="6">
        <f t="shared" si="103"/>
        <v>0</v>
      </c>
      <c r="S951" s="10" t="s">
        <v>1</v>
      </c>
      <c r="T951" s="2" t="s">
        <v>1168</v>
      </c>
    </row>
    <row r="952" spans="1:20" ht="37.5" customHeight="1" x14ac:dyDescent="0.25">
      <c r="A952" s="2" t="s">
        <v>1169</v>
      </c>
      <c r="B952">
        <f t="shared" si="98"/>
        <v>9851</v>
      </c>
      <c r="C952">
        <v>1430</v>
      </c>
      <c r="D952">
        <v>8421</v>
      </c>
      <c r="F952">
        <f t="shared" si="99"/>
        <v>119</v>
      </c>
      <c r="G952" s="3">
        <f t="shared" si="104"/>
        <v>952</v>
      </c>
      <c r="H952" s="4"/>
      <c r="I952" s="5">
        <v>769</v>
      </c>
      <c r="J952" s="6"/>
      <c r="K952" s="7">
        <v>9732</v>
      </c>
      <c r="L952" s="6">
        <f t="shared" si="100"/>
        <v>119</v>
      </c>
      <c r="M952" s="7">
        <v>1408</v>
      </c>
      <c r="N952" s="8">
        <f t="shared" si="101"/>
        <v>22</v>
      </c>
      <c r="O952" s="7">
        <v>8324</v>
      </c>
      <c r="P952" s="6">
        <f t="shared" si="102"/>
        <v>97</v>
      </c>
      <c r="Q952" s="9"/>
      <c r="R952" s="6">
        <f t="shared" si="103"/>
        <v>0</v>
      </c>
      <c r="S952" s="10" t="s">
        <v>1</v>
      </c>
      <c r="T952" s="2" t="s">
        <v>1169</v>
      </c>
    </row>
    <row r="953" spans="1:20" ht="37.5" customHeight="1" x14ac:dyDescent="0.25">
      <c r="A953" s="2" t="s">
        <v>1170</v>
      </c>
      <c r="B953">
        <f t="shared" si="98"/>
        <v>89936</v>
      </c>
      <c r="C953">
        <v>18932</v>
      </c>
      <c r="D953">
        <v>71004</v>
      </c>
      <c r="F953">
        <f t="shared" si="99"/>
        <v>33</v>
      </c>
      <c r="G953" s="3">
        <f t="shared" si="104"/>
        <v>953</v>
      </c>
      <c r="H953" s="4"/>
      <c r="I953" s="5">
        <v>770</v>
      </c>
      <c r="J953" s="6"/>
      <c r="K953" s="7">
        <v>89903</v>
      </c>
      <c r="L953" s="6">
        <f t="shared" si="100"/>
        <v>33</v>
      </c>
      <c r="M953" s="7">
        <v>18927</v>
      </c>
      <c r="N953" s="8">
        <f t="shared" si="101"/>
        <v>5</v>
      </c>
      <c r="O953" s="7">
        <v>70976</v>
      </c>
      <c r="P953" s="6">
        <f t="shared" si="102"/>
        <v>28</v>
      </c>
      <c r="Q953" s="9"/>
      <c r="R953" s="6">
        <f t="shared" si="103"/>
        <v>0</v>
      </c>
      <c r="S953" s="10" t="s">
        <v>1</v>
      </c>
      <c r="T953" s="2" t="s">
        <v>1170</v>
      </c>
    </row>
    <row r="954" spans="1:20" ht="37.5" customHeight="1" x14ac:dyDescent="0.25">
      <c r="A954" s="2" t="s">
        <v>1171</v>
      </c>
      <c r="B954">
        <f t="shared" si="98"/>
        <v>48802</v>
      </c>
      <c r="C954">
        <v>8877</v>
      </c>
      <c r="D954">
        <v>39925</v>
      </c>
      <c r="F954">
        <f t="shared" si="99"/>
        <v>162</v>
      </c>
      <c r="G954" s="3">
        <f t="shared" si="104"/>
        <v>954</v>
      </c>
      <c r="H954" s="4"/>
      <c r="I954" s="5">
        <v>771</v>
      </c>
      <c r="J954" s="6"/>
      <c r="K954" s="7">
        <v>48640</v>
      </c>
      <c r="L954" s="6">
        <f t="shared" si="100"/>
        <v>162</v>
      </c>
      <c r="M954" s="7">
        <v>8855</v>
      </c>
      <c r="N954" s="8">
        <f t="shared" si="101"/>
        <v>22</v>
      </c>
      <c r="O954" s="7">
        <v>39785</v>
      </c>
      <c r="P954" s="6">
        <f t="shared" si="102"/>
        <v>140</v>
      </c>
      <c r="Q954" s="9"/>
      <c r="R954" s="6">
        <f t="shared" si="103"/>
        <v>0</v>
      </c>
      <c r="S954" s="10" t="s">
        <v>1</v>
      </c>
      <c r="T954" s="2" t="s">
        <v>1171</v>
      </c>
    </row>
    <row r="955" spans="1:20" ht="37.5" customHeight="1" x14ac:dyDescent="0.25">
      <c r="A955" s="2" t="s">
        <v>1172</v>
      </c>
      <c r="B955">
        <f t="shared" si="98"/>
        <v>54059</v>
      </c>
      <c r="C955">
        <v>11495</v>
      </c>
      <c r="D955">
        <v>42564</v>
      </c>
      <c r="F955">
        <f t="shared" si="99"/>
        <v>161</v>
      </c>
      <c r="G955" s="3">
        <f t="shared" si="104"/>
        <v>955</v>
      </c>
      <c r="H955" s="4"/>
      <c r="I955" s="5">
        <v>772</v>
      </c>
      <c r="J955" s="6"/>
      <c r="K955" s="7">
        <v>53898</v>
      </c>
      <c r="L955" s="6">
        <f t="shared" si="100"/>
        <v>161</v>
      </c>
      <c r="M955" s="7">
        <v>11471</v>
      </c>
      <c r="N955" s="8">
        <f t="shared" si="101"/>
        <v>24</v>
      </c>
      <c r="O955" s="7">
        <v>42427</v>
      </c>
      <c r="P955" s="6">
        <f t="shared" si="102"/>
        <v>137</v>
      </c>
      <c r="Q955" s="9"/>
      <c r="R955" s="6">
        <f t="shared" si="103"/>
        <v>0</v>
      </c>
      <c r="S955" s="10" t="s">
        <v>1</v>
      </c>
      <c r="T955" s="2" t="s">
        <v>1172</v>
      </c>
    </row>
    <row r="956" spans="1:20" ht="37.5" customHeight="1" x14ac:dyDescent="0.25">
      <c r="A956" s="2" t="s">
        <v>1173</v>
      </c>
      <c r="B956">
        <f t="shared" si="98"/>
        <v>55666</v>
      </c>
      <c r="C956">
        <v>11989</v>
      </c>
      <c r="D956">
        <v>43677</v>
      </c>
      <c r="F956">
        <f t="shared" si="99"/>
        <v>91</v>
      </c>
      <c r="G956" s="3">
        <f t="shared" si="104"/>
        <v>956</v>
      </c>
      <c r="H956" s="4"/>
      <c r="I956" s="5">
        <v>773</v>
      </c>
      <c r="J956" s="6"/>
      <c r="K956" s="7">
        <v>55575</v>
      </c>
      <c r="L956" s="6">
        <f t="shared" si="100"/>
        <v>91</v>
      </c>
      <c r="M956" s="7">
        <v>11973</v>
      </c>
      <c r="N956" s="8">
        <f t="shared" si="101"/>
        <v>16</v>
      </c>
      <c r="O956" s="7">
        <v>43602</v>
      </c>
      <c r="P956" s="6">
        <f t="shared" si="102"/>
        <v>75</v>
      </c>
      <c r="Q956" s="9"/>
      <c r="R956" s="6">
        <f t="shared" si="103"/>
        <v>0</v>
      </c>
      <c r="S956" s="10" t="s">
        <v>1</v>
      </c>
      <c r="T956" s="2" t="s">
        <v>1173</v>
      </c>
    </row>
    <row r="957" spans="1:20" ht="37.5" customHeight="1" x14ac:dyDescent="0.25">
      <c r="A957" s="2" t="s">
        <v>1174</v>
      </c>
      <c r="B957">
        <f t="shared" si="98"/>
        <v>54651</v>
      </c>
      <c r="C957">
        <v>10605</v>
      </c>
      <c r="D957">
        <v>44046</v>
      </c>
      <c r="F957">
        <f t="shared" si="99"/>
        <v>159</v>
      </c>
      <c r="G957" s="3">
        <f t="shared" si="104"/>
        <v>957</v>
      </c>
      <c r="H957" s="4"/>
      <c r="I957" s="5">
        <v>774</v>
      </c>
      <c r="J957" s="6"/>
      <c r="K957" s="7">
        <v>54492</v>
      </c>
      <c r="L957" s="6">
        <f t="shared" si="100"/>
        <v>159</v>
      </c>
      <c r="M957" s="7">
        <v>10582</v>
      </c>
      <c r="N957" s="8">
        <f t="shared" si="101"/>
        <v>23</v>
      </c>
      <c r="O957" s="7">
        <v>43910</v>
      </c>
      <c r="P957" s="6">
        <f t="shared" si="102"/>
        <v>136</v>
      </c>
      <c r="Q957" s="9"/>
      <c r="R957" s="6">
        <f t="shared" si="103"/>
        <v>0</v>
      </c>
      <c r="S957" s="10" t="s">
        <v>1</v>
      </c>
      <c r="T957" s="2" t="s">
        <v>1174</v>
      </c>
    </row>
    <row r="958" spans="1:20" ht="37.5" customHeight="1" x14ac:dyDescent="0.25">
      <c r="A958" s="2" t="s">
        <v>1175</v>
      </c>
      <c r="B958">
        <f t="shared" si="98"/>
        <v>61286</v>
      </c>
      <c r="C958">
        <v>14211</v>
      </c>
      <c r="D958">
        <v>47075</v>
      </c>
      <c r="F958">
        <f t="shared" si="99"/>
        <v>233</v>
      </c>
      <c r="G958" s="3">
        <f t="shared" si="104"/>
        <v>958</v>
      </c>
      <c r="H958" s="4"/>
      <c r="I958" s="5">
        <v>775</v>
      </c>
      <c r="J958" s="6"/>
      <c r="K958" s="7">
        <v>61053</v>
      </c>
      <c r="L958" s="6">
        <f t="shared" si="100"/>
        <v>233</v>
      </c>
      <c r="M958" s="7">
        <v>14175</v>
      </c>
      <c r="N958" s="8">
        <f t="shared" si="101"/>
        <v>36</v>
      </c>
      <c r="O958" s="7">
        <v>46878</v>
      </c>
      <c r="P958" s="6">
        <f t="shared" si="102"/>
        <v>197</v>
      </c>
      <c r="Q958" s="9"/>
      <c r="R958" s="6">
        <f t="shared" si="103"/>
        <v>0</v>
      </c>
      <c r="S958" s="10" t="s">
        <v>1</v>
      </c>
      <c r="T958" s="2" t="s">
        <v>1175</v>
      </c>
    </row>
    <row r="959" spans="1:20" ht="37.5" customHeight="1" x14ac:dyDescent="0.25">
      <c r="A959" s="2" t="s">
        <v>1176</v>
      </c>
      <c r="B959">
        <f t="shared" si="98"/>
        <v>32093</v>
      </c>
      <c r="C959">
        <v>6122</v>
      </c>
      <c r="D959">
        <v>25971</v>
      </c>
      <c r="F959">
        <f t="shared" si="99"/>
        <v>136</v>
      </c>
      <c r="G959" s="3">
        <f t="shared" si="104"/>
        <v>959</v>
      </c>
      <c r="H959" s="4"/>
      <c r="I959" s="5">
        <v>776</v>
      </c>
      <c r="J959" s="6"/>
      <c r="K959" s="7">
        <v>31957</v>
      </c>
      <c r="L959" s="6">
        <f t="shared" si="100"/>
        <v>136</v>
      </c>
      <c r="M959" s="7">
        <v>6100</v>
      </c>
      <c r="N959" s="8">
        <f t="shared" si="101"/>
        <v>22</v>
      </c>
      <c r="O959" s="7">
        <v>25857</v>
      </c>
      <c r="P959" s="6">
        <f t="shared" si="102"/>
        <v>114</v>
      </c>
      <c r="Q959" s="9"/>
      <c r="R959" s="6">
        <f t="shared" si="103"/>
        <v>0</v>
      </c>
      <c r="S959" s="10" t="s">
        <v>1</v>
      </c>
      <c r="T959" s="2" t="s">
        <v>1176</v>
      </c>
    </row>
    <row r="960" spans="1:20" ht="37.5" customHeight="1" x14ac:dyDescent="0.25">
      <c r="A960" s="2" t="s">
        <v>1177</v>
      </c>
      <c r="B960">
        <f t="shared" si="98"/>
        <v>11070</v>
      </c>
      <c r="C960">
        <v>2012</v>
      </c>
      <c r="D960">
        <v>9058</v>
      </c>
      <c r="F960">
        <f t="shared" si="99"/>
        <v>249</v>
      </c>
      <c r="G960" s="3">
        <f t="shared" si="104"/>
        <v>960</v>
      </c>
      <c r="H960" s="4"/>
      <c r="I960" s="5">
        <v>777</v>
      </c>
      <c r="J960" s="6"/>
      <c r="K960" s="7">
        <v>10821</v>
      </c>
      <c r="L960" s="6">
        <f t="shared" si="100"/>
        <v>249</v>
      </c>
      <c r="M960" s="7">
        <v>1969</v>
      </c>
      <c r="N960" s="8">
        <f t="shared" si="101"/>
        <v>43</v>
      </c>
      <c r="O960" s="7">
        <v>8852</v>
      </c>
      <c r="P960" s="6">
        <f t="shared" si="102"/>
        <v>206</v>
      </c>
      <c r="Q960" s="9"/>
      <c r="R960" s="6">
        <f t="shared" si="103"/>
        <v>0</v>
      </c>
      <c r="S960" s="10" t="s">
        <v>1</v>
      </c>
      <c r="T960" s="2" t="s">
        <v>1177</v>
      </c>
    </row>
    <row r="961" spans="1:20" ht="37.5" customHeight="1" x14ac:dyDescent="0.25">
      <c r="A961" s="2" t="s">
        <v>1178</v>
      </c>
      <c r="B961">
        <f t="shared" si="98"/>
        <v>80287</v>
      </c>
      <c r="C961">
        <v>22138</v>
      </c>
      <c r="D961">
        <v>58149</v>
      </c>
      <c r="F961">
        <f t="shared" si="99"/>
        <v>264</v>
      </c>
      <c r="G961" s="3">
        <f t="shared" si="104"/>
        <v>961</v>
      </c>
      <c r="H961" s="4"/>
      <c r="I961" s="5">
        <v>778</v>
      </c>
      <c r="J961" s="6"/>
      <c r="K961" s="7">
        <v>80023</v>
      </c>
      <c r="L961" s="6">
        <f t="shared" si="100"/>
        <v>264</v>
      </c>
      <c r="M961" s="7">
        <v>22096</v>
      </c>
      <c r="N961" s="8">
        <f t="shared" si="101"/>
        <v>42</v>
      </c>
      <c r="O961" s="7">
        <v>57927</v>
      </c>
      <c r="P961" s="6">
        <f t="shared" si="102"/>
        <v>222</v>
      </c>
      <c r="Q961" s="9"/>
      <c r="R961" s="6">
        <f t="shared" si="103"/>
        <v>0</v>
      </c>
      <c r="S961" s="10" t="s">
        <v>1</v>
      </c>
      <c r="T961" s="2" t="s">
        <v>1178</v>
      </c>
    </row>
    <row r="962" spans="1:20" ht="37.5" customHeight="1" x14ac:dyDescent="0.25">
      <c r="A962" s="2" t="s">
        <v>1179</v>
      </c>
      <c r="B962">
        <f t="shared" ref="B962:B1025" si="105">C962+D962</f>
        <v>37413</v>
      </c>
      <c r="C962">
        <v>5624</v>
      </c>
      <c r="D962">
        <v>31789</v>
      </c>
      <c r="F962">
        <f t="shared" ref="F962:F1025" si="106">L962</f>
        <v>64</v>
      </c>
      <c r="G962" s="3">
        <f t="shared" si="104"/>
        <v>962</v>
      </c>
      <c r="H962" s="4"/>
      <c r="I962" s="5">
        <v>779</v>
      </c>
      <c r="J962" s="6"/>
      <c r="K962" s="7">
        <v>37349</v>
      </c>
      <c r="L962" s="6">
        <f t="shared" ref="L962:L1025" si="107">B962-K962</f>
        <v>64</v>
      </c>
      <c r="M962" s="7">
        <v>5587</v>
      </c>
      <c r="N962" s="8">
        <f t="shared" ref="N962:N1025" si="108">C962-M962</f>
        <v>37</v>
      </c>
      <c r="O962" s="7">
        <v>31762</v>
      </c>
      <c r="P962" s="6">
        <f t="shared" ref="P962:P1025" si="109">D962-O962</f>
        <v>27</v>
      </c>
      <c r="Q962" s="9"/>
      <c r="R962" s="6">
        <f t="shared" ref="R962:R1025" si="110">E962-Q962</f>
        <v>0</v>
      </c>
      <c r="S962" s="10" t="s">
        <v>1</v>
      </c>
      <c r="T962" s="2" t="s">
        <v>1179</v>
      </c>
    </row>
    <row r="963" spans="1:20" ht="37.5" customHeight="1" x14ac:dyDescent="0.25">
      <c r="A963" s="2" t="s">
        <v>1180</v>
      </c>
      <c r="B963">
        <f t="shared" si="105"/>
        <v>29736</v>
      </c>
      <c r="C963">
        <v>5733</v>
      </c>
      <c r="D963">
        <v>24003</v>
      </c>
      <c r="F963">
        <f t="shared" si="106"/>
        <v>202</v>
      </c>
      <c r="G963" s="3">
        <f t="shared" ref="G963:G1026" si="111">G962+1</f>
        <v>963</v>
      </c>
      <c r="H963" s="4"/>
      <c r="I963" s="5">
        <v>780</v>
      </c>
      <c r="J963" s="6"/>
      <c r="K963" s="7">
        <v>29534</v>
      </c>
      <c r="L963" s="6">
        <f t="shared" si="107"/>
        <v>202</v>
      </c>
      <c r="M963" s="7">
        <v>5701</v>
      </c>
      <c r="N963" s="8">
        <f t="shared" si="108"/>
        <v>32</v>
      </c>
      <c r="O963" s="7">
        <v>23833</v>
      </c>
      <c r="P963" s="6">
        <f t="shared" si="109"/>
        <v>170</v>
      </c>
      <c r="Q963" s="9"/>
      <c r="R963" s="6">
        <f t="shared" si="110"/>
        <v>0</v>
      </c>
      <c r="S963" s="10" t="s">
        <v>1</v>
      </c>
      <c r="T963" s="2" t="s">
        <v>1180</v>
      </c>
    </row>
    <row r="964" spans="1:20" ht="37.5" customHeight="1" x14ac:dyDescent="0.25">
      <c r="A964" s="2" t="s">
        <v>1181</v>
      </c>
      <c r="B964">
        <f t="shared" si="105"/>
        <v>37641</v>
      </c>
      <c r="C964">
        <v>6983</v>
      </c>
      <c r="D964">
        <v>30658</v>
      </c>
      <c r="F964">
        <f t="shared" si="106"/>
        <v>356</v>
      </c>
      <c r="G964" s="3">
        <f t="shared" si="111"/>
        <v>964</v>
      </c>
      <c r="H964" s="4"/>
      <c r="I964" s="5">
        <v>781</v>
      </c>
      <c r="J964" s="6"/>
      <c r="K964" s="7">
        <v>37285</v>
      </c>
      <c r="L964" s="6">
        <f t="shared" si="107"/>
        <v>356</v>
      </c>
      <c r="M964" s="7">
        <v>6933</v>
      </c>
      <c r="N964" s="8">
        <f t="shared" si="108"/>
        <v>50</v>
      </c>
      <c r="O964" s="7">
        <v>30352</v>
      </c>
      <c r="P964" s="6">
        <f t="shared" si="109"/>
        <v>306</v>
      </c>
      <c r="Q964" s="9"/>
      <c r="R964" s="6">
        <f t="shared" si="110"/>
        <v>0</v>
      </c>
      <c r="S964" s="10" t="s">
        <v>1</v>
      </c>
      <c r="T964" s="2" t="s">
        <v>1181</v>
      </c>
    </row>
    <row r="965" spans="1:20" ht="37.5" customHeight="1" x14ac:dyDescent="0.25">
      <c r="A965" s="2" t="s">
        <v>1182</v>
      </c>
      <c r="B965">
        <f t="shared" si="105"/>
        <v>72549</v>
      </c>
      <c r="C965">
        <v>13621</v>
      </c>
      <c r="D965">
        <v>58928</v>
      </c>
      <c r="F965">
        <f t="shared" si="106"/>
        <v>209</v>
      </c>
      <c r="G965" s="3">
        <f t="shared" si="111"/>
        <v>965</v>
      </c>
      <c r="H965" s="4"/>
      <c r="I965" s="5">
        <v>782</v>
      </c>
      <c r="J965" s="6"/>
      <c r="K965" s="7">
        <v>72340</v>
      </c>
      <c r="L965" s="6">
        <f t="shared" si="107"/>
        <v>209</v>
      </c>
      <c r="M965" s="7">
        <v>13593</v>
      </c>
      <c r="N965" s="8">
        <f t="shared" si="108"/>
        <v>28</v>
      </c>
      <c r="O965" s="7">
        <v>58747</v>
      </c>
      <c r="P965" s="6">
        <f t="shared" si="109"/>
        <v>181</v>
      </c>
      <c r="Q965" s="9"/>
      <c r="R965" s="6">
        <f t="shared" si="110"/>
        <v>0</v>
      </c>
      <c r="S965" s="10" t="s">
        <v>1</v>
      </c>
      <c r="T965" s="2" t="s">
        <v>1182</v>
      </c>
    </row>
    <row r="966" spans="1:20" ht="37.5" customHeight="1" x14ac:dyDescent="0.25">
      <c r="A966" s="2" t="s">
        <v>1183</v>
      </c>
      <c r="B966">
        <f t="shared" si="105"/>
        <v>54112</v>
      </c>
      <c r="C966">
        <v>10636</v>
      </c>
      <c r="D966">
        <v>43476</v>
      </c>
      <c r="F966">
        <f t="shared" si="106"/>
        <v>277</v>
      </c>
      <c r="G966" s="3">
        <f t="shared" si="111"/>
        <v>966</v>
      </c>
      <c r="H966" s="4"/>
      <c r="I966" s="5">
        <v>783</v>
      </c>
      <c r="J966" s="6"/>
      <c r="K966" s="7">
        <v>53835</v>
      </c>
      <c r="L966" s="6">
        <f t="shared" si="107"/>
        <v>277</v>
      </c>
      <c r="M966" s="7">
        <v>10593</v>
      </c>
      <c r="N966" s="8">
        <f t="shared" si="108"/>
        <v>43</v>
      </c>
      <c r="O966" s="7">
        <v>43242</v>
      </c>
      <c r="P966" s="6">
        <f t="shared" si="109"/>
        <v>234</v>
      </c>
      <c r="Q966" s="9"/>
      <c r="R966" s="6">
        <f t="shared" si="110"/>
        <v>0</v>
      </c>
      <c r="S966" s="10" t="s">
        <v>1</v>
      </c>
      <c r="T966" s="2" t="s">
        <v>1183</v>
      </c>
    </row>
    <row r="967" spans="1:20" ht="37.5" customHeight="1" x14ac:dyDescent="0.25">
      <c r="A967" s="2" t="s">
        <v>1184</v>
      </c>
      <c r="B967">
        <f t="shared" si="105"/>
        <v>17761</v>
      </c>
      <c r="C967">
        <v>3021</v>
      </c>
      <c r="D967">
        <v>14740</v>
      </c>
      <c r="F967">
        <f t="shared" si="106"/>
        <v>328</v>
      </c>
      <c r="G967" s="3">
        <f t="shared" si="111"/>
        <v>967</v>
      </c>
      <c r="H967" s="4"/>
      <c r="I967" s="5">
        <v>784</v>
      </c>
      <c r="J967" s="6"/>
      <c r="K967" s="7">
        <v>17433</v>
      </c>
      <c r="L967" s="6">
        <f t="shared" si="107"/>
        <v>328</v>
      </c>
      <c r="M967" s="7">
        <v>2963</v>
      </c>
      <c r="N967" s="8">
        <f t="shared" si="108"/>
        <v>58</v>
      </c>
      <c r="O967" s="7">
        <v>14470</v>
      </c>
      <c r="P967" s="6">
        <f t="shared" si="109"/>
        <v>270</v>
      </c>
      <c r="Q967" s="9"/>
      <c r="R967" s="6">
        <f t="shared" si="110"/>
        <v>0</v>
      </c>
      <c r="S967" s="10" t="s">
        <v>1</v>
      </c>
      <c r="T967" s="2" t="s">
        <v>1184</v>
      </c>
    </row>
    <row r="968" spans="1:20" ht="37.5" customHeight="1" x14ac:dyDescent="0.25">
      <c r="A968" s="2" t="s">
        <v>1185</v>
      </c>
      <c r="B968">
        <f t="shared" si="105"/>
        <v>16672</v>
      </c>
      <c r="C968">
        <v>2722</v>
      </c>
      <c r="D968">
        <v>13950</v>
      </c>
      <c r="F968">
        <f t="shared" si="106"/>
        <v>309</v>
      </c>
      <c r="G968" s="3">
        <f t="shared" si="111"/>
        <v>968</v>
      </c>
      <c r="H968" s="4"/>
      <c r="I968" s="5">
        <v>785</v>
      </c>
      <c r="J968" s="6"/>
      <c r="K968" s="7">
        <v>16363</v>
      </c>
      <c r="L968" s="6">
        <f t="shared" si="107"/>
        <v>309</v>
      </c>
      <c r="M968" s="7">
        <v>2674</v>
      </c>
      <c r="N968" s="8">
        <f t="shared" si="108"/>
        <v>48</v>
      </c>
      <c r="O968" s="7">
        <v>13689</v>
      </c>
      <c r="P968" s="6">
        <f t="shared" si="109"/>
        <v>261</v>
      </c>
      <c r="Q968" s="9"/>
      <c r="R968" s="6">
        <f t="shared" si="110"/>
        <v>0</v>
      </c>
      <c r="S968" s="10" t="s">
        <v>1</v>
      </c>
      <c r="T968" s="2" t="s">
        <v>1185</v>
      </c>
    </row>
    <row r="969" spans="1:20" ht="37.5" customHeight="1" x14ac:dyDescent="0.25">
      <c r="A969" s="2" t="s">
        <v>1186</v>
      </c>
      <c r="B969">
        <f t="shared" si="105"/>
        <v>31961</v>
      </c>
      <c r="C969">
        <v>6131</v>
      </c>
      <c r="D969">
        <v>25830</v>
      </c>
      <c r="F969">
        <f t="shared" si="106"/>
        <v>211</v>
      </c>
      <c r="G969" s="3">
        <f t="shared" si="111"/>
        <v>969</v>
      </c>
      <c r="H969" s="4"/>
      <c r="I969" s="5">
        <v>786</v>
      </c>
      <c r="J969" s="6"/>
      <c r="K969" s="7">
        <v>31750</v>
      </c>
      <c r="L969" s="6">
        <f t="shared" si="107"/>
        <v>211</v>
      </c>
      <c r="M969" s="7">
        <v>6106</v>
      </c>
      <c r="N969" s="8">
        <f t="shared" si="108"/>
        <v>25</v>
      </c>
      <c r="O969" s="7">
        <v>25644</v>
      </c>
      <c r="P969" s="6">
        <f t="shared" si="109"/>
        <v>186</v>
      </c>
      <c r="Q969" s="9"/>
      <c r="R969" s="6">
        <f t="shared" si="110"/>
        <v>0</v>
      </c>
      <c r="S969" s="10" t="s">
        <v>1</v>
      </c>
      <c r="T969" s="2" t="s">
        <v>1186</v>
      </c>
    </row>
    <row r="970" spans="1:20" ht="37.5" customHeight="1" x14ac:dyDescent="0.25">
      <c r="A970" s="2" t="s">
        <v>1187</v>
      </c>
      <c r="B970">
        <f t="shared" si="105"/>
        <v>14206</v>
      </c>
      <c r="C970">
        <v>2487</v>
      </c>
      <c r="D970">
        <v>11719</v>
      </c>
      <c r="F970">
        <f t="shared" si="106"/>
        <v>142</v>
      </c>
      <c r="G970" s="3">
        <f t="shared" si="111"/>
        <v>970</v>
      </c>
      <c r="H970" s="4"/>
      <c r="I970" s="5">
        <v>787</v>
      </c>
      <c r="J970" s="6"/>
      <c r="K970" s="7">
        <v>14064</v>
      </c>
      <c r="L970" s="6">
        <f t="shared" si="107"/>
        <v>142</v>
      </c>
      <c r="M970" s="7">
        <v>2472</v>
      </c>
      <c r="N970" s="8">
        <f t="shared" si="108"/>
        <v>15</v>
      </c>
      <c r="O970" s="7">
        <v>11592</v>
      </c>
      <c r="P970" s="6">
        <f t="shared" si="109"/>
        <v>127</v>
      </c>
      <c r="Q970" s="9"/>
      <c r="R970" s="6">
        <f t="shared" si="110"/>
        <v>0</v>
      </c>
      <c r="S970" s="10" t="s">
        <v>1</v>
      </c>
      <c r="T970" s="2" t="s">
        <v>1187</v>
      </c>
    </row>
    <row r="971" spans="1:20" ht="37.5" customHeight="1" x14ac:dyDescent="0.25">
      <c r="A971" s="2" t="s">
        <v>1188</v>
      </c>
      <c r="B971">
        <f t="shared" si="105"/>
        <v>42570</v>
      </c>
      <c r="C971">
        <v>7193</v>
      </c>
      <c r="D971">
        <v>35377</v>
      </c>
      <c r="F971">
        <f t="shared" si="106"/>
        <v>350</v>
      </c>
      <c r="G971" s="3">
        <f t="shared" si="111"/>
        <v>971</v>
      </c>
      <c r="H971" s="4"/>
      <c r="I971" s="5">
        <v>788</v>
      </c>
      <c r="J971" s="6"/>
      <c r="K971" s="7">
        <v>42220</v>
      </c>
      <c r="L971" s="6">
        <f t="shared" si="107"/>
        <v>350</v>
      </c>
      <c r="M971" s="7">
        <v>7130</v>
      </c>
      <c r="N971" s="8">
        <f t="shared" si="108"/>
        <v>63</v>
      </c>
      <c r="O971" s="7">
        <v>35090</v>
      </c>
      <c r="P971" s="6">
        <f t="shared" si="109"/>
        <v>287</v>
      </c>
      <c r="Q971" s="9"/>
      <c r="R971" s="6">
        <f t="shared" si="110"/>
        <v>0</v>
      </c>
      <c r="S971" s="10" t="s">
        <v>1</v>
      </c>
      <c r="T971" s="2" t="s">
        <v>1188</v>
      </c>
    </row>
    <row r="972" spans="1:20" ht="37.5" customHeight="1" x14ac:dyDescent="0.25">
      <c r="A972" s="2" t="s">
        <v>1189</v>
      </c>
      <c r="B972">
        <f t="shared" si="105"/>
        <v>41609</v>
      </c>
      <c r="C972">
        <v>7530</v>
      </c>
      <c r="D972">
        <v>34079</v>
      </c>
      <c r="F972">
        <f t="shared" si="106"/>
        <v>146</v>
      </c>
      <c r="G972" s="3">
        <f t="shared" si="111"/>
        <v>972</v>
      </c>
      <c r="H972" s="4"/>
      <c r="I972" s="5">
        <v>789</v>
      </c>
      <c r="J972" s="6"/>
      <c r="K972" s="7">
        <v>41463</v>
      </c>
      <c r="L972" s="6">
        <f t="shared" si="107"/>
        <v>146</v>
      </c>
      <c r="M972" s="7">
        <v>7500</v>
      </c>
      <c r="N972" s="8">
        <f t="shared" si="108"/>
        <v>30</v>
      </c>
      <c r="O972" s="7">
        <v>33963</v>
      </c>
      <c r="P972" s="6">
        <f t="shared" si="109"/>
        <v>116</v>
      </c>
      <c r="Q972" s="9"/>
      <c r="R972" s="6">
        <f t="shared" si="110"/>
        <v>0</v>
      </c>
      <c r="S972" s="10" t="s">
        <v>1</v>
      </c>
      <c r="T972" s="2" t="s">
        <v>1189</v>
      </c>
    </row>
    <row r="973" spans="1:20" ht="37.5" customHeight="1" x14ac:dyDescent="0.25">
      <c r="A973" s="2" t="s">
        <v>1190</v>
      </c>
      <c r="B973">
        <f t="shared" si="105"/>
        <v>22096</v>
      </c>
      <c r="C973">
        <v>3645</v>
      </c>
      <c r="D973">
        <v>18451</v>
      </c>
      <c r="F973">
        <f t="shared" si="106"/>
        <v>0</v>
      </c>
      <c r="G973" s="3">
        <f t="shared" si="111"/>
        <v>973</v>
      </c>
      <c r="H973" s="4"/>
      <c r="I973" s="5">
        <v>790</v>
      </c>
      <c r="J973" s="6"/>
      <c r="K973" s="7">
        <v>22096</v>
      </c>
      <c r="L973" s="6">
        <f t="shared" si="107"/>
        <v>0</v>
      </c>
      <c r="M973" s="7">
        <v>3645</v>
      </c>
      <c r="N973" s="8">
        <f t="shared" si="108"/>
        <v>0</v>
      </c>
      <c r="O973" s="7">
        <v>18451</v>
      </c>
      <c r="P973" s="6">
        <f t="shared" si="109"/>
        <v>0</v>
      </c>
      <c r="Q973" s="9"/>
      <c r="R973" s="6">
        <f t="shared" si="110"/>
        <v>0</v>
      </c>
      <c r="S973" s="10" t="s">
        <v>1</v>
      </c>
      <c r="T973" s="2" t="s">
        <v>1190</v>
      </c>
    </row>
    <row r="974" spans="1:20" ht="37.5" customHeight="1" x14ac:dyDescent="0.25">
      <c r="A974" s="2" t="s">
        <v>1191</v>
      </c>
      <c r="B974">
        <f t="shared" si="105"/>
        <v>24524</v>
      </c>
      <c r="C974">
        <v>4596</v>
      </c>
      <c r="D974">
        <v>19928</v>
      </c>
      <c r="F974">
        <f t="shared" si="106"/>
        <v>39</v>
      </c>
      <c r="G974" s="3">
        <f t="shared" si="111"/>
        <v>974</v>
      </c>
      <c r="H974" s="4"/>
      <c r="I974" s="5">
        <v>791</v>
      </c>
      <c r="J974" s="6"/>
      <c r="K974" s="7">
        <v>24485</v>
      </c>
      <c r="L974" s="6">
        <f t="shared" si="107"/>
        <v>39</v>
      </c>
      <c r="M974" s="7">
        <v>4590</v>
      </c>
      <c r="N974" s="8">
        <f t="shared" si="108"/>
        <v>6</v>
      </c>
      <c r="O974" s="7">
        <v>19895</v>
      </c>
      <c r="P974" s="6">
        <f t="shared" si="109"/>
        <v>33</v>
      </c>
      <c r="Q974" s="9"/>
      <c r="R974" s="6">
        <f t="shared" si="110"/>
        <v>0</v>
      </c>
      <c r="S974" s="10" t="s">
        <v>1</v>
      </c>
      <c r="T974" s="2" t="s">
        <v>1191</v>
      </c>
    </row>
    <row r="975" spans="1:20" ht="37.5" customHeight="1" x14ac:dyDescent="0.25">
      <c r="A975" s="2" t="s">
        <v>1192</v>
      </c>
      <c r="B975">
        <f t="shared" si="105"/>
        <v>15573</v>
      </c>
      <c r="C975">
        <v>2588</v>
      </c>
      <c r="D975">
        <v>12985</v>
      </c>
      <c r="F975">
        <f t="shared" si="106"/>
        <v>227</v>
      </c>
      <c r="G975" s="3">
        <f t="shared" si="111"/>
        <v>975</v>
      </c>
      <c r="H975" s="4"/>
      <c r="I975" s="5">
        <v>792</v>
      </c>
      <c r="J975" s="6"/>
      <c r="K975" s="7">
        <v>15346</v>
      </c>
      <c r="L975" s="6">
        <f t="shared" si="107"/>
        <v>227</v>
      </c>
      <c r="M975" s="7">
        <v>2536</v>
      </c>
      <c r="N975" s="8">
        <f t="shared" si="108"/>
        <v>52</v>
      </c>
      <c r="O975" s="7">
        <v>12810</v>
      </c>
      <c r="P975" s="6">
        <f t="shared" si="109"/>
        <v>175</v>
      </c>
      <c r="Q975" s="9"/>
      <c r="R975" s="6">
        <f t="shared" si="110"/>
        <v>0</v>
      </c>
      <c r="S975" s="10" t="s">
        <v>1</v>
      </c>
      <c r="T975" s="2" t="s">
        <v>1192</v>
      </c>
    </row>
    <row r="976" spans="1:20" ht="37.5" customHeight="1" x14ac:dyDescent="0.25">
      <c r="A976" s="2" t="s">
        <v>1193</v>
      </c>
      <c r="B976">
        <f t="shared" si="105"/>
        <v>28035</v>
      </c>
      <c r="C976">
        <v>4817</v>
      </c>
      <c r="D976">
        <v>23218</v>
      </c>
      <c r="F976">
        <f t="shared" si="106"/>
        <v>167</v>
      </c>
      <c r="G976" s="3">
        <f t="shared" si="111"/>
        <v>976</v>
      </c>
      <c r="H976" s="4"/>
      <c r="I976" s="5">
        <v>793</v>
      </c>
      <c r="J976" s="6"/>
      <c r="K976" s="7">
        <v>27868</v>
      </c>
      <c r="L976" s="6">
        <f t="shared" si="107"/>
        <v>167</v>
      </c>
      <c r="M976" s="7">
        <v>4773</v>
      </c>
      <c r="N976" s="8">
        <f t="shared" si="108"/>
        <v>44</v>
      </c>
      <c r="O976" s="7">
        <v>23095</v>
      </c>
      <c r="P976" s="6">
        <f t="shared" si="109"/>
        <v>123</v>
      </c>
      <c r="Q976" s="9"/>
      <c r="R976" s="6">
        <f t="shared" si="110"/>
        <v>0</v>
      </c>
      <c r="S976" s="10" t="s">
        <v>1</v>
      </c>
      <c r="T976" s="2" t="s">
        <v>1193</v>
      </c>
    </row>
    <row r="977" spans="1:20" ht="37.5" customHeight="1" x14ac:dyDescent="0.25">
      <c r="A977" s="2" t="s">
        <v>1194</v>
      </c>
      <c r="B977">
        <f t="shared" si="105"/>
        <v>23518</v>
      </c>
      <c r="C977">
        <v>4248</v>
      </c>
      <c r="D977">
        <v>19270</v>
      </c>
      <c r="F977">
        <f t="shared" si="106"/>
        <v>175</v>
      </c>
      <c r="G977" s="3">
        <f t="shared" si="111"/>
        <v>977</v>
      </c>
      <c r="H977" s="4"/>
      <c r="I977" s="5">
        <v>794</v>
      </c>
      <c r="J977" s="6"/>
      <c r="K977" s="7">
        <v>23343</v>
      </c>
      <c r="L977" s="6">
        <f t="shared" si="107"/>
        <v>175</v>
      </c>
      <c r="M977" s="7">
        <v>4210</v>
      </c>
      <c r="N977" s="8">
        <f t="shared" si="108"/>
        <v>38</v>
      </c>
      <c r="O977" s="7">
        <v>19133</v>
      </c>
      <c r="P977" s="6">
        <f t="shared" si="109"/>
        <v>137</v>
      </c>
      <c r="Q977" s="9"/>
      <c r="R977" s="6">
        <f t="shared" si="110"/>
        <v>0</v>
      </c>
      <c r="S977" s="10" t="s">
        <v>1</v>
      </c>
      <c r="T977" s="2" t="s">
        <v>1194</v>
      </c>
    </row>
    <row r="978" spans="1:20" ht="37.5" customHeight="1" x14ac:dyDescent="0.25">
      <c r="A978" s="2" t="s">
        <v>1195</v>
      </c>
      <c r="B978">
        <f t="shared" si="105"/>
        <v>22950</v>
      </c>
      <c r="C978">
        <v>3917</v>
      </c>
      <c r="D978">
        <v>19033</v>
      </c>
      <c r="F978">
        <f t="shared" si="106"/>
        <v>138</v>
      </c>
      <c r="G978" s="3">
        <f t="shared" si="111"/>
        <v>978</v>
      </c>
      <c r="H978" s="4"/>
      <c r="I978" s="5">
        <v>795</v>
      </c>
      <c r="J978" s="6"/>
      <c r="K978" s="7">
        <v>22812</v>
      </c>
      <c r="L978" s="6">
        <f t="shared" si="107"/>
        <v>138</v>
      </c>
      <c r="M978" s="7">
        <v>3893</v>
      </c>
      <c r="N978" s="8">
        <f t="shared" si="108"/>
        <v>24</v>
      </c>
      <c r="O978" s="7">
        <v>18919</v>
      </c>
      <c r="P978" s="6">
        <f t="shared" si="109"/>
        <v>114</v>
      </c>
      <c r="Q978" s="9"/>
      <c r="R978" s="6">
        <f t="shared" si="110"/>
        <v>0</v>
      </c>
      <c r="S978" s="10" t="s">
        <v>1</v>
      </c>
      <c r="T978" s="2" t="s">
        <v>1195</v>
      </c>
    </row>
    <row r="979" spans="1:20" ht="37.5" customHeight="1" x14ac:dyDescent="0.25">
      <c r="A979" s="2" t="s">
        <v>1196</v>
      </c>
      <c r="B979">
        <f t="shared" si="105"/>
        <v>10217</v>
      </c>
      <c r="C979">
        <v>2927</v>
      </c>
      <c r="D979">
        <v>7290</v>
      </c>
      <c r="E979">
        <v>21900</v>
      </c>
      <c r="F979">
        <f t="shared" si="106"/>
        <v>271</v>
      </c>
      <c r="G979" s="3">
        <f t="shared" si="111"/>
        <v>979</v>
      </c>
      <c r="H979" s="4"/>
      <c r="I979" s="5">
        <v>796</v>
      </c>
      <c r="J979" s="6"/>
      <c r="K979" s="7">
        <f>M979+O979</f>
        <v>9946</v>
      </c>
      <c r="L979" s="6">
        <f t="shared" si="107"/>
        <v>271</v>
      </c>
      <c r="M979" s="7">
        <v>2846</v>
      </c>
      <c r="N979" s="8">
        <f t="shared" si="108"/>
        <v>81</v>
      </c>
      <c r="O979" s="7">
        <v>7100</v>
      </c>
      <c r="P979" s="6">
        <f t="shared" si="109"/>
        <v>190</v>
      </c>
      <c r="Q979" s="9">
        <v>20591</v>
      </c>
      <c r="R979" s="6">
        <f t="shared" si="110"/>
        <v>1309</v>
      </c>
      <c r="S979" s="10" t="s">
        <v>1</v>
      </c>
      <c r="T979" s="2" t="s">
        <v>1196</v>
      </c>
    </row>
    <row r="980" spans="1:20" ht="37.5" customHeight="1" x14ac:dyDescent="0.25">
      <c r="A980" s="2" t="s">
        <v>1197</v>
      </c>
      <c r="B980">
        <f t="shared" si="105"/>
        <v>8290</v>
      </c>
      <c r="C980">
        <v>1064</v>
      </c>
      <c r="D980">
        <v>7226</v>
      </c>
      <c r="F980">
        <f t="shared" si="106"/>
        <v>190</v>
      </c>
      <c r="G980" s="3">
        <f t="shared" si="111"/>
        <v>980</v>
      </c>
      <c r="H980" s="4"/>
      <c r="I980" s="5">
        <v>797</v>
      </c>
      <c r="J980" s="6"/>
      <c r="K980" s="7">
        <v>8100</v>
      </c>
      <c r="L980" s="6">
        <f t="shared" si="107"/>
        <v>190</v>
      </c>
      <c r="M980" s="7">
        <v>1026</v>
      </c>
      <c r="N980" s="8">
        <f t="shared" si="108"/>
        <v>38</v>
      </c>
      <c r="O980" s="7">
        <v>7074</v>
      </c>
      <c r="P980" s="6">
        <f t="shared" si="109"/>
        <v>152</v>
      </c>
      <c r="Q980" s="9"/>
      <c r="R980" s="6">
        <f t="shared" si="110"/>
        <v>0</v>
      </c>
      <c r="S980" s="10" t="s">
        <v>1</v>
      </c>
      <c r="T980" s="2" t="s">
        <v>1197</v>
      </c>
    </row>
    <row r="981" spans="1:20" ht="37.5" customHeight="1" x14ac:dyDescent="0.25">
      <c r="A981" s="2" t="s">
        <v>1198</v>
      </c>
      <c r="B981">
        <f t="shared" si="105"/>
        <v>12009</v>
      </c>
      <c r="C981">
        <v>1819</v>
      </c>
      <c r="D981">
        <v>10190</v>
      </c>
      <c r="F981">
        <f t="shared" si="106"/>
        <v>236</v>
      </c>
      <c r="G981" s="3">
        <f t="shared" si="111"/>
        <v>981</v>
      </c>
      <c r="H981" s="4"/>
      <c r="I981" s="5">
        <v>798</v>
      </c>
      <c r="J981" s="6"/>
      <c r="K981" s="7">
        <v>11773</v>
      </c>
      <c r="L981" s="6">
        <f t="shared" si="107"/>
        <v>236</v>
      </c>
      <c r="M981" s="7">
        <v>1781</v>
      </c>
      <c r="N981" s="8">
        <f t="shared" si="108"/>
        <v>38</v>
      </c>
      <c r="O981" s="7">
        <v>9992</v>
      </c>
      <c r="P981" s="6">
        <f t="shared" si="109"/>
        <v>198</v>
      </c>
      <c r="Q981" s="9"/>
      <c r="R981" s="6">
        <f t="shared" si="110"/>
        <v>0</v>
      </c>
      <c r="S981" s="10" t="s">
        <v>1</v>
      </c>
      <c r="T981" s="2" t="s">
        <v>1198</v>
      </c>
    </row>
    <row r="982" spans="1:20" ht="37.5" customHeight="1" x14ac:dyDescent="0.25">
      <c r="A982" s="2" t="s">
        <v>1199</v>
      </c>
      <c r="B982">
        <f t="shared" si="105"/>
        <v>55693</v>
      </c>
      <c r="C982">
        <v>9649</v>
      </c>
      <c r="D982">
        <v>46044</v>
      </c>
      <c r="F982">
        <f t="shared" si="106"/>
        <v>391</v>
      </c>
      <c r="G982" s="3">
        <f t="shared" si="111"/>
        <v>982</v>
      </c>
      <c r="H982" s="4"/>
      <c r="I982" s="5">
        <v>799</v>
      </c>
      <c r="J982" s="6"/>
      <c r="K982" s="7">
        <v>55302</v>
      </c>
      <c r="L982" s="6">
        <f t="shared" si="107"/>
        <v>391</v>
      </c>
      <c r="M982" s="7">
        <v>9591</v>
      </c>
      <c r="N982" s="8">
        <f t="shared" si="108"/>
        <v>58</v>
      </c>
      <c r="O982" s="7">
        <v>45711</v>
      </c>
      <c r="P982" s="6">
        <f t="shared" si="109"/>
        <v>333</v>
      </c>
      <c r="Q982" s="9"/>
      <c r="R982" s="6">
        <f t="shared" si="110"/>
        <v>0</v>
      </c>
      <c r="S982" s="10" t="s">
        <v>1</v>
      </c>
      <c r="T982" s="2" t="s">
        <v>1199</v>
      </c>
    </row>
    <row r="983" spans="1:20" ht="37.5" customHeight="1" x14ac:dyDescent="0.25">
      <c r="A983" s="2" t="s">
        <v>1200</v>
      </c>
      <c r="B983">
        <f t="shared" si="105"/>
        <v>13910</v>
      </c>
      <c r="C983">
        <v>2629</v>
      </c>
      <c r="D983">
        <v>11281</v>
      </c>
      <c r="F983">
        <f t="shared" si="106"/>
        <v>158</v>
      </c>
      <c r="G983" s="3">
        <f t="shared" si="111"/>
        <v>983</v>
      </c>
      <c r="H983" s="4"/>
      <c r="I983" s="5">
        <v>800</v>
      </c>
      <c r="J983" s="6"/>
      <c r="K983" s="7">
        <v>13752</v>
      </c>
      <c r="L983" s="6">
        <f t="shared" si="107"/>
        <v>158</v>
      </c>
      <c r="M983" s="7">
        <v>2602</v>
      </c>
      <c r="N983" s="8">
        <f t="shared" si="108"/>
        <v>27</v>
      </c>
      <c r="O983" s="7">
        <v>11150</v>
      </c>
      <c r="P983" s="6">
        <f t="shared" si="109"/>
        <v>131</v>
      </c>
      <c r="Q983" s="9"/>
      <c r="R983" s="6">
        <f t="shared" si="110"/>
        <v>0</v>
      </c>
      <c r="S983" s="10" t="s">
        <v>1</v>
      </c>
      <c r="T983" s="2" t="s">
        <v>1200</v>
      </c>
    </row>
    <row r="984" spans="1:20" ht="37.5" customHeight="1" x14ac:dyDescent="0.25">
      <c r="A984" s="2" t="s">
        <v>1201</v>
      </c>
      <c r="B984">
        <f t="shared" si="105"/>
        <v>6362</v>
      </c>
      <c r="C984">
        <v>988</v>
      </c>
      <c r="D984">
        <v>5374</v>
      </c>
      <c r="F984">
        <f t="shared" si="106"/>
        <v>169</v>
      </c>
      <c r="G984" s="3">
        <f t="shared" si="111"/>
        <v>984</v>
      </c>
      <c r="H984" s="4"/>
      <c r="I984" s="5">
        <v>801</v>
      </c>
      <c r="J984" s="6"/>
      <c r="K984" s="7">
        <v>6193</v>
      </c>
      <c r="L984" s="6">
        <f t="shared" si="107"/>
        <v>169</v>
      </c>
      <c r="M984" s="7">
        <v>961</v>
      </c>
      <c r="N984" s="8">
        <f t="shared" si="108"/>
        <v>27</v>
      </c>
      <c r="O984" s="7">
        <v>5232</v>
      </c>
      <c r="P984" s="6">
        <f t="shared" si="109"/>
        <v>142</v>
      </c>
      <c r="Q984" s="9"/>
      <c r="R984" s="6">
        <f t="shared" si="110"/>
        <v>0</v>
      </c>
      <c r="S984" s="10" t="s">
        <v>1</v>
      </c>
      <c r="T984" s="2" t="s">
        <v>1201</v>
      </c>
    </row>
    <row r="985" spans="1:20" ht="37.5" customHeight="1" x14ac:dyDescent="0.25">
      <c r="A985" s="2" t="s">
        <v>1202</v>
      </c>
      <c r="B985">
        <f t="shared" si="105"/>
        <v>26403</v>
      </c>
      <c r="C985">
        <v>4700</v>
      </c>
      <c r="D985">
        <v>21703</v>
      </c>
      <c r="F985">
        <f t="shared" si="106"/>
        <v>151</v>
      </c>
      <c r="G985" s="3">
        <f t="shared" si="111"/>
        <v>985</v>
      </c>
      <c r="H985" s="4"/>
      <c r="I985" s="5">
        <v>802</v>
      </c>
      <c r="J985" s="6"/>
      <c r="K985" s="7">
        <v>26252</v>
      </c>
      <c r="L985" s="6">
        <f t="shared" si="107"/>
        <v>151</v>
      </c>
      <c r="M985" s="7">
        <v>4682</v>
      </c>
      <c r="N985" s="8">
        <f t="shared" si="108"/>
        <v>18</v>
      </c>
      <c r="O985" s="7">
        <v>21570</v>
      </c>
      <c r="P985" s="6">
        <f t="shared" si="109"/>
        <v>133</v>
      </c>
      <c r="Q985" s="9"/>
      <c r="R985" s="6">
        <f t="shared" si="110"/>
        <v>0</v>
      </c>
      <c r="S985" s="10" t="s">
        <v>1</v>
      </c>
      <c r="T985" s="2" t="s">
        <v>1202</v>
      </c>
    </row>
    <row r="986" spans="1:20" ht="37.5" customHeight="1" x14ac:dyDescent="0.25">
      <c r="A986" s="2" t="s">
        <v>1203</v>
      </c>
      <c r="B986">
        <f t="shared" si="105"/>
        <v>9753</v>
      </c>
      <c r="C986">
        <v>1762</v>
      </c>
      <c r="D986">
        <v>7991</v>
      </c>
      <c r="F986">
        <f t="shared" si="106"/>
        <v>161</v>
      </c>
      <c r="G986" s="3">
        <f t="shared" si="111"/>
        <v>986</v>
      </c>
      <c r="H986" s="4"/>
      <c r="I986" s="5">
        <v>803</v>
      </c>
      <c r="J986" s="6"/>
      <c r="K986" s="7">
        <v>9592</v>
      </c>
      <c r="L986" s="6">
        <f t="shared" si="107"/>
        <v>161</v>
      </c>
      <c r="M986" s="7">
        <v>1724</v>
      </c>
      <c r="N986" s="8">
        <f t="shared" si="108"/>
        <v>38</v>
      </c>
      <c r="O986" s="7">
        <v>7868</v>
      </c>
      <c r="P986" s="6">
        <f t="shared" si="109"/>
        <v>123</v>
      </c>
      <c r="Q986" s="9"/>
      <c r="R986" s="6">
        <f t="shared" si="110"/>
        <v>0</v>
      </c>
      <c r="S986" s="10" t="s">
        <v>1</v>
      </c>
      <c r="T986" s="2" t="s">
        <v>1203</v>
      </c>
    </row>
    <row r="987" spans="1:20" ht="37.5" customHeight="1" x14ac:dyDescent="0.25">
      <c r="A987" s="2" t="s">
        <v>1204</v>
      </c>
      <c r="B987">
        <f t="shared" si="105"/>
        <v>11403</v>
      </c>
      <c r="C987">
        <v>1700</v>
      </c>
      <c r="D987">
        <v>9703</v>
      </c>
      <c r="F987">
        <f t="shared" si="106"/>
        <v>113</v>
      </c>
      <c r="G987" s="3">
        <f t="shared" si="111"/>
        <v>987</v>
      </c>
      <c r="H987" s="4"/>
      <c r="I987" s="5">
        <v>804</v>
      </c>
      <c r="J987" s="6"/>
      <c r="K987" s="7">
        <v>11290</v>
      </c>
      <c r="L987" s="6">
        <f t="shared" si="107"/>
        <v>113</v>
      </c>
      <c r="M987" s="7">
        <v>1677</v>
      </c>
      <c r="N987" s="8">
        <f t="shared" si="108"/>
        <v>23</v>
      </c>
      <c r="O987" s="7">
        <v>9613</v>
      </c>
      <c r="P987" s="6">
        <f t="shared" si="109"/>
        <v>90</v>
      </c>
      <c r="Q987" s="9"/>
      <c r="R987" s="6">
        <f t="shared" si="110"/>
        <v>0</v>
      </c>
      <c r="S987" s="10" t="s">
        <v>1</v>
      </c>
      <c r="T987" s="2" t="s">
        <v>1204</v>
      </c>
    </row>
    <row r="988" spans="1:20" ht="37.5" customHeight="1" x14ac:dyDescent="0.25">
      <c r="A988" s="2" t="s">
        <v>1205</v>
      </c>
      <c r="B988">
        <f t="shared" si="105"/>
        <v>44327</v>
      </c>
      <c r="C988">
        <v>6051</v>
      </c>
      <c r="D988">
        <v>38276</v>
      </c>
      <c r="F988">
        <f t="shared" si="106"/>
        <v>184</v>
      </c>
      <c r="G988" s="3">
        <f t="shared" si="111"/>
        <v>988</v>
      </c>
      <c r="H988" s="4"/>
      <c r="I988" s="5" t="s">
        <v>1206</v>
      </c>
      <c r="J988" s="6"/>
      <c r="K988" s="7">
        <v>44143</v>
      </c>
      <c r="L988" s="6">
        <f t="shared" si="107"/>
        <v>184</v>
      </c>
      <c r="M988" s="7">
        <v>6018</v>
      </c>
      <c r="N988" s="8">
        <f t="shared" si="108"/>
        <v>33</v>
      </c>
      <c r="O988" s="7">
        <v>38125</v>
      </c>
      <c r="P988" s="6">
        <f t="shared" si="109"/>
        <v>151</v>
      </c>
      <c r="Q988" s="9"/>
      <c r="R988" s="6">
        <f t="shared" si="110"/>
        <v>0</v>
      </c>
      <c r="S988" s="10" t="s">
        <v>1</v>
      </c>
      <c r="T988" s="2" t="s">
        <v>1205</v>
      </c>
    </row>
    <row r="989" spans="1:20" ht="37.5" customHeight="1" x14ac:dyDescent="0.25">
      <c r="A989" s="2" t="s">
        <v>1207</v>
      </c>
      <c r="B989">
        <f t="shared" si="105"/>
        <v>23938</v>
      </c>
      <c r="C989">
        <v>4459</v>
      </c>
      <c r="D989">
        <v>19479</v>
      </c>
      <c r="F989">
        <f t="shared" si="106"/>
        <v>515</v>
      </c>
      <c r="G989" s="3">
        <f t="shared" si="111"/>
        <v>989</v>
      </c>
      <c r="H989" s="4"/>
      <c r="I989" s="5" t="s">
        <v>1208</v>
      </c>
      <c r="J989" s="6"/>
      <c r="K989" s="7">
        <v>23423</v>
      </c>
      <c r="L989" s="6">
        <f t="shared" si="107"/>
        <v>515</v>
      </c>
      <c r="M989" s="7">
        <v>4368</v>
      </c>
      <c r="N989" s="8">
        <f t="shared" si="108"/>
        <v>91</v>
      </c>
      <c r="O989" s="7">
        <v>19055</v>
      </c>
      <c r="P989" s="6">
        <f t="shared" si="109"/>
        <v>424</v>
      </c>
      <c r="Q989" s="9"/>
      <c r="R989" s="6">
        <f t="shared" si="110"/>
        <v>0</v>
      </c>
      <c r="S989" s="10" t="s">
        <v>1</v>
      </c>
      <c r="T989" s="2" t="s">
        <v>1207</v>
      </c>
    </row>
    <row r="990" spans="1:20" ht="37.5" customHeight="1" x14ac:dyDescent="0.25">
      <c r="A990" s="2" t="s">
        <v>1209</v>
      </c>
      <c r="B990">
        <f t="shared" si="105"/>
        <v>165544</v>
      </c>
      <c r="C990">
        <v>35433</v>
      </c>
      <c r="D990">
        <v>130111</v>
      </c>
      <c r="F990">
        <f t="shared" si="106"/>
        <v>403</v>
      </c>
      <c r="G990" s="3">
        <f t="shared" si="111"/>
        <v>990</v>
      </c>
      <c r="H990" s="4"/>
      <c r="I990" s="5" t="s">
        <v>1210</v>
      </c>
      <c r="J990" s="6"/>
      <c r="K990" s="7">
        <v>165141</v>
      </c>
      <c r="L990" s="6">
        <f t="shared" si="107"/>
        <v>403</v>
      </c>
      <c r="M990" s="7">
        <v>35361</v>
      </c>
      <c r="N990" s="8">
        <f t="shared" si="108"/>
        <v>72</v>
      </c>
      <c r="O990" s="7">
        <v>129780</v>
      </c>
      <c r="P990" s="6">
        <f t="shared" si="109"/>
        <v>331</v>
      </c>
      <c r="Q990" s="9"/>
      <c r="R990" s="6">
        <f t="shared" si="110"/>
        <v>0</v>
      </c>
      <c r="S990" s="10" t="s">
        <v>1</v>
      </c>
      <c r="T990" s="2" t="s">
        <v>1209</v>
      </c>
    </row>
    <row r="991" spans="1:20" ht="37.5" customHeight="1" x14ac:dyDescent="0.25">
      <c r="A991" s="2" t="s">
        <v>1211</v>
      </c>
      <c r="B991">
        <f t="shared" si="105"/>
        <v>18267</v>
      </c>
      <c r="C991">
        <v>3301</v>
      </c>
      <c r="D991">
        <v>14966</v>
      </c>
      <c r="F991">
        <f t="shared" si="106"/>
        <v>426</v>
      </c>
      <c r="G991" s="3">
        <f t="shared" si="111"/>
        <v>991</v>
      </c>
      <c r="H991" s="4"/>
      <c r="I991" s="5" t="s">
        <v>1212</v>
      </c>
      <c r="J991" s="6"/>
      <c r="K991" s="7">
        <v>17841</v>
      </c>
      <c r="L991" s="6">
        <f t="shared" si="107"/>
        <v>426</v>
      </c>
      <c r="M991" s="7">
        <v>3229</v>
      </c>
      <c r="N991" s="8">
        <f t="shared" si="108"/>
        <v>72</v>
      </c>
      <c r="O991" s="7">
        <v>14612</v>
      </c>
      <c r="P991" s="6">
        <f t="shared" si="109"/>
        <v>354</v>
      </c>
      <c r="Q991" s="9"/>
      <c r="R991" s="6">
        <f t="shared" si="110"/>
        <v>0</v>
      </c>
      <c r="S991" s="10" t="s">
        <v>1</v>
      </c>
      <c r="T991" s="2" t="s">
        <v>1211</v>
      </c>
    </row>
    <row r="992" spans="1:20" ht="37.5" customHeight="1" x14ac:dyDescent="0.25">
      <c r="A992" s="2" t="s">
        <v>1213</v>
      </c>
      <c r="B992">
        <f t="shared" si="105"/>
        <v>88063</v>
      </c>
      <c r="C992">
        <v>22132</v>
      </c>
      <c r="D992">
        <v>65931</v>
      </c>
      <c r="F992">
        <f t="shared" si="106"/>
        <v>297</v>
      </c>
      <c r="G992" s="3">
        <f t="shared" si="111"/>
        <v>992</v>
      </c>
      <c r="H992" s="4"/>
      <c r="I992" s="5" t="s">
        <v>1214</v>
      </c>
      <c r="J992" s="6"/>
      <c r="K992" s="7">
        <v>87766</v>
      </c>
      <c r="L992" s="6">
        <f t="shared" si="107"/>
        <v>297</v>
      </c>
      <c r="M992" s="7">
        <v>22080</v>
      </c>
      <c r="N992" s="8">
        <f t="shared" si="108"/>
        <v>52</v>
      </c>
      <c r="O992" s="7">
        <v>65686</v>
      </c>
      <c r="P992" s="6">
        <f t="shared" si="109"/>
        <v>245</v>
      </c>
      <c r="Q992" s="9"/>
      <c r="R992" s="6">
        <f t="shared" si="110"/>
        <v>0</v>
      </c>
      <c r="S992" s="10" t="s">
        <v>1</v>
      </c>
      <c r="T992" s="2" t="s">
        <v>1213</v>
      </c>
    </row>
    <row r="993" spans="1:20" ht="37.5" customHeight="1" x14ac:dyDescent="0.25">
      <c r="A993" s="2" t="s">
        <v>1215</v>
      </c>
      <c r="B993">
        <f t="shared" si="105"/>
        <v>14895</v>
      </c>
      <c r="C993">
        <v>1994</v>
      </c>
      <c r="D993">
        <v>12901</v>
      </c>
      <c r="F993">
        <f t="shared" si="106"/>
        <v>470</v>
      </c>
      <c r="G993" s="3">
        <f t="shared" si="111"/>
        <v>993</v>
      </c>
      <c r="H993" s="4"/>
      <c r="I993" s="5" t="s">
        <v>1216</v>
      </c>
      <c r="J993" s="6"/>
      <c r="K993" s="7">
        <v>14425</v>
      </c>
      <c r="L993" s="6">
        <f t="shared" si="107"/>
        <v>470</v>
      </c>
      <c r="M993" s="7">
        <v>1930</v>
      </c>
      <c r="N993" s="8">
        <f t="shared" si="108"/>
        <v>64</v>
      </c>
      <c r="O993" s="7">
        <v>12495</v>
      </c>
      <c r="P993" s="6">
        <f t="shared" si="109"/>
        <v>406</v>
      </c>
      <c r="Q993" s="9"/>
      <c r="R993" s="6">
        <f t="shared" si="110"/>
        <v>0</v>
      </c>
      <c r="S993" s="10" t="s">
        <v>1</v>
      </c>
      <c r="T993" s="2" t="s">
        <v>1215</v>
      </c>
    </row>
    <row r="994" spans="1:20" ht="37.5" customHeight="1" x14ac:dyDescent="0.25">
      <c r="A994" s="2" t="s">
        <v>1217</v>
      </c>
      <c r="B994">
        <f t="shared" si="105"/>
        <v>42988</v>
      </c>
      <c r="C994">
        <v>6894</v>
      </c>
      <c r="D994">
        <v>36094</v>
      </c>
      <c r="F994">
        <f t="shared" si="106"/>
        <v>1006</v>
      </c>
      <c r="G994" s="3">
        <f t="shared" si="111"/>
        <v>994</v>
      </c>
      <c r="H994" s="4"/>
      <c r="I994" s="5" t="s">
        <v>1218</v>
      </c>
      <c r="J994" s="6"/>
      <c r="K994" s="7">
        <v>41982</v>
      </c>
      <c r="L994" s="6">
        <f t="shared" si="107"/>
        <v>1006</v>
      </c>
      <c r="M994" s="7">
        <v>6672</v>
      </c>
      <c r="N994" s="8">
        <f t="shared" si="108"/>
        <v>222</v>
      </c>
      <c r="O994" s="7">
        <v>35310</v>
      </c>
      <c r="P994" s="6">
        <f t="shared" si="109"/>
        <v>784</v>
      </c>
      <c r="Q994" s="9"/>
      <c r="R994" s="6">
        <f t="shared" si="110"/>
        <v>0</v>
      </c>
      <c r="S994" s="10" t="s">
        <v>1</v>
      </c>
      <c r="T994" s="2" t="s">
        <v>1217</v>
      </c>
    </row>
    <row r="995" spans="1:20" ht="37.5" customHeight="1" x14ac:dyDescent="0.25">
      <c r="A995" s="2" t="s">
        <v>1219</v>
      </c>
      <c r="B995">
        <f t="shared" si="105"/>
        <v>28915</v>
      </c>
      <c r="C995">
        <v>3852</v>
      </c>
      <c r="D995">
        <v>25063</v>
      </c>
      <c r="F995">
        <f t="shared" si="106"/>
        <v>509</v>
      </c>
      <c r="G995" s="3">
        <f t="shared" si="111"/>
        <v>995</v>
      </c>
      <c r="H995" s="4"/>
      <c r="I995" s="5" t="s">
        <v>1220</v>
      </c>
      <c r="J995" s="6"/>
      <c r="K995" s="7">
        <v>28406</v>
      </c>
      <c r="L995" s="6">
        <f t="shared" si="107"/>
        <v>509</v>
      </c>
      <c r="M995" s="7">
        <v>3805</v>
      </c>
      <c r="N995" s="8">
        <f t="shared" si="108"/>
        <v>47</v>
      </c>
      <c r="O995" s="7">
        <v>24601</v>
      </c>
      <c r="P995" s="6">
        <f t="shared" si="109"/>
        <v>462</v>
      </c>
      <c r="Q995" s="9"/>
      <c r="R995" s="6">
        <f t="shared" si="110"/>
        <v>0</v>
      </c>
      <c r="S995" s="10" t="s">
        <v>1</v>
      </c>
      <c r="T995" s="2" t="s">
        <v>1219</v>
      </c>
    </row>
    <row r="996" spans="1:20" ht="37.5" customHeight="1" x14ac:dyDescent="0.25">
      <c r="A996" s="2" t="s">
        <v>1221</v>
      </c>
      <c r="B996">
        <f t="shared" si="105"/>
        <v>4852</v>
      </c>
      <c r="C996">
        <v>748</v>
      </c>
      <c r="D996">
        <v>4104</v>
      </c>
      <c r="F996">
        <f t="shared" si="106"/>
        <v>90</v>
      </c>
      <c r="G996" s="3">
        <f t="shared" si="111"/>
        <v>996</v>
      </c>
      <c r="H996" s="4"/>
      <c r="I996" s="5" t="s">
        <v>1222</v>
      </c>
      <c r="J996" s="6"/>
      <c r="K996" s="7">
        <v>4762</v>
      </c>
      <c r="L996" s="6">
        <f t="shared" si="107"/>
        <v>90</v>
      </c>
      <c r="M996" s="7">
        <v>742</v>
      </c>
      <c r="N996" s="8">
        <f t="shared" si="108"/>
        <v>6</v>
      </c>
      <c r="O996" s="7">
        <v>4020</v>
      </c>
      <c r="P996" s="6">
        <f t="shared" si="109"/>
        <v>84</v>
      </c>
      <c r="Q996" s="9"/>
      <c r="R996" s="6">
        <f t="shared" si="110"/>
        <v>0</v>
      </c>
      <c r="S996" s="10" t="s">
        <v>1</v>
      </c>
      <c r="T996" s="2" t="s">
        <v>1221</v>
      </c>
    </row>
    <row r="997" spans="1:20" ht="37.5" customHeight="1" x14ac:dyDescent="0.25">
      <c r="A997" s="2" t="s">
        <v>1223</v>
      </c>
      <c r="B997">
        <f t="shared" si="105"/>
        <v>23593</v>
      </c>
      <c r="C997">
        <v>4070</v>
      </c>
      <c r="D997">
        <v>19523</v>
      </c>
      <c r="F997">
        <f t="shared" si="106"/>
        <v>368</v>
      </c>
      <c r="G997" s="3">
        <f t="shared" si="111"/>
        <v>997</v>
      </c>
      <c r="H997" s="4"/>
      <c r="I997" s="5" t="s">
        <v>1224</v>
      </c>
      <c r="J997" s="6"/>
      <c r="K997" s="7">
        <v>23225</v>
      </c>
      <c r="L997" s="6">
        <f t="shared" si="107"/>
        <v>368</v>
      </c>
      <c r="M997" s="7">
        <v>4004</v>
      </c>
      <c r="N997" s="8">
        <f t="shared" si="108"/>
        <v>66</v>
      </c>
      <c r="O997" s="7">
        <v>19221</v>
      </c>
      <c r="P997" s="6">
        <f t="shared" si="109"/>
        <v>302</v>
      </c>
      <c r="Q997" s="9"/>
      <c r="R997" s="6">
        <f t="shared" si="110"/>
        <v>0</v>
      </c>
      <c r="S997" s="10" t="s">
        <v>1</v>
      </c>
      <c r="T997" s="2" t="s">
        <v>1223</v>
      </c>
    </row>
    <row r="998" spans="1:20" ht="37.5" customHeight="1" x14ac:dyDescent="0.25">
      <c r="A998" s="2" t="s">
        <v>1225</v>
      </c>
      <c r="B998">
        <f t="shared" si="105"/>
        <v>87255</v>
      </c>
      <c r="C998">
        <v>14951</v>
      </c>
      <c r="D998">
        <v>72304</v>
      </c>
      <c r="F998">
        <f t="shared" si="106"/>
        <v>226</v>
      </c>
      <c r="G998" s="3">
        <f t="shared" si="111"/>
        <v>998</v>
      </c>
      <c r="H998" s="4"/>
      <c r="I998" s="5" t="s">
        <v>1226</v>
      </c>
      <c r="J998" s="6"/>
      <c r="K998" s="7">
        <v>87029</v>
      </c>
      <c r="L998" s="6">
        <f t="shared" si="107"/>
        <v>226</v>
      </c>
      <c r="M998" s="7">
        <v>14922</v>
      </c>
      <c r="N998" s="8">
        <f t="shared" si="108"/>
        <v>29</v>
      </c>
      <c r="O998" s="7">
        <v>72107</v>
      </c>
      <c r="P998" s="6">
        <f t="shared" si="109"/>
        <v>197</v>
      </c>
      <c r="Q998" s="9"/>
      <c r="R998" s="6">
        <f t="shared" si="110"/>
        <v>0</v>
      </c>
      <c r="S998" s="10" t="s">
        <v>1</v>
      </c>
      <c r="T998" s="2" t="s">
        <v>1225</v>
      </c>
    </row>
    <row r="999" spans="1:20" ht="37.5" customHeight="1" x14ac:dyDescent="0.25">
      <c r="A999" s="2" t="s">
        <v>1227</v>
      </c>
      <c r="B999">
        <f t="shared" si="105"/>
        <v>53337</v>
      </c>
      <c r="C999">
        <v>8882</v>
      </c>
      <c r="D999">
        <v>44455</v>
      </c>
      <c r="F999">
        <f t="shared" si="106"/>
        <v>273</v>
      </c>
      <c r="G999" s="3">
        <f t="shared" si="111"/>
        <v>999</v>
      </c>
      <c r="H999" s="4"/>
      <c r="I999" s="5" t="s">
        <v>1228</v>
      </c>
      <c r="J999" s="6"/>
      <c r="K999" s="7">
        <v>53064</v>
      </c>
      <c r="L999" s="6">
        <f t="shared" si="107"/>
        <v>273</v>
      </c>
      <c r="M999" s="7">
        <v>8828</v>
      </c>
      <c r="N999" s="8">
        <f t="shared" si="108"/>
        <v>54</v>
      </c>
      <c r="O999" s="7">
        <v>44236</v>
      </c>
      <c r="P999" s="6">
        <f t="shared" si="109"/>
        <v>219</v>
      </c>
      <c r="Q999" s="9"/>
      <c r="R999" s="6">
        <f t="shared" si="110"/>
        <v>0</v>
      </c>
      <c r="S999" s="10" t="s">
        <v>1</v>
      </c>
      <c r="T999" s="2" t="s">
        <v>1227</v>
      </c>
    </row>
    <row r="1000" spans="1:20" ht="37.5" customHeight="1" x14ac:dyDescent="0.25">
      <c r="A1000" s="2" t="s">
        <v>1229</v>
      </c>
      <c r="B1000">
        <f t="shared" si="105"/>
        <v>23025</v>
      </c>
      <c r="C1000">
        <v>4001</v>
      </c>
      <c r="D1000">
        <v>19024</v>
      </c>
      <c r="F1000">
        <f t="shared" si="106"/>
        <v>0</v>
      </c>
      <c r="G1000" s="3">
        <f t="shared" si="111"/>
        <v>1000</v>
      </c>
      <c r="H1000" s="4"/>
      <c r="I1000" s="5" t="s">
        <v>1230</v>
      </c>
      <c r="J1000" s="6"/>
      <c r="K1000" s="7">
        <v>23025</v>
      </c>
      <c r="L1000" s="6">
        <f t="shared" si="107"/>
        <v>0</v>
      </c>
      <c r="M1000" s="7">
        <v>4001</v>
      </c>
      <c r="N1000" s="8">
        <f t="shared" si="108"/>
        <v>0</v>
      </c>
      <c r="O1000" s="7">
        <v>19024</v>
      </c>
      <c r="P1000" s="6">
        <f t="shared" si="109"/>
        <v>0</v>
      </c>
      <c r="Q1000" s="9"/>
      <c r="R1000" s="6">
        <f t="shared" si="110"/>
        <v>0</v>
      </c>
      <c r="S1000" s="10" t="s">
        <v>1</v>
      </c>
      <c r="T1000" s="2" t="s">
        <v>1229</v>
      </c>
    </row>
    <row r="1001" spans="1:20" ht="37.5" customHeight="1" x14ac:dyDescent="0.25">
      <c r="A1001" s="2" t="s">
        <v>1231</v>
      </c>
      <c r="B1001">
        <f t="shared" si="105"/>
        <v>37683</v>
      </c>
      <c r="C1001">
        <v>5054</v>
      </c>
      <c r="D1001">
        <v>32629</v>
      </c>
      <c r="F1001">
        <f t="shared" si="106"/>
        <v>202</v>
      </c>
      <c r="G1001" s="3">
        <f t="shared" si="111"/>
        <v>1001</v>
      </c>
      <c r="H1001" s="4"/>
      <c r="I1001" s="5" t="s">
        <v>1232</v>
      </c>
      <c r="J1001" s="6"/>
      <c r="K1001" s="7">
        <v>37481</v>
      </c>
      <c r="L1001" s="6">
        <f t="shared" si="107"/>
        <v>202</v>
      </c>
      <c r="M1001" s="7">
        <v>5031</v>
      </c>
      <c r="N1001" s="8">
        <f t="shared" si="108"/>
        <v>23</v>
      </c>
      <c r="O1001" s="7">
        <v>32450</v>
      </c>
      <c r="P1001" s="6">
        <f t="shared" si="109"/>
        <v>179</v>
      </c>
      <c r="Q1001" s="9"/>
      <c r="R1001" s="6">
        <f t="shared" si="110"/>
        <v>0</v>
      </c>
      <c r="S1001" s="10" t="s">
        <v>1</v>
      </c>
      <c r="T1001" s="2" t="s">
        <v>1231</v>
      </c>
    </row>
    <row r="1002" spans="1:20" ht="37.5" customHeight="1" x14ac:dyDescent="0.25">
      <c r="A1002" s="2" t="s">
        <v>1233</v>
      </c>
      <c r="B1002">
        <f t="shared" si="105"/>
        <v>76207</v>
      </c>
      <c r="C1002">
        <v>12416</v>
      </c>
      <c r="D1002">
        <v>63791</v>
      </c>
      <c r="F1002">
        <f t="shared" si="106"/>
        <v>296</v>
      </c>
      <c r="G1002" s="3">
        <f t="shared" si="111"/>
        <v>1002</v>
      </c>
      <c r="H1002" s="4"/>
      <c r="I1002" s="5" t="s">
        <v>1234</v>
      </c>
      <c r="J1002" s="6"/>
      <c r="K1002" s="7">
        <v>75911</v>
      </c>
      <c r="L1002" s="6">
        <f t="shared" si="107"/>
        <v>296</v>
      </c>
      <c r="M1002" s="7">
        <v>12371</v>
      </c>
      <c r="N1002" s="8">
        <f t="shared" si="108"/>
        <v>45</v>
      </c>
      <c r="O1002" s="7">
        <v>63540</v>
      </c>
      <c r="P1002" s="6">
        <f t="shared" si="109"/>
        <v>251</v>
      </c>
      <c r="Q1002" s="9"/>
      <c r="R1002" s="6">
        <f t="shared" si="110"/>
        <v>0</v>
      </c>
      <c r="S1002" s="10" t="s">
        <v>1</v>
      </c>
      <c r="T1002" s="2" t="s">
        <v>1233</v>
      </c>
    </row>
    <row r="1003" spans="1:20" ht="37.5" customHeight="1" x14ac:dyDescent="0.25">
      <c r="A1003" s="2" t="s">
        <v>1235</v>
      </c>
      <c r="B1003">
        <f t="shared" si="105"/>
        <v>62383</v>
      </c>
      <c r="C1003">
        <v>10717</v>
      </c>
      <c r="D1003">
        <v>51666</v>
      </c>
      <c r="F1003">
        <f t="shared" si="106"/>
        <v>378</v>
      </c>
      <c r="G1003" s="3">
        <f t="shared" si="111"/>
        <v>1003</v>
      </c>
      <c r="H1003" s="4"/>
      <c r="I1003" s="5" t="s">
        <v>1236</v>
      </c>
      <c r="J1003" s="6"/>
      <c r="K1003" s="7">
        <v>62005</v>
      </c>
      <c r="L1003" s="6">
        <f t="shared" si="107"/>
        <v>378</v>
      </c>
      <c r="M1003" s="7">
        <v>10642</v>
      </c>
      <c r="N1003" s="8">
        <f t="shared" si="108"/>
        <v>75</v>
      </c>
      <c r="O1003" s="7">
        <v>51363</v>
      </c>
      <c r="P1003" s="6">
        <f t="shared" si="109"/>
        <v>303</v>
      </c>
      <c r="Q1003" s="9"/>
      <c r="R1003" s="6">
        <f t="shared" si="110"/>
        <v>0</v>
      </c>
      <c r="S1003" s="10" t="s">
        <v>1</v>
      </c>
      <c r="T1003" s="2" t="s">
        <v>1235</v>
      </c>
    </row>
    <row r="1004" spans="1:20" ht="37.5" customHeight="1" x14ac:dyDescent="0.25">
      <c r="A1004" s="2" t="s">
        <v>1237</v>
      </c>
      <c r="B1004">
        <f t="shared" si="105"/>
        <v>99308</v>
      </c>
      <c r="C1004">
        <v>15355</v>
      </c>
      <c r="D1004">
        <v>83953</v>
      </c>
      <c r="F1004">
        <f t="shared" si="106"/>
        <v>264</v>
      </c>
      <c r="G1004" s="3">
        <f t="shared" si="111"/>
        <v>1004</v>
      </c>
      <c r="H1004" s="4"/>
      <c r="I1004" s="5" t="s">
        <v>1238</v>
      </c>
      <c r="J1004" s="6"/>
      <c r="K1004" s="7">
        <v>99044</v>
      </c>
      <c r="L1004" s="6">
        <f t="shared" si="107"/>
        <v>264</v>
      </c>
      <c r="M1004" s="7">
        <v>15305</v>
      </c>
      <c r="N1004" s="8">
        <f t="shared" si="108"/>
        <v>50</v>
      </c>
      <c r="O1004" s="7">
        <v>83739</v>
      </c>
      <c r="P1004" s="6">
        <f t="shared" si="109"/>
        <v>214</v>
      </c>
      <c r="Q1004" s="9"/>
      <c r="R1004" s="6">
        <f t="shared" si="110"/>
        <v>0</v>
      </c>
      <c r="S1004" s="10" t="s">
        <v>1</v>
      </c>
      <c r="T1004" s="2" t="s">
        <v>1237</v>
      </c>
    </row>
    <row r="1005" spans="1:20" ht="37.5" customHeight="1" x14ac:dyDescent="0.25">
      <c r="A1005" s="2" t="s">
        <v>1239</v>
      </c>
      <c r="B1005">
        <f t="shared" si="105"/>
        <v>99919</v>
      </c>
      <c r="C1005">
        <v>18483</v>
      </c>
      <c r="D1005">
        <v>81436</v>
      </c>
      <c r="F1005">
        <f t="shared" si="106"/>
        <v>591</v>
      </c>
      <c r="G1005" s="3">
        <f t="shared" si="111"/>
        <v>1005</v>
      </c>
      <c r="H1005" s="4"/>
      <c r="I1005" s="5" t="s">
        <v>1240</v>
      </c>
      <c r="J1005" s="6"/>
      <c r="K1005" s="7">
        <v>99328</v>
      </c>
      <c r="L1005" s="6">
        <f t="shared" si="107"/>
        <v>591</v>
      </c>
      <c r="M1005" s="7">
        <v>18406</v>
      </c>
      <c r="N1005" s="8">
        <f t="shared" si="108"/>
        <v>77</v>
      </c>
      <c r="O1005" s="7">
        <v>80922</v>
      </c>
      <c r="P1005" s="6">
        <f t="shared" si="109"/>
        <v>514</v>
      </c>
      <c r="Q1005" s="9"/>
      <c r="R1005" s="6">
        <f t="shared" si="110"/>
        <v>0</v>
      </c>
      <c r="S1005" s="10" t="s">
        <v>1</v>
      </c>
      <c r="T1005" s="2" t="s">
        <v>1239</v>
      </c>
    </row>
    <row r="1006" spans="1:20" ht="37.5" customHeight="1" x14ac:dyDescent="0.25">
      <c r="A1006" s="2" t="s">
        <v>1241</v>
      </c>
      <c r="B1006">
        <f t="shared" si="105"/>
        <v>126424</v>
      </c>
      <c r="C1006">
        <v>23789</v>
      </c>
      <c r="D1006">
        <v>102635</v>
      </c>
      <c r="F1006">
        <f t="shared" si="106"/>
        <v>433</v>
      </c>
      <c r="G1006" s="3">
        <f t="shared" si="111"/>
        <v>1006</v>
      </c>
      <c r="H1006" s="4"/>
      <c r="I1006" s="5" t="s">
        <v>1242</v>
      </c>
      <c r="J1006" s="6"/>
      <c r="K1006" s="7">
        <v>125991</v>
      </c>
      <c r="L1006" s="6">
        <f t="shared" si="107"/>
        <v>433</v>
      </c>
      <c r="M1006" s="7">
        <v>23709</v>
      </c>
      <c r="N1006" s="8">
        <f t="shared" si="108"/>
        <v>80</v>
      </c>
      <c r="O1006" s="7">
        <v>102282</v>
      </c>
      <c r="P1006" s="6">
        <f t="shared" si="109"/>
        <v>353</v>
      </c>
      <c r="Q1006" s="9"/>
      <c r="R1006" s="6">
        <f t="shared" si="110"/>
        <v>0</v>
      </c>
      <c r="S1006" s="10" t="s">
        <v>1</v>
      </c>
      <c r="T1006" s="2" t="s">
        <v>1241</v>
      </c>
    </row>
    <row r="1007" spans="1:20" ht="37.5" customHeight="1" x14ac:dyDescent="0.25">
      <c r="A1007" s="2" t="s">
        <v>1243</v>
      </c>
      <c r="B1007">
        <f t="shared" si="105"/>
        <v>12678</v>
      </c>
      <c r="C1007">
        <v>2217</v>
      </c>
      <c r="D1007">
        <v>10461</v>
      </c>
      <c r="F1007">
        <f t="shared" si="106"/>
        <v>175</v>
      </c>
      <c r="G1007" s="3">
        <f t="shared" si="111"/>
        <v>1007</v>
      </c>
      <c r="H1007" s="4"/>
      <c r="I1007" s="5" t="s">
        <v>1244</v>
      </c>
      <c r="J1007" s="6"/>
      <c r="K1007" s="7">
        <v>12503</v>
      </c>
      <c r="L1007" s="6">
        <f t="shared" si="107"/>
        <v>175</v>
      </c>
      <c r="M1007" s="7">
        <v>2184</v>
      </c>
      <c r="N1007" s="8">
        <f t="shared" si="108"/>
        <v>33</v>
      </c>
      <c r="O1007" s="7">
        <v>10319</v>
      </c>
      <c r="P1007" s="6">
        <f t="shared" si="109"/>
        <v>142</v>
      </c>
      <c r="Q1007" s="9"/>
      <c r="R1007" s="6">
        <f t="shared" si="110"/>
        <v>0</v>
      </c>
      <c r="S1007" s="10" t="s">
        <v>1</v>
      </c>
      <c r="T1007" s="2" t="s">
        <v>1243</v>
      </c>
    </row>
    <row r="1008" spans="1:20" ht="37.5" customHeight="1" x14ac:dyDescent="0.25">
      <c r="A1008" s="2" t="s">
        <v>1245</v>
      </c>
      <c r="B1008">
        <f t="shared" si="105"/>
        <v>66547</v>
      </c>
      <c r="C1008">
        <v>10577</v>
      </c>
      <c r="D1008">
        <v>55970</v>
      </c>
      <c r="F1008">
        <f t="shared" si="106"/>
        <v>489</v>
      </c>
      <c r="G1008" s="3">
        <f t="shared" si="111"/>
        <v>1008</v>
      </c>
      <c r="H1008" s="4"/>
      <c r="I1008" s="5" t="s">
        <v>1246</v>
      </c>
      <c r="J1008" s="6"/>
      <c r="K1008" s="7">
        <v>66058</v>
      </c>
      <c r="L1008" s="6">
        <f t="shared" si="107"/>
        <v>489</v>
      </c>
      <c r="M1008" s="7">
        <v>10490</v>
      </c>
      <c r="N1008" s="8">
        <f t="shared" si="108"/>
        <v>87</v>
      </c>
      <c r="O1008" s="7">
        <v>55568</v>
      </c>
      <c r="P1008" s="6">
        <f t="shared" si="109"/>
        <v>402</v>
      </c>
      <c r="Q1008" s="9"/>
      <c r="R1008" s="6">
        <f t="shared" si="110"/>
        <v>0</v>
      </c>
      <c r="S1008" s="10" t="s">
        <v>1</v>
      </c>
      <c r="T1008" s="2" t="s">
        <v>1245</v>
      </c>
    </row>
    <row r="1009" spans="1:20" ht="37.5" customHeight="1" x14ac:dyDescent="0.25">
      <c r="A1009" s="2" t="s">
        <v>1247</v>
      </c>
      <c r="B1009">
        <f t="shared" si="105"/>
        <v>26035</v>
      </c>
      <c r="C1009">
        <v>3961</v>
      </c>
      <c r="D1009">
        <v>22074</v>
      </c>
      <c r="F1009">
        <f t="shared" si="106"/>
        <v>34</v>
      </c>
      <c r="G1009" s="3">
        <f t="shared" si="111"/>
        <v>1009</v>
      </c>
      <c r="H1009" s="4"/>
      <c r="I1009" s="5" t="s">
        <v>1248</v>
      </c>
      <c r="J1009" s="6"/>
      <c r="K1009" s="7">
        <v>26001</v>
      </c>
      <c r="L1009" s="6">
        <f t="shared" si="107"/>
        <v>34</v>
      </c>
      <c r="M1009" s="7">
        <v>3955</v>
      </c>
      <c r="N1009" s="8">
        <f t="shared" si="108"/>
        <v>6</v>
      </c>
      <c r="O1009" s="7">
        <v>22046</v>
      </c>
      <c r="P1009" s="6">
        <f t="shared" si="109"/>
        <v>28</v>
      </c>
      <c r="Q1009" s="9"/>
      <c r="R1009" s="6">
        <f t="shared" si="110"/>
        <v>0</v>
      </c>
      <c r="S1009" s="10" t="s">
        <v>1</v>
      </c>
      <c r="T1009" s="2" t="s">
        <v>1247</v>
      </c>
    </row>
    <row r="1010" spans="1:20" ht="37.5" customHeight="1" x14ac:dyDescent="0.25">
      <c r="A1010" s="2" t="s">
        <v>1249</v>
      </c>
      <c r="B1010">
        <f t="shared" si="105"/>
        <v>55785</v>
      </c>
      <c r="C1010">
        <v>8408</v>
      </c>
      <c r="D1010">
        <v>47377</v>
      </c>
      <c r="F1010">
        <f t="shared" si="106"/>
        <v>489</v>
      </c>
      <c r="G1010" s="3">
        <f t="shared" si="111"/>
        <v>1010</v>
      </c>
      <c r="H1010" s="4"/>
      <c r="I1010" s="5" t="s">
        <v>1250</v>
      </c>
      <c r="J1010" s="6"/>
      <c r="K1010" s="7">
        <v>55296</v>
      </c>
      <c r="L1010" s="6">
        <f t="shared" si="107"/>
        <v>489</v>
      </c>
      <c r="M1010" s="7">
        <v>8337</v>
      </c>
      <c r="N1010" s="8">
        <f t="shared" si="108"/>
        <v>71</v>
      </c>
      <c r="O1010" s="7">
        <v>46959</v>
      </c>
      <c r="P1010" s="6">
        <f t="shared" si="109"/>
        <v>418</v>
      </c>
      <c r="Q1010" s="9"/>
      <c r="R1010" s="6">
        <f t="shared" si="110"/>
        <v>0</v>
      </c>
      <c r="S1010" s="10" t="s">
        <v>1</v>
      </c>
      <c r="T1010" s="2" t="s">
        <v>1249</v>
      </c>
    </row>
    <row r="1011" spans="1:20" ht="37.5" customHeight="1" x14ac:dyDescent="0.25">
      <c r="A1011" s="2" t="s">
        <v>1251</v>
      </c>
      <c r="B1011">
        <f t="shared" si="105"/>
        <v>45121</v>
      </c>
      <c r="C1011">
        <v>8299</v>
      </c>
      <c r="D1011">
        <v>36822</v>
      </c>
      <c r="F1011">
        <f t="shared" si="106"/>
        <v>372</v>
      </c>
      <c r="G1011" s="3">
        <f t="shared" si="111"/>
        <v>1011</v>
      </c>
      <c r="H1011" s="4"/>
      <c r="I1011" s="5" t="s">
        <v>1252</v>
      </c>
      <c r="J1011" s="6"/>
      <c r="K1011" s="7">
        <v>44749</v>
      </c>
      <c r="L1011" s="6">
        <f t="shared" si="107"/>
        <v>372</v>
      </c>
      <c r="M1011" s="7">
        <v>8232</v>
      </c>
      <c r="N1011" s="8">
        <f t="shared" si="108"/>
        <v>67</v>
      </c>
      <c r="O1011" s="7">
        <v>36517</v>
      </c>
      <c r="P1011" s="6">
        <f t="shared" si="109"/>
        <v>305</v>
      </c>
      <c r="Q1011" s="9"/>
      <c r="R1011" s="6">
        <f t="shared" si="110"/>
        <v>0</v>
      </c>
      <c r="S1011" s="10" t="s">
        <v>1</v>
      </c>
      <c r="T1011" s="2" t="s">
        <v>1251</v>
      </c>
    </row>
    <row r="1012" spans="1:20" ht="37.5" customHeight="1" x14ac:dyDescent="0.25">
      <c r="A1012" s="2" t="s">
        <v>1253</v>
      </c>
      <c r="B1012">
        <f t="shared" si="105"/>
        <v>37543</v>
      </c>
      <c r="C1012">
        <v>8006</v>
      </c>
      <c r="D1012">
        <v>29537</v>
      </c>
      <c r="F1012">
        <f t="shared" si="106"/>
        <v>153</v>
      </c>
      <c r="G1012" s="3">
        <f t="shared" si="111"/>
        <v>1012</v>
      </c>
      <c r="H1012" s="4"/>
      <c r="I1012" s="5" t="s">
        <v>1254</v>
      </c>
      <c r="J1012" s="6"/>
      <c r="K1012" s="7">
        <v>37390</v>
      </c>
      <c r="L1012" s="6">
        <f t="shared" si="107"/>
        <v>153</v>
      </c>
      <c r="M1012" s="7">
        <v>7961</v>
      </c>
      <c r="N1012" s="8">
        <f t="shared" si="108"/>
        <v>45</v>
      </c>
      <c r="O1012" s="7">
        <v>29429</v>
      </c>
      <c r="P1012" s="6">
        <f t="shared" si="109"/>
        <v>108</v>
      </c>
      <c r="Q1012" s="9"/>
      <c r="R1012" s="6">
        <f t="shared" si="110"/>
        <v>0</v>
      </c>
      <c r="S1012" s="10" t="s">
        <v>1</v>
      </c>
      <c r="T1012" s="2" t="s">
        <v>1253</v>
      </c>
    </row>
    <row r="1013" spans="1:20" ht="37.5" customHeight="1" x14ac:dyDescent="0.25">
      <c r="A1013" s="2" t="s">
        <v>1255</v>
      </c>
      <c r="B1013">
        <f t="shared" si="105"/>
        <v>71712</v>
      </c>
      <c r="C1013">
        <v>10404</v>
      </c>
      <c r="D1013">
        <v>61308</v>
      </c>
      <c r="F1013">
        <f t="shared" si="106"/>
        <v>468</v>
      </c>
      <c r="G1013" s="3">
        <f t="shared" si="111"/>
        <v>1013</v>
      </c>
      <c r="H1013" s="4"/>
      <c r="I1013" s="5" t="s">
        <v>1256</v>
      </c>
      <c r="J1013" s="6"/>
      <c r="K1013" s="7">
        <v>71244</v>
      </c>
      <c r="L1013" s="6">
        <f t="shared" si="107"/>
        <v>468</v>
      </c>
      <c r="M1013" s="7">
        <v>10346</v>
      </c>
      <c r="N1013" s="8">
        <f t="shared" si="108"/>
        <v>58</v>
      </c>
      <c r="O1013" s="7">
        <v>60898</v>
      </c>
      <c r="P1013" s="6">
        <f t="shared" si="109"/>
        <v>410</v>
      </c>
      <c r="Q1013" s="9"/>
      <c r="R1013" s="6">
        <f t="shared" si="110"/>
        <v>0</v>
      </c>
      <c r="S1013" s="10" t="s">
        <v>1</v>
      </c>
      <c r="T1013" s="2" t="s">
        <v>1255</v>
      </c>
    </row>
    <row r="1014" spans="1:20" ht="37.5" customHeight="1" x14ac:dyDescent="0.25">
      <c r="A1014" s="2" t="s">
        <v>1257</v>
      </c>
      <c r="B1014">
        <f t="shared" si="105"/>
        <v>9191</v>
      </c>
      <c r="C1014">
        <v>1067</v>
      </c>
      <c r="D1014">
        <v>8124</v>
      </c>
      <c r="F1014">
        <f t="shared" si="106"/>
        <v>274</v>
      </c>
      <c r="G1014" s="3">
        <f t="shared" si="111"/>
        <v>1014</v>
      </c>
      <c r="H1014" s="4"/>
      <c r="I1014" s="5" t="s">
        <v>1258</v>
      </c>
      <c r="J1014" s="6"/>
      <c r="K1014" s="7">
        <v>8917</v>
      </c>
      <c r="L1014" s="6">
        <f t="shared" si="107"/>
        <v>274</v>
      </c>
      <c r="M1014" s="7">
        <v>1031</v>
      </c>
      <c r="N1014" s="8">
        <f t="shared" si="108"/>
        <v>36</v>
      </c>
      <c r="O1014" s="7">
        <v>7886</v>
      </c>
      <c r="P1014" s="6">
        <f t="shared" si="109"/>
        <v>238</v>
      </c>
      <c r="Q1014" s="9"/>
      <c r="R1014" s="6">
        <f t="shared" si="110"/>
        <v>0</v>
      </c>
      <c r="S1014" s="10" t="s">
        <v>1</v>
      </c>
      <c r="T1014" s="2" t="s">
        <v>1257</v>
      </c>
    </row>
    <row r="1015" spans="1:20" ht="37.5" customHeight="1" x14ac:dyDescent="0.25">
      <c r="A1015" s="2" t="s">
        <v>1259</v>
      </c>
      <c r="B1015">
        <f t="shared" si="105"/>
        <v>51991</v>
      </c>
      <c r="C1015">
        <v>7635</v>
      </c>
      <c r="D1015">
        <v>44356</v>
      </c>
      <c r="F1015">
        <f t="shared" si="106"/>
        <v>0</v>
      </c>
      <c r="G1015" s="3">
        <f t="shared" si="111"/>
        <v>1015</v>
      </c>
      <c r="H1015" s="4"/>
      <c r="I1015" s="5" t="s">
        <v>1260</v>
      </c>
      <c r="J1015" s="6"/>
      <c r="K1015" s="7">
        <v>51991</v>
      </c>
      <c r="L1015" s="6">
        <f t="shared" si="107"/>
        <v>0</v>
      </c>
      <c r="M1015" s="7">
        <v>7635</v>
      </c>
      <c r="N1015" s="8">
        <f t="shared" si="108"/>
        <v>0</v>
      </c>
      <c r="O1015" s="7">
        <v>44356</v>
      </c>
      <c r="P1015" s="6">
        <f t="shared" si="109"/>
        <v>0</v>
      </c>
      <c r="Q1015" s="9"/>
      <c r="R1015" s="6">
        <f t="shared" si="110"/>
        <v>0</v>
      </c>
      <c r="S1015" s="10" t="s">
        <v>1</v>
      </c>
      <c r="T1015" s="2" t="s">
        <v>1259</v>
      </c>
    </row>
    <row r="1016" spans="1:20" ht="37.5" customHeight="1" x14ac:dyDescent="0.25">
      <c r="A1016" s="2" t="s">
        <v>1261</v>
      </c>
      <c r="B1016">
        <f t="shared" si="105"/>
        <v>30600</v>
      </c>
      <c r="C1016">
        <v>4900</v>
      </c>
      <c r="D1016">
        <v>25700</v>
      </c>
      <c r="F1016">
        <f t="shared" si="106"/>
        <v>403</v>
      </c>
      <c r="G1016" s="3">
        <f t="shared" si="111"/>
        <v>1016</v>
      </c>
      <c r="H1016" s="4"/>
      <c r="I1016" s="5" t="s">
        <v>1262</v>
      </c>
      <c r="J1016" s="6"/>
      <c r="K1016" s="7">
        <v>30197</v>
      </c>
      <c r="L1016" s="6">
        <f t="shared" si="107"/>
        <v>403</v>
      </c>
      <c r="M1016" s="7">
        <v>4835</v>
      </c>
      <c r="N1016" s="8">
        <f t="shared" si="108"/>
        <v>65</v>
      </c>
      <c r="O1016" s="7">
        <v>25362</v>
      </c>
      <c r="P1016" s="6">
        <f t="shared" si="109"/>
        <v>338</v>
      </c>
      <c r="Q1016" s="9"/>
      <c r="R1016" s="6">
        <f t="shared" si="110"/>
        <v>0</v>
      </c>
      <c r="S1016" s="10" t="s">
        <v>1</v>
      </c>
      <c r="T1016" s="2" t="s">
        <v>1261</v>
      </c>
    </row>
    <row r="1017" spans="1:20" ht="37.5" customHeight="1" x14ac:dyDescent="0.25">
      <c r="A1017" s="2" t="s">
        <v>1263</v>
      </c>
      <c r="B1017">
        <f t="shared" si="105"/>
        <v>27580</v>
      </c>
      <c r="C1017">
        <v>4270</v>
      </c>
      <c r="D1017">
        <v>23310</v>
      </c>
      <c r="F1017">
        <f t="shared" si="106"/>
        <v>345</v>
      </c>
      <c r="G1017" s="3">
        <f t="shared" si="111"/>
        <v>1017</v>
      </c>
      <c r="H1017" s="4"/>
      <c r="I1017" s="5" t="s">
        <v>1264</v>
      </c>
      <c r="J1017" s="6"/>
      <c r="K1017" s="7">
        <v>27235</v>
      </c>
      <c r="L1017" s="6">
        <f t="shared" si="107"/>
        <v>345</v>
      </c>
      <c r="M1017" s="7">
        <v>4213</v>
      </c>
      <c r="N1017" s="8">
        <f t="shared" si="108"/>
        <v>57</v>
      </c>
      <c r="O1017" s="7">
        <v>23022</v>
      </c>
      <c r="P1017" s="6">
        <f t="shared" si="109"/>
        <v>288</v>
      </c>
      <c r="Q1017" s="9"/>
      <c r="R1017" s="6">
        <f t="shared" si="110"/>
        <v>0</v>
      </c>
      <c r="S1017" s="10" t="s">
        <v>1</v>
      </c>
      <c r="T1017" s="2" t="s">
        <v>1263</v>
      </c>
    </row>
    <row r="1018" spans="1:20" ht="37.5" customHeight="1" x14ac:dyDescent="0.25">
      <c r="A1018" s="2" t="s">
        <v>1265</v>
      </c>
      <c r="B1018">
        <f>86+K1018</f>
        <v>34356</v>
      </c>
      <c r="F1018">
        <f t="shared" si="106"/>
        <v>86</v>
      </c>
      <c r="G1018" s="3">
        <f t="shared" si="111"/>
        <v>1018</v>
      </c>
      <c r="H1018" s="4"/>
      <c r="I1018" s="5" t="s">
        <v>1266</v>
      </c>
      <c r="J1018" s="6"/>
      <c r="K1018" s="7">
        <v>34270</v>
      </c>
      <c r="L1018" s="6">
        <f t="shared" si="107"/>
        <v>86</v>
      </c>
      <c r="M1018" s="7">
        <v>5874</v>
      </c>
      <c r="N1018" s="8">
        <f t="shared" si="108"/>
        <v>-5874</v>
      </c>
      <c r="O1018" s="7">
        <v>28396</v>
      </c>
      <c r="P1018" s="6">
        <f t="shared" si="109"/>
        <v>-28396</v>
      </c>
      <c r="Q1018" s="9"/>
      <c r="R1018" s="6">
        <f t="shared" si="110"/>
        <v>0</v>
      </c>
      <c r="S1018" s="10" t="s">
        <v>1</v>
      </c>
      <c r="T1018" s="2" t="s">
        <v>1265</v>
      </c>
    </row>
    <row r="1019" spans="1:20" ht="37.5" customHeight="1" x14ac:dyDescent="0.25">
      <c r="A1019" s="2" t="s">
        <v>1267</v>
      </c>
      <c r="B1019">
        <f t="shared" si="105"/>
        <v>51616</v>
      </c>
      <c r="C1019">
        <v>7213</v>
      </c>
      <c r="D1019">
        <v>44403</v>
      </c>
      <c r="F1019">
        <f t="shared" si="106"/>
        <v>309</v>
      </c>
      <c r="G1019" s="3">
        <f t="shared" si="111"/>
        <v>1019</v>
      </c>
      <c r="H1019" s="4"/>
      <c r="I1019" s="5" t="s">
        <v>1268</v>
      </c>
      <c r="J1019" s="6"/>
      <c r="K1019" s="7">
        <v>51307</v>
      </c>
      <c r="L1019" s="6">
        <f t="shared" si="107"/>
        <v>309</v>
      </c>
      <c r="M1019" s="7">
        <v>7166</v>
      </c>
      <c r="N1019" s="8">
        <f t="shared" si="108"/>
        <v>47</v>
      </c>
      <c r="O1019" s="7">
        <v>44141</v>
      </c>
      <c r="P1019" s="6">
        <f t="shared" si="109"/>
        <v>262</v>
      </c>
      <c r="Q1019" s="9"/>
      <c r="R1019" s="6">
        <f t="shared" si="110"/>
        <v>0</v>
      </c>
      <c r="S1019" s="10" t="s">
        <v>1</v>
      </c>
      <c r="T1019" s="2" t="s">
        <v>1267</v>
      </c>
    </row>
    <row r="1020" spans="1:20" ht="37.5" customHeight="1" x14ac:dyDescent="0.25">
      <c r="A1020" s="2" t="s">
        <v>1269</v>
      </c>
      <c r="B1020">
        <f t="shared" si="105"/>
        <v>13633</v>
      </c>
      <c r="C1020">
        <v>2158</v>
      </c>
      <c r="D1020">
        <v>11475</v>
      </c>
      <c r="F1020">
        <f t="shared" si="106"/>
        <v>378</v>
      </c>
      <c r="G1020" s="3">
        <f t="shared" si="111"/>
        <v>1020</v>
      </c>
      <c r="H1020" s="4"/>
      <c r="I1020" s="5" t="s">
        <v>1270</v>
      </c>
      <c r="J1020" s="6"/>
      <c r="K1020" s="7">
        <v>13255</v>
      </c>
      <c r="L1020" s="6">
        <f t="shared" si="107"/>
        <v>378</v>
      </c>
      <c r="M1020" s="7">
        <v>2101</v>
      </c>
      <c r="N1020" s="8">
        <f t="shared" si="108"/>
        <v>57</v>
      </c>
      <c r="O1020" s="7">
        <v>11154</v>
      </c>
      <c r="P1020" s="6">
        <f t="shared" si="109"/>
        <v>321</v>
      </c>
      <c r="Q1020" s="9"/>
      <c r="R1020" s="6">
        <f t="shared" si="110"/>
        <v>0</v>
      </c>
      <c r="S1020" s="10" t="s">
        <v>1</v>
      </c>
      <c r="T1020" s="2" t="s">
        <v>1269</v>
      </c>
    </row>
    <row r="1021" spans="1:20" ht="37.5" customHeight="1" x14ac:dyDescent="0.25">
      <c r="A1021" s="2" t="s">
        <v>1271</v>
      </c>
      <c r="B1021">
        <f t="shared" si="105"/>
        <v>57070</v>
      </c>
      <c r="C1021">
        <v>10966</v>
      </c>
      <c r="D1021">
        <v>46104</v>
      </c>
      <c r="F1021">
        <f t="shared" si="106"/>
        <v>425</v>
      </c>
      <c r="G1021" s="3">
        <f t="shared" si="111"/>
        <v>1021</v>
      </c>
      <c r="H1021" s="4"/>
      <c r="I1021" s="5" t="s">
        <v>1272</v>
      </c>
      <c r="J1021" s="6"/>
      <c r="K1021" s="7">
        <v>56645</v>
      </c>
      <c r="L1021" s="6">
        <f t="shared" si="107"/>
        <v>425</v>
      </c>
      <c r="M1021" s="7">
        <v>10885</v>
      </c>
      <c r="N1021" s="8">
        <f t="shared" si="108"/>
        <v>81</v>
      </c>
      <c r="O1021" s="7">
        <v>45760</v>
      </c>
      <c r="P1021" s="6">
        <f t="shared" si="109"/>
        <v>344</v>
      </c>
      <c r="Q1021" s="9"/>
      <c r="R1021" s="6">
        <f t="shared" si="110"/>
        <v>0</v>
      </c>
      <c r="S1021" s="10" t="s">
        <v>1</v>
      </c>
      <c r="T1021" s="2" t="s">
        <v>1271</v>
      </c>
    </row>
    <row r="1022" spans="1:20" ht="37.5" customHeight="1" x14ac:dyDescent="0.25">
      <c r="A1022" s="2" t="s">
        <v>1273</v>
      </c>
      <c r="B1022">
        <f t="shared" si="105"/>
        <v>49719</v>
      </c>
      <c r="C1022">
        <v>7567</v>
      </c>
      <c r="D1022">
        <v>42152</v>
      </c>
      <c r="F1022">
        <f t="shared" si="106"/>
        <v>277</v>
      </c>
      <c r="G1022" s="3">
        <f t="shared" si="111"/>
        <v>1022</v>
      </c>
      <c r="H1022" s="4"/>
      <c r="I1022" s="5" t="s">
        <v>1274</v>
      </c>
      <c r="J1022" s="6"/>
      <c r="K1022" s="7">
        <v>49442</v>
      </c>
      <c r="L1022" s="6">
        <f t="shared" si="107"/>
        <v>277</v>
      </c>
      <c r="M1022" s="7">
        <v>7519</v>
      </c>
      <c r="N1022" s="8">
        <f t="shared" si="108"/>
        <v>48</v>
      </c>
      <c r="O1022" s="7">
        <v>41923</v>
      </c>
      <c r="P1022" s="6">
        <f t="shared" si="109"/>
        <v>229</v>
      </c>
      <c r="Q1022" s="9"/>
      <c r="R1022" s="6">
        <f t="shared" si="110"/>
        <v>0</v>
      </c>
      <c r="S1022" s="10" t="s">
        <v>1</v>
      </c>
      <c r="T1022" s="2" t="s">
        <v>1273</v>
      </c>
    </row>
    <row r="1023" spans="1:20" ht="37.5" customHeight="1" x14ac:dyDescent="0.25">
      <c r="A1023" s="2" t="s">
        <v>1275</v>
      </c>
      <c r="B1023">
        <f t="shared" si="105"/>
        <v>6627</v>
      </c>
      <c r="C1023">
        <v>1473</v>
      </c>
      <c r="D1023">
        <v>5154</v>
      </c>
      <c r="E1023">
        <v>3137</v>
      </c>
      <c r="F1023">
        <f t="shared" si="106"/>
        <v>243</v>
      </c>
      <c r="G1023" s="3">
        <f t="shared" si="111"/>
        <v>1023</v>
      </c>
      <c r="H1023" s="4"/>
      <c r="I1023" s="5" t="s">
        <v>1276</v>
      </c>
      <c r="J1023" s="6"/>
      <c r="K1023" s="7">
        <f>M1023+O1023</f>
        <v>6384</v>
      </c>
      <c r="L1023" s="6">
        <f t="shared" si="107"/>
        <v>243</v>
      </c>
      <c r="M1023" s="7">
        <v>1404</v>
      </c>
      <c r="N1023" s="8">
        <f t="shared" si="108"/>
        <v>69</v>
      </c>
      <c r="O1023" s="7">
        <v>4980</v>
      </c>
      <c r="P1023" s="6">
        <f t="shared" si="109"/>
        <v>174</v>
      </c>
      <c r="Q1023" s="9">
        <v>2805</v>
      </c>
      <c r="R1023" s="6">
        <f t="shared" si="110"/>
        <v>332</v>
      </c>
      <c r="S1023" s="10" t="s">
        <v>1</v>
      </c>
      <c r="T1023" s="2" t="s">
        <v>1275</v>
      </c>
    </row>
    <row r="1024" spans="1:20" ht="37.5" customHeight="1" x14ac:dyDescent="0.25">
      <c r="A1024" s="2" t="s">
        <v>1277</v>
      </c>
      <c r="B1024">
        <f t="shared" si="105"/>
        <v>8714</v>
      </c>
      <c r="C1024">
        <v>1503</v>
      </c>
      <c r="D1024">
        <v>7211</v>
      </c>
      <c r="F1024">
        <f t="shared" si="106"/>
        <v>0</v>
      </c>
      <c r="G1024" s="3">
        <f t="shared" si="111"/>
        <v>1024</v>
      </c>
      <c r="H1024" s="4"/>
      <c r="I1024" s="5" t="s">
        <v>1278</v>
      </c>
      <c r="J1024" s="6"/>
      <c r="K1024" s="7">
        <v>8714</v>
      </c>
      <c r="L1024" s="6">
        <f t="shared" si="107"/>
        <v>0</v>
      </c>
      <c r="M1024" s="7">
        <v>1503</v>
      </c>
      <c r="N1024" s="8">
        <f t="shared" si="108"/>
        <v>0</v>
      </c>
      <c r="O1024" s="7">
        <v>7211</v>
      </c>
      <c r="P1024" s="6">
        <f t="shared" si="109"/>
        <v>0</v>
      </c>
      <c r="Q1024" s="9"/>
      <c r="R1024" s="6">
        <f t="shared" si="110"/>
        <v>0</v>
      </c>
      <c r="S1024" s="10" t="s">
        <v>1</v>
      </c>
      <c r="T1024" s="2" t="s">
        <v>1277</v>
      </c>
    </row>
    <row r="1025" spans="1:20" ht="37.5" customHeight="1" x14ac:dyDescent="0.25">
      <c r="A1025" s="2" t="s">
        <v>1279</v>
      </c>
      <c r="B1025">
        <f t="shared" si="105"/>
        <v>16786</v>
      </c>
      <c r="C1025">
        <v>4225</v>
      </c>
      <c r="D1025">
        <v>12561</v>
      </c>
      <c r="E1025">
        <v>12645</v>
      </c>
      <c r="F1025">
        <f t="shared" si="106"/>
        <v>410</v>
      </c>
      <c r="G1025" s="3">
        <f t="shared" si="111"/>
        <v>1025</v>
      </c>
      <c r="H1025" s="4"/>
      <c r="I1025" s="5" t="s">
        <v>1280</v>
      </c>
      <c r="J1025" s="6"/>
      <c r="K1025" s="7">
        <f>M1025+O1025</f>
        <v>16376</v>
      </c>
      <c r="L1025" s="6">
        <f t="shared" si="107"/>
        <v>410</v>
      </c>
      <c r="M1025" s="7">
        <v>4108</v>
      </c>
      <c r="N1025" s="8">
        <f t="shared" si="108"/>
        <v>117</v>
      </c>
      <c r="O1025" s="7">
        <v>12268</v>
      </c>
      <c r="P1025" s="6">
        <f t="shared" si="109"/>
        <v>293</v>
      </c>
      <c r="Q1025" s="9">
        <v>11568</v>
      </c>
      <c r="R1025" s="6">
        <f t="shared" si="110"/>
        <v>1077</v>
      </c>
      <c r="S1025" s="10" t="s">
        <v>1</v>
      </c>
      <c r="T1025" s="2" t="s">
        <v>1279</v>
      </c>
    </row>
    <row r="1026" spans="1:20" ht="37.5" customHeight="1" x14ac:dyDescent="0.25">
      <c r="A1026" s="2" t="s">
        <v>1281</v>
      </c>
      <c r="B1026">
        <f t="shared" ref="B1026:B1088" si="112">C1026+D1026</f>
        <v>77056</v>
      </c>
      <c r="C1026">
        <v>12039</v>
      </c>
      <c r="D1026">
        <v>65017</v>
      </c>
      <c r="F1026">
        <f t="shared" ref="F1026:F1089" si="113">L1026</f>
        <v>915</v>
      </c>
      <c r="G1026" s="3">
        <f t="shared" si="111"/>
        <v>1026</v>
      </c>
      <c r="H1026" s="4"/>
      <c r="I1026" s="5" t="s">
        <v>1282</v>
      </c>
      <c r="J1026" s="6"/>
      <c r="K1026" s="7">
        <v>76141</v>
      </c>
      <c r="L1026" s="6">
        <f t="shared" ref="L1026:L1089" si="114">B1026-K1026</f>
        <v>915</v>
      </c>
      <c r="M1026" s="7">
        <v>11895</v>
      </c>
      <c r="N1026" s="8">
        <f t="shared" ref="N1026:N1089" si="115">C1026-M1026</f>
        <v>144</v>
      </c>
      <c r="O1026" s="7">
        <v>64246</v>
      </c>
      <c r="P1026" s="6">
        <f t="shared" ref="P1026:P1089" si="116">D1026-O1026</f>
        <v>771</v>
      </c>
      <c r="Q1026" s="9"/>
      <c r="R1026" s="6">
        <f t="shared" ref="R1026:R1089" si="117">E1026-Q1026</f>
        <v>0</v>
      </c>
      <c r="S1026" s="10" t="s">
        <v>1</v>
      </c>
      <c r="T1026" s="2" t="s">
        <v>1281</v>
      </c>
    </row>
    <row r="1027" spans="1:20" ht="37.5" customHeight="1" x14ac:dyDescent="0.25">
      <c r="A1027" s="2" t="s">
        <v>1283</v>
      </c>
      <c r="B1027">
        <f t="shared" si="112"/>
        <v>50495</v>
      </c>
      <c r="C1027">
        <v>8135</v>
      </c>
      <c r="D1027">
        <v>42360</v>
      </c>
      <c r="F1027">
        <f t="shared" si="113"/>
        <v>80</v>
      </c>
      <c r="G1027" s="3">
        <f t="shared" ref="G1027:G1090" si="118">G1026+1</f>
        <v>1027</v>
      </c>
      <c r="H1027" s="4"/>
      <c r="I1027" s="5" t="s">
        <v>1284</v>
      </c>
      <c r="J1027" s="6"/>
      <c r="K1027" s="7">
        <v>50415</v>
      </c>
      <c r="L1027" s="6">
        <f t="shared" si="114"/>
        <v>80</v>
      </c>
      <c r="M1027" s="7">
        <v>8119</v>
      </c>
      <c r="N1027" s="8">
        <f t="shared" si="115"/>
        <v>16</v>
      </c>
      <c r="O1027" s="7">
        <v>42296</v>
      </c>
      <c r="P1027" s="6">
        <f t="shared" si="116"/>
        <v>64</v>
      </c>
      <c r="Q1027" s="9"/>
      <c r="R1027" s="6">
        <f t="shared" si="117"/>
        <v>0</v>
      </c>
      <c r="S1027" s="10" t="s">
        <v>1</v>
      </c>
      <c r="T1027" s="2" t="s">
        <v>1283</v>
      </c>
    </row>
    <row r="1028" spans="1:20" ht="37.5" customHeight="1" x14ac:dyDescent="0.25">
      <c r="A1028" s="2" t="s">
        <v>1285</v>
      </c>
      <c r="B1028">
        <f t="shared" si="112"/>
        <v>46719</v>
      </c>
      <c r="C1028">
        <v>8090</v>
      </c>
      <c r="D1028">
        <v>38629</v>
      </c>
      <c r="F1028">
        <f t="shared" si="113"/>
        <v>250</v>
      </c>
      <c r="G1028" s="3">
        <f t="shared" si="118"/>
        <v>1028</v>
      </c>
      <c r="H1028" s="4"/>
      <c r="I1028" s="5" t="s">
        <v>1286</v>
      </c>
      <c r="J1028" s="6"/>
      <c r="K1028" s="7">
        <v>46469</v>
      </c>
      <c r="L1028" s="6">
        <f t="shared" si="114"/>
        <v>250</v>
      </c>
      <c r="M1028" s="7">
        <v>8051</v>
      </c>
      <c r="N1028" s="8">
        <f t="shared" si="115"/>
        <v>39</v>
      </c>
      <c r="O1028" s="7">
        <v>38418</v>
      </c>
      <c r="P1028" s="6">
        <f t="shared" si="116"/>
        <v>211</v>
      </c>
      <c r="Q1028" s="9"/>
      <c r="R1028" s="6">
        <f t="shared" si="117"/>
        <v>0</v>
      </c>
      <c r="S1028" s="10" t="s">
        <v>1</v>
      </c>
      <c r="T1028" s="2" t="s">
        <v>1285</v>
      </c>
    </row>
    <row r="1029" spans="1:20" ht="37.5" customHeight="1" x14ac:dyDescent="0.25">
      <c r="A1029" s="2" t="s">
        <v>1287</v>
      </c>
      <c r="B1029">
        <v>24753</v>
      </c>
      <c r="C1029" s="23">
        <v>4725</v>
      </c>
      <c r="D1029" s="23">
        <f>B1029-C1029</f>
        <v>20028</v>
      </c>
      <c r="F1029">
        <f t="shared" si="113"/>
        <v>261</v>
      </c>
      <c r="G1029" s="3">
        <f t="shared" si="118"/>
        <v>1029</v>
      </c>
      <c r="H1029" s="4"/>
      <c r="I1029" s="5" t="s">
        <v>1288</v>
      </c>
      <c r="J1029" s="6"/>
      <c r="K1029" s="7">
        <v>24492</v>
      </c>
      <c r="L1029" s="6">
        <f t="shared" si="114"/>
        <v>261</v>
      </c>
      <c r="M1029" s="7">
        <v>4679</v>
      </c>
      <c r="N1029" s="8">
        <f t="shared" si="115"/>
        <v>46</v>
      </c>
      <c r="O1029" s="7">
        <v>19813</v>
      </c>
      <c r="P1029" s="6">
        <f t="shared" si="116"/>
        <v>215</v>
      </c>
      <c r="Q1029" s="9"/>
      <c r="R1029" s="6">
        <f t="shared" si="117"/>
        <v>0</v>
      </c>
      <c r="S1029" s="10" t="s">
        <v>1</v>
      </c>
      <c r="T1029" s="2" t="s">
        <v>1287</v>
      </c>
    </row>
    <row r="1030" spans="1:20" ht="37.5" customHeight="1" x14ac:dyDescent="0.25">
      <c r="A1030" s="2" t="s">
        <v>1289</v>
      </c>
      <c r="B1030">
        <f t="shared" si="112"/>
        <v>49690</v>
      </c>
      <c r="C1030">
        <v>9036</v>
      </c>
      <c r="D1030">
        <v>40654</v>
      </c>
      <c r="F1030">
        <f t="shared" si="113"/>
        <v>504</v>
      </c>
      <c r="G1030" s="3">
        <f t="shared" si="118"/>
        <v>1030</v>
      </c>
      <c r="H1030" s="4"/>
      <c r="I1030" s="5" t="s">
        <v>1290</v>
      </c>
      <c r="J1030" s="6"/>
      <c r="K1030" s="7">
        <v>49186</v>
      </c>
      <c r="L1030" s="6">
        <f t="shared" si="114"/>
        <v>504</v>
      </c>
      <c r="M1030" s="7">
        <v>8946</v>
      </c>
      <c r="N1030" s="8">
        <f t="shared" si="115"/>
        <v>90</v>
      </c>
      <c r="O1030" s="7">
        <v>40240</v>
      </c>
      <c r="P1030" s="6">
        <f t="shared" si="116"/>
        <v>414</v>
      </c>
      <c r="Q1030" s="9"/>
      <c r="R1030" s="6">
        <f t="shared" si="117"/>
        <v>0</v>
      </c>
      <c r="S1030" s="10" t="s">
        <v>1</v>
      </c>
      <c r="T1030" s="2" t="s">
        <v>1289</v>
      </c>
    </row>
    <row r="1031" spans="1:20" ht="37.5" customHeight="1" x14ac:dyDescent="0.25">
      <c r="A1031" s="2" t="s">
        <v>1291</v>
      </c>
      <c r="B1031">
        <f t="shared" si="112"/>
        <v>40068</v>
      </c>
      <c r="C1031">
        <v>5763</v>
      </c>
      <c r="D1031">
        <v>34305</v>
      </c>
      <c r="F1031">
        <f t="shared" si="113"/>
        <v>393</v>
      </c>
      <c r="G1031" s="3">
        <f t="shared" si="118"/>
        <v>1031</v>
      </c>
      <c r="H1031" s="4"/>
      <c r="I1031" s="5" t="s">
        <v>1292</v>
      </c>
      <c r="J1031" s="6"/>
      <c r="K1031" s="7">
        <v>39675</v>
      </c>
      <c r="L1031" s="6">
        <f t="shared" si="114"/>
        <v>393</v>
      </c>
      <c r="M1031" s="7">
        <v>5686</v>
      </c>
      <c r="N1031" s="8">
        <f t="shared" si="115"/>
        <v>77</v>
      </c>
      <c r="O1031" s="7">
        <v>33989</v>
      </c>
      <c r="P1031" s="6">
        <f t="shared" si="116"/>
        <v>316</v>
      </c>
      <c r="Q1031" s="9"/>
      <c r="R1031" s="6">
        <f t="shared" si="117"/>
        <v>0</v>
      </c>
      <c r="S1031" s="10" t="s">
        <v>1</v>
      </c>
      <c r="T1031" s="2" t="s">
        <v>1291</v>
      </c>
    </row>
    <row r="1032" spans="1:20" ht="37.5" customHeight="1" x14ac:dyDescent="0.25">
      <c r="A1032" s="2" t="s">
        <v>1293</v>
      </c>
      <c r="B1032">
        <f t="shared" si="112"/>
        <v>7191</v>
      </c>
      <c r="C1032">
        <v>1339</v>
      </c>
      <c r="D1032">
        <v>5852</v>
      </c>
      <c r="F1032">
        <f t="shared" si="113"/>
        <v>0</v>
      </c>
      <c r="G1032" s="3">
        <f t="shared" si="118"/>
        <v>1032</v>
      </c>
      <c r="H1032" s="4"/>
      <c r="I1032" s="5" t="s">
        <v>1294</v>
      </c>
      <c r="J1032" s="6"/>
      <c r="K1032" s="7">
        <v>7191</v>
      </c>
      <c r="L1032" s="6">
        <f t="shared" si="114"/>
        <v>0</v>
      </c>
      <c r="M1032" s="7">
        <v>1339</v>
      </c>
      <c r="N1032" s="8">
        <f t="shared" si="115"/>
        <v>0</v>
      </c>
      <c r="O1032" s="7">
        <v>5852</v>
      </c>
      <c r="P1032" s="6">
        <f t="shared" si="116"/>
        <v>0</v>
      </c>
      <c r="Q1032" s="9"/>
      <c r="R1032" s="6">
        <f t="shared" si="117"/>
        <v>0</v>
      </c>
      <c r="S1032" s="10" t="s">
        <v>1</v>
      </c>
      <c r="T1032" s="2" t="s">
        <v>1293</v>
      </c>
    </row>
    <row r="1033" spans="1:20" ht="37.5" customHeight="1" x14ac:dyDescent="0.25">
      <c r="A1033" s="2" t="s">
        <v>1295</v>
      </c>
      <c r="B1033">
        <f t="shared" si="112"/>
        <v>16761</v>
      </c>
      <c r="C1033">
        <v>2477</v>
      </c>
      <c r="D1033">
        <v>14284</v>
      </c>
      <c r="F1033">
        <f t="shared" si="113"/>
        <v>193</v>
      </c>
      <c r="G1033" s="3">
        <f t="shared" si="118"/>
        <v>1033</v>
      </c>
      <c r="H1033" s="4"/>
      <c r="I1033" s="5" t="s">
        <v>1296</v>
      </c>
      <c r="J1033" s="6"/>
      <c r="K1033" s="7">
        <v>16568</v>
      </c>
      <c r="L1033" s="6">
        <f t="shared" si="114"/>
        <v>193</v>
      </c>
      <c r="M1033" s="7">
        <v>2441</v>
      </c>
      <c r="N1033" s="8">
        <f t="shared" si="115"/>
        <v>36</v>
      </c>
      <c r="O1033" s="7">
        <v>14127</v>
      </c>
      <c r="P1033" s="6">
        <f t="shared" si="116"/>
        <v>157</v>
      </c>
      <c r="Q1033" s="9"/>
      <c r="R1033" s="6">
        <f t="shared" si="117"/>
        <v>0</v>
      </c>
      <c r="S1033" s="10" t="s">
        <v>1</v>
      </c>
      <c r="T1033" s="2" t="s">
        <v>1295</v>
      </c>
    </row>
    <row r="1034" spans="1:20" ht="37.5" customHeight="1" x14ac:dyDescent="0.25">
      <c r="A1034" s="2" t="s">
        <v>1297</v>
      </c>
      <c r="B1034">
        <f t="shared" si="112"/>
        <v>32115</v>
      </c>
      <c r="C1034">
        <v>5899</v>
      </c>
      <c r="D1034">
        <v>26216</v>
      </c>
      <c r="F1034">
        <f t="shared" si="113"/>
        <v>169</v>
      </c>
      <c r="G1034" s="3">
        <f t="shared" si="118"/>
        <v>1034</v>
      </c>
      <c r="H1034" s="4"/>
      <c r="I1034" s="5" t="s">
        <v>1298</v>
      </c>
      <c r="J1034" s="6"/>
      <c r="K1034" s="7">
        <v>31946</v>
      </c>
      <c r="L1034" s="6">
        <f t="shared" si="114"/>
        <v>169</v>
      </c>
      <c r="M1034" s="7">
        <v>5875</v>
      </c>
      <c r="N1034" s="8">
        <f t="shared" si="115"/>
        <v>24</v>
      </c>
      <c r="O1034" s="7">
        <v>26071</v>
      </c>
      <c r="P1034" s="6">
        <f t="shared" si="116"/>
        <v>145</v>
      </c>
      <c r="Q1034" s="9"/>
      <c r="R1034" s="6">
        <f t="shared" si="117"/>
        <v>0</v>
      </c>
      <c r="S1034" s="10" t="s">
        <v>1</v>
      </c>
      <c r="T1034" s="2" t="s">
        <v>1297</v>
      </c>
    </row>
    <row r="1035" spans="1:20" ht="37.5" customHeight="1" x14ac:dyDescent="0.25">
      <c r="A1035" s="2" t="s">
        <v>1299</v>
      </c>
      <c r="B1035">
        <f t="shared" si="112"/>
        <v>3603</v>
      </c>
      <c r="C1035">
        <v>659</v>
      </c>
      <c r="D1035">
        <v>2944</v>
      </c>
      <c r="F1035">
        <f t="shared" si="113"/>
        <v>0</v>
      </c>
      <c r="G1035" s="3">
        <f t="shared" si="118"/>
        <v>1035</v>
      </c>
      <c r="H1035" s="4"/>
      <c r="I1035" s="5" t="s">
        <v>1300</v>
      </c>
      <c r="J1035" s="6"/>
      <c r="K1035" s="7">
        <v>3603</v>
      </c>
      <c r="L1035" s="6">
        <f t="shared" si="114"/>
        <v>0</v>
      </c>
      <c r="M1035" s="7">
        <v>659</v>
      </c>
      <c r="N1035" s="8">
        <f t="shared" si="115"/>
        <v>0</v>
      </c>
      <c r="O1035" s="7">
        <v>2944</v>
      </c>
      <c r="P1035" s="6">
        <f t="shared" si="116"/>
        <v>0</v>
      </c>
      <c r="Q1035" s="9"/>
      <c r="R1035" s="6">
        <f t="shared" si="117"/>
        <v>0</v>
      </c>
      <c r="S1035" s="10" t="s">
        <v>1</v>
      </c>
      <c r="T1035" s="2" t="s">
        <v>1299</v>
      </c>
    </row>
    <row r="1036" spans="1:20" ht="37.5" customHeight="1" x14ac:dyDescent="0.25">
      <c r="A1036" s="2" t="s">
        <v>1301</v>
      </c>
      <c r="B1036">
        <f t="shared" si="112"/>
        <v>37107</v>
      </c>
      <c r="C1036">
        <v>5774</v>
      </c>
      <c r="D1036">
        <v>31333</v>
      </c>
      <c r="F1036">
        <f t="shared" si="113"/>
        <v>135</v>
      </c>
      <c r="G1036" s="3">
        <f t="shared" si="118"/>
        <v>1036</v>
      </c>
      <c r="H1036" s="4"/>
      <c r="I1036" s="5" t="s">
        <v>1302</v>
      </c>
      <c r="J1036" s="6"/>
      <c r="K1036" s="7">
        <v>36972</v>
      </c>
      <c r="L1036" s="6">
        <f t="shared" si="114"/>
        <v>135</v>
      </c>
      <c r="M1036" s="7">
        <v>5746</v>
      </c>
      <c r="N1036" s="8">
        <f t="shared" si="115"/>
        <v>28</v>
      </c>
      <c r="O1036" s="7">
        <v>31226</v>
      </c>
      <c r="P1036" s="6">
        <f t="shared" si="116"/>
        <v>107</v>
      </c>
      <c r="Q1036" s="9"/>
      <c r="R1036" s="6">
        <f t="shared" si="117"/>
        <v>0</v>
      </c>
      <c r="S1036" s="10" t="s">
        <v>1</v>
      </c>
      <c r="T1036" s="2" t="s">
        <v>1301</v>
      </c>
    </row>
    <row r="1037" spans="1:20" ht="37.5" customHeight="1" x14ac:dyDescent="0.25">
      <c r="A1037" s="2" t="s">
        <v>1303</v>
      </c>
      <c r="B1037">
        <f t="shared" si="112"/>
        <v>27913</v>
      </c>
      <c r="C1037">
        <v>4195</v>
      </c>
      <c r="D1037">
        <v>23718</v>
      </c>
      <c r="F1037">
        <f t="shared" si="113"/>
        <v>511</v>
      </c>
      <c r="G1037" s="3">
        <f t="shared" si="118"/>
        <v>1037</v>
      </c>
      <c r="H1037" s="4"/>
      <c r="I1037" s="5" t="s">
        <v>1304</v>
      </c>
      <c r="J1037" s="6"/>
      <c r="K1037" s="7">
        <v>27402</v>
      </c>
      <c r="L1037" s="6">
        <f t="shared" si="114"/>
        <v>511</v>
      </c>
      <c r="M1037" s="7">
        <v>4113</v>
      </c>
      <c r="N1037" s="8">
        <f t="shared" si="115"/>
        <v>82</v>
      </c>
      <c r="O1037" s="7">
        <v>23289</v>
      </c>
      <c r="P1037" s="6">
        <f t="shared" si="116"/>
        <v>429</v>
      </c>
      <c r="Q1037" s="9"/>
      <c r="R1037" s="6">
        <f t="shared" si="117"/>
        <v>0</v>
      </c>
      <c r="S1037" s="10" t="s">
        <v>1</v>
      </c>
      <c r="T1037" s="2" t="s">
        <v>1303</v>
      </c>
    </row>
    <row r="1038" spans="1:20" ht="37.5" customHeight="1" x14ac:dyDescent="0.25">
      <c r="A1038" s="2" t="s">
        <v>1305</v>
      </c>
      <c r="B1038">
        <f t="shared" si="112"/>
        <v>19753</v>
      </c>
      <c r="C1038">
        <v>4031</v>
      </c>
      <c r="D1038">
        <v>15722</v>
      </c>
      <c r="F1038">
        <f t="shared" si="113"/>
        <v>160</v>
      </c>
      <c r="G1038" s="3">
        <f t="shared" si="118"/>
        <v>1038</v>
      </c>
      <c r="H1038" s="4"/>
      <c r="I1038" s="5" t="s">
        <v>1306</v>
      </c>
      <c r="J1038" s="6"/>
      <c r="K1038" s="7">
        <v>19593</v>
      </c>
      <c r="L1038" s="6">
        <f t="shared" si="114"/>
        <v>160</v>
      </c>
      <c r="M1038" s="7">
        <v>4008</v>
      </c>
      <c r="N1038" s="8">
        <f t="shared" si="115"/>
        <v>23</v>
      </c>
      <c r="O1038" s="7">
        <v>15585</v>
      </c>
      <c r="P1038" s="6">
        <f t="shared" si="116"/>
        <v>137</v>
      </c>
      <c r="Q1038" s="9"/>
      <c r="R1038" s="6">
        <f t="shared" si="117"/>
        <v>0</v>
      </c>
      <c r="S1038" s="10" t="s">
        <v>1</v>
      </c>
      <c r="T1038" s="2" t="s">
        <v>1305</v>
      </c>
    </row>
    <row r="1039" spans="1:20" ht="37.5" customHeight="1" x14ac:dyDescent="0.25">
      <c r="A1039" s="2" t="s">
        <v>1307</v>
      </c>
      <c r="B1039">
        <f t="shared" si="112"/>
        <v>3645</v>
      </c>
      <c r="C1039">
        <v>897</v>
      </c>
      <c r="D1039">
        <v>2748</v>
      </c>
      <c r="E1039">
        <v>3964</v>
      </c>
      <c r="F1039">
        <f t="shared" si="113"/>
        <v>340</v>
      </c>
      <c r="G1039" s="3">
        <f t="shared" si="118"/>
        <v>1039</v>
      </c>
      <c r="H1039" s="4"/>
      <c r="I1039" s="5" t="s">
        <v>1308</v>
      </c>
      <c r="J1039" s="6"/>
      <c r="K1039" s="7">
        <f>M1039+O1039</f>
        <v>3305</v>
      </c>
      <c r="L1039" s="6">
        <f t="shared" si="114"/>
        <v>340</v>
      </c>
      <c r="M1039" s="7">
        <v>799</v>
      </c>
      <c r="N1039" s="8">
        <f t="shared" si="115"/>
        <v>98</v>
      </c>
      <c r="O1039" s="7">
        <v>2506</v>
      </c>
      <c r="P1039" s="6">
        <f t="shared" si="116"/>
        <v>242</v>
      </c>
      <c r="Q1039" s="9">
        <v>3126</v>
      </c>
      <c r="R1039" s="6">
        <f t="shared" si="117"/>
        <v>838</v>
      </c>
      <c r="S1039" s="10" t="s">
        <v>1</v>
      </c>
      <c r="T1039" s="2" t="s">
        <v>1307</v>
      </c>
    </row>
    <row r="1040" spans="1:20" ht="37.5" customHeight="1" x14ac:dyDescent="0.25">
      <c r="A1040" s="2" t="s">
        <v>1309</v>
      </c>
      <c r="B1040">
        <f t="shared" si="112"/>
        <v>33046</v>
      </c>
      <c r="C1040">
        <v>5553</v>
      </c>
      <c r="D1040">
        <v>27493</v>
      </c>
      <c r="F1040">
        <f t="shared" si="113"/>
        <v>282</v>
      </c>
      <c r="G1040" s="3">
        <f t="shared" si="118"/>
        <v>1040</v>
      </c>
      <c r="H1040" s="4"/>
      <c r="I1040" s="5" t="s">
        <v>1310</v>
      </c>
      <c r="J1040" s="6"/>
      <c r="K1040" s="7">
        <v>32764</v>
      </c>
      <c r="L1040" s="6">
        <f t="shared" si="114"/>
        <v>282</v>
      </c>
      <c r="M1040" s="7">
        <v>5483</v>
      </c>
      <c r="N1040" s="8">
        <f t="shared" si="115"/>
        <v>70</v>
      </c>
      <c r="O1040" s="7">
        <v>27281</v>
      </c>
      <c r="P1040" s="6">
        <f t="shared" si="116"/>
        <v>212</v>
      </c>
      <c r="Q1040" s="9"/>
      <c r="R1040" s="6">
        <f t="shared" si="117"/>
        <v>0</v>
      </c>
      <c r="S1040" s="10" t="s">
        <v>1</v>
      </c>
      <c r="T1040" s="2" t="s">
        <v>1309</v>
      </c>
    </row>
    <row r="1041" spans="1:20" ht="37.5" customHeight="1" x14ac:dyDescent="0.25">
      <c r="A1041" s="2" t="s">
        <v>1311</v>
      </c>
      <c r="B1041">
        <f t="shared" si="112"/>
        <v>9738</v>
      </c>
      <c r="C1041">
        <v>2301</v>
      </c>
      <c r="D1041">
        <v>7437</v>
      </c>
      <c r="E1041">
        <v>18186</v>
      </c>
      <c r="F1041">
        <f t="shared" si="113"/>
        <v>36</v>
      </c>
      <c r="G1041" s="3">
        <f t="shared" si="118"/>
        <v>1041</v>
      </c>
      <c r="H1041" s="4"/>
      <c r="I1041" s="5" t="s">
        <v>1312</v>
      </c>
      <c r="J1041" s="6"/>
      <c r="K1041" s="7">
        <f>M1041+O1041</f>
        <v>9702</v>
      </c>
      <c r="L1041" s="6">
        <f t="shared" si="114"/>
        <v>36</v>
      </c>
      <c r="M1041" s="7">
        <v>2290</v>
      </c>
      <c r="N1041" s="8">
        <f t="shared" si="115"/>
        <v>11</v>
      </c>
      <c r="O1041" s="7">
        <v>7412</v>
      </c>
      <c r="P1041" s="6">
        <f t="shared" si="116"/>
        <v>25</v>
      </c>
      <c r="Q1041" s="9">
        <v>17255</v>
      </c>
      <c r="R1041" s="6">
        <f t="shared" si="117"/>
        <v>931</v>
      </c>
      <c r="S1041" s="10" t="s">
        <v>1</v>
      </c>
      <c r="T1041" s="2" t="s">
        <v>1311</v>
      </c>
    </row>
    <row r="1042" spans="1:20" ht="37.5" customHeight="1" x14ac:dyDescent="0.25">
      <c r="A1042" s="2" t="s">
        <v>1313</v>
      </c>
      <c r="B1042">
        <f t="shared" si="112"/>
        <v>12733</v>
      </c>
      <c r="C1042">
        <v>2229</v>
      </c>
      <c r="D1042">
        <v>10504</v>
      </c>
      <c r="F1042">
        <f t="shared" si="113"/>
        <v>863</v>
      </c>
      <c r="G1042" s="3">
        <f t="shared" si="118"/>
        <v>1042</v>
      </c>
      <c r="H1042" s="4"/>
      <c r="I1042" s="5" t="s">
        <v>1314</v>
      </c>
      <c r="J1042" s="6"/>
      <c r="K1042" s="7">
        <v>11870</v>
      </c>
      <c r="L1042" s="6">
        <f t="shared" si="114"/>
        <v>863</v>
      </c>
      <c r="M1042" s="7">
        <v>2061</v>
      </c>
      <c r="N1042" s="8">
        <f t="shared" si="115"/>
        <v>168</v>
      </c>
      <c r="O1042" s="7">
        <v>9809</v>
      </c>
      <c r="P1042" s="6">
        <f t="shared" si="116"/>
        <v>695</v>
      </c>
      <c r="Q1042" s="9"/>
      <c r="R1042" s="6">
        <f t="shared" si="117"/>
        <v>0</v>
      </c>
      <c r="S1042" s="10" t="s">
        <v>1</v>
      </c>
      <c r="T1042" s="2" t="s">
        <v>1313</v>
      </c>
    </row>
    <row r="1043" spans="1:20" ht="37.5" customHeight="1" x14ac:dyDescent="0.25">
      <c r="A1043" s="2" t="s">
        <v>1315</v>
      </c>
      <c r="B1043">
        <f t="shared" si="112"/>
        <v>63715</v>
      </c>
      <c r="C1043">
        <v>10558</v>
      </c>
      <c r="D1043">
        <v>53157</v>
      </c>
      <c r="F1043">
        <f t="shared" si="113"/>
        <v>255</v>
      </c>
      <c r="G1043" s="3">
        <f t="shared" si="118"/>
        <v>1043</v>
      </c>
      <c r="H1043" s="4"/>
      <c r="I1043" s="5" t="s">
        <v>1316</v>
      </c>
      <c r="J1043" s="6"/>
      <c r="K1043" s="7">
        <v>63460</v>
      </c>
      <c r="L1043" s="6">
        <f t="shared" si="114"/>
        <v>255</v>
      </c>
      <c r="M1043" s="7">
        <v>10512</v>
      </c>
      <c r="N1043" s="8">
        <f t="shared" si="115"/>
        <v>46</v>
      </c>
      <c r="O1043" s="7">
        <v>52948</v>
      </c>
      <c r="P1043" s="6">
        <f t="shared" si="116"/>
        <v>209</v>
      </c>
      <c r="Q1043" s="9"/>
      <c r="R1043" s="6">
        <f t="shared" si="117"/>
        <v>0</v>
      </c>
      <c r="S1043" s="10" t="s">
        <v>1</v>
      </c>
      <c r="T1043" s="2" t="s">
        <v>1315</v>
      </c>
    </row>
    <row r="1044" spans="1:20" ht="37.5" customHeight="1" x14ac:dyDescent="0.25">
      <c r="A1044" s="2" t="s">
        <v>1317</v>
      </c>
      <c r="B1044">
        <f t="shared" si="112"/>
        <v>19926</v>
      </c>
      <c r="C1044">
        <v>2729</v>
      </c>
      <c r="D1044">
        <v>17197</v>
      </c>
      <c r="F1044">
        <f t="shared" si="113"/>
        <v>214</v>
      </c>
      <c r="G1044" s="3">
        <f t="shared" si="118"/>
        <v>1044</v>
      </c>
      <c r="H1044" s="4"/>
      <c r="I1044" s="5" t="s">
        <v>1318</v>
      </c>
      <c r="J1044" s="6"/>
      <c r="K1044" s="7">
        <v>19712</v>
      </c>
      <c r="L1044" s="6">
        <f t="shared" si="114"/>
        <v>214</v>
      </c>
      <c r="M1044" s="7">
        <v>2693</v>
      </c>
      <c r="N1044" s="8">
        <f t="shared" si="115"/>
        <v>36</v>
      </c>
      <c r="O1044" s="7">
        <v>17019</v>
      </c>
      <c r="P1044" s="6">
        <f t="shared" si="116"/>
        <v>178</v>
      </c>
      <c r="Q1044" s="9"/>
      <c r="R1044" s="6">
        <f t="shared" si="117"/>
        <v>0</v>
      </c>
      <c r="S1044" s="10" t="s">
        <v>1</v>
      </c>
      <c r="T1044" s="2" t="s">
        <v>1317</v>
      </c>
    </row>
    <row r="1045" spans="1:20" ht="37.5" customHeight="1" x14ac:dyDescent="0.25">
      <c r="A1045" s="2" t="s">
        <v>1319</v>
      </c>
      <c r="B1045">
        <f t="shared" si="112"/>
        <v>17532</v>
      </c>
      <c r="C1045">
        <v>3543</v>
      </c>
      <c r="D1045">
        <v>13989</v>
      </c>
      <c r="F1045">
        <f t="shared" si="113"/>
        <v>547</v>
      </c>
      <c r="G1045" s="3">
        <f t="shared" si="118"/>
        <v>1045</v>
      </c>
      <c r="H1045" s="4"/>
      <c r="I1045" s="5" t="s">
        <v>1320</v>
      </c>
      <c r="J1045" s="6"/>
      <c r="K1045" s="7">
        <v>16985</v>
      </c>
      <c r="L1045" s="6">
        <f t="shared" si="114"/>
        <v>547</v>
      </c>
      <c r="M1045" s="7">
        <v>3447</v>
      </c>
      <c r="N1045" s="8">
        <f t="shared" si="115"/>
        <v>96</v>
      </c>
      <c r="O1045" s="7">
        <v>13538</v>
      </c>
      <c r="P1045" s="6">
        <f t="shared" si="116"/>
        <v>451</v>
      </c>
      <c r="Q1045" s="9"/>
      <c r="R1045" s="6">
        <f t="shared" si="117"/>
        <v>0</v>
      </c>
      <c r="S1045" s="10" t="s">
        <v>1</v>
      </c>
      <c r="T1045" s="2" t="s">
        <v>1319</v>
      </c>
    </row>
    <row r="1046" spans="1:20" ht="37.5" customHeight="1" x14ac:dyDescent="0.25">
      <c r="A1046" s="2" t="s">
        <v>1321</v>
      </c>
      <c r="B1046">
        <f t="shared" si="112"/>
        <v>22255</v>
      </c>
      <c r="C1046">
        <v>3355</v>
      </c>
      <c r="D1046">
        <v>18900</v>
      </c>
      <c r="F1046">
        <f t="shared" si="113"/>
        <v>7</v>
      </c>
      <c r="G1046" s="3">
        <f t="shared" si="118"/>
        <v>1046</v>
      </c>
      <c r="H1046" s="4"/>
      <c r="I1046" s="5" t="s">
        <v>1322</v>
      </c>
      <c r="J1046" s="6"/>
      <c r="K1046" s="7">
        <v>22248</v>
      </c>
      <c r="L1046" s="6">
        <f t="shared" si="114"/>
        <v>7</v>
      </c>
      <c r="M1046" s="7">
        <v>3355</v>
      </c>
      <c r="N1046" s="8">
        <f t="shared" si="115"/>
        <v>0</v>
      </c>
      <c r="O1046" s="7">
        <v>18893</v>
      </c>
      <c r="P1046" s="6">
        <f t="shared" si="116"/>
        <v>7</v>
      </c>
      <c r="Q1046" s="9"/>
      <c r="R1046" s="6">
        <f t="shared" si="117"/>
        <v>0</v>
      </c>
      <c r="S1046" s="10" t="s">
        <v>1</v>
      </c>
      <c r="T1046" s="2" t="s">
        <v>1321</v>
      </c>
    </row>
    <row r="1047" spans="1:20" ht="37.5" customHeight="1" x14ac:dyDescent="0.25">
      <c r="A1047" s="2" t="s">
        <v>1323</v>
      </c>
      <c r="B1047">
        <f t="shared" si="112"/>
        <v>2576</v>
      </c>
      <c r="C1047">
        <v>329</v>
      </c>
      <c r="D1047">
        <v>2247</v>
      </c>
      <c r="F1047">
        <f t="shared" si="113"/>
        <v>0</v>
      </c>
      <c r="G1047" s="3">
        <f t="shared" si="118"/>
        <v>1047</v>
      </c>
      <c r="H1047" s="4"/>
      <c r="I1047" s="5" t="s">
        <v>1324</v>
      </c>
      <c r="J1047" s="6"/>
      <c r="K1047" s="7">
        <v>2576</v>
      </c>
      <c r="L1047" s="6">
        <f t="shared" si="114"/>
        <v>0</v>
      </c>
      <c r="M1047" s="7">
        <v>329</v>
      </c>
      <c r="N1047" s="8">
        <f t="shared" si="115"/>
        <v>0</v>
      </c>
      <c r="O1047" s="7">
        <v>2247</v>
      </c>
      <c r="P1047" s="6">
        <f t="shared" si="116"/>
        <v>0</v>
      </c>
      <c r="Q1047" s="9"/>
      <c r="R1047" s="6">
        <f t="shared" si="117"/>
        <v>0</v>
      </c>
      <c r="S1047" s="10" t="s">
        <v>1</v>
      </c>
      <c r="T1047" s="2" t="s">
        <v>1323</v>
      </c>
    </row>
    <row r="1048" spans="1:20" ht="37.5" customHeight="1" x14ac:dyDescent="0.25">
      <c r="A1048" s="2" t="s">
        <v>1325</v>
      </c>
      <c r="B1048">
        <f t="shared" si="112"/>
        <v>469</v>
      </c>
      <c r="C1048">
        <v>94</v>
      </c>
      <c r="D1048">
        <v>375</v>
      </c>
      <c r="E1048">
        <v>962</v>
      </c>
      <c r="F1048">
        <f t="shared" si="113"/>
        <v>469</v>
      </c>
      <c r="G1048" s="3">
        <f t="shared" si="118"/>
        <v>1048</v>
      </c>
      <c r="H1048" s="4"/>
      <c r="I1048" s="5" t="s">
        <v>1326</v>
      </c>
      <c r="J1048" s="6"/>
      <c r="K1048" s="7">
        <v>0</v>
      </c>
      <c r="L1048" s="6">
        <f t="shared" si="114"/>
        <v>469</v>
      </c>
      <c r="M1048" s="7">
        <v>0</v>
      </c>
      <c r="N1048" s="8">
        <f t="shared" si="115"/>
        <v>94</v>
      </c>
      <c r="O1048" s="7">
        <v>0</v>
      </c>
      <c r="P1048" s="6">
        <f t="shared" si="116"/>
        <v>375</v>
      </c>
      <c r="Q1048" s="9">
        <v>0</v>
      </c>
      <c r="R1048" s="6">
        <f t="shared" si="117"/>
        <v>962</v>
      </c>
      <c r="S1048" s="10" t="s">
        <v>1</v>
      </c>
      <c r="T1048" s="2" t="s">
        <v>1325</v>
      </c>
    </row>
    <row r="1049" spans="1:20" ht="37.5" customHeight="1" x14ac:dyDescent="0.25">
      <c r="A1049" s="2" t="s">
        <v>1327</v>
      </c>
      <c r="B1049">
        <f t="shared" si="112"/>
        <v>61305</v>
      </c>
      <c r="C1049">
        <v>9185</v>
      </c>
      <c r="D1049">
        <v>52120</v>
      </c>
      <c r="F1049">
        <f t="shared" si="113"/>
        <v>461</v>
      </c>
      <c r="G1049" s="3">
        <f t="shared" si="118"/>
        <v>1049</v>
      </c>
      <c r="H1049" s="4"/>
      <c r="I1049" s="5" t="s">
        <v>1328</v>
      </c>
      <c r="J1049" s="6"/>
      <c r="K1049" s="7">
        <v>60844</v>
      </c>
      <c r="L1049" s="6">
        <f t="shared" si="114"/>
        <v>461</v>
      </c>
      <c r="M1049" s="7">
        <v>9103</v>
      </c>
      <c r="N1049" s="8">
        <f t="shared" si="115"/>
        <v>82</v>
      </c>
      <c r="O1049" s="7">
        <v>51741</v>
      </c>
      <c r="P1049" s="6">
        <f t="shared" si="116"/>
        <v>379</v>
      </c>
      <c r="Q1049" s="9"/>
      <c r="R1049" s="6">
        <f t="shared" si="117"/>
        <v>0</v>
      </c>
      <c r="S1049" s="10" t="s">
        <v>1</v>
      </c>
      <c r="T1049" s="2" t="s">
        <v>1327</v>
      </c>
    </row>
    <row r="1050" spans="1:20" ht="37.5" customHeight="1" x14ac:dyDescent="0.25">
      <c r="A1050" s="2" t="s">
        <v>1329</v>
      </c>
      <c r="B1050">
        <f t="shared" si="112"/>
        <v>106751</v>
      </c>
      <c r="C1050">
        <v>25917</v>
      </c>
      <c r="D1050">
        <v>80834</v>
      </c>
      <c r="F1050">
        <f t="shared" si="113"/>
        <v>55</v>
      </c>
      <c r="G1050" s="3">
        <f t="shared" si="118"/>
        <v>1050</v>
      </c>
      <c r="H1050" s="4"/>
      <c r="I1050" s="5" t="s">
        <v>1330</v>
      </c>
      <c r="J1050" s="6"/>
      <c r="K1050" s="7">
        <v>106696</v>
      </c>
      <c r="L1050" s="6">
        <f t="shared" si="114"/>
        <v>55</v>
      </c>
      <c r="M1050" s="7">
        <v>25905</v>
      </c>
      <c r="N1050" s="8">
        <f t="shared" si="115"/>
        <v>12</v>
      </c>
      <c r="O1050" s="7">
        <v>80791</v>
      </c>
      <c r="P1050" s="6">
        <f t="shared" si="116"/>
        <v>43</v>
      </c>
      <c r="Q1050" s="9"/>
      <c r="R1050" s="6">
        <f t="shared" si="117"/>
        <v>0</v>
      </c>
      <c r="S1050" s="10" t="s">
        <v>1</v>
      </c>
      <c r="T1050" s="2" t="s">
        <v>1329</v>
      </c>
    </row>
    <row r="1051" spans="1:20" ht="37.5" customHeight="1" x14ac:dyDescent="0.25">
      <c r="A1051" s="2" t="s">
        <v>1331</v>
      </c>
      <c r="B1051">
        <f t="shared" si="112"/>
        <v>5009</v>
      </c>
      <c r="C1051">
        <v>837</v>
      </c>
      <c r="D1051">
        <v>4172</v>
      </c>
      <c r="F1051">
        <f t="shared" si="113"/>
        <v>36</v>
      </c>
      <c r="G1051" s="3">
        <f t="shared" si="118"/>
        <v>1051</v>
      </c>
      <c r="H1051" s="4"/>
      <c r="I1051" s="5" t="s">
        <v>1332</v>
      </c>
      <c r="J1051" s="6"/>
      <c r="K1051" s="7">
        <v>4973</v>
      </c>
      <c r="L1051" s="6">
        <f t="shared" si="114"/>
        <v>36</v>
      </c>
      <c r="M1051" s="7">
        <v>831</v>
      </c>
      <c r="N1051" s="8">
        <f t="shared" si="115"/>
        <v>6</v>
      </c>
      <c r="O1051" s="7">
        <v>4142</v>
      </c>
      <c r="P1051" s="6">
        <f t="shared" si="116"/>
        <v>30</v>
      </c>
      <c r="Q1051" s="9"/>
      <c r="R1051" s="6">
        <f t="shared" si="117"/>
        <v>0</v>
      </c>
      <c r="S1051" s="10" t="s">
        <v>1</v>
      </c>
      <c r="T1051" s="2" t="s">
        <v>1331</v>
      </c>
    </row>
    <row r="1052" spans="1:20" ht="37.5" customHeight="1" x14ac:dyDescent="0.25">
      <c r="A1052" s="2" t="s">
        <v>1333</v>
      </c>
      <c r="B1052">
        <f t="shared" si="112"/>
        <v>3072</v>
      </c>
      <c r="C1052">
        <v>722</v>
      </c>
      <c r="D1052">
        <v>2350</v>
      </c>
      <c r="E1052">
        <v>3967</v>
      </c>
      <c r="F1052">
        <f t="shared" si="113"/>
        <v>266</v>
      </c>
      <c r="G1052" s="3">
        <f t="shared" si="118"/>
        <v>1052</v>
      </c>
      <c r="H1052" s="4"/>
      <c r="I1052" s="5" t="s">
        <v>1334</v>
      </c>
      <c r="J1052" s="6"/>
      <c r="K1052" s="7">
        <f>M1052+O1052</f>
        <v>2806</v>
      </c>
      <c r="L1052" s="6">
        <f t="shared" si="114"/>
        <v>266</v>
      </c>
      <c r="M1052" s="7">
        <v>653</v>
      </c>
      <c r="N1052" s="8">
        <f t="shared" si="115"/>
        <v>69</v>
      </c>
      <c r="O1052" s="7">
        <v>2153</v>
      </c>
      <c r="P1052" s="6">
        <f t="shared" si="116"/>
        <v>197</v>
      </c>
      <c r="Q1052" s="9">
        <v>3253</v>
      </c>
      <c r="R1052" s="6">
        <f t="shared" si="117"/>
        <v>714</v>
      </c>
      <c r="S1052" s="10" t="s">
        <v>1</v>
      </c>
      <c r="T1052" s="2" t="s">
        <v>1333</v>
      </c>
    </row>
    <row r="1053" spans="1:20" ht="37.5" customHeight="1" x14ac:dyDescent="0.25">
      <c r="A1053" s="2" t="s">
        <v>1335</v>
      </c>
      <c r="B1053">
        <f t="shared" si="112"/>
        <v>10595</v>
      </c>
      <c r="C1053">
        <v>1640</v>
      </c>
      <c r="D1053">
        <v>8955</v>
      </c>
      <c r="F1053">
        <f t="shared" si="113"/>
        <v>142</v>
      </c>
      <c r="G1053" s="3">
        <f t="shared" si="118"/>
        <v>1053</v>
      </c>
      <c r="H1053" s="4"/>
      <c r="I1053" s="5" t="s">
        <v>1336</v>
      </c>
      <c r="J1053" s="6"/>
      <c r="K1053" s="7">
        <v>10453</v>
      </c>
      <c r="L1053" s="6">
        <f t="shared" si="114"/>
        <v>142</v>
      </c>
      <c r="M1053" s="7">
        <v>1621</v>
      </c>
      <c r="N1053" s="8">
        <f t="shared" si="115"/>
        <v>19</v>
      </c>
      <c r="O1053" s="7">
        <v>8832</v>
      </c>
      <c r="P1053" s="6">
        <f t="shared" si="116"/>
        <v>123</v>
      </c>
      <c r="Q1053" s="9"/>
      <c r="R1053" s="6">
        <f t="shared" si="117"/>
        <v>0</v>
      </c>
      <c r="S1053" s="10" t="s">
        <v>1</v>
      </c>
      <c r="T1053" s="2" t="s">
        <v>1335</v>
      </c>
    </row>
    <row r="1054" spans="1:20" ht="37.5" customHeight="1" x14ac:dyDescent="0.25">
      <c r="A1054" s="2" t="s">
        <v>1337</v>
      </c>
      <c r="B1054">
        <f t="shared" si="112"/>
        <v>87521</v>
      </c>
      <c r="C1054">
        <v>13840</v>
      </c>
      <c r="D1054">
        <v>73681</v>
      </c>
      <c r="F1054">
        <f t="shared" si="113"/>
        <v>1021</v>
      </c>
      <c r="G1054" s="3">
        <f t="shared" si="118"/>
        <v>1054</v>
      </c>
      <c r="H1054" s="4"/>
      <c r="I1054" s="5" t="s">
        <v>1338</v>
      </c>
      <c r="J1054" s="6"/>
      <c r="K1054" s="7">
        <v>86500</v>
      </c>
      <c r="L1054" s="6">
        <f t="shared" si="114"/>
        <v>1021</v>
      </c>
      <c r="M1054" s="7">
        <v>13703</v>
      </c>
      <c r="N1054" s="8">
        <f t="shared" si="115"/>
        <v>137</v>
      </c>
      <c r="O1054" s="7">
        <v>72797</v>
      </c>
      <c r="P1054" s="6">
        <f t="shared" si="116"/>
        <v>884</v>
      </c>
      <c r="Q1054" s="9"/>
      <c r="R1054" s="6">
        <f t="shared" si="117"/>
        <v>0</v>
      </c>
      <c r="S1054" s="10" t="s">
        <v>1</v>
      </c>
      <c r="T1054" s="2" t="s">
        <v>1337</v>
      </c>
    </row>
    <row r="1055" spans="1:20" ht="37.5" customHeight="1" x14ac:dyDescent="0.25">
      <c r="A1055" s="2" t="s">
        <v>1339</v>
      </c>
      <c r="B1055">
        <f t="shared" si="112"/>
        <v>24775</v>
      </c>
      <c r="C1055">
        <v>3870</v>
      </c>
      <c r="D1055">
        <v>20905</v>
      </c>
      <c r="F1055">
        <f t="shared" si="113"/>
        <v>478</v>
      </c>
      <c r="G1055" s="3">
        <f t="shared" si="118"/>
        <v>1055</v>
      </c>
      <c r="H1055" s="4"/>
      <c r="I1055" s="5" t="s">
        <v>1340</v>
      </c>
      <c r="J1055" s="6"/>
      <c r="K1055" s="7">
        <v>24297</v>
      </c>
      <c r="L1055" s="6">
        <f t="shared" si="114"/>
        <v>478</v>
      </c>
      <c r="M1055" s="7">
        <v>3787</v>
      </c>
      <c r="N1055" s="8">
        <f t="shared" si="115"/>
        <v>83</v>
      </c>
      <c r="O1055" s="7">
        <v>20510</v>
      </c>
      <c r="P1055" s="6">
        <f t="shared" si="116"/>
        <v>395</v>
      </c>
      <c r="Q1055" s="9"/>
      <c r="R1055" s="6">
        <f t="shared" si="117"/>
        <v>0</v>
      </c>
      <c r="S1055" s="10" t="s">
        <v>1</v>
      </c>
      <c r="T1055" s="2" t="s">
        <v>1339</v>
      </c>
    </row>
    <row r="1056" spans="1:20" ht="37.5" customHeight="1" x14ac:dyDescent="0.25">
      <c r="A1056" s="2" t="s">
        <v>1341</v>
      </c>
      <c r="B1056">
        <f t="shared" si="112"/>
        <v>40638</v>
      </c>
      <c r="C1056">
        <v>7982</v>
      </c>
      <c r="D1056">
        <v>32656</v>
      </c>
      <c r="F1056">
        <f t="shared" si="113"/>
        <v>587</v>
      </c>
      <c r="G1056" s="3">
        <f t="shared" si="118"/>
        <v>1056</v>
      </c>
      <c r="H1056" s="4"/>
      <c r="I1056" s="5" t="s">
        <v>1342</v>
      </c>
      <c r="J1056" s="6"/>
      <c r="K1056" s="7">
        <v>40051</v>
      </c>
      <c r="L1056" s="6">
        <f t="shared" si="114"/>
        <v>587</v>
      </c>
      <c r="M1056" s="7">
        <v>7870</v>
      </c>
      <c r="N1056" s="8">
        <f t="shared" si="115"/>
        <v>112</v>
      </c>
      <c r="O1056" s="7">
        <v>32181</v>
      </c>
      <c r="P1056" s="6">
        <f t="shared" si="116"/>
        <v>475</v>
      </c>
      <c r="Q1056" s="9"/>
      <c r="R1056" s="6">
        <f t="shared" si="117"/>
        <v>0</v>
      </c>
      <c r="S1056" s="10" t="s">
        <v>1</v>
      </c>
      <c r="T1056" s="2" t="s">
        <v>1341</v>
      </c>
    </row>
    <row r="1057" spans="1:20" ht="37.5" customHeight="1" x14ac:dyDescent="0.25">
      <c r="A1057" s="2" t="s">
        <v>1343</v>
      </c>
      <c r="B1057">
        <f t="shared" si="112"/>
        <v>46461</v>
      </c>
      <c r="C1057">
        <v>7815</v>
      </c>
      <c r="D1057">
        <v>38646</v>
      </c>
      <c r="F1057">
        <f t="shared" si="113"/>
        <v>9</v>
      </c>
      <c r="G1057" s="3">
        <f t="shared" si="118"/>
        <v>1057</v>
      </c>
      <c r="H1057" s="4"/>
      <c r="I1057" s="5" t="s">
        <v>1344</v>
      </c>
      <c r="J1057" s="6"/>
      <c r="K1057" s="7">
        <v>46452</v>
      </c>
      <c r="L1057" s="6">
        <f t="shared" si="114"/>
        <v>9</v>
      </c>
      <c r="M1057" s="7">
        <v>7813</v>
      </c>
      <c r="N1057" s="8">
        <f t="shared" si="115"/>
        <v>2</v>
      </c>
      <c r="O1057" s="7">
        <v>38639</v>
      </c>
      <c r="P1057" s="6">
        <f t="shared" si="116"/>
        <v>7</v>
      </c>
      <c r="Q1057" s="9"/>
      <c r="R1057" s="6">
        <f t="shared" si="117"/>
        <v>0</v>
      </c>
      <c r="S1057" s="10" t="s">
        <v>1</v>
      </c>
      <c r="T1057" s="2" t="s">
        <v>1343</v>
      </c>
    </row>
    <row r="1058" spans="1:20" ht="37.5" customHeight="1" x14ac:dyDescent="0.25">
      <c r="A1058" s="2" t="s">
        <v>1345</v>
      </c>
      <c r="B1058">
        <f t="shared" si="112"/>
        <v>10646</v>
      </c>
      <c r="C1058">
        <v>1920</v>
      </c>
      <c r="D1058">
        <v>8726</v>
      </c>
      <c r="F1058">
        <f t="shared" si="113"/>
        <v>457</v>
      </c>
      <c r="G1058" s="3">
        <f t="shared" si="118"/>
        <v>1058</v>
      </c>
      <c r="H1058" s="4"/>
      <c r="I1058" s="5" t="s">
        <v>1346</v>
      </c>
      <c r="J1058" s="6"/>
      <c r="K1058" s="7">
        <v>10189</v>
      </c>
      <c r="L1058" s="6">
        <f t="shared" si="114"/>
        <v>457</v>
      </c>
      <c r="M1058" s="7">
        <v>1828</v>
      </c>
      <c r="N1058" s="8">
        <f t="shared" si="115"/>
        <v>92</v>
      </c>
      <c r="O1058" s="7">
        <v>8361</v>
      </c>
      <c r="P1058" s="6">
        <f t="shared" si="116"/>
        <v>365</v>
      </c>
      <c r="Q1058" s="9"/>
      <c r="R1058" s="6">
        <f t="shared" si="117"/>
        <v>0</v>
      </c>
      <c r="S1058" s="10" t="s">
        <v>1</v>
      </c>
      <c r="T1058" s="2" t="s">
        <v>1345</v>
      </c>
    </row>
    <row r="1059" spans="1:20" ht="37.5" customHeight="1" x14ac:dyDescent="0.25">
      <c r="A1059" s="2" t="s">
        <v>1347</v>
      </c>
      <c r="B1059">
        <f t="shared" si="112"/>
        <v>84836</v>
      </c>
      <c r="C1059">
        <v>10214</v>
      </c>
      <c r="D1059">
        <v>74622</v>
      </c>
      <c r="F1059">
        <f t="shared" si="113"/>
        <v>440</v>
      </c>
      <c r="G1059" s="3">
        <f t="shared" si="118"/>
        <v>1059</v>
      </c>
      <c r="H1059" s="4"/>
      <c r="I1059" s="5" t="s">
        <v>1348</v>
      </c>
      <c r="J1059" s="6"/>
      <c r="K1059" s="7">
        <v>84396</v>
      </c>
      <c r="L1059" s="6">
        <f t="shared" si="114"/>
        <v>440</v>
      </c>
      <c r="M1059" s="7">
        <v>10149</v>
      </c>
      <c r="N1059" s="8">
        <f t="shared" si="115"/>
        <v>65</v>
      </c>
      <c r="O1059" s="7">
        <v>74247</v>
      </c>
      <c r="P1059" s="6">
        <f t="shared" si="116"/>
        <v>375</v>
      </c>
      <c r="Q1059" s="9"/>
      <c r="R1059" s="6">
        <f t="shared" si="117"/>
        <v>0</v>
      </c>
      <c r="S1059" s="10" t="s">
        <v>1</v>
      </c>
      <c r="T1059" s="2" t="s">
        <v>1347</v>
      </c>
    </row>
    <row r="1060" spans="1:20" ht="37.5" customHeight="1" x14ac:dyDescent="0.25">
      <c r="A1060" s="2" t="s">
        <v>1349</v>
      </c>
      <c r="B1060">
        <f t="shared" si="112"/>
        <v>80136</v>
      </c>
      <c r="C1060">
        <v>19560</v>
      </c>
      <c r="D1060">
        <v>60576</v>
      </c>
      <c r="F1060">
        <f t="shared" si="113"/>
        <v>303</v>
      </c>
      <c r="G1060" s="3">
        <f t="shared" si="118"/>
        <v>1060</v>
      </c>
      <c r="H1060" s="4"/>
      <c r="I1060" s="5" t="s">
        <v>1350</v>
      </c>
      <c r="J1060" s="6"/>
      <c r="K1060" s="7">
        <v>79833</v>
      </c>
      <c r="L1060" s="6">
        <f t="shared" si="114"/>
        <v>303</v>
      </c>
      <c r="M1060" s="7">
        <v>19508</v>
      </c>
      <c r="N1060" s="8">
        <f t="shared" si="115"/>
        <v>52</v>
      </c>
      <c r="O1060" s="7">
        <v>60325</v>
      </c>
      <c r="P1060" s="6">
        <f t="shared" si="116"/>
        <v>251</v>
      </c>
      <c r="Q1060" s="9"/>
      <c r="R1060" s="6">
        <f t="shared" si="117"/>
        <v>0</v>
      </c>
      <c r="S1060" s="10" t="s">
        <v>1</v>
      </c>
      <c r="T1060" s="2" t="s">
        <v>1349</v>
      </c>
    </row>
    <row r="1061" spans="1:20" ht="37.5" customHeight="1" x14ac:dyDescent="0.25">
      <c r="A1061" s="2" t="s">
        <v>1351</v>
      </c>
      <c r="B1061">
        <f t="shared" si="112"/>
        <v>84125</v>
      </c>
      <c r="C1061">
        <v>30726</v>
      </c>
      <c r="D1061">
        <v>53399</v>
      </c>
      <c r="F1061">
        <f t="shared" si="113"/>
        <v>562</v>
      </c>
      <c r="G1061" s="3">
        <f t="shared" si="118"/>
        <v>1061</v>
      </c>
      <c r="H1061" s="4"/>
      <c r="I1061" s="5" t="s">
        <v>1352</v>
      </c>
      <c r="J1061" s="6"/>
      <c r="K1061" s="7">
        <v>83563</v>
      </c>
      <c r="L1061" s="6">
        <f t="shared" si="114"/>
        <v>562</v>
      </c>
      <c r="M1061" s="7">
        <v>30643</v>
      </c>
      <c r="N1061" s="8">
        <f t="shared" si="115"/>
        <v>83</v>
      </c>
      <c r="O1061" s="7">
        <v>52920</v>
      </c>
      <c r="P1061" s="6">
        <f t="shared" si="116"/>
        <v>479</v>
      </c>
      <c r="Q1061" s="9"/>
      <c r="R1061" s="6">
        <f t="shared" si="117"/>
        <v>0</v>
      </c>
      <c r="S1061" s="10" t="s">
        <v>1</v>
      </c>
      <c r="T1061" s="2" t="s">
        <v>1351</v>
      </c>
    </row>
    <row r="1062" spans="1:20" ht="37.5" customHeight="1" x14ac:dyDescent="0.25">
      <c r="A1062" s="2" t="s">
        <v>1353</v>
      </c>
      <c r="B1062">
        <f t="shared" si="112"/>
        <v>70077</v>
      </c>
      <c r="C1062">
        <v>10738</v>
      </c>
      <c r="D1062">
        <v>59339</v>
      </c>
      <c r="F1062">
        <f t="shared" si="113"/>
        <v>276</v>
      </c>
      <c r="G1062" s="3">
        <f t="shared" si="118"/>
        <v>1062</v>
      </c>
      <c r="H1062" s="4"/>
      <c r="I1062" s="5" t="s">
        <v>1354</v>
      </c>
      <c r="J1062" s="6"/>
      <c r="K1062" s="7">
        <v>69801</v>
      </c>
      <c r="L1062" s="6">
        <f t="shared" si="114"/>
        <v>276</v>
      </c>
      <c r="M1062" s="7">
        <v>10702</v>
      </c>
      <c r="N1062" s="8">
        <f t="shared" si="115"/>
        <v>36</v>
      </c>
      <c r="O1062" s="7">
        <v>59099</v>
      </c>
      <c r="P1062" s="6">
        <f t="shared" si="116"/>
        <v>240</v>
      </c>
      <c r="Q1062" s="9"/>
      <c r="R1062" s="6">
        <f t="shared" si="117"/>
        <v>0</v>
      </c>
      <c r="S1062" s="10" t="s">
        <v>1</v>
      </c>
      <c r="T1062" s="2" t="s">
        <v>1353</v>
      </c>
    </row>
    <row r="1063" spans="1:20" ht="37.5" customHeight="1" x14ac:dyDescent="0.25">
      <c r="A1063" s="2" t="s">
        <v>1355</v>
      </c>
      <c r="B1063">
        <f t="shared" si="112"/>
        <v>10754</v>
      </c>
      <c r="C1063">
        <v>1921</v>
      </c>
      <c r="D1063">
        <v>8833</v>
      </c>
      <c r="F1063">
        <f t="shared" si="113"/>
        <v>337</v>
      </c>
      <c r="G1063" s="3">
        <f t="shared" si="118"/>
        <v>1063</v>
      </c>
      <c r="H1063" s="4"/>
      <c r="I1063" s="5" t="s">
        <v>1356</v>
      </c>
      <c r="J1063" s="6"/>
      <c r="K1063" s="7">
        <v>10417</v>
      </c>
      <c r="L1063" s="6">
        <f t="shared" si="114"/>
        <v>337</v>
      </c>
      <c r="M1063" s="7">
        <v>1868</v>
      </c>
      <c r="N1063" s="8">
        <f t="shared" si="115"/>
        <v>53</v>
      </c>
      <c r="O1063" s="7">
        <v>8549</v>
      </c>
      <c r="P1063" s="6">
        <f t="shared" si="116"/>
        <v>284</v>
      </c>
      <c r="Q1063" s="9"/>
      <c r="R1063" s="6">
        <f t="shared" si="117"/>
        <v>0</v>
      </c>
      <c r="S1063" s="10" t="s">
        <v>1</v>
      </c>
      <c r="T1063" s="2" t="s">
        <v>1355</v>
      </c>
    </row>
    <row r="1064" spans="1:20" ht="37.5" customHeight="1" x14ac:dyDescent="0.25">
      <c r="A1064" s="2" t="s">
        <v>1357</v>
      </c>
      <c r="B1064">
        <f t="shared" si="112"/>
        <v>38447</v>
      </c>
      <c r="C1064">
        <v>7407</v>
      </c>
      <c r="D1064">
        <v>31040</v>
      </c>
      <c r="F1064">
        <f t="shared" si="113"/>
        <v>162</v>
      </c>
      <c r="G1064" s="3">
        <f t="shared" si="118"/>
        <v>1064</v>
      </c>
      <c r="H1064" s="4"/>
      <c r="I1064" s="5" t="s">
        <v>1358</v>
      </c>
      <c r="J1064" s="6"/>
      <c r="K1064" s="7">
        <v>38285</v>
      </c>
      <c r="L1064" s="6">
        <f t="shared" si="114"/>
        <v>162</v>
      </c>
      <c r="M1064" s="7">
        <v>7381</v>
      </c>
      <c r="N1064" s="8">
        <f t="shared" si="115"/>
        <v>26</v>
      </c>
      <c r="O1064" s="7">
        <v>30904</v>
      </c>
      <c r="P1064" s="6">
        <f t="shared" si="116"/>
        <v>136</v>
      </c>
      <c r="Q1064" s="9"/>
      <c r="R1064" s="6">
        <f t="shared" si="117"/>
        <v>0</v>
      </c>
      <c r="S1064" s="10" t="s">
        <v>1</v>
      </c>
      <c r="T1064" s="2" t="s">
        <v>1357</v>
      </c>
    </row>
    <row r="1065" spans="1:20" ht="37.5" customHeight="1" x14ac:dyDescent="0.25">
      <c r="A1065" s="2" t="s">
        <v>1359</v>
      </c>
      <c r="B1065">
        <f t="shared" si="112"/>
        <v>7800</v>
      </c>
      <c r="C1065">
        <v>1018</v>
      </c>
      <c r="D1065">
        <v>6782</v>
      </c>
      <c r="F1065">
        <f t="shared" si="113"/>
        <v>387</v>
      </c>
      <c r="G1065" s="3">
        <f t="shared" si="118"/>
        <v>1065</v>
      </c>
      <c r="H1065" s="4"/>
      <c r="I1065" s="5" t="s">
        <v>1360</v>
      </c>
      <c r="J1065" s="6"/>
      <c r="K1065" s="7">
        <v>7413</v>
      </c>
      <c r="L1065" s="6">
        <f t="shared" si="114"/>
        <v>387</v>
      </c>
      <c r="M1065" s="7">
        <v>962</v>
      </c>
      <c r="N1065" s="8">
        <f t="shared" si="115"/>
        <v>56</v>
      </c>
      <c r="O1065" s="7">
        <v>6451</v>
      </c>
      <c r="P1065" s="6">
        <f t="shared" si="116"/>
        <v>331</v>
      </c>
      <c r="Q1065" s="9"/>
      <c r="R1065" s="6">
        <f t="shared" si="117"/>
        <v>0</v>
      </c>
      <c r="S1065" s="10" t="s">
        <v>1</v>
      </c>
      <c r="T1065" s="2" t="s">
        <v>1359</v>
      </c>
    </row>
    <row r="1066" spans="1:20" ht="37.5" customHeight="1" x14ac:dyDescent="0.25">
      <c r="A1066" s="2" t="s">
        <v>1361</v>
      </c>
      <c r="B1066">
        <f t="shared" si="112"/>
        <v>17458</v>
      </c>
      <c r="C1066">
        <v>2449</v>
      </c>
      <c r="D1066">
        <v>15009</v>
      </c>
      <c r="F1066">
        <f t="shared" si="113"/>
        <v>479</v>
      </c>
      <c r="G1066" s="3">
        <f t="shared" si="118"/>
        <v>1066</v>
      </c>
      <c r="H1066" s="4"/>
      <c r="I1066" s="5" t="s">
        <v>1362</v>
      </c>
      <c r="J1066" s="6"/>
      <c r="K1066" s="7">
        <v>16979</v>
      </c>
      <c r="L1066" s="6">
        <f t="shared" si="114"/>
        <v>479</v>
      </c>
      <c r="M1066" s="7">
        <v>2376</v>
      </c>
      <c r="N1066" s="8">
        <f t="shared" si="115"/>
        <v>73</v>
      </c>
      <c r="O1066" s="7">
        <v>14603</v>
      </c>
      <c r="P1066" s="6">
        <f t="shared" si="116"/>
        <v>406</v>
      </c>
      <c r="Q1066" s="9"/>
      <c r="R1066" s="6">
        <f t="shared" si="117"/>
        <v>0</v>
      </c>
      <c r="S1066" s="10" t="s">
        <v>1</v>
      </c>
      <c r="T1066" s="2" t="s">
        <v>1361</v>
      </c>
    </row>
    <row r="1067" spans="1:20" ht="37.5" customHeight="1" x14ac:dyDescent="0.25">
      <c r="A1067" s="2" t="s">
        <v>1363</v>
      </c>
      <c r="B1067">
        <f t="shared" si="112"/>
        <v>54844</v>
      </c>
      <c r="C1067">
        <v>11552</v>
      </c>
      <c r="D1067">
        <v>43292</v>
      </c>
      <c r="F1067">
        <f t="shared" si="113"/>
        <v>603</v>
      </c>
      <c r="G1067" s="3">
        <f t="shared" si="118"/>
        <v>1067</v>
      </c>
      <c r="H1067" s="4"/>
      <c r="I1067" s="5" t="s">
        <v>1364</v>
      </c>
      <c r="J1067" s="6"/>
      <c r="K1067" s="7">
        <v>54241</v>
      </c>
      <c r="L1067" s="6">
        <f t="shared" si="114"/>
        <v>603</v>
      </c>
      <c r="M1067" s="7">
        <v>11474</v>
      </c>
      <c r="N1067" s="8">
        <f t="shared" si="115"/>
        <v>78</v>
      </c>
      <c r="O1067" s="7">
        <v>42767</v>
      </c>
      <c r="P1067" s="6">
        <f t="shared" si="116"/>
        <v>525</v>
      </c>
      <c r="Q1067" s="9"/>
      <c r="R1067" s="6">
        <f t="shared" si="117"/>
        <v>0</v>
      </c>
      <c r="S1067" s="10" t="s">
        <v>1</v>
      </c>
      <c r="T1067" s="2" t="s">
        <v>1363</v>
      </c>
    </row>
    <row r="1068" spans="1:20" ht="37.5" customHeight="1" x14ac:dyDescent="0.25">
      <c r="A1068" s="2" t="s">
        <v>1365</v>
      </c>
      <c r="B1068">
        <f t="shared" si="112"/>
        <v>83064</v>
      </c>
      <c r="C1068">
        <v>24268</v>
      </c>
      <c r="D1068">
        <v>58796</v>
      </c>
      <c r="F1068">
        <f t="shared" si="113"/>
        <v>607</v>
      </c>
      <c r="G1068" s="3">
        <f t="shared" si="118"/>
        <v>1068</v>
      </c>
      <c r="H1068" s="4"/>
      <c r="I1068" s="5" t="s">
        <v>1366</v>
      </c>
      <c r="J1068" s="6"/>
      <c r="K1068" s="7">
        <v>82457</v>
      </c>
      <c r="L1068" s="6">
        <f t="shared" si="114"/>
        <v>607</v>
      </c>
      <c r="M1068" s="7">
        <v>24162</v>
      </c>
      <c r="N1068" s="8">
        <f t="shared" si="115"/>
        <v>106</v>
      </c>
      <c r="O1068" s="7">
        <v>58295</v>
      </c>
      <c r="P1068" s="6">
        <f t="shared" si="116"/>
        <v>501</v>
      </c>
      <c r="Q1068" s="9"/>
      <c r="R1068" s="6">
        <f t="shared" si="117"/>
        <v>0</v>
      </c>
      <c r="S1068" s="10" t="s">
        <v>1</v>
      </c>
      <c r="T1068" s="2" t="s">
        <v>1365</v>
      </c>
    </row>
    <row r="1069" spans="1:20" ht="37.5" customHeight="1" x14ac:dyDescent="0.25">
      <c r="A1069" s="2" t="s">
        <v>1367</v>
      </c>
      <c r="B1069">
        <f t="shared" si="112"/>
        <v>6408</v>
      </c>
      <c r="C1069">
        <v>1236</v>
      </c>
      <c r="D1069">
        <v>5172</v>
      </c>
      <c r="F1069">
        <f t="shared" si="113"/>
        <v>0</v>
      </c>
      <c r="G1069" s="3">
        <f t="shared" si="118"/>
        <v>1069</v>
      </c>
      <c r="H1069" s="4"/>
      <c r="I1069" s="5" t="s">
        <v>1368</v>
      </c>
      <c r="J1069" s="6"/>
      <c r="K1069" s="7">
        <v>6408</v>
      </c>
      <c r="L1069" s="6">
        <f t="shared" si="114"/>
        <v>0</v>
      </c>
      <c r="M1069" s="7">
        <v>1236</v>
      </c>
      <c r="N1069" s="8">
        <f t="shared" si="115"/>
        <v>0</v>
      </c>
      <c r="O1069" s="7">
        <v>5172</v>
      </c>
      <c r="P1069" s="6">
        <f t="shared" si="116"/>
        <v>0</v>
      </c>
      <c r="Q1069" s="9"/>
      <c r="R1069" s="6">
        <f t="shared" si="117"/>
        <v>0</v>
      </c>
      <c r="S1069" s="10" t="s">
        <v>1</v>
      </c>
      <c r="T1069" s="2" t="s">
        <v>1367</v>
      </c>
    </row>
    <row r="1070" spans="1:20" ht="37.5" customHeight="1" x14ac:dyDescent="0.25">
      <c r="A1070" s="2" t="s">
        <v>1369</v>
      </c>
      <c r="B1070">
        <f t="shared" si="112"/>
        <v>100724</v>
      </c>
      <c r="C1070">
        <v>29875</v>
      </c>
      <c r="D1070">
        <v>70849</v>
      </c>
      <c r="F1070">
        <f t="shared" si="113"/>
        <v>405</v>
      </c>
      <c r="G1070" s="3">
        <f t="shared" si="118"/>
        <v>1070</v>
      </c>
      <c r="H1070" s="4"/>
      <c r="I1070" s="5" t="s">
        <v>1370</v>
      </c>
      <c r="J1070" s="6"/>
      <c r="K1070" s="7">
        <v>100319</v>
      </c>
      <c r="L1070" s="6">
        <f t="shared" si="114"/>
        <v>405</v>
      </c>
      <c r="M1070" s="7">
        <v>29818</v>
      </c>
      <c r="N1070" s="8">
        <f t="shared" si="115"/>
        <v>57</v>
      </c>
      <c r="O1070" s="7">
        <v>70501</v>
      </c>
      <c r="P1070" s="6">
        <f t="shared" si="116"/>
        <v>348</v>
      </c>
      <c r="Q1070" s="9"/>
      <c r="R1070" s="6">
        <f t="shared" si="117"/>
        <v>0</v>
      </c>
      <c r="S1070" s="10" t="s">
        <v>1</v>
      </c>
      <c r="T1070" s="2" t="s">
        <v>1369</v>
      </c>
    </row>
    <row r="1071" spans="1:20" ht="37.5" customHeight="1" x14ac:dyDescent="0.25">
      <c r="A1071" s="2" t="s">
        <v>1371</v>
      </c>
      <c r="B1071">
        <f t="shared" si="112"/>
        <v>55888</v>
      </c>
      <c r="C1071">
        <v>10085</v>
      </c>
      <c r="D1071">
        <v>45803</v>
      </c>
      <c r="F1071">
        <f t="shared" si="113"/>
        <v>69</v>
      </c>
      <c r="G1071" s="3">
        <f t="shared" si="118"/>
        <v>1071</v>
      </c>
      <c r="H1071" s="4"/>
      <c r="I1071" s="5" t="s">
        <v>1372</v>
      </c>
      <c r="J1071" s="6"/>
      <c r="K1071" s="7">
        <v>55819</v>
      </c>
      <c r="L1071" s="6">
        <f t="shared" si="114"/>
        <v>69</v>
      </c>
      <c r="M1071" s="7">
        <v>10074</v>
      </c>
      <c r="N1071" s="8">
        <f t="shared" si="115"/>
        <v>11</v>
      </c>
      <c r="O1071" s="7">
        <v>45745</v>
      </c>
      <c r="P1071" s="6">
        <f t="shared" si="116"/>
        <v>58</v>
      </c>
      <c r="Q1071" s="9"/>
      <c r="R1071" s="6">
        <f t="shared" si="117"/>
        <v>0</v>
      </c>
      <c r="S1071" s="10" t="s">
        <v>1</v>
      </c>
      <c r="T1071" s="2" t="s">
        <v>1371</v>
      </c>
    </row>
    <row r="1072" spans="1:20" ht="37.5" customHeight="1" x14ac:dyDescent="0.25">
      <c r="A1072" s="2" t="s">
        <v>1373</v>
      </c>
      <c r="B1072">
        <f t="shared" si="112"/>
        <v>21791</v>
      </c>
      <c r="C1072">
        <v>4058</v>
      </c>
      <c r="D1072">
        <v>17733</v>
      </c>
      <c r="F1072">
        <f t="shared" si="113"/>
        <v>0</v>
      </c>
      <c r="G1072" s="3">
        <f t="shared" si="118"/>
        <v>1072</v>
      </c>
      <c r="H1072" s="4"/>
      <c r="I1072" s="5" t="s">
        <v>1374</v>
      </c>
      <c r="J1072" s="6"/>
      <c r="K1072" s="7">
        <v>21791</v>
      </c>
      <c r="L1072" s="6">
        <f t="shared" si="114"/>
        <v>0</v>
      </c>
      <c r="M1072" s="7">
        <v>4058</v>
      </c>
      <c r="N1072" s="8">
        <f t="shared" si="115"/>
        <v>0</v>
      </c>
      <c r="O1072" s="7">
        <v>17733</v>
      </c>
      <c r="P1072" s="6">
        <f t="shared" si="116"/>
        <v>0</v>
      </c>
      <c r="Q1072" s="9"/>
      <c r="R1072" s="6">
        <f t="shared" si="117"/>
        <v>0</v>
      </c>
      <c r="S1072" s="10" t="s">
        <v>1</v>
      </c>
      <c r="T1072" s="2" t="s">
        <v>1373</v>
      </c>
    </row>
    <row r="1073" spans="1:20" ht="37.5" customHeight="1" x14ac:dyDescent="0.25">
      <c r="A1073" s="2" t="s">
        <v>1375</v>
      </c>
      <c r="B1073">
        <f t="shared" si="112"/>
        <v>76073</v>
      </c>
      <c r="C1073">
        <v>23430</v>
      </c>
      <c r="D1073">
        <v>52643</v>
      </c>
      <c r="F1073">
        <f t="shared" si="113"/>
        <v>349</v>
      </c>
      <c r="G1073" s="3">
        <f t="shared" si="118"/>
        <v>1073</v>
      </c>
      <c r="H1073" s="4"/>
      <c r="I1073" s="5" t="s">
        <v>1376</v>
      </c>
      <c r="J1073" s="6"/>
      <c r="K1073" s="7">
        <v>75724</v>
      </c>
      <c r="L1073" s="6">
        <f t="shared" si="114"/>
        <v>349</v>
      </c>
      <c r="M1073" s="7">
        <v>23389</v>
      </c>
      <c r="N1073" s="8">
        <f t="shared" si="115"/>
        <v>41</v>
      </c>
      <c r="O1073" s="7">
        <v>52335</v>
      </c>
      <c r="P1073" s="6">
        <f t="shared" si="116"/>
        <v>308</v>
      </c>
      <c r="Q1073" s="9"/>
      <c r="R1073" s="6">
        <f t="shared" si="117"/>
        <v>0</v>
      </c>
      <c r="S1073" s="10" t="s">
        <v>1</v>
      </c>
      <c r="T1073" s="2" t="s">
        <v>1375</v>
      </c>
    </row>
    <row r="1074" spans="1:20" ht="37.5" customHeight="1" x14ac:dyDescent="0.25">
      <c r="A1074" s="2" t="s">
        <v>1377</v>
      </c>
      <c r="B1074">
        <f t="shared" si="112"/>
        <v>72699</v>
      </c>
      <c r="C1074">
        <v>25180</v>
      </c>
      <c r="D1074">
        <v>47519</v>
      </c>
      <c r="F1074">
        <f t="shared" si="113"/>
        <v>1</v>
      </c>
      <c r="G1074" s="3">
        <f t="shared" si="118"/>
        <v>1074</v>
      </c>
      <c r="H1074" s="4"/>
      <c r="I1074" s="5" t="s">
        <v>1378</v>
      </c>
      <c r="J1074" s="6"/>
      <c r="K1074" s="7">
        <v>72698</v>
      </c>
      <c r="L1074" s="6">
        <f t="shared" si="114"/>
        <v>1</v>
      </c>
      <c r="M1074" s="7">
        <v>25180</v>
      </c>
      <c r="N1074" s="8">
        <f t="shared" si="115"/>
        <v>0</v>
      </c>
      <c r="O1074" s="7">
        <v>47518</v>
      </c>
      <c r="P1074" s="6">
        <f t="shared" si="116"/>
        <v>1</v>
      </c>
      <c r="Q1074" s="9"/>
      <c r="R1074" s="6">
        <f t="shared" si="117"/>
        <v>0</v>
      </c>
      <c r="S1074" s="10" t="s">
        <v>1</v>
      </c>
      <c r="T1074" s="2" t="s">
        <v>1377</v>
      </c>
    </row>
    <row r="1075" spans="1:20" ht="37.5" customHeight="1" x14ac:dyDescent="0.25">
      <c r="A1075" s="2" t="s">
        <v>1379</v>
      </c>
      <c r="B1075">
        <f t="shared" si="112"/>
        <v>81697</v>
      </c>
      <c r="C1075">
        <v>14359</v>
      </c>
      <c r="D1075">
        <v>67338</v>
      </c>
      <c r="F1075">
        <f t="shared" si="113"/>
        <v>633</v>
      </c>
      <c r="G1075" s="3">
        <f t="shared" si="118"/>
        <v>1075</v>
      </c>
      <c r="H1075" s="4"/>
      <c r="I1075" s="5" t="s">
        <v>1380</v>
      </c>
      <c r="J1075" s="6"/>
      <c r="K1075" s="7">
        <v>81064</v>
      </c>
      <c r="L1075" s="6">
        <f t="shared" si="114"/>
        <v>633</v>
      </c>
      <c r="M1075" s="7">
        <v>14256</v>
      </c>
      <c r="N1075" s="8">
        <f t="shared" si="115"/>
        <v>103</v>
      </c>
      <c r="O1075" s="7">
        <v>66808</v>
      </c>
      <c r="P1075" s="6">
        <f t="shared" si="116"/>
        <v>530</v>
      </c>
      <c r="Q1075" s="9"/>
      <c r="R1075" s="6">
        <f t="shared" si="117"/>
        <v>0</v>
      </c>
      <c r="S1075" s="10" t="s">
        <v>1</v>
      </c>
      <c r="T1075" s="2" t="s">
        <v>1379</v>
      </c>
    </row>
    <row r="1076" spans="1:20" ht="37.5" customHeight="1" x14ac:dyDescent="0.25">
      <c r="A1076" s="2" t="s">
        <v>1381</v>
      </c>
      <c r="B1076">
        <f t="shared" si="112"/>
        <v>9010</v>
      </c>
      <c r="C1076">
        <v>1670</v>
      </c>
      <c r="D1076">
        <v>7340</v>
      </c>
      <c r="F1076">
        <f t="shared" si="113"/>
        <v>301</v>
      </c>
      <c r="G1076" s="3">
        <f t="shared" si="118"/>
        <v>1076</v>
      </c>
      <c r="H1076" s="4"/>
      <c r="I1076" s="5" t="s">
        <v>1382</v>
      </c>
      <c r="J1076" s="6"/>
      <c r="K1076" s="7">
        <v>8709</v>
      </c>
      <c r="L1076" s="6">
        <f t="shared" si="114"/>
        <v>301</v>
      </c>
      <c r="M1076" s="7">
        <v>1611</v>
      </c>
      <c r="N1076" s="8">
        <f t="shared" si="115"/>
        <v>59</v>
      </c>
      <c r="O1076" s="7">
        <v>7098</v>
      </c>
      <c r="P1076" s="6">
        <f t="shared" si="116"/>
        <v>242</v>
      </c>
      <c r="Q1076" s="9"/>
      <c r="R1076" s="6">
        <f t="shared" si="117"/>
        <v>0</v>
      </c>
      <c r="S1076" s="10" t="s">
        <v>1</v>
      </c>
      <c r="T1076" s="2" t="s">
        <v>1381</v>
      </c>
    </row>
    <row r="1077" spans="1:20" ht="37.5" customHeight="1" x14ac:dyDescent="0.25">
      <c r="A1077" s="2" t="s">
        <v>1383</v>
      </c>
      <c r="B1077">
        <f t="shared" si="112"/>
        <v>85616</v>
      </c>
      <c r="C1077">
        <v>13191</v>
      </c>
      <c r="D1077">
        <v>72425</v>
      </c>
      <c r="F1077">
        <f t="shared" si="113"/>
        <v>308</v>
      </c>
      <c r="G1077" s="3">
        <f t="shared" si="118"/>
        <v>1077</v>
      </c>
      <c r="H1077" s="4"/>
      <c r="I1077" s="5" t="s">
        <v>1384</v>
      </c>
      <c r="J1077" s="6"/>
      <c r="K1077" s="7">
        <v>85308</v>
      </c>
      <c r="L1077" s="6">
        <f t="shared" si="114"/>
        <v>308</v>
      </c>
      <c r="M1077" s="7">
        <v>13137</v>
      </c>
      <c r="N1077" s="8">
        <f t="shared" si="115"/>
        <v>54</v>
      </c>
      <c r="O1077" s="7">
        <v>72171</v>
      </c>
      <c r="P1077" s="6">
        <f t="shared" si="116"/>
        <v>254</v>
      </c>
      <c r="Q1077" s="9"/>
      <c r="R1077" s="6">
        <f t="shared" si="117"/>
        <v>0</v>
      </c>
      <c r="S1077" s="10" t="s">
        <v>1</v>
      </c>
      <c r="T1077" s="2" t="s">
        <v>1383</v>
      </c>
    </row>
    <row r="1078" spans="1:20" ht="37.5" customHeight="1" x14ac:dyDescent="0.25">
      <c r="A1078" s="2" t="s">
        <v>1385</v>
      </c>
      <c r="B1078">
        <f t="shared" si="112"/>
        <v>20256</v>
      </c>
      <c r="C1078">
        <v>3215</v>
      </c>
      <c r="D1078">
        <v>17041</v>
      </c>
      <c r="F1078">
        <f t="shared" si="113"/>
        <v>572</v>
      </c>
      <c r="G1078" s="3">
        <f t="shared" si="118"/>
        <v>1078</v>
      </c>
      <c r="H1078" s="4"/>
      <c r="I1078" s="5" t="s">
        <v>1386</v>
      </c>
      <c r="J1078" s="6"/>
      <c r="K1078" s="7">
        <v>19684</v>
      </c>
      <c r="L1078" s="6">
        <f t="shared" si="114"/>
        <v>572</v>
      </c>
      <c r="M1078" s="7">
        <v>3139</v>
      </c>
      <c r="N1078" s="8">
        <f t="shared" si="115"/>
        <v>76</v>
      </c>
      <c r="O1078" s="7">
        <v>16545</v>
      </c>
      <c r="P1078" s="6">
        <f t="shared" si="116"/>
        <v>496</v>
      </c>
      <c r="Q1078" s="9"/>
      <c r="R1078" s="6">
        <f t="shared" si="117"/>
        <v>0</v>
      </c>
      <c r="S1078" s="10" t="s">
        <v>1</v>
      </c>
      <c r="T1078" s="2" t="s">
        <v>1385</v>
      </c>
    </row>
    <row r="1079" spans="1:20" ht="37.5" customHeight="1" x14ac:dyDescent="0.25">
      <c r="A1079" s="2" t="s">
        <v>1387</v>
      </c>
      <c r="B1079">
        <f t="shared" si="112"/>
        <v>12786</v>
      </c>
      <c r="C1079">
        <v>1989</v>
      </c>
      <c r="D1079">
        <v>10797</v>
      </c>
      <c r="F1079">
        <f t="shared" si="113"/>
        <v>622</v>
      </c>
      <c r="G1079" s="3">
        <f t="shared" si="118"/>
        <v>1079</v>
      </c>
      <c r="H1079" s="4"/>
      <c r="I1079" s="5" t="s">
        <v>1388</v>
      </c>
      <c r="J1079" s="6"/>
      <c r="K1079" s="7">
        <v>12164</v>
      </c>
      <c r="L1079" s="6">
        <f t="shared" si="114"/>
        <v>622</v>
      </c>
      <c r="M1079" s="7">
        <v>1890</v>
      </c>
      <c r="N1079" s="8">
        <f t="shared" si="115"/>
        <v>99</v>
      </c>
      <c r="O1079" s="7">
        <v>10274</v>
      </c>
      <c r="P1079" s="6">
        <f t="shared" si="116"/>
        <v>523</v>
      </c>
      <c r="Q1079" s="9"/>
      <c r="R1079" s="6">
        <f t="shared" si="117"/>
        <v>0</v>
      </c>
      <c r="S1079" s="10" t="s">
        <v>1</v>
      </c>
      <c r="T1079" s="2" t="s">
        <v>1387</v>
      </c>
    </row>
    <row r="1080" spans="1:20" ht="37.5" customHeight="1" x14ac:dyDescent="0.25">
      <c r="A1080" s="2" t="s">
        <v>1389</v>
      </c>
      <c r="B1080">
        <f t="shared" si="112"/>
        <v>91939</v>
      </c>
      <c r="C1080">
        <v>17458</v>
      </c>
      <c r="D1080">
        <v>74481</v>
      </c>
      <c r="F1080">
        <f t="shared" si="113"/>
        <v>287</v>
      </c>
      <c r="G1080" s="3">
        <f t="shared" si="118"/>
        <v>1080</v>
      </c>
      <c r="H1080" s="4"/>
      <c r="I1080" s="5" t="s">
        <v>1390</v>
      </c>
      <c r="J1080" s="6"/>
      <c r="K1080" s="7">
        <v>91652</v>
      </c>
      <c r="L1080" s="6">
        <f t="shared" si="114"/>
        <v>287</v>
      </c>
      <c r="M1080" s="7">
        <v>17404</v>
      </c>
      <c r="N1080" s="8">
        <f t="shared" si="115"/>
        <v>54</v>
      </c>
      <c r="O1080" s="7">
        <v>74248</v>
      </c>
      <c r="P1080" s="6">
        <f t="shared" si="116"/>
        <v>233</v>
      </c>
      <c r="Q1080" s="9"/>
      <c r="R1080" s="6">
        <f t="shared" si="117"/>
        <v>0</v>
      </c>
      <c r="S1080" s="10" t="s">
        <v>1</v>
      </c>
      <c r="T1080" s="2" t="s">
        <v>1389</v>
      </c>
    </row>
    <row r="1081" spans="1:20" ht="37.5" customHeight="1" x14ac:dyDescent="0.25">
      <c r="A1081" s="2" t="s">
        <v>1391</v>
      </c>
      <c r="B1081">
        <v>10681</v>
      </c>
      <c r="F1081">
        <f t="shared" si="113"/>
        <v>222</v>
      </c>
      <c r="G1081" s="3">
        <f t="shared" si="118"/>
        <v>1081</v>
      </c>
      <c r="H1081" s="4"/>
      <c r="I1081" s="5" t="s">
        <v>1392</v>
      </c>
      <c r="J1081" s="6"/>
      <c r="K1081" s="7">
        <v>10459</v>
      </c>
      <c r="L1081" s="6">
        <f t="shared" si="114"/>
        <v>222</v>
      </c>
      <c r="M1081" s="7"/>
      <c r="N1081" s="8">
        <f t="shared" si="115"/>
        <v>0</v>
      </c>
      <c r="O1081" s="7"/>
      <c r="P1081" s="6">
        <f t="shared" si="116"/>
        <v>0</v>
      </c>
      <c r="Q1081" s="9"/>
      <c r="R1081" s="6">
        <f t="shared" si="117"/>
        <v>0</v>
      </c>
      <c r="S1081" s="10" t="s">
        <v>1</v>
      </c>
      <c r="T1081" s="2" t="s">
        <v>1391</v>
      </c>
    </row>
    <row r="1082" spans="1:20" ht="37.5" customHeight="1" x14ac:dyDescent="0.25">
      <c r="A1082" s="2" t="s">
        <v>1393</v>
      </c>
      <c r="B1082">
        <f t="shared" si="112"/>
        <v>4509</v>
      </c>
      <c r="C1082">
        <v>1267</v>
      </c>
      <c r="D1082">
        <v>3242</v>
      </c>
      <c r="F1082">
        <f t="shared" si="113"/>
        <v>299</v>
      </c>
      <c r="G1082" s="3">
        <f t="shared" si="118"/>
        <v>1082</v>
      </c>
      <c r="H1082" s="4"/>
      <c r="I1082" s="5" t="s">
        <v>1394</v>
      </c>
      <c r="J1082" s="6"/>
      <c r="K1082" s="7">
        <v>4210</v>
      </c>
      <c r="L1082" s="6">
        <f t="shared" si="114"/>
        <v>299</v>
      </c>
      <c r="M1082" s="7">
        <v>1148</v>
      </c>
      <c r="N1082" s="8">
        <f t="shared" si="115"/>
        <v>119</v>
      </c>
      <c r="O1082" s="7">
        <v>3062</v>
      </c>
      <c r="P1082" s="6">
        <f t="shared" si="116"/>
        <v>180</v>
      </c>
      <c r="Q1082" s="9"/>
      <c r="R1082" s="6">
        <f t="shared" si="117"/>
        <v>0</v>
      </c>
      <c r="S1082" s="10" t="s">
        <v>1395</v>
      </c>
      <c r="T1082" s="2" t="s">
        <v>1393</v>
      </c>
    </row>
    <row r="1083" spans="1:20" ht="37.5" customHeight="1" x14ac:dyDescent="0.25">
      <c r="A1083" s="2" t="s">
        <v>1396</v>
      </c>
      <c r="B1083">
        <f t="shared" si="112"/>
        <v>648895</v>
      </c>
      <c r="C1083">
        <v>250208</v>
      </c>
      <c r="D1083">
        <v>398687</v>
      </c>
      <c r="F1083">
        <f t="shared" si="113"/>
        <v>458</v>
      </c>
      <c r="G1083" s="3">
        <f t="shared" si="118"/>
        <v>1083</v>
      </c>
      <c r="H1083" s="4"/>
      <c r="I1083" s="5" t="s">
        <v>1394</v>
      </c>
      <c r="J1083" s="6"/>
      <c r="K1083" s="7">
        <v>648437</v>
      </c>
      <c r="L1083" s="6">
        <f t="shared" si="114"/>
        <v>458</v>
      </c>
      <c r="M1083" s="7">
        <v>250126</v>
      </c>
      <c r="N1083" s="8">
        <f t="shared" si="115"/>
        <v>82</v>
      </c>
      <c r="O1083" s="7">
        <v>398311</v>
      </c>
      <c r="P1083" s="6">
        <f t="shared" si="116"/>
        <v>376</v>
      </c>
      <c r="Q1083" s="9"/>
      <c r="R1083" s="6">
        <f t="shared" si="117"/>
        <v>0</v>
      </c>
      <c r="S1083" s="10" t="s">
        <v>1395</v>
      </c>
      <c r="T1083" s="2" t="s">
        <v>1396</v>
      </c>
    </row>
    <row r="1084" spans="1:20" ht="37.5" customHeight="1" x14ac:dyDescent="0.25">
      <c r="A1084" s="2" t="s">
        <v>1397</v>
      </c>
      <c r="B1084">
        <f t="shared" si="112"/>
        <v>34405</v>
      </c>
      <c r="C1084">
        <v>6777</v>
      </c>
      <c r="D1084">
        <v>27628</v>
      </c>
      <c r="F1084">
        <f t="shared" si="113"/>
        <v>175</v>
      </c>
      <c r="G1084" s="3">
        <f t="shared" si="118"/>
        <v>1084</v>
      </c>
      <c r="H1084" s="4"/>
      <c r="I1084" s="5" t="s">
        <v>1398</v>
      </c>
      <c r="J1084" s="6"/>
      <c r="K1084" s="7">
        <v>34230</v>
      </c>
      <c r="L1084" s="6">
        <f t="shared" si="114"/>
        <v>175</v>
      </c>
      <c r="M1084" s="7">
        <v>6749</v>
      </c>
      <c r="N1084" s="8">
        <f t="shared" si="115"/>
        <v>28</v>
      </c>
      <c r="O1084" s="7">
        <v>27481</v>
      </c>
      <c r="P1084" s="6">
        <f t="shared" si="116"/>
        <v>147</v>
      </c>
      <c r="Q1084" s="9"/>
      <c r="R1084" s="6">
        <f t="shared" si="117"/>
        <v>0</v>
      </c>
      <c r="S1084" s="10" t="s">
        <v>1395</v>
      </c>
      <c r="T1084" s="2" t="s">
        <v>1397</v>
      </c>
    </row>
    <row r="1085" spans="1:20" ht="37.5" customHeight="1" x14ac:dyDescent="0.25">
      <c r="A1085" s="2" t="s">
        <v>1399</v>
      </c>
      <c r="B1085">
        <f t="shared" si="112"/>
        <v>134</v>
      </c>
      <c r="C1085">
        <v>9</v>
      </c>
      <c r="D1085">
        <v>125</v>
      </c>
      <c r="F1085">
        <f t="shared" si="113"/>
        <v>49</v>
      </c>
      <c r="G1085" s="3">
        <f t="shared" si="118"/>
        <v>1085</v>
      </c>
      <c r="H1085" s="4"/>
      <c r="I1085" s="5" t="s">
        <v>1400</v>
      </c>
      <c r="J1085" s="6"/>
      <c r="K1085" s="7">
        <v>85</v>
      </c>
      <c r="L1085" s="6">
        <f t="shared" si="114"/>
        <v>49</v>
      </c>
      <c r="M1085" s="7">
        <v>7</v>
      </c>
      <c r="N1085" s="8">
        <f t="shared" si="115"/>
        <v>2</v>
      </c>
      <c r="O1085" s="7">
        <v>78</v>
      </c>
      <c r="P1085" s="6">
        <f t="shared" si="116"/>
        <v>47</v>
      </c>
      <c r="Q1085" s="9"/>
      <c r="R1085" s="6">
        <f t="shared" si="117"/>
        <v>0</v>
      </c>
      <c r="S1085" s="10" t="s">
        <v>1395</v>
      </c>
      <c r="T1085" s="2" t="s">
        <v>1399</v>
      </c>
    </row>
    <row r="1086" spans="1:20" ht="37.5" customHeight="1" x14ac:dyDescent="0.25">
      <c r="A1086" s="2" t="s">
        <v>1401</v>
      </c>
      <c r="B1086">
        <f t="shared" si="112"/>
        <v>3570</v>
      </c>
      <c r="C1086">
        <v>2334</v>
      </c>
      <c r="D1086">
        <v>1236</v>
      </c>
      <c r="F1086">
        <f t="shared" si="113"/>
        <v>155</v>
      </c>
      <c r="G1086" s="3">
        <f t="shared" si="118"/>
        <v>1086</v>
      </c>
      <c r="H1086" s="4"/>
      <c r="I1086" s="5" t="s">
        <v>1402</v>
      </c>
      <c r="J1086" s="6"/>
      <c r="K1086" s="7">
        <v>3415</v>
      </c>
      <c r="L1086" s="6">
        <f t="shared" si="114"/>
        <v>155</v>
      </c>
      <c r="M1086" s="7">
        <v>2283</v>
      </c>
      <c r="N1086" s="8">
        <f t="shared" si="115"/>
        <v>51</v>
      </c>
      <c r="O1086" s="7">
        <v>1132</v>
      </c>
      <c r="P1086" s="6">
        <f t="shared" si="116"/>
        <v>104</v>
      </c>
      <c r="Q1086" s="9"/>
      <c r="R1086" s="6">
        <f t="shared" si="117"/>
        <v>0</v>
      </c>
      <c r="S1086" s="10" t="s">
        <v>1395</v>
      </c>
      <c r="T1086" s="2" t="s">
        <v>1401</v>
      </c>
    </row>
    <row r="1087" spans="1:20" ht="37.5" customHeight="1" x14ac:dyDescent="0.25">
      <c r="A1087" s="2" t="s">
        <v>1403</v>
      </c>
      <c r="B1087">
        <f t="shared" si="112"/>
        <v>238917</v>
      </c>
      <c r="C1087">
        <v>42918</v>
      </c>
      <c r="D1087">
        <v>195999</v>
      </c>
      <c r="F1087">
        <f t="shared" si="113"/>
        <v>2248</v>
      </c>
      <c r="G1087" s="3">
        <f t="shared" si="118"/>
        <v>1087</v>
      </c>
      <c r="H1087" s="4"/>
      <c r="I1087" s="5" t="s">
        <v>1404</v>
      </c>
      <c r="J1087" s="6"/>
      <c r="K1087" s="7">
        <v>236669</v>
      </c>
      <c r="L1087" s="6">
        <f t="shared" si="114"/>
        <v>2248</v>
      </c>
      <c r="M1087" s="7">
        <v>42495</v>
      </c>
      <c r="N1087" s="8">
        <f t="shared" si="115"/>
        <v>423</v>
      </c>
      <c r="O1087" s="7">
        <v>194174</v>
      </c>
      <c r="P1087" s="6">
        <f t="shared" si="116"/>
        <v>1825</v>
      </c>
      <c r="Q1087" s="9"/>
      <c r="R1087" s="6">
        <f t="shared" si="117"/>
        <v>0</v>
      </c>
      <c r="S1087" s="10" t="s">
        <v>1395</v>
      </c>
      <c r="T1087" s="2" t="s">
        <v>1403</v>
      </c>
    </row>
    <row r="1088" spans="1:20" ht="37.5" customHeight="1" x14ac:dyDescent="0.25">
      <c r="A1088" s="2" t="s">
        <v>1405</v>
      </c>
      <c r="B1088">
        <f t="shared" si="112"/>
        <v>57937</v>
      </c>
      <c r="C1088">
        <v>11528</v>
      </c>
      <c r="D1088">
        <v>46409</v>
      </c>
      <c r="F1088">
        <f t="shared" si="113"/>
        <v>647</v>
      </c>
      <c r="G1088" s="3">
        <f t="shared" si="118"/>
        <v>1088</v>
      </c>
      <c r="H1088" s="4"/>
      <c r="I1088" s="5" t="s">
        <v>1406</v>
      </c>
      <c r="J1088" s="6"/>
      <c r="K1088" s="7">
        <v>57290</v>
      </c>
      <c r="L1088" s="6">
        <f t="shared" si="114"/>
        <v>647</v>
      </c>
      <c r="M1088" s="7">
        <v>11401</v>
      </c>
      <c r="N1088" s="8">
        <f t="shared" si="115"/>
        <v>127</v>
      </c>
      <c r="O1088" s="7">
        <v>45889</v>
      </c>
      <c r="P1088" s="6">
        <f t="shared" si="116"/>
        <v>520</v>
      </c>
      <c r="Q1088" s="9"/>
      <c r="R1088" s="6">
        <f t="shared" si="117"/>
        <v>0</v>
      </c>
      <c r="S1088" s="10" t="s">
        <v>1407</v>
      </c>
      <c r="T1088" s="2" t="s">
        <v>1405</v>
      </c>
    </row>
    <row r="1089" spans="1:20" ht="37.5" customHeight="1" x14ac:dyDescent="0.25">
      <c r="A1089" s="2" t="s">
        <v>1408</v>
      </c>
      <c r="B1089">
        <v>68488</v>
      </c>
      <c r="F1089">
        <f t="shared" si="113"/>
        <v>74</v>
      </c>
      <c r="G1089" s="3">
        <f t="shared" si="118"/>
        <v>1089</v>
      </c>
      <c r="H1089" s="4"/>
      <c r="I1089" s="5" t="s">
        <v>1409</v>
      </c>
      <c r="J1089" s="6"/>
      <c r="K1089" s="7">
        <v>68414</v>
      </c>
      <c r="L1089" s="6">
        <f t="shared" si="114"/>
        <v>74</v>
      </c>
      <c r="M1089" s="7"/>
      <c r="N1089" s="8">
        <f t="shared" si="115"/>
        <v>0</v>
      </c>
      <c r="O1089" s="7"/>
      <c r="P1089" s="6">
        <f t="shared" si="116"/>
        <v>0</v>
      </c>
      <c r="Q1089" s="9"/>
      <c r="R1089" s="6">
        <f t="shared" si="117"/>
        <v>0</v>
      </c>
      <c r="S1089" s="10" t="s">
        <v>1407</v>
      </c>
      <c r="T1089" s="2" t="s">
        <v>1408</v>
      </c>
    </row>
    <row r="1090" spans="1:20" ht="37.5" customHeight="1" x14ac:dyDescent="0.25">
      <c r="A1090" s="2" t="s">
        <v>1410</v>
      </c>
      <c r="B1090">
        <f t="shared" ref="B1090:B1111" si="119">C1090+D1090</f>
        <v>4602</v>
      </c>
      <c r="C1090">
        <v>4093</v>
      </c>
      <c r="D1090">
        <v>509</v>
      </c>
      <c r="F1090">
        <f t="shared" ref="F1090:F1111" si="120">L1090</f>
        <v>98</v>
      </c>
      <c r="G1090" s="3">
        <f t="shared" si="118"/>
        <v>1090</v>
      </c>
      <c r="H1090" s="4"/>
      <c r="I1090" s="5" t="s">
        <v>1411</v>
      </c>
      <c r="J1090" s="6"/>
      <c r="K1090" s="7">
        <v>4504</v>
      </c>
      <c r="L1090" s="6">
        <f t="shared" ref="L1090:L1111" si="121">B1090-K1090</f>
        <v>98</v>
      </c>
      <c r="M1090" s="7">
        <v>3999</v>
      </c>
      <c r="N1090" s="8">
        <f t="shared" ref="N1090:N1111" si="122">C1090-M1090</f>
        <v>94</v>
      </c>
      <c r="O1090" s="7">
        <v>505</v>
      </c>
      <c r="P1090" s="6">
        <f t="shared" ref="P1090:P1111" si="123">D1090-O1090</f>
        <v>4</v>
      </c>
      <c r="Q1090" s="9"/>
      <c r="R1090" s="6">
        <f t="shared" ref="R1090:R1111" si="124">E1090-Q1090</f>
        <v>0</v>
      </c>
      <c r="S1090" s="10" t="s">
        <v>1407</v>
      </c>
      <c r="T1090" s="2" t="s">
        <v>1410</v>
      </c>
    </row>
    <row r="1091" spans="1:20" ht="37.5" customHeight="1" x14ac:dyDescent="0.25">
      <c r="A1091" s="2" t="s">
        <v>1412</v>
      </c>
      <c r="B1091">
        <f t="shared" si="119"/>
        <v>43812</v>
      </c>
      <c r="C1091">
        <v>9448</v>
      </c>
      <c r="D1091">
        <v>34364</v>
      </c>
      <c r="F1091">
        <f t="shared" si="120"/>
        <v>151</v>
      </c>
      <c r="G1091" s="3">
        <f t="shared" ref="G1091:G1111" si="125">G1090+1</f>
        <v>1091</v>
      </c>
      <c r="H1091" s="4"/>
      <c r="I1091" s="5" t="s">
        <v>1413</v>
      </c>
      <c r="J1091" s="6"/>
      <c r="K1091" s="7">
        <v>43661</v>
      </c>
      <c r="L1091" s="6">
        <f t="shared" si="121"/>
        <v>151</v>
      </c>
      <c r="M1091" s="7">
        <v>9445</v>
      </c>
      <c r="N1091" s="8">
        <f t="shared" si="122"/>
        <v>3</v>
      </c>
      <c r="O1091" s="7">
        <v>34216</v>
      </c>
      <c r="P1091" s="6">
        <f t="shared" si="123"/>
        <v>148</v>
      </c>
      <c r="Q1091" s="9"/>
      <c r="R1091" s="6">
        <f t="shared" si="124"/>
        <v>0</v>
      </c>
      <c r="S1091" s="10" t="s">
        <v>1407</v>
      </c>
      <c r="T1091" s="2" t="s">
        <v>1412</v>
      </c>
    </row>
    <row r="1092" spans="1:20" ht="37.5" customHeight="1" x14ac:dyDescent="0.25">
      <c r="A1092" s="2" t="s">
        <v>1414</v>
      </c>
      <c r="B1092">
        <f t="shared" si="119"/>
        <v>78091</v>
      </c>
      <c r="C1092">
        <v>13191</v>
      </c>
      <c r="D1092">
        <v>64900</v>
      </c>
      <c r="F1092">
        <f t="shared" si="120"/>
        <v>1</v>
      </c>
      <c r="G1092" s="3">
        <f t="shared" si="125"/>
        <v>1092</v>
      </c>
      <c r="H1092" s="4"/>
      <c r="I1092" s="5" t="s">
        <v>1415</v>
      </c>
      <c r="J1092" s="6"/>
      <c r="K1092" s="7">
        <v>78090</v>
      </c>
      <c r="L1092" s="6">
        <f t="shared" si="121"/>
        <v>1</v>
      </c>
      <c r="M1092" s="7">
        <v>13191</v>
      </c>
      <c r="N1092" s="8">
        <f t="shared" si="122"/>
        <v>0</v>
      </c>
      <c r="O1092" s="7">
        <v>64899</v>
      </c>
      <c r="P1092" s="6">
        <f t="shared" si="123"/>
        <v>1</v>
      </c>
      <c r="Q1092" s="9"/>
      <c r="R1092" s="6">
        <f t="shared" si="124"/>
        <v>0</v>
      </c>
      <c r="S1092" s="10" t="s">
        <v>1407</v>
      </c>
      <c r="T1092" s="2" t="s">
        <v>1414</v>
      </c>
    </row>
    <row r="1093" spans="1:20" ht="37.5" customHeight="1" x14ac:dyDescent="0.25">
      <c r="A1093" s="2" t="s">
        <v>1416</v>
      </c>
      <c r="B1093">
        <f t="shared" si="119"/>
        <v>323094</v>
      </c>
      <c r="C1093">
        <v>92578</v>
      </c>
      <c r="D1093">
        <v>230516</v>
      </c>
      <c r="F1093">
        <f t="shared" si="120"/>
        <v>2725</v>
      </c>
      <c r="G1093" s="3">
        <f t="shared" si="125"/>
        <v>1093</v>
      </c>
      <c r="H1093" s="4"/>
      <c r="I1093" s="5" t="s">
        <v>1417</v>
      </c>
      <c r="J1093" s="6"/>
      <c r="K1093" s="7">
        <v>320369</v>
      </c>
      <c r="L1093" s="6">
        <f t="shared" si="121"/>
        <v>2725</v>
      </c>
      <c r="M1093" s="7">
        <v>91748</v>
      </c>
      <c r="N1093" s="8">
        <f t="shared" si="122"/>
        <v>830</v>
      </c>
      <c r="O1093" s="7">
        <v>228621</v>
      </c>
      <c r="P1093" s="6">
        <f t="shared" si="123"/>
        <v>1895</v>
      </c>
      <c r="Q1093" s="9"/>
      <c r="R1093" s="6">
        <f t="shared" si="124"/>
        <v>0</v>
      </c>
      <c r="S1093" s="10" t="s">
        <v>1407</v>
      </c>
      <c r="T1093" s="2" t="s">
        <v>1416</v>
      </c>
    </row>
    <row r="1094" spans="1:20" ht="37.5" customHeight="1" x14ac:dyDescent="0.25">
      <c r="A1094" s="2" t="s">
        <v>1418</v>
      </c>
      <c r="B1094">
        <f t="shared" si="119"/>
        <v>49291</v>
      </c>
      <c r="C1094">
        <v>8182</v>
      </c>
      <c r="D1094">
        <v>41109</v>
      </c>
      <c r="F1094">
        <f t="shared" si="120"/>
        <v>0</v>
      </c>
      <c r="G1094" s="3">
        <f t="shared" si="125"/>
        <v>1094</v>
      </c>
      <c r="H1094" s="4"/>
      <c r="I1094" s="5" t="s">
        <v>1419</v>
      </c>
      <c r="J1094" s="6"/>
      <c r="K1094" s="7">
        <v>49291</v>
      </c>
      <c r="L1094" s="6">
        <f t="shared" si="121"/>
        <v>0</v>
      </c>
      <c r="M1094" s="7">
        <v>8182</v>
      </c>
      <c r="N1094" s="8">
        <f t="shared" si="122"/>
        <v>0</v>
      </c>
      <c r="O1094" s="7">
        <v>41109</v>
      </c>
      <c r="P1094" s="6">
        <f t="shared" si="123"/>
        <v>0</v>
      </c>
      <c r="Q1094" s="9"/>
      <c r="R1094" s="6">
        <f t="shared" si="124"/>
        <v>0</v>
      </c>
      <c r="S1094" s="10" t="s">
        <v>1407</v>
      </c>
      <c r="T1094" s="2" t="s">
        <v>1418</v>
      </c>
    </row>
    <row r="1095" spans="1:20" ht="37.5" customHeight="1" x14ac:dyDescent="0.25">
      <c r="A1095" s="2" t="s">
        <v>1420</v>
      </c>
      <c r="B1095">
        <f t="shared" si="119"/>
        <v>76204</v>
      </c>
      <c r="C1095">
        <v>13708</v>
      </c>
      <c r="D1095">
        <v>62496</v>
      </c>
      <c r="F1095">
        <f t="shared" si="120"/>
        <v>366</v>
      </c>
      <c r="G1095" s="3">
        <f t="shared" si="125"/>
        <v>1095</v>
      </c>
      <c r="H1095" s="4"/>
      <c r="I1095" s="5" t="s">
        <v>1421</v>
      </c>
      <c r="J1095" s="6"/>
      <c r="K1095" s="7">
        <v>75838</v>
      </c>
      <c r="L1095" s="6">
        <f t="shared" si="121"/>
        <v>366</v>
      </c>
      <c r="M1095" s="7">
        <v>13591</v>
      </c>
      <c r="N1095" s="8">
        <f t="shared" si="122"/>
        <v>117</v>
      </c>
      <c r="O1095" s="7">
        <v>62247</v>
      </c>
      <c r="P1095" s="6">
        <f t="shared" si="123"/>
        <v>249</v>
      </c>
      <c r="Q1095" s="9"/>
      <c r="R1095" s="6">
        <f t="shared" si="124"/>
        <v>0</v>
      </c>
      <c r="S1095" s="10" t="s">
        <v>1407</v>
      </c>
      <c r="T1095" s="2" t="s">
        <v>1420</v>
      </c>
    </row>
    <row r="1096" spans="1:20" ht="37.5" customHeight="1" x14ac:dyDescent="0.25">
      <c r="A1096" s="2" t="s">
        <v>1422</v>
      </c>
      <c r="B1096">
        <f t="shared" si="119"/>
        <v>33484</v>
      </c>
      <c r="C1096">
        <v>10300</v>
      </c>
      <c r="D1096">
        <v>23184</v>
      </c>
      <c r="F1096">
        <f t="shared" si="120"/>
        <v>437</v>
      </c>
      <c r="G1096" s="3">
        <f t="shared" si="125"/>
        <v>1096</v>
      </c>
      <c r="H1096" s="4"/>
      <c r="I1096" s="5" t="s">
        <v>1423</v>
      </c>
      <c r="J1096" s="6"/>
      <c r="K1096" s="7">
        <v>33047</v>
      </c>
      <c r="L1096" s="6">
        <f t="shared" si="121"/>
        <v>437</v>
      </c>
      <c r="M1096" s="7">
        <v>10300</v>
      </c>
      <c r="N1096" s="8">
        <f t="shared" si="122"/>
        <v>0</v>
      </c>
      <c r="O1096" s="7">
        <v>22747</v>
      </c>
      <c r="P1096" s="6">
        <f t="shared" si="123"/>
        <v>437</v>
      </c>
      <c r="Q1096" s="9"/>
      <c r="R1096" s="6">
        <f t="shared" si="124"/>
        <v>0</v>
      </c>
      <c r="S1096" s="10" t="s">
        <v>1407</v>
      </c>
      <c r="T1096" s="2" t="s">
        <v>1422</v>
      </c>
    </row>
    <row r="1097" spans="1:20" ht="37.5" customHeight="1" x14ac:dyDescent="0.25">
      <c r="A1097" s="2" t="s">
        <v>1424</v>
      </c>
      <c r="B1097">
        <f t="shared" si="119"/>
        <v>32637</v>
      </c>
      <c r="C1097">
        <v>11555</v>
      </c>
      <c r="D1097">
        <v>21082</v>
      </c>
      <c r="F1097">
        <f t="shared" si="120"/>
        <v>301</v>
      </c>
      <c r="G1097" s="3">
        <f t="shared" si="125"/>
        <v>1097</v>
      </c>
      <c r="H1097" s="4"/>
      <c r="I1097" s="5" t="s">
        <v>1425</v>
      </c>
      <c r="J1097" s="6"/>
      <c r="K1097" s="7">
        <v>32336</v>
      </c>
      <c r="L1097" s="6">
        <f t="shared" si="121"/>
        <v>301</v>
      </c>
      <c r="M1097" s="7">
        <v>11468</v>
      </c>
      <c r="N1097" s="8">
        <f t="shared" si="122"/>
        <v>87</v>
      </c>
      <c r="O1097" s="7">
        <v>20868</v>
      </c>
      <c r="P1097" s="6">
        <f t="shared" si="123"/>
        <v>214</v>
      </c>
      <c r="Q1097" s="9"/>
      <c r="R1097" s="6">
        <f t="shared" si="124"/>
        <v>0</v>
      </c>
      <c r="S1097" s="10" t="s">
        <v>1407</v>
      </c>
      <c r="T1097" s="2" t="s">
        <v>1424</v>
      </c>
    </row>
    <row r="1098" spans="1:20" ht="37.5" customHeight="1" x14ac:dyDescent="0.25">
      <c r="A1098" s="2" t="s">
        <v>1426</v>
      </c>
      <c r="B1098">
        <v>184051</v>
      </c>
      <c r="F1098">
        <f t="shared" si="120"/>
        <v>228</v>
      </c>
      <c r="G1098" s="3">
        <f t="shared" si="125"/>
        <v>1098</v>
      </c>
      <c r="H1098" s="4"/>
      <c r="I1098" s="5" t="s">
        <v>1427</v>
      </c>
      <c r="J1098" s="6"/>
      <c r="K1098" s="7">
        <v>183823</v>
      </c>
      <c r="L1098" s="6">
        <f t="shared" si="121"/>
        <v>228</v>
      </c>
      <c r="M1098" s="7"/>
      <c r="N1098" s="8">
        <f t="shared" si="122"/>
        <v>0</v>
      </c>
      <c r="O1098" s="7"/>
      <c r="P1098" s="6">
        <f t="shared" si="123"/>
        <v>0</v>
      </c>
      <c r="Q1098" s="9"/>
      <c r="R1098" s="6">
        <f t="shared" si="124"/>
        <v>0</v>
      </c>
      <c r="S1098" s="10" t="s">
        <v>1407</v>
      </c>
      <c r="T1098" s="2" t="s">
        <v>1426</v>
      </c>
    </row>
    <row r="1099" spans="1:20" ht="37.5" customHeight="1" x14ac:dyDescent="0.25">
      <c r="A1099" s="2" t="s">
        <v>1428</v>
      </c>
      <c r="B1099">
        <f t="shared" si="119"/>
        <v>21991</v>
      </c>
      <c r="C1099">
        <v>7471</v>
      </c>
      <c r="D1099">
        <v>14520</v>
      </c>
      <c r="F1099">
        <f t="shared" si="120"/>
        <v>909</v>
      </c>
      <c r="G1099" s="3">
        <f t="shared" si="125"/>
        <v>1099</v>
      </c>
      <c r="H1099" s="4"/>
      <c r="I1099" s="5" t="s">
        <v>1427</v>
      </c>
      <c r="J1099" s="6"/>
      <c r="K1099" s="7">
        <v>21082</v>
      </c>
      <c r="L1099" s="6">
        <f t="shared" si="121"/>
        <v>909</v>
      </c>
      <c r="M1099" s="7"/>
      <c r="N1099" s="8">
        <f t="shared" si="122"/>
        <v>7471</v>
      </c>
      <c r="O1099" s="7"/>
      <c r="P1099" s="6">
        <f t="shared" si="123"/>
        <v>14520</v>
      </c>
      <c r="Q1099" s="9"/>
      <c r="R1099" s="6">
        <f t="shared" si="124"/>
        <v>0</v>
      </c>
      <c r="S1099" s="10" t="s">
        <v>1407</v>
      </c>
      <c r="T1099" s="2" t="s">
        <v>1428</v>
      </c>
    </row>
    <row r="1100" spans="1:20" ht="37.5" customHeight="1" x14ac:dyDescent="0.25">
      <c r="A1100" s="2" t="s">
        <v>1429</v>
      </c>
      <c r="B1100">
        <v>61769</v>
      </c>
      <c r="C1100" s="23"/>
      <c r="D1100" s="23"/>
      <c r="F1100">
        <f t="shared" si="120"/>
        <v>306</v>
      </c>
      <c r="G1100" s="3">
        <f t="shared" si="125"/>
        <v>1100</v>
      </c>
      <c r="H1100" s="4"/>
      <c r="I1100" s="5" t="s">
        <v>1430</v>
      </c>
      <c r="J1100" s="6"/>
      <c r="K1100" s="7">
        <v>61463</v>
      </c>
      <c r="L1100" s="6">
        <f t="shared" si="121"/>
        <v>306</v>
      </c>
      <c r="M1100" s="7">
        <v>22810</v>
      </c>
      <c r="N1100" s="8">
        <f t="shared" si="122"/>
        <v>-22810</v>
      </c>
      <c r="O1100" s="7">
        <v>38653</v>
      </c>
      <c r="P1100" s="6">
        <f t="shared" si="123"/>
        <v>-38653</v>
      </c>
      <c r="Q1100" s="9"/>
      <c r="R1100" s="6">
        <f t="shared" si="124"/>
        <v>0</v>
      </c>
      <c r="S1100" s="10" t="s">
        <v>1407</v>
      </c>
      <c r="T1100" s="2" t="s">
        <v>1429</v>
      </c>
    </row>
    <row r="1101" spans="1:20" ht="37.5" customHeight="1" x14ac:dyDescent="0.25">
      <c r="A1101" s="2" t="s">
        <v>1431</v>
      </c>
      <c r="B1101">
        <v>39316</v>
      </c>
      <c r="F1101">
        <f t="shared" si="120"/>
        <v>91</v>
      </c>
      <c r="G1101" s="3">
        <f t="shared" si="125"/>
        <v>1101</v>
      </c>
      <c r="H1101" s="4"/>
      <c r="I1101" s="5" t="s">
        <v>1432</v>
      </c>
      <c r="J1101" s="6"/>
      <c r="K1101" s="7">
        <v>39225</v>
      </c>
      <c r="L1101" s="6">
        <f t="shared" si="121"/>
        <v>91</v>
      </c>
      <c r="M1101" s="7"/>
      <c r="N1101" s="8">
        <f t="shared" si="122"/>
        <v>0</v>
      </c>
      <c r="O1101" s="7"/>
      <c r="P1101" s="6">
        <f t="shared" si="123"/>
        <v>0</v>
      </c>
      <c r="Q1101" s="9"/>
      <c r="R1101" s="6">
        <f t="shared" si="124"/>
        <v>0</v>
      </c>
      <c r="S1101" s="10" t="s">
        <v>1407</v>
      </c>
      <c r="T1101" s="2" t="s">
        <v>1431</v>
      </c>
    </row>
    <row r="1102" spans="1:20" ht="37.5" customHeight="1" x14ac:dyDescent="0.25">
      <c r="A1102" s="2" t="s">
        <v>1433</v>
      </c>
      <c r="B1102">
        <f t="shared" si="119"/>
        <v>104713</v>
      </c>
      <c r="C1102">
        <v>29100</v>
      </c>
      <c r="D1102">
        <v>75613</v>
      </c>
      <c r="F1102">
        <f t="shared" si="120"/>
        <v>472</v>
      </c>
      <c r="G1102" s="3">
        <f t="shared" si="125"/>
        <v>1102</v>
      </c>
      <c r="H1102" s="4"/>
      <c r="I1102" s="5" t="s">
        <v>1434</v>
      </c>
      <c r="J1102" s="6"/>
      <c r="K1102" s="7">
        <v>104241</v>
      </c>
      <c r="L1102" s="6">
        <f t="shared" si="121"/>
        <v>472</v>
      </c>
      <c r="M1102" s="7">
        <v>28927</v>
      </c>
      <c r="N1102" s="8">
        <f t="shared" si="122"/>
        <v>173</v>
      </c>
      <c r="O1102" s="7">
        <v>75314</v>
      </c>
      <c r="P1102" s="6">
        <f t="shared" si="123"/>
        <v>299</v>
      </c>
      <c r="Q1102" s="9"/>
      <c r="R1102" s="6">
        <f t="shared" si="124"/>
        <v>0</v>
      </c>
      <c r="S1102" s="10" t="s">
        <v>1407</v>
      </c>
      <c r="T1102" s="2" t="s">
        <v>1433</v>
      </c>
    </row>
    <row r="1103" spans="1:20" ht="37.5" customHeight="1" x14ac:dyDescent="0.25">
      <c r="A1103" s="2" t="s">
        <v>1435</v>
      </c>
      <c r="B1103">
        <f t="shared" si="119"/>
        <v>40323</v>
      </c>
      <c r="C1103">
        <v>11547</v>
      </c>
      <c r="D1103">
        <v>28776</v>
      </c>
      <c r="F1103">
        <f t="shared" si="120"/>
        <v>235</v>
      </c>
      <c r="G1103" s="3">
        <f t="shared" si="125"/>
        <v>1103</v>
      </c>
      <c r="H1103" s="4"/>
      <c r="I1103" s="5" t="s">
        <v>1436</v>
      </c>
      <c r="J1103" s="6"/>
      <c r="K1103" s="7">
        <v>40088</v>
      </c>
      <c r="L1103" s="6">
        <f t="shared" si="121"/>
        <v>235</v>
      </c>
      <c r="M1103" s="7">
        <v>11547</v>
      </c>
      <c r="N1103" s="8">
        <f t="shared" si="122"/>
        <v>0</v>
      </c>
      <c r="O1103" s="7">
        <v>28541</v>
      </c>
      <c r="P1103" s="6">
        <f t="shared" si="123"/>
        <v>235</v>
      </c>
      <c r="Q1103" s="9"/>
      <c r="R1103" s="6">
        <f t="shared" si="124"/>
        <v>0</v>
      </c>
      <c r="S1103" s="10" t="s">
        <v>1407</v>
      </c>
      <c r="T1103" s="2" t="s">
        <v>1435</v>
      </c>
    </row>
    <row r="1104" spans="1:20" ht="37.5" customHeight="1" x14ac:dyDescent="0.25">
      <c r="A1104" s="2" t="s">
        <v>1437</v>
      </c>
      <c r="B1104">
        <v>95006</v>
      </c>
      <c r="F1104">
        <f t="shared" si="120"/>
        <v>250</v>
      </c>
      <c r="G1104" s="3">
        <f t="shared" si="125"/>
        <v>1104</v>
      </c>
      <c r="H1104" s="4"/>
      <c r="I1104" s="5" t="s">
        <v>1438</v>
      </c>
      <c r="J1104" s="6"/>
      <c r="K1104" s="7">
        <v>94756</v>
      </c>
      <c r="L1104" s="6">
        <f t="shared" si="121"/>
        <v>250</v>
      </c>
      <c r="M1104" s="7"/>
      <c r="N1104" s="8">
        <f t="shared" si="122"/>
        <v>0</v>
      </c>
      <c r="O1104" s="7"/>
      <c r="P1104" s="6">
        <f t="shared" si="123"/>
        <v>0</v>
      </c>
      <c r="Q1104" s="9"/>
      <c r="R1104" s="6">
        <f t="shared" si="124"/>
        <v>0</v>
      </c>
      <c r="S1104" s="10" t="s">
        <v>1407</v>
      </c>
      <c r="T1104" s="2" t="s">
        <v>1437</v>
      </c>
    </row>
    <row r="1105" spans="1:20" ht="37.5" customHeight="1" x14ac:dyDescent="0.25">
      <c r="A1105" s="2" t="s">
        <v>1439</v>
      </c>
      <c r="B1105">
        <v>60767</v>
      </c>
      <c r="F1105">
        <f t="shared" si="120"/>
        <v>133</v>
      </c>
      <c r="G1105" s="3">
        <f t="shared" si="125"/>
        <v>1105</v>
      </c>
      <c r="H1105" s="4"/>
      <c r="I1105" s="5" t="s">
        <v>1440</v>
      </c>
      <c r="J1105" s="6"/>
      <c r="K1105" s="7">
        <v>60634</v>
      </c>
      <c r="L1105" s="6">
        <f t="shared" si="121"/>
        <v>133</v>
      </c>
      <c r="M1105" s="7"/>
      <c r="N1105" s="8">
        <f t="shared" si="122"/>
        <v>0</v>
      </c>
      <c r="O1105" s="7"/>
      <c r="P1105" s="6">
        <f t="shared" si="123"/>
        <v>0</v>
      </c>
      <c r="Q1105" s="9"/>
      <c r="R1105" s="6">
        <f t="shared" si="124"/>
        <v>0</v>
      </c>
      <c r="S1105" s="10" t="s">
        <v>1407</v>
      </c>
      <c r="T1105" s="2" t="s">
        <v>1439</v>
      </c>
    </row>
    <row r="1106" spans="1:20" ht="37.5" customHeight="1" x14ac:dyDescent="0.25">
      <c r="A1106" s="2" t="s">
        <v>1441</v>
      </c>
      <c r="B1106">
        <f>698+K1106</f>
        <v>107572</v>
      </c>
      <c r="F1106">
        <f t="shared" si="120"/>
        <v>698</v>
      </c>
      <c r="G1106" s="3">
        <f t="shared" si="125"/>
        <v>1106</v>
      </c>
      <c r="H1106" s="4"/>
      <c r="I1106" s="5" t="s">
        <v>1442</v>
      </c>
      <c r="J1106" s="6"/>
      <c r="K1106" s="7">
        <v>106874</v>
      </c>
      <c r="L1106" s="6">
        <f t="shared" si="121"/>
        <v>698</v>
      </c>
      <c r="M1106" s="7">
        <v>23184</v>
      </c>
      <c r="N1106" s="8">
        <f t="shared" si="122"/>
        <v>-23184</v>
      </c>
      <c r="O1106" s="7">
        <v>83690</v>
      </c>
      <c r="P1106" s="6">
        <f t="shared" si="123"/>
        <v>-83690</v>
      </c>
      <c r="Q1106" s="9"/>
      <c r="R1106" s="6">
        <f t="shared" si="124"/>
        <v>0</v>
      </c>
      <c r="S1106" s="10" t="s">
        <v>1407</v>
      </c>
      <c r="T1106" s="2" t="s">
        <v>1441</v>
      </c>
    </row>
    <row r="1107" spans="1:20" ht="37.5" customHeight="1" x14ac:dyDescent="0.25">
      <c r="A1107" s="2" t="s">
        <v>1443</v>
      </c>
      <c r="B1107">
        <f t="shared" si="119"/>
        <v>52597</v>
      </c>
      <c r="C1107">
        <v>16584</v>
      </c>
      <c r="D1107">
        <v>36013</v>
      </c>
      <c r="F1107">
        <f t="shared" si="120"/>
        <v>1316</v>
      </c>
      <c r="G1107" s="3">
        <f t="shared" si="125"/>
        <v>1107</v>
      </c>
      <c r="H1107" s="4"/>
      <c r="I1107" s="5" t="s">
        <v>1444</v>
      </c>
      <c r="J1107" s="6"/>
      <c r="K1107" s="7">
        <v>51281</v>
      </c>
      <c r="L1107" s="6">
        <f t="shared" si="121"/>
        <v>1316</v>
      </c>
      <c r="M1107" s="7">
        <v>16199</v>
      </c>
      <c r="N1107" s="8">
        <f t="shared" si="122"/>
        <v>385</v>
      </c>
      <c r="O1107" s="7">
        <v>35082</v>
      </c>
      <c r="P1107" s="6">
        <f t="shared" si="123"/>
        <v>931</v>
      </c>
      <c r="Q1107" s="9"/>
      <c r="R1107" s="6">
        <f t="shared" si="124"/>
        <v>0</v>
      </c>
      <c r="S1107" s="10" t="s">
        <v>1407</v>
      </c>
      <c r="T1107" s="2" t="s">
        <v>1443</v>
      </c>
    </row>
    <row r="1108" spans="1:20" ht="37.5" customHeight="1" x14ac:dyDescent="0.25">
      <c r="A1108" s="2" t="s">
        <v>1445</v>
      </c>
      <c r="B1108">
        <f t="shared" si="119"/>
        <v>47438</v>
      </c>
      <c r="C1108">
        <v>14590</v>
      </c>
      <c r="D1108">
        <v>32848</v>
      </c>
      <c r="F1108">
        <f t="shared" si="120"/>
        <v>560</v>
      </c>
      <c r="G1108" s="3">
        <f t="shared" si="125"/>
        <v>1108</v>
      </c>
      <c r="H1108" s="4"/>
      <c r="I1108" s="5" t="s">
        <v>1446</v>
      </c>
      <c r="J1108" s="6"/>
      <c r="K1108" s="7">
        <v>46878</v>
      </c>
      <c r="L1108" s="6">
        <f t="shared" si="121"/>
        <v>560</v>
      </c>
      <c r="M1108" s="7">
        <v>14382</v>
      </c>
      <c r="N1108" s="8">
        <f t="shared" si="122"/>
        <v>208</v>
      </c>
      <c r="O1108" s="7">
        <v>32496</v>
      </c>
      <c r="P1108" s="6">
        <f t="shared" si="123"/>
        <v>352</v>
      </c>
      <c r="Q1108" s="9"/>
      <c r="R1108" s="6">
        <f t="shared" si="124"/>
        <v>0</v>
      </c>
      <c r="S1108" s="10" t="s">
        <v>1407</v>
      </c>
      <c r="T1108" s="2" t="s">
        <v>1445</v>
      </c>
    </row>
    <row r="1109" spans="1:20" ht="37.5" customHeight="1" x14ac:dyDescent="0.25">
      <c r="A1109" s="2" t="s">
        <v>1447</v>
      </c>
      <c r="B1109">
        <v>207498</v>
      </c>
      <c r="F1109">
        <f t="shared" si="120"/>
        <v>0</v>
      </c>
      <c r="G1109" s="3">
        <f t="shared" si="125"/>
        <v>1109</v>
      </c>
      <c r="H1109" s="4"/>
      <c r="I1109" s="5" t="s">
        <v>1448</v>
      </c>
      <c r="J1109" s="6"/>
      <c r="K1109" s="7">
        <v>207498</v>
      </c>
      <c r="L1109" s="6">
        <f t="shared" si="121"/>
        <v>0</v>
      </c>
      <c r="M1109" s="7"/>
      <c r="N1109" s="8">
        <f t="shared" si="122"/>
        <v>0</v>
      </c>
      <c r="O1109" s="7"/>
      <c r="P1109" s="6">
        <f t="shared" si="123"/>
        <v>0</v>
      </c>
      <c r="Q1109" s="9"/>
      <c r="R1109" s="6">
        <f t="shared" si="124"/>
        <v>0</v>
      </c>
      <c r="S1109" s="10" t="s">
        <v>1407</v>
      </c>
      <c r="T1109" s="2" t="s">
        <v>1447</v>
      </c>
    </row>
    <row r="1110" spans="1:20" ht="37.5" customHeight="1" x14ac:dyDescent="0.25">
      <c r="A1110" s="2" t="s">
        <v>1449</v>
      </c>
      <c r="B1110">
        <f t="shared" si="119"/>
        <v>63232</v>
      </c>
      <c r="C1110">
        <v>14787</v>
      </c>
      <c r="D1110">
        <v>48445</v>
      </c>
      <c r="F1110">
        <f t="shared" si="120"/>
        <v>113</v>
      </c>
      <c r="G1110" s="3">
        <f t="shared" si="125"/>
        <v>1110</v>
      </c>
      <c r="H1110" s="4"/>
      <c r="I1110" s="5" t="s">
        <v>1450</v>
      </c>
      <c r="J1110" s="6"/>
      <c r="K1110" s="7">
        <v>63119</v>
      </c>
      <c r="L1110" s="6">
        <f t="shared" si="121"/>
        <v>113</v>
      </c>
      <c r="M1110" s="7">
        <v>14687</v>
      </c>
      <c r="N1110" s="8">
        <f t="shared" si="122"/>
        <v>100</v>
      </c>
      <c r="O1110" s="7">
        <v>48432</v>
      </c>
      <c r="P1110" s="6">
        <f t="shared" si="123"/>
        <v>13</v>
      </c>
      <c r="Q1110" s="9"/>
      <c r="R1110" s="6">
        <f t="shared" si="124"/>
        <v>0</v>
      </c>
      <c r="S1110" s="10" t="s">
        <v>1407</v>
      </c>
      <c r="T1110" s="2" t="s">
        <v>1449</v>
      </c>
    </row>
    <row r="1111" spans="1:20" ht="37.5" customHeight="1" x14ac:dyDescent="0.25">
      <c r="A1111" s="2" t="s">
        <v>1451</v>
      </c>
      <c r="B1111">
        <f t="shared" si="119"/>
        <v>349259</v>
      </c>
      <c r="C1111">
        <v>73175</v>
      </c>
      <c r="D1111">
        <v>276084</v>
      </c>
      <c r="F1111">
        <f t="shared" si="120"/>
        <v>1331</v>
      </c>
      <c r="G1111" s="3">
        <f t="shared" si="125"/>
        <v>1111</v>
      </c>
      <c r="H1111" s="4"/>
      <c r="I1111" s="5" t="s">
        <v>1452</v>
      </c>
      <c r="J1111" s="6"/>
      <c r="K1111" s="7">
        <v>347928</v>
      </c>
      <c r="L1111" s="6">
        <f t="shared" si="121"/>
        <v>1331</v>
      </c>
      <c r="M1111" s="7">
        <v>72919</v>
      </c>
      <c r="N1111" s="8">
        <f t="shared" si="122"/>
        <v>256</v>
      </c>
      <c r="O1111" s="7">
        <v>275009</v>
      </c>
      <c r="P1111" s="6">
        <f t="shared" si="123"/>
        <v>1075</v>
      </c>
      <c r="Q1111" s="9"/>
      <c r="R1111" s="6">
        <f t="shared" si="124"/>
        <v>0</v>
      </c>
      <c r="S1111" s="10" t="s">
        <v>1407</v>
      </c>
      <c r="T1111" s="2" t="s">
        <v>1451</v>
      </c>
    </row>
    <row r="1112" spans="1:20" ht="37.5" customHeight="1" x14ac:dyDescent="0.25">
      <c r="A1112" s="2"/>
      <c r="G1112" s="3"/>
      <c r="H1112" s="4"/>
      <c r="I1112" s="5"/>
      <c r="J1112" s="6"/>
      <c r="K1112" s="7"/>
      <c r="L1112" s="6"/>
      <c r="M1112" s="7"/>
      <c r="N1112" s="8"/>
      <c r="O1112" s="7"/>
      <c r="P1112" s="6"/>
      <c r="Q1112" s="9"/>
      <c r="R1112" s="6"/>
      <c r="S1112" s="10"/>
      <c r="T1112" s="2"/>
    </row>
    <row r="1113" spans="1:20" ht="37.5" customHeight="1" x14ac:dyDescent="0.25">
      <c r="A1113" s="2"/>
      <c r="G1113" s="3"/>
      <c r="H1113" s="4"/>
      <c r="I1113" s="5"/>
      <c r="J1113" s="6"/>
      <c r="K1113" s="7"/>
      <c r="L1113" s="6"/>
      <c r="M1113" s="7"/>
      <c r="N1113" s="8"/>
      <c r="O1113" s="7"/>
      <c r="P1113" s="6"/>
      <c r="Q1113" s="9"/>
      <c r="R1113" s="6"/>
      <c r="S1113" s="10"/>
      <c r="T1113" s="2"/>
    </row>
    <row r="1114" spans="1:20" ht="37.5" customHeight="1" x14ac:dyDescent="0.25">
      <c r="A1114" s="2"/>
      <c r="G1114" s="3"/>
      <c r="H1114" s="4"/>
      <c r="I1114" s="5"/>
      <c r="J1114" s="6"/>
      <c r="K1114" s="7"/>
      <c r="L1114" s="6"/>
      <c r="M1114" s="7"/>
      <c r="N1114" s="8"/>
      <c r="O1114" s="7"/>
      <c r="P1114" s="6"/>
      <c r="Q1114" s="9"/>
      <c r="R1114" s="6"/>
      <c r="S1114" s="10"/>
      <c r="T1114" s="2"/>
    </row>
    <row r="1115" spans="1:20" ht="37.5" customHeight="1" x14ac:dyDescent="0.25">
      <c r="A1115" s="2"/>
      <c r="G1115" s="3"/>
      <c r="H1115" s="4"/>
      <c r="I1115" s="5"/>
      <c r="J1115" s="6"/>
      <c r="K1115" s="7"/>
      <c r="L1115" s="6"/>
      <c r="M1115" s="7"/>
      <c r="N1115" s="8"/>
      <c r="O1115" s="7"/>
      <c r="P1115" s="6"/>
      <c r="Q1115" s="9"/>
      <c r="R1115" s="6"/>
      <c r="S1115" s="10"/>
      <c r="T1115" s="2"/>
    </row>
    <row r="1116" spans="1:20" ht="37.5" customHeight="1" x14ac:dyDescent="0.25">
      <c r="A1116" s="2"/>
      <c r="G1116" s="3"/>
      <c r="H1116" s="4"/>
      <c r="I1116" s="5"/>
      <c r="J1116" s="6"/>
      <c r="K1116" s="7"/>
      <c r="L1116" s="6"/>
      <c r="M1116" s="7"/>
      <c r="N1116" s="8"/>
      <c r="O1116" s="7"/>
      <c r="P1116" s="6"/>
      <c r="Q1116" s="9"/>
      <c r="R1116" s="6"/>
      <c r="S1116" s="10"/>
      <c r="T1116" s="2"/>
    </row>
    <row r="1117" spans="1:20" ht="37.5" customHeight="1" x14ac:dyDescent="0.25">
      <c r="A1117" s="2"/>
      <c r="G1117" s="3"/>
      <c r="H1117" s="4"/>
      <c r="I1117" s="5"/>
      <c r="J1117" s="6"/>
      <c r="K1117" s="7"/>
      <c r="L1117" s="6"/>
      <c r="M1117" s="7"/>
      <c r="N1117" s="8"/>
      <c r="O1117" s="7"/>
      <c r="P1117" s="6"/>
      <c r="Q1117" s="9"/>
      <c r="R1117" s="6"/>
      <c r="S1117" s="10"/>
      <c r="T1117" s="2"/>
    </row>
    <row r="1118" spans="1:20" ht="37.5" customHeight="1" x14ac:dyDescent="0.25">
      <c r="A1118" s="2"/>
      <c r="G1118" s="3"/>
      <c r="H1118" s="4"/>
      <c r="I1118" s="5"/>
      <c r="J1118" s="6"/>
      <c r="K1118" s="7"/>
      <c r="L1118" s="6"/>
      <c r="M1118" s="7"/>
      <c r="N1118" s="8"/>
      <c r="O1118" s="7"/>
      <c r="P1118" s="6"/>
      <c r="Q1118" s="9"/>
      <c r="R1118" s="6"/>
      <c r="S1118" s="10"/>
      <c r="T1118" s="2"/>
    </row>
    <row r="1119" spans="1:20" ht="37.5" customHeight="1" x14ac:dyDescent="0.25">
      <c r="A1119" s="2"/>
      <c r="G1119" s="3"/>
      <c r="H1119" s="4"/>
      <c r="I1119" s="5"/>
      <c r="J1119" s="6"/>
      <c r="K1119" s="7"/>
      <c r="L1119" s="6"/>
      <c r="M1119" s="7"/>
      <c r="N1119" s="8"/>
      <c r="O1119" s="7"/>
      <c r="P1119" s="6"/>
      <c r="Q1119" s="9"/>
      <c r="R1119" s="6"/>
      <c r="S1119" s="10"/>
      <c r="T1119" s="2"/>
    </row>
    <row r="1120" spans="1:20" ht="37.5" customHeight="1" x14ac:dyDescent="0.25">
      <c r="A1120" s="2"/>
      <c r="G1120" s="3"/>
      <c r="H1120" s="4"/>
      <c r="I1120" s="5"/>
      <c r="J1120" s="6"/>
      <c r="K1120" s="7"/>
      <c r="L1120" s="6"/>
      <c r="M1120" s="7"/>
      <c r="N1120" s="8"/>
      <c r="O1120" s="7"/>
      <c r="P1120" s="6"/>
      <c r="Q1120" s="9"/>
      <c r="R1120" s="6"/>
      <c r="S1120" s="10"/>
      <c r="T1120" s="2"/>
    </row>
    <row r="1121" spans="1:20" ht="37.5" customHeight="1" x14ac:dyDescent="0.25">
      <c r="A1121" s="2"/>
      <c r="G1121" s="3"/>
      <c r="H1121" s="4"/>
      <c r="I1121" s="5"/>
      <c r="J1121" s="6"/>
      <c r="K1121" s="7"/>
      <c r="L1121" s="6"/>
      <c r="M1121" s="7"/>
      <c r="N1121" s="8"/>
      <c r="O1121" s="7"/>
      <c r="P1121" s="6"/>
      <c r="Q1121" s="9"/>
      <c r="R1121" s="6"/>
      <c r="S1121" s="10"/>
      <c r="T1121" s="2"/>
    </row>
    <row r="1122" spans="1:20" ht="37.5" customHeight="1" x14ac:dyDescent="0.25">
      <c r="A1122" s="2"/>
      <c r="G1122" s="3"/>
      <c r="H1122" s="4"/>
      <c r="I1122" s="5"/>
      <c r="J1122" s="6"/>
      <c r="K1122" s="7"/>
      <c r="L1122" s="6"/>
      <c r="M1122" s="7"/>
      <c r="N1122" s="8"/>
      <c r="O1122" s="7"/>
      <c r="P1122" s="6"/>
      <c r="Q1122" s="9"/>
      <c r="R1122" s="6"/>
      <c r="S1122" s="10"/>
      <c r="T1122" s="2"/>
    </row>
    <row r="1123" spans="1:20" ht="37.5" customHeight="1" x14ac:dyDescent="0.25">
      <c r="A1123" s="2"/>
      <c r="G1123" s="3"/>
      <c r="H1123" s="4"/>
      <c r="I1123" s="5"/>
      <c r="J1123" s="6"/>
      <c r="K1123" s="7"/>
      <c r="L1123" s="6"/>
      <c r="M1123" s="7"/>
      <c r="N1123" s="8"/>
      <c r="O1123" s="7"/>
      <c r="P1123" s="6"/>
      <c r="Q1123" s="9"/>
      <c r="R1123" s="6"/>
      <c r="S1123" s="10"/>
      <c r="T1123" s="2"/>
    </row>
    <row r="1124" spans="1:20" ht="37.5" customHeight="1" x14ac:dyDescent="0.25">
      <c r="A1124" s="2"/>
      <c r="G1124" s="3"/>
      <c r="H1124" s="4"/>
      <c r="I1124" s="5"/>
      <c r="J1124" s="6"/>
      <c r="K1124" s="7"/>
      <c r="L1124" s="6"/>
      <c r="M1124" s="7"/>
      <c r="N1124" s="8"/>
      <c r="O1124" s="7"/>
      <c r="P1124" s="6"/>
      <c r="Q1124" s="9"/>
      <c r="R1124" s="6"/>
      <c r="S1124" s="10"/>
      <c r="T1124" s="2"/>
    </row>
    <row r="1125" spans="1:20" ht="37.5" customHeight="1" x14ac:dyDescent="0.25">
      <c r="A1125" s="2"/>
      <c r="G1125" s="3"/>
      <c r="H1125" s="4"/>
      <c r="I1125" s="5"/>
      <c r="J1125" s="6"/>
      <c r="K1125" s="7"/>
      <c r="L1125" s="6"/>
      <c r="M1125" s="7"/>
      <c r="N1125" s="8"/>
      <c r="O1125" s="7"/>
      <c r="P1125" s="6"/>
      <c r="Q1125" s="9"/>
      <c r="R1125" s="6"/>
      <c r="S1125" s="10"/>
      <c r="T1125" s="2"/>
    </row>
    <row r="1126" spans="1:20" ht="37.5" customHeight="1" x14ac:dyDescent="0.25">
      <c r="A1126" s="2"/>
      <c r="G1126" s="3"/>
      <c r="H1126" s="4"/>
      <c r="I1126" s="5"/>
      <c r="J1126" s="6"/>
      <c r="K1126" s="7"/>
      <c r="L1126" s="6"/>
      <c r="M1126" s="7"/>
      <c r="N1126" s="8"/>
      <c r="O1126" s="7"/>
      <c r="P1126" s="6"/>
      <c r="Q1126" s="9"/>
      <c r="R1126" s="6"/>
      <c r="S1126" s="10"/>
      <c r="T1126" s="2"/>
    </row>
    <row r="1127" spans="1:20" ht="37.5" customHeight="1" x14ac:dyDescent="0.25">
      <c r="A1127" s="2"/>
      <c r="G1127" s="3"/>
      <c r="H1127" s="4"/>
      <c r="I1127" s="5"/>
      <c r="J1127" s="6"/>
      <c r="K1127" s="7"/>
      <c r="L1127" s="6"/>
      <c r="M1127" s="7"/>
      <c r="N1127" s="8"/>
      <c r="O1127" s="7"/>
      <c r="P1127" s="6"/>
      <c r="Q1127" s="9"/>
      <c r="R1127" s="6"/>
      <c r="S1127" s="10"/>
      <c r="T1127" s="2"/>
    </row>
    <row r="1128" spans="1:20" ht="37.5" customHeight="1" x14ac:dyDescent="0.25">
      <c r="A1128" s="2"/>
      <c r="G1128" s="3"/>
      <c r="H1128" s="4"/>
      <c r="I1128" s="5"/>
      <c r="J1128" s="6"/>
      <c r="K1128" s="7"/>
      <c r="L1128" s="6"/>
      <c r="M1128" s="7"/>
      <c r="N1128" s="8"/>
      <c r="O1128" s="7"/>
      <c r="P1128" s="6"/>
      <c r="Q1128" s="9"/>
      <c r="R1128" s="6"/>
      <c r="S1128" s="10"/>
      <c r="T1128" s="2"/>
    </row>
    <row r="1129" spans="1:20" ht="37.5" customHeight="1" x14ac:dyDescent="0.25">
      <c r="A1129" s="2"/>
      <c r="G1129" s="3"/>
      <c r="H1129" s="4"/>
      <c r="I1129" s="5"/>
      <c r="J1129" s="6"/>
      <c r="K1129" s="7"/>
      <c r="L1129" s="6"/>
      <c r="M1129" s="7"/>
      <c r="N1129" s="8"/>
      <c r="O1129" s="7"/>
      <c r="P1129" s="6"/>
      <c r="Q1129" s="9"/>
      <c r="R1129" s="6"/>
      <c r="S1129" s="10"/>
      <c r="T1129" s="2"/>
    </row>
    <row r="1130" spans="1:20" ht="37.5" customHeight="1" x14ac:dyDescent="0.25">
      <c r="A1130" s="2"/>
      <c r="G1130" s="3"/>
      <c r="H1130" s="4"/>
      <c r="I1130" s="5"/>
      <c r="J1130" s="6"/>
      <c r="K1130" s="7"/>
      <c r="L1130" s="6"/>
      <c r="M1130" s="7"/>
      <c r="N1130" s="8"/>
      <c r="O1130" s="7"/>
      <c r="P1130" s="6"/>
      <c r="Q1130" s="9"/>
      <c r="R1130" s="6"/>
      <c r="S1130" s="10"/>
      <c r="T1130" s="2"/>
    </row>
    <row r="1131" spans="1:20" ht="37.5" customHeight="1" x14ac:dyDescent="0.25">
      <c r="A1131" s="2"/>
      <c r="G1131" s="3"/>
      <c r="H1131" s="4"/>
      <c r="I1131" s="5"/>
      <c r="J1131" s="6"/>
      <c r="K1131" s="7"/>
      <c r="L1131" s="6"/>
      <c r="M1131" s="7"/>
      <c r="N1131" s="8"/>
      <c r="O1131" s="7"/>
      <c r="P1131" s="6"/>
      <c r="Q1131" s="9"/>
      <c r="R1131" s="6"/>
      <c r="S1131" s="10"/>
      <c r="T1131" s="2"/>
    </row>
    <row r="1132" spans="1:20" ht="37.5" customHeight="1" x14ac:dyDescent="0.25">
      <c r="A1132" s="2"/>
      <c r="G1132" s="3"/>
      <c r="H1132" s="4"/>
      <c r="I1132" s="5"/>
      <c r="J1132" s="6"/>
      <c r="K1132" s="7"/>
      <c r="L1132" s="6"/>
      <c r="M1132" s="7"/>
      <c r="N1132" s="8"/>
      <c r="O1132" s="7"/>
      <c r="P1132" s="6"/>
      <c r="Q1132" s="9"/>
      <c r="R1132" s="6"/>
      <c r="S1132" s="10"/>
      <c r="T1132" s="2"/>
    </row>
    <row r="1133" spans="1:20" ht="37.5" customHeight="1" x14ac:dyDescent="0.25">
      <c r="A1133" s="2"/>
      <c r="G1133" s="3"/>
      <c r="H1133" s="4"/>
      <c r="I1133" s="5"/>
      <c r="J1133" s="6"/>
      <c r="K1133" s="7"/>
      <c r="L1133" s="6"/>
      <c r="M1133" s="7"/>
      <c r="N1133" s="8"/>
      <c r="O1133" s="7"/>
      <c r="P1133" s="6"/>
      <c r="Q1133" s="9"/>
      <c r="R1133" s="6"/>
      <c r="S1133" s="10"/>
      <c r="T1133" s="2"/>
    </row>
    <row r="1134" spans="1:20" ht="37.5" customHeight="1" x14ac:dyDescent="0.25">
      <c r="A1134" s="2"/>
      <c r="G1134" s="3"/>
      <c r="H1134" s="4"/>
      <c r="I1134" s="5"/>
      <c r="J1134" s="6"/>
      <c r="K1134" s="7"/>
      <c r="L1134" s="6"/>
      <c r="M1134" s="7"/>
      <c r="N1134" s="8"/>
      <c r="O1134" s="7"/>
      <c r="P1134" s="6"/>
      <c r="Q1134" s="9"/>
      <c r="R1134" s="6"/>
      <c r="S1134" s="10"/>
      <c r="T1134" s="2"/>
    </row>
    <row r="1135" spans="1:20" ht="37.5" customHeight="1" x14ac:dyDescent="0.25">
      <c r="A1135" s="2"/>
      <c r="G1135" s="3"/>
      <c r="H1135" s="4"/>
      <c r="I1135" s="5"/>
      <c r="J1135" s="6"/>
      <c r="K1135" s="7"/>
      <c r="L1135" s="6"/>
      <c r="M1135" s="7"/>
      <c r="N1135" s="8"/>
      <c r="O1135" s="7"/>
      <c r="P1135" s="6"/>
      <c r="Q1135" s="9"/>
      <c r="R1135" s="6"/>
      <c r="S1135" s="10"/>
      <c r="T1135" s="2"/>
    </row>
    <row r="1136" spans="1:20" ht="37.5" customHeight="1" x14ac:dyDescent="0.25">
      <c r="A1136" s="2"/>
      <c r="G1136" s="3"/>
      <c r="H1136" s="4"/>
      <c r="I1136" s="5"/>
      <c r="J1136" s="6"/>
      <c r="K1136" s="7"/>
      <c r="L1136" s="6"/>
      <c r="M1136" s="7"/>
      <c r="N1136" s="8"/>
      <c r="O1136" s="7"/>
      <c r="P1136" s="6"/>
      <c r="Q1136" s="9"/>
      <c r="R1136" s="6"/>
      <c r="S1136" s="10"/>
      <c r="T1136" s="2"/>
    </row>
    <row r="1137" spans="1:20" ht="37.5" customHeight="1" x14ac:dyDescent="0.25">
      <c r="A1137" s="2"/>
      <c r="G1137" s="3"/>
      <c r="H1137" s="4"/>
      <c r="I1137" s="5"/>
      <c r="J1137" s="6"/>
      <c r="K1137" s="7"/>
      <c r="L1137" s="6"/>
      <c r="M1137" s="7"/>
      <c r="N1137" s="8"/>
      <c r="O1137" s="7"/>
      <c r="P1137" s="6"/>
      <c r="Q1137" s="9"/>
      <c r="R1137" s="6"/>
      <c r="S1137" s="10"/>
      <c r="T1137" s="2"/>
    </row>
    <row r="1138" spans="1:20" ht="37.5" customHeight="1" x14ac:dyDescent="0.25">
      <c r="A1138" s="2"/>
      <c r="G1138" s="3"/>
      <c r="H1138" s="4"/>
      <c r="I1138" s="5"/>
      <c r="J1138" s="6"/>
      <c r="K1138" s="7"/>
      <c r="L1138" s="6"/>
      <c r="M1138" s="7"/>
      <c r="N1138" s="8"/>
      <c r="O1138" s="7"/>
      <c r="P1138" s="6"/>
      <c r="Q1138" s="9"/>
      <c r="R1138" s="6"/>
      <c r="S1138" s="10"/>
      <c r="T1138" s="2"/>
    </row>
    <row r="1139" spans="1:20" ht="37.5" customHeight="1" x14ac:dyDescent="0.25">
      <c r="A1139" s="2"/>
      <c r="G1139" s="3"/>
      <c r="H1139" s="4"/>
      <c r="I1139" s="5"/>
      <c r="J1139" s="6"/>
      <c r="K1139" s="7"/>
      <c r="L1139" s="6"/>
      <c r="M1139" s="7"/>
      <c r="N1139" s="8"/>
      <c r="O1139" s="7"/>
      <c r="P1139" s="6"/>
      <c r="Q1139" s="9"/>
      <c r="R1139" s="6"/>
      <c r="S1139" s="10"/>
      <c r="T1139" s="2"/>
    </row>
    <row r="1140" spans="1:20" ht="37.5" customHeight="1" x14ac:dyDescent="0.25">
      <c r="A1140" s="2"/>
      <c r="G1140" s="3"/>
      <c r="H1140" s="4"/>
      <c r="I1140" s="5"/>
      <c r="J1140" s="6"/>
      <c r="K1140" s="7"/>
      <c r="L1140" s="6"/>
      <c r="M1140" s="7"/>
      <c r="N1140" s="8"/>
      <c r="O1140" s="7"/>
      <c r="P1140" s="6"/>
      <c r="Q1140" s="9"/>
      <c r="R1140" s="6"/>
      <c r="S1140" s="10"/>
      <c r="T1140" s="2"/>
    </row>
    <row r="1141" spans="1:20" ht="37.5" customHeight="1" x14ac:dyDescent="0.25">
      <c r="A1141" s="2"/>
      <c r="G1141" s="3"/>
      <c r="H1141" s="4"/>
      <c r="I1141" s="5"/>
      <c r="J1141" s="6"/>
      <c r="K1141" s="7"/>
      <c r="L1141" s="6"/>
      <c r="M1141" s="7"/>
      <c r="N1141" s="8"/>
      <c r="O1141" s="7"/>
      <c r="P1141" s="6"/>
      <c r="Q1141" s="9"/>
      <c r="R1141" s="6"/>
      <c r="S1141" s="10"/>
      <c r="T1141" s="2"/>
    </row>
    <row r="1142" spans="1:20" ht="37.5" customHeight="1" x14ac:dyDescent="0.25">
      <c r="A1142" s="2"/>
      <c r="G1142" s="3"/>
      <c r="H1142" s="4"/>
      <c r="I1142" s="5"/>
      <c r="J1142" s="6"/>
      <c r="K1142" s="7"/>
      <c r="L1142" s="6"/>
      <c r="M1142" s="7"/>
      <c r="N1142" s="8"/>
      <c r="O1142" s="7"/>
      <c r="P1142" s="6"/>
      <c r="Q1142" s="9"/>
      <c r="R1142" s="6"/>
      <c r="S1142" s="10"/>
      <c r="T1142" s="2"/>
    </row>
    <row r="1143" spans="1:20" ht="37.5" customHeight="1" x14ac:dyDescent="0.25">
      <c r="A1143" s="2"/>
      <c r="G1143" s="3"/>
      <c r="H1143" s="4"/>
      <c r="I1143" s="5"/>
      <c r="J1143" s="6"/>
      <c r="K1143" s="7"/>
      <c r="L1143" s="6"/>
      <c r="M1143" s="7"/>
      <c r="N1143" s="8"/>
      <c r="O1143" s="7"/>
      <c r="P1143" s="6"/>
      <c r="Q1143" s="9"/>
      <c r="R1143" s="6"/>
      <c r="S1143" s="10"/>
      <c r="T1143" s="2"/>
    </row>
    <row r="1144" spans="1:20" ht="37.5" customHeight="1" x14ac:dyDescent="0.25">
      <c r="A1144" s="2"/>
      <c r="G1144" s="3"/>
      <c r="H1144" s="4"/>
      <c r="I1144" s="5"/>
      <c r="J1144" s="6"/>
      <c r="K1144" s="7"/>
      <c r="L1144" s="6"/>
      <c r="M1144" s="7"/>
      <c r="N1144" s="8"/>
      <c r="O1144" s="7"/>
      <c r="P1144" s="6"/>
      <c r="Q1144" s="9"/>
      <c r="R1144" s="6"/>
      <c r="S1144" s="10"/>
      <c r="T1144" s="2"/>
    </row>
    <row r="1145" spans="1:20" ht="37.5" customHeight="1" x14ac:dyDescent="0.25">
      <c r="A1145" s="2"/>
      <c r="G1145" s="3"/>
      <c r="H1145" s="4"/>
      <c r="I1145" s="5"/>
      <c r="J1145" s="6"/>
      <c r="K1145" s="7"/>
      <c r="L1145" s="6"/>
      <c r="M1145" s="7"/>
      <c r="N1145" s="8"/>
      <c r="O1145" s="7"/>
      <c r="P1145" s="6"/>
      <c r="Q1145" s="9"/>
      <c r="R1145" s="6"/>
      <c r="S1145" s="10"/>
      <c r="T1145" s="2"/>
    </row>
    <row r="1146" spans="1:20" ht="37.5" customHeight="1" x14ac:dyDescent="0.25">
      <c r="A1146" s="2"/>
      <c r="G1146" s="3"/>
      <c r="H1146" s="4"/>
      <c r="I1146" s="5"/>
      <c r="J1146" s="6"/>
      <c r="K1146" s="7"/>
      <c r="L1146" s="6"/>
      <c r="M1146" s="7"/>
      <c r="N1146" s="8"/>
      <c r="O1146" s="7"/>
      <c r="P1146" s="6"/>
      <c r="Q1146" s="9"/>
      <c r="R1146" s="6"/>
      <c r="S1146" s="10"/>
      <c r="T1146" s="2"/>
    </row>
    <row r="1147" spans="1:20" ht="37.5" customHeight="1" x14ac:dyDescent="0.25">
      <c r="A1147" s="2"/>
      <c r="G1147" s="3"/>
      <c r="H1147" s="4"/>
      <c r="I1147" s="5"/>
      <c r="J1147" s="6"/>
      <c r="K1147" s="7"/>
      <c r="L1147" s="6"/>
      <c r="M1147" s="7"/>
      <c r="N1147" s="8"/>
      <c r="O1147" s="7"/>
      <c r="P1147" s="6"/>
      <c r="Q1147" s="9"/>
      <c r="R1147" s="6"/>
      <c r="S1147" s="10"/>
      <c r="T1147" s="2"/>
    </row>
    <row r="1148" spans="1:20" ht="37.5" customHeight="1" x14ac:dyDescent="0.25">
      <c r="A1148" s="2"/>
      <c r="G1148" s="3"/>
      <c r="H1148" s="4"/>
      <c r="I1148" s="5"/>
      <c r="J1148" s="6"/>
      <c r="K1148" s="7"/>
      <c r="L1148" s="6"/>
      <c r="M1148" s="7"/>
      <c r="N1148" s="8"/>
      <c r="O1148" s="7"/>
      <c r="P1148" s="6"/>
      <c r="Q1148" s="9"/>
      <c r="R1148" s="6"/>
      <c r="S1148" s="10"/>
      <c r="T1148" s="2"/>
    </row>
    <row r="1149" spans="1:20" ht="37.5" customHeight="1" x14ac:dyDescent="0.25">
      <c r="A1149" s="2"/>
      <c r="G1149" s="3"/>
      <c r="H1149" s="4"/>
      <c r="I1149" s="5"/>
      <c r="J1149" s="6"/>
      <c r="K1149" s="7"/>
      <c r="L1149" s="6"/>
      <c r="M1149" s="7"/>
      <c r="N1149" s="8"/>
      <c r="O1149" s="7"/>
      <c r="P1149" s="6"/>
      <c r="Q1149" s="9"/>
      <c r="R1149" s="6"/>
      <c r="S1149" s="10"/>
      <c r="T1149" s="2"/>
    </row>
    <row r="1150" spans="1:20" ht="37.5" customHeight="1" x14ac:dyDescent="0.25">
      <c r="A1150" s="2"/>
      <c r="G1150" s="3"/>
      <c r="H1150" s="4"/>
      <c r="I1150" s="5"/>
      <c r="J1150" s="6"/>
      <c r="K1150" s="7"/>
      <c r="L1150" s="6"/>
      <c r="M1150" s="7"/>
      <c r="N1150" s="8"/>
      <c r="O1150" s="7"/>
      <c r="P1150" s="6"/>
      <c r="Q1150" s="9"/>
      <c r="R1150" s="6"/>
      <c r="S1150" s="10"/>
      <c r="T1150" s="2"/>
    </row>
    <row r="1151" spans="1:20" ht="37.5" customHeight="1" x14ac:dyDescent="0.25">
      <c r="A1151" s="2"/>
      <c r="G1151" s="3"/>
      <c r="H1151" s="4"/>
      <c r="I1151" s="5"/>
      <c r="J1151" s="6"/>
      <c r="K1151" s="7"/>
      <c r="L1151" s="6"/>
      <c r="M1151" s="7"/>
      <c r="N1151" s="8"/>
      <c r="O1151" s="7"/>
      <c r="P1151" s="6"/>
      <c r="Q1151" s="9"/>
      <c r="R1151" s="6"/>
      <c r="S1151" s="10"/>
      <c r="T1151" s="2"/>
    </row>
    <row r="1152" spans="1:20" ht="37.5" customHeight="1" x14ac:dyDescent="0.25">
      <c r="A1152" s="2"/>
      <c r="G1152" s="3"/>
      <c r="H1152" s="4"/>
      <c r="I1152" s="5"/>
      <c r="J1152" s="6"/>
      <c r="K1152" s="7"/>
      <c r="L1152" s="6"/>
      <c r="M1152" s="7"/>
      <c r="N1152" s="8"/>
      <c r="O1152" s="7"/>
      <c r="P1152" s="6"/>
      <c r="Q1152" s="9"/>
      <c r="R1152" s="6"/>
      <c r="S1152" s="10"/>
      <c r="T1152" s="2"/>
    </row>
    <row r="1153" spans="1:20" ht="37.5" customHeight="1" x14ac:dyDescent="0.25">
      <c r="A1153" s="2"/>
      <c r="G1153" s="3"/>
      <c r="H1153" s="4"/>
      <c r="I1153" s="5"/>
      <c r="J1153" s="6"/>
      <c r="K1153" s="7"/>
      <c r="L1153" s="6"/>
      <c r="M1153" s="7"/>
      <c r="N1153" s="8"/>
      <c r="O1153" s="7"/>
      <c r="P1153" s="6"/>
      <c r="Q1153" s="9"/>
      <c r="R1153" s="6"/>
      <c r="S1153" s="10"/>
      <c r="T1153" s="2"/>
    </row>
    <row r="1154" spans="1:20" ht="37.5" customHeight="1" x14ac:dyDescent="0.25">
      <c r="A1154" s="2"/>
      <c r="G1154" s="3"/>
      <c r="H1154" s="4"/>
      <c r="I1154" s="5"/>
      <c r="J1154" s="6"/>
      <c r="K1154" s="7"/>
      <c r="L1154" s="6"/>
      <c r="M1154" s="7"/>
      <c r="N1154" s="8"/>
      <c r="O1154" s="7"/>
      <c r="P1154" s="6"/>
      <c r="Q1154" s="9"/>
      <c r="R1154" s="6"/>
      <c r="S1154" s="10"/>
      <c r="T1154" s="2"/>
    </row>
    <row r="1155" spans="1:20" ht="37.5" customHeight="1" x14ac:dyDescent="0.25">
      <c r="A1155" s="2"/>
      <c r="G1155" s="3"/>
      <c r="H1155" s="4"/>
      <c r="I1155" s="5"/>
      <c r="J1155" s="6"/>
      <c r="K1155" s="7"/>
      <c r="L1155" s="6"/>
      <c r="M1155" s="7"/>
      <c r="N1155" s="8"/>
      <c r="O1155" s="7"/>
      <c r="P1155" s="6"/>
      <c r="Q1155" s="9"/>
      <c r="R1155" s="6"/>
      <c r="S1155" s="10"/>
      <c r="T1155" s="2"/>
    </row>
    <row r="1156" spans="1:20" ht="37.5" customHeight="1" x14ac:dyDescent="0.25">
      <c r="A1156" s="2"/>
      <c r="G1156" s="3"/>
      <c r="H1156" s="4"/>
      <c r="I1156" s="5"/>
      <c r="J1156" s="6"/>
      <c r="K1156" s="7"/>
      <c r="L1156" s="6"/>
      <c r="M1156" s="7"/>
      <c r="N1156" s="8"/>
      <c r="O1156" s="7"/>
      <c r="P1156" s="6"/>
      <c r="Q1156" s="9"/>
      <c r="R1156" s="6"/>
      <c r="S1156" s="10"/>
      <c r="T1156" s="2"/>
    </row>
    <row r="1157" spans="1:20" ht="37.5" customHeight="1" x14ac:dyDescent="0.25">
      <c r="A1157" s="2"/>
      <c r="G1157" s="3"/>
      <c r="H1157" s="4"/>
      <c r="I1157" s="5"/>
      <c r="J1157" s="6"/>
      <c r="K1157" s="7"/>
      <c r="L1157" s="6"/>
      <c r="M1157" s="7"/>
      <c r="N1157" s="8"/>
      <c r="O1157" s="7"/>
      <c r="P1157" s="6"/>
      <c r="Q1157" s="9"/>
      <c r="R1157" s="6"/>
      <c r="S1157" s="10"/>
      <c r="T1157" s="2"/>
    </row>
    <row r="1158" spans="1:20" ht="37.5" customHeight="1" x14ac:dyDescent="0.25">
      <c r="A1158" s="2"/>
      <c r="G1158" s="3"/>
      <c r="H1158" s="4"/>
      <c r="I1158" s="5"/>
      <c r="J1158" s="6"/>
      <c r="K1158" s="7"/>
      <c r="L1158" s="6"/>
      <c r="M1158" s="7"/>
      <c r="N1158" s="8"/>
      <c r="O1158" s="7"/>
      <c r="P1158" s="6"/>
      <c r="Q1158" s="9"/>
      <c r="R1158" s="6"/>
      <c r="S1158" s="10"/>
      <c r="T1158" s="2"/>
    </row>
    <row r="1159" spans="1:20" ht="37.5" customHeight="1" x14ac:dyDescent="0.25">
      <c r="A1159" s="2"/>
      <c r="G1159" s="3"/>
      <c r="H1159" s="4"/>
      <c r="I1159" s="5"/>
      <c r="J1159" s="6"/>
      <c r="K1159" s="7"/>
      <c r="L1159" s="6"/>
      <c r="M1159" s="7"/>
      <c r="N1159" s="8"/>
      <c r="O1159" s="7"/>
      <c r="P1159" s="6"/>
      <c r="Q1159" s="9"/>
      <c r="R1159" s="6"/>
      <c r="S1159" s="10"/>
      <c r="T1159" s="2"/>
    </row>
    <row r="1160" spans="1:20" ht="37.5" customHeight="1" x14ac:dyDescent="0.25">
      <c r="A1160" s="2"/>
      <c r="G1160" s="3"/>
      <c r="H1160" s="4"/>
      <c r="I1160" s="5"/>
      <c r="J1160" s="6"/>
      <c r="K1160" s="7"/>
      <c r="L1160" s="6"/>
      <c r="M1160" s="7"/>
      <c r="N1160" s="8"/>
      <c r="O1160" s="7"/>
      <c r="P1160" s="6"/>
      <c r="Q1160" s="9"/>
      <c r="R1160" s="6"/>
      <c r="S1160" s="10"/>
      <c r="T1160" s="2"/>
    </row>
    <row r="1161" spans="1:20" ht="37.5" customHeight="1" x14ac:dyDescent="0.25">
      <c r="A1161" s="2"/>
      <c r="G1161" s="3"/>
      <c r="H1161" s="4"/>
      <c r="I1161" s="5"/>
      <c r="J1161" s="6"/>
      <c r="K1161" s="7"/>
      <c r="L1161" s="6"/>
      <c r="M1161" s="7"/>
      <c r="N1161" s="8"/>
      <c r="O1161" s="7"/>
      <c r="P1161" s="6"/>
      <c r="Q1161" s="9"/>
      <c r="R1161" s="6"/>
      <c r="S1161" s="10"/>
      <c r="T1161" s="2"/>
    </row>
    <row r="1162" spans="1:20" ht="37.5" customHeight="1" x14ac:dyDescent="0.25">
      <c r="A1162" s="2"/>
      <c r="G1162" s="3"/>
      <c r="H1162" s="4"/>
      <c r="I1162" s="5"/>
      <c r="J1162" s="6"/>
      <c r="K1162" s="7"/>
      <c r="L1162" s="6"/>
      <c r="M1162" s="7"/>
      <c r="N1162" s="8"/>
      <c r="O1162" s="7"/>
      <c r="P1162" s="6"/>
      <c r="Q1162" s="9"/>
      <c r="R1162" s="6"/>
      <c r="S1162" s="10"/>
      <c r="T1162" s="2"/>
    </row>
    <row r="1163" spans="1:20" ht="37.5" customHeight="1" x14ac:dyDescent="0.25">
      <c r="A1163" s="2"/>
      <c r="G1163" s="3"/>
      <c r="H1163" s="4"/>
      <c r="I1163" s="5"/>
      <c r="J1163" s="6"/>
      <c r="K1163" s="7"/>
      <c r="L1163" s="6"/>
      <c r="M1163" s="7"/>
      <c r="N1163" s="8"/>
      <c r="O1163" s="7"/>
      <c r="P1163" s="6"/>
      <c r="Q1163" s="9"/>
      <c r="R1163" s="6"/>
      <c r="S1163" s="10"/>
      <c r="T1163" s="2"/>
    </row>
    <row r="1164" spans="1:20" ht="37.5" customHeight="1" x14ac:dyDescent="0.25">
      <c r="A1164" s="2"/>
      <c r="G1164" s="3"/>
      <c r="H1164" s="4"/>
      <c r="I1164" s="5"/>
      <c r="J1164" s="6"/>
      <c r="K1164" s="7"/>
      <c r="L1164" s="6"/>
      <c r="M1164" s="7"/>
      <c r="N1164" s="8"/>
      <c r="O1164" s="7"/>
      <c r="P1164" s="6"/>
      <c r="Q1164" s="11"/>
      <c r="R1164" s="12"/>
      <c r="S1164" s="10"/>
      <c r="T1164" s="2"/>
    </row>
    <row r="1165" spans="1:20" ht="37.5" customHeight="1" x14ac:dyDescent="0.25">
      <c r="A1165" s="2"/>
      <c r="G1165" s="3"/>
      <c r="H1165" s="4"/>
      <c r="I1165" s="5"/>
      <c r="J1165" s="6"/>
      <c r="K1165" s="7"/>
      <c r="L1165" s="6"/>
      <c r="M1165" s="7"/>
      <c r="N1165" s="8"/>
      <c r="O1165" s="7"/>
      <c r="P1165" s="6"/>
      <c r="Q1165" s="11"/>
      <c r="R1165" s="12"/>
      <c r="S1165" s="10"/>
      <c r="T1165" s="2"/>
    </row>
    <row r="1166" spans="1:20" ht="37.5" customHeight="1" x14ac:dyDescent="0.25">
      <c r="A1166" s="2"/>
      <c r="G1166" s="3"/>
      <c r="H1166" s="4"/>
      <c r="I1166" s="5"/>
      <c r="J1166" s="6"/>
      <c r="K1166" s="7"/>
      <c r="L1166" s="6"/>
      <c r="M1166" s="7"/>
      <c r="N1166" s="8"/>
      <c r="O1166" s="7"/>
      <c r="P1166" s="6"/>
      <c r="Q1166" s="11"/>
      <c r="R1166" s="12"/>
      <c r="S1166" s="10"/>
      <c r="T1166" s="2"/>
    </row>
    <row r="1167" spans="1:20" ht="37.5" customHeight="1" x14ac:dyDescent="0.25">
      <c r="A1167" s="2"/>
      <c r="G1167" s="3"/>
      <c r="H1167" s="4"/>
      <c r="I1167" s="5"/>
      <c r="J1167" s="6"/>
      <c r="K1167" s="7"/>
      <c r="L1167" s="6"/>
      <c r="M1167" s="7"/>
      <c r="N1167" s="8"/>
      <c r="O1167" s="7"/>
      <c r="P1167" s="6"/>
      <c r="Q1167" s="11"/>
      <c r="R1167" s="12"/>
      <c r="S1167" s="10"/>
      <c r="T1167" s="2"/>
    </row>
    <row r="1168" spans="1:20" ht="37.5" customHeight="1" x14ac:dyDescent="0.25">
      <c r="A1168" s="2"/>
      <c r="G1168" s="3"/>
      <c r="H1168" s="4"/>
      <c r="I1168" s="5"/>
      <c r="J1168" s="6"/>
      <c r="K1168" s="7"/>
      <c r="L1168" s="6"/>
      <c r="M1168" s="7"/>
      <c r="N1168" s="8"/>
      <c r="O1168" s="7"/>
      <c r="P1168" s="6"/>
      <c r="Q1168" s="11"/>
      <c r="R1168" s="12"/>
      <c r="S1168" s="10"/>
      <c r="T1168" s="2"/>
    </row>
    <row r="1169" spans="1:20" ht="37.5" customHeight="1" x14ac:dyDescent="0.25">
      <c r="A1169" s="2"/>
      <c r="G1169" s="3"/>
      <c r="H1169" s="4"/>
      <c r="I1169" s="5"/>
      <c r="J1169" s="6"/>
      <c r="K1169" s="7"/>
      <c r="L1169" s="6"/>
      <c r="M1169" s="7"/>
      <c r="N1169" s="8"/>
      <c r="O1169" s="7"/>
      <c r="P1169" s="6"/>
      <c r="Q1169" s="11"/>
      <c r="R1169" s="12"/>
      <c r="S1169" s="10"/>
      <c r="T1169" s="2"/>
    </row>
    <row r="1170" spans="1:20" ht="37.5" customHeight="1" x14ac:dyDescent="0.25">
      <c r="A1170" s="2"/>
      <c r="G1170" s="3"/>
      <c r="H1170" s="4"/>
      <c r="I1170" s="5"/>
      <c r="J1170" s="6"/>
      <c r="K1170" s="7"/>
      <c r="L1170" s="6"/>
      <c r="M1170" s="7"/>
      <c r="N1170" s="8"/>
      <c r="O1170" s="7"/>
      <c r="P1170" s="6"/>
      <c r="Q1170" s="11"/>
      <c r="R1170" s="12"/>
      <c r="S1170" s="10"/>
      <c r="T1170" s="2"/>
    </row>
    <row r="1171" spans="1:20" ht="37.5" customHeight="1" x14ac:dyDescent="0.25">
      <c r="A1171" s="2"/>
      <c r="G1171" s="3"/>
      <c r="H1171" s="4"/>
      <c r="I1171" s="5"/>
      <c r="J1171" s="6"/>
      <c r="K1171" s="7"/>
      <c r="L1171" s="6"/>
      <c r="M1171" s="7"/>
      <c r="N1171" s="8"/>
      <c r="O1171" s="7"/>
      <c r="P1171" s="6"/>
      <c r="Q1171" s="11"/>
      <c r="R1171" s="12"/>
      <c r="S1171" s="10"/>
      <c r="T1171" s="2"/>
    </row>
    <row r="1172" spans="1:20" ht="37.5" customHeight="1" x14ac:dyDescent="0.25">
      <c r="A1172" s="2"/>
      <c r="G1172" s="3"/>
      <c r="H1172" s="4"/>
      <c r="I1172" s="5"/>
      <c r="J1172" s="6"/>
      <c r="K1172" s="7"/>
      <c r="L1172" s="6"/>
      <c r="M1172" s="7"/>
      <c r="N1172" s="8"/>
      <c r="O1172" s="7"/>
      <c r="P1172" s="6"/>
      <c r="Q1172" s="11"/>
      <c r="R1172" s="12"/>
      <c r="S1172" s="10"/>
      <c r="T1172" s="2"/>
    </row>
    <row r="1173" spans="1:20" ht="37.5" customHeight="1" x14ac:dyDescent="0.25">
      <c r="A1173" s="2"/>
      <c r="G1173" s="3"/>
      <c r="H1173" s="4"/>
      <c r="I1173" s="5"/>
      <c r="J1173" s="6"/>
      <c r="K1173" s="7"/>
      <c r="L1173" s="6"/>
      <c r="M1173" s="7"/>
      <c r="N1173" s="8"/>
      <c r="O1173" s="7"/>
      <c r="P1173" s="6"/>
      <c r="Q1173" s="11"/>
      <c r="R1173" s="12"/>
      <c r="S1173" s="10"/>
      <c r="T1173" s="2"/>
    </row>
    <row r="1174" spans="1:20" ht="37.5" customHeight="1" x14ac:dyDescent="0.25">
      <c r="A1174" s="2"/>
      <c r="G1174" s="3"/>
      <c r="H1174" s="4"/>
      <c r="I1174" s="5"/>
      <c r="J1174" s="6"/>
      <c r="K1174" s="7"/>
      <c r="L1174" s="6"/>
      <c r="M1174" s="7"/>
      <c r="N1174" s="8"/>
      <c r="O1174" s="7"/>
      <c r="P1174" s="6"/>
      <c r="Q1174" s="11"/>
      <c r="R1174" s="12"/>
      <c r="S1174" s="10"/>
      <c r="T1174" s="2"/>
    </row>
    <row r="1175" spans="1:20" ht="37.5" customHeight="1" x14ac:dyDescent="0.25">
      <c r="A1175" s="2"/>
      <c r="G1175" s="3"/>
      <c r="H1175" s="4"/>
      <c r="I1175" s="5"/>
      <c r="J1175" s="6"/>
      <c r="K1175" s="7"/>
      <c r="L1175" s="6"/>
      <c r="M1175" s="7"/>
      <c r="N1175" s="8"/>
      <c r="O1175" s="7"/>
      <c r="P1175" s="6"/>
      <c r="Q1175" s="11"/>
      <c r="R1175" s="12"/>
      <c r="S1175" s="10"/>
      <c r="T1175" s="2"/>
    </row>
    <row r="1176" spans="1:20" ht="37.5" customHeight="1" x14ac:dyDescent="0.25">
      <c r="A1176" s="2"/>
      <c r="G1176" s="3"/>
      <c r="H1176" s="4"/>
      <c r="I1176" s="5"/>
      <c r="J1176" s="6"/>
      <c r="K1176" s="7"/>
      <c r="L1176" s="6"/>
      <c r="M1176" s="7"/>
      <c r="N1176" s="8"/>
      <c r="O1176" s="7"/>
      <c r="P1176" s="6"/>
      <c r="Q1176" s="11"/>
      <c r="R1176" s="12"/>
      <c r="S1176" s="10"/>
      <c r="T1176" s="2"/>
    </row>
    <row r="1177" spans="1:20" ht="37.5" customHeight="1" x14ac:dyDescent="0.25">
      <c r="A1177" s="2"/>
      <c r="G1177" s="3"/>
      <c r="H1177" s="4"/>
      <c r="I1177" s="5"/>
      <c r="J1177" s="6"/>
      <c r="K1177" s="7"/>
      <c r="L1177" s="6"/>
      <c r="M1177" s="7"/>
      <c r="N1177" s="8"/>
      <c r="O1177" s="7"/>
      <c r="P1177" s="6"/>
      <c r="Q1177" s="11"/>
      <c r="R1177" s="12"/>
      <c r="S1177" s="10"/>
      <c r="T1177" s="2"/>
    </row>
    <row r="1178" spans="1:20" ht="37.5" customHeight="1" x14ac:dyDescent="0.25">
      <c r="A1178" s="2"/>
      <c r="G1178" s="3"/>
      <c r="H1178" s="4"/>
      <c r="I1178" s="5"/>
      <c r="J1178" s="6"/>
      <c r="K1178" s="7"/>
      <c r="L1178" s="6"/>
      <c r="M1178" s="7"/>
      <c r="N1178" s="8"/>
      <c r="O1178" s="7"/>
      <c r="P1178" s="6"/>
      <c r="Q1178" s="11"/>
      <c r="R1178" s="12"/>
      <c r="S1178" s="10"/>
      <c r="T1178" s="2"/>
    </row>
    <row r="1179" spans="1:20" ht="37.5" customHeight="1" x14ac:dyDescent="0.25">
      <c r="A1179" s="2"/>
      <c r="G1179" s="3"/>
      <c r="H1179" s="4"/>
      <c r="I1179" s="5"/>
      <c r="J1179" s="6"/>
      <c r="K1179" s="7"/>
      <c r="L1179" s="6"/>
      <c r="M1179" s="7"/>
      <c r="N1179" s="8"/>
      <c r="O1179" s="7"/>
      <c r="P1179" s="6"/>
      <c r="Q1179" s="11"/>
      <c r="R1179" s="12"/>
      <c r="S1179" s="10"/>
      <c r="T1179" s="2"/>
    </row>
    <row r="1180" spans="1:20" ht="37.5" customHeight="1" x14ac:dyDescent="0.25">
      <c r="A1180" s="2"/>
      <c r="G1180" s="3"/>
      <c r="H1180" s="4"/>
      <c r="I1180" s="5"/>
      <c r="J1180" s="6"/>
      <c r="K1180" s="7"/>
      <c r="L1180" s="6"/>
      <c r="M1180" s="7"/>
      <c r="N1180" s="8"/>
      <c r="O1180" s="7"/>
      <c r="P1180" s="6"/>
      <c r="Q1180" s="11"/>
      <c r="R1180" s="12"/>
      <c r="S1180" s="10"/>
      <c r="T1180" s="2"/>
    </row>
    <row r="1181" spans="1:20" ht="37.5" customHeight="1" x14ac:dyDescent="0.25">
      <c r="A1181" s="2"/>
      <c r="G1181" s="3"/>
      <c r="H1181" s="4"/>
      <c r="I1181" s="5"/>
      <c r="J1181" s="6"/>
      <c r="K1181" s="7"/>
      <c r="L1181" s="6"/>
      <c r="M1181" s="7"/>
      <c r="N1181" s="8"/>
      <c r="O1181" s="7"/>
      <c r="P1181" s="6"/>
      <c r="Q1181" s="11"/>
      <c r="R1181" s="12"/>
      <c r="S1181" s="10"/>
      <c r="T1181" s="2"/>
    </row>
    <row r="1182" spans="1:20" ht="37.5" customHeight="1" x14ac:dyDescent="0.25">
      <c r="A1182" s="2"/>
      <c r="G1182" s="3"/>
      <c r="H1182" s="4"/>
      <c r="I1182" s="5"/>
      <c r="J1182" s="6"/>
      <c r="K1182" s="7"/>
      <c r="L1182" s="6"/>
      <c r="M1182" s="7"/>
      <c r="N1182" s="8"/>
      <c r="O1182" s="7"/>
      <c r="P1182" s="6"/>
      <c r="Q1182" s="11"/>
      <c r="R1182" s="12"/>
      <c r="S1182" s="10"/>
      <c r="T1182" s="2"/>
    </row>
    <row r="1183" spans="1:20" ht="37.5" customHeight="1" x14ac:dyDescent="0.25">
      <c r="A1183" s="2"/>
      <c r="G1183" s="3"/>
      <c r="H1183" s="4"/>
      <c r="I1183" s="5"/>
      <c r="J1183" s="6"/>
      <c r="K1183" s="7"/>
      <c r="L1183" s="6"/>
      <c r="M1183" s="7"/>
      <c r="N1183" s="8"/>
      <c r="O1183" s="7"/>
      <c r="P1183" s="6"/>
      <c r="Q1183" s="11"/>
      <c r="R1183" s="12"/>
      <c r="S1183" s="10"/>
      <c r="T1183" s="2"/>
    </row>
    <row r="1184" spans="1:20" ht="37.5" customHeight="1" x14ac:dyDescent="0.25">
      <c r="A1184" s="2"/>
      <c r="G1184" s="3"/>
      <c r="H1184" s="4"/>
      <c r="I1184" s="5"/>
      <c r="J1184" s="6"/>
      <c r="K1184" s="7"/>
      <c r="L1184" s="6"/>
      <c r="M1184" s="7"/>
      <c r="N1184" s="8"/>
      <c r="O1184" s="7"/>
      <c r="P1184" s="6"/>
      <c r="Q1184" s="11"/>
      <c r="R1184" s="12"/>
      <c r="S1184" s="10"/>
      <c r="T1184" s="2"/>
    </row>
    <row r="1185" spans="1:20" ht="37.5" customHeight="1" x14ac:dyDescent="0.25">
      <c r="A1185" s="2"/>
      <c r="G1185" s="3"/>
      <c r="H1185" s="4"/>
      <c r="I1185" s="5"/>
      <c r="J1185" s="6"/>
      <c r="K1185" s="7"/>
      <c r="L1185" s="6"/>
      <c r="M1185" s="7"/>
      <c r="N1185" s="8"/>
      <c r="O1185" s="7"/>
      <c r="P1185" s="6"/>
      <c r="Q1185" s="11"/>
      <c r="R1185" s="12"/>
      <c r="S1185" s="10"/>
      <c r="T1185" s="2"/>
    </row>
    <row r="1186" spans="1:20" ht="37.5" customHeight="1" x14ac:dyDescent="0.25">
      <c r="A1186" s="2"/>
      <c r="G1186" s="3"/>
      <c r="H1186" s="4"/>
      <c r="I1186" s="5"/>
      <c r="J1186" s="6"/>
      <c r="K1186" s="7"/>
      <c r="L1186" s="6"/>
      <c r="M1186" s="7"/>
      <c r="N1186" s="8"/>
      <c r="O1186" s="7"/>
      <c r="P1186" s="6"/>
      <c r="Q1186" s="11"/>
      <c r="R1186" s="12"/>
      <c r="S1186" s="10"/>
      <c r="T1186" s="2"/>
    </row>
    <row r="1187" spans="1:20" ht="37.5" customHeight="1" x14ac:dyDescent="0.25">
      <c r="A1187" s="2"/>
      <c r="G1187" s="3"/>
      <c r="H1187" s="4"/>
      <c r="I1187" s="5"/>
      <c r="J1187" s="6"/>
      <c r="K1187" s="7"/>
      <c r="L1187" s="6"/>
      <c r="M1187" s="7"/>
      <c r="N1187" s="8"/>
      <c r="O1187" s="7"/>
      <c r="P1187" s="6"/>
      <c r="Q1187" s="11"/>
      <c r="R1187" s="12"/>
      <c r="S1187" s="10"/>
      <c r="T1187" s="2"/>
    </row>
    <row r="1188" spans="1:20" ht="37.5" customHeight="1" x14ac:dyDescent="0.25">
      <c r="A1188" s="2"/>
      <c r="G1188" s="3"/>
      <c r="H1188" s="4"/>
      <c r="I1188" s="5"/>
      <c r="J1188" s="6"/>
      <c r="K1188" s="7"/>
      <c r="L1188" s="6"/>
      <c r="M1188" s="7"/>
      <c r="N1188" s="8"/>
      <c r="O1188" s="7"/>
      <c r="P1188" s="6"/>
      <c r="Q1188" s="11"/>
      <c r="R1188" s="12"/>
      <c r="S1188" s="10"/>
      <c r="T1188" s="2"/>
    </row>
    <row r="1189" spans="1:20" ht="37.5" customHeight="1" x14ac:dyDescent="0.25">
      <c r="A1189" s="2"/>
      <c r="G1189" s="3"/>
      <c r="H1189" s="4"/>
      <c r="I1189" s="5"/>
      <c r="J1189" s="6"/>
      <c r="K1189" s="7"/>
      <c r="L1189" s="6"/>
      <c r="M1189" s="7"/>
      <c r="N1189" s="8"/>
      <c r="O1189" s="7"/>
      <c r="P1189" s="6"/>
      <c r="Q1189" s="11"/>
      <c r="R1189" s="12"/>
      <c r="S1189" s="10"/>
      <c r="T1189" s="2"/>
    </row>
    <row r="1190" spans="1:20" ht="37.5" customHeight="1" x14ac:dyDescent="0.25">
      <c r="A1190" s="2"/>
      <c r="G1190" s="3"/>
      <c r="H1190" s="4"/>
      <c r="I1190" s="5"/>
      <c r="J1190" s="6"/>
      <c r="K1190" s="7"/>
      <c r="L1190" s="6"/>
      <c r="M1190" s="7"/>
      <c r="N1190" s="8"/>
      <c r="O1190" s="7"/>
      <c r="P1190" s="6"/>
      <c r="Q1190" s="11"/>
      <c r="R1190" s="12"/>
      <c r="S1190" s="10"/>
      <c r="T1190" s="2"/>
    </row>
    <row r="1191" spans="1:20" ht="37.5" customHeight="1" x14ac:dyDescent="0.25">
      <c r="A1191" s="2"/>
      <c r="G1191" s="3"/>
      <c r="H1191" s="4"/>
      <c r="I1191" s="5"/>
      <c r="J1191" s="6"/>
      <c r="K1191" s="7"/>
      <c r="L1191" s="6"/>
      <c r="M1191" s="7"/>
      <c r="N1191" s="8"/>
      <c r="O1191" s="7"/>
      <c r="P1191" s="6"/>
      <c r="Q1191" s="11"/>
      <c r="R1191" s="12"/>
      <c r="S1191" s="10"/>
      <c r="T1191" s="2"/>
    </row>
    <row r="1192" spans="1:20" ht="37.5" customHeight="1" x14ac:dyDescent="0.25">
      <c r="A1192" s="2"/>
      <c r="G1192" s="3"/>
      <c r="H1192" s="4"/>
      <c r="I1192" s="5"/>
      <c r="J1192" s="6"/>
      <c r="K1192" s="7"/>
      <c r="L1192" s="6"/>
      <c r="M1192" s="7"/>
      <c r="N1192" s="8"/>
      <c r="O1192" s="7"/>
      <c r="P1192" s="6"/>
      <c r="Q1192" s="11"/>
      <c r="R1192" s="12"/>
      <c r="S1192" s="10"/>
      <c r="T1192" s="2"/>
    </row>
    <row r="1193" spans="1:20" ht="37.5" customHeight="1" x14ac:dyDescent="0.25">
      <c r="A1193" s="2"/>
      <c r="G1193" s="3"/>
      <c r="H1193" s="4"/>
      <c r="I1193" s="5"/>
      <c r="J1193" s="6"/>
      <c r="K1193" s="7"/>
      <c r="L1193" s="6"/>
      <c r="M1193" s="7"/>
      <c r="N1193" s="8"/>
      <c r="O1193" s="7"/>
      <c r="P1193" s="6"/>
      <c r="Q1193" s="11"/>
      <c r="R1193" s="12"/>
      <c r="S1193" s="10"/>
      <c r="T1193" s="2"/>
    </row>
    <row r="1194" spans="1:20" ht="37.5" customHeight="1" x14ac:dyDescent="0.25">
      <c r="A1194" s="2"/>
      <c r="G1194" s="3"/>
      <c r="H1194" s="4"/>
      <c r="I1194" s="5"/>
      <c r="J1194" s="6"/>
      <c r="K1194" s="7"/>
      <c r="L1194" s="6"/>
      <c r="M1194" s="7"/>
      <c r="N1194" s="8"/>
      <c r="O1194" s="7"/>
      <c r="P1194" s="6"/>
      <c r="Q1194" s="11"/>
      <c r="R1194" s="12"/>
      <c r="S1194" s="10"/>
      <c r="T1194" s="2"/>
    </row>
    <row r="1195" spans="1:20" ht="37.5" customHeight="1" x14ac:dyDescent="0.25">
      <c r="A1195" s="2"/>
      <c r="G1195" s="3"/>
      <c r="H1195" s="4"/>
      <c r="I1195" s="5"/>
      <c r="J1195" s="6"/>
      <c r="K1195" s="7"/>
      <c r="L1195" s="6"/>
      <c r="M1195" s="7"/>
      <c r="N1195" s="8"/>
      <c r="O1195" s="7"/>
      <c r="P1195" s="6"/>
      <c r="Q1195" s="11"/>
      <c r="R1195" s="12"/>
      <c r="S1195" s="10"/>
      <c r="T1195" s="2"/>
    </row>
    <row r="1196" spans="1:20" ht="37.5" customHeight="1" x14ac:dyDescent="0.25">
      <c r="A1196" s="2"/>
      <c r="G1196" s="3"/>
      <c r="H1196" s="4"/>
      <c r="I1196" s="5"/>
      <c r="J1196" s="6"/>
      <c r="K1196" s="7"/>
      <c r="L1196" s="6"/>
      <c r="M1196" s="7"/>
      <c r="N1196" s="8"/>
      <c r="O1196" s="7"/>
      <c r="P1196" s="6"/>
      <c r="Q1196" s="11"/>
      <c r="R1196" s="12"/>
      <c r="S1196" s="10"/>
      <c r="T1196" s="2"/>
    </row>
    <row r="1197" spans="1:20" ht="37.5" customHeight="1" x14ac:dyDescent="0.25">
      <c r="A1197" s="2"/>
      <c r="G1197" s="3"/>
      <c r="H1197" s="4"/>
      <c r="I1197" s="5"/>
      <c r="J1197" s="6"/>
      <c r="K1197" s="7"/>
      <c r="L1197" s="6"/>
      <c r="M1197" s="7"/>
      <c r="N1197" s="8"/>
      <c r="O1197" s="7"/>
      <c r="P1197" s="6"/>
      <c r="Q1197" s="11"/>
      <c r="R1197" s="12"/>
      <c r="S1197" s="10"/>
      <c r="T1197" s="2"/>
    </row>
    <row r="1198" spans="1:20" ht="37.5" customHeight="1" x14ac:dyDescent="0.25">
      <c r="A1198" s="2"/>
      <c r="G1198" s="3"/>
      <c r="H1198" s="4"/>
      <c r="I1198" s="5"/>
      <c r="J1198" s="6"/>
      <c r="K1198" s="7"/>
      <c r="L1198" s="6"/>
      <c r="M1198" s="7"/>
      <c r="N1198" s="8"/>
      <c r="O1198" s="7"/>
      <c r="P1198" s="6"/>
      <c r="Q1198" s="11"/>
      <c r="R1198" s="12"/>
      <c r="S1198" s="10"/>
      <c r="T1198" s="2"/>
    </row>
    <row r="1199" spans="1:20" ht="37.5" customHeight="1" x14ac:dyDescent="0.25">
      <c r="A1199" s="2"/>
      <c r="G1199" s="3"/>
      <c r="H1199" s="4"/>
      <c r="I1199" s="5"/>
      <c r="J1199" s="6"/>
      <c r="K1199" s="7"/>
      <c r="L1199" s="6"/>
      <c r="M1199" s="7"/>
      <c r="N1199" s="8"/>
      <c r="O1199" s="7"/>
      <c r="P1199" s="6"/>
      <c r="Q1199" s="11"/>
      <c r="R1199" s="12"/>
      <c r="S1199" s="10"/>
      <c r="T1199" s="2"/>
    </row>
    <row r="1200" spans="1:20" ht="37.5" customHeight="1" x14ac:dyDescent="0.25">
      <c r="A1200" s="2"/>
      <c r="G1200" s="3"/>
      <c r="H1200" s="4"/>
      <c r="I1200" s="5"/>
      <c r="J1200" s="6"/>
      <c r="K1200" s="7"/>
      <c r="L1200" s="6"/>
      <c r="M1200" s="7"/>
      <c r="N1200" s="8"/>
      <c r="O1200" s="7"/>
      <c r="P1200" s="6"/>
      <c r="Q1200" s="11"/>
      <c r="R1200" s="12"/>
      <c r="S1200" s="10"/>
      <c r="T1200" s="2"/>
    </row>
    <row r="1201" spans="1:20" ht="37.5" customHeight="1" x14ac:dyDescent="0.25">
      <c r="A1201" s="2"/>
      <c r="G1201" s="3"/>
      <c r="H1201" s="4"/>
      <c r="I1201" s="5"/>
      <c r="J1201" s="6"/>
      <c r="K1201" s="7"/>
      <c r="L1201" s="6"/>
      <c r="M1201" s="7"/>
      <c r="N1201" s="8"/>
      <c r="O1201" s="7"/>
      <c r="P1201" s="6"/>
      <c r="Q1201" s="11"/>
      <c r="R1201" s="12"/>
      <c r="S1201" s="10"/>
      <c r="T1201" s="2"/>
    </row>
    <row r="1202" spans="1:20" ht="37.5" customHeight="1" x14ac:dyDescent="0.25">
      <c r="A1202" s="2"/>
      <c r="G1202" s="3"/>
      <c r="H1202" s="4"/>
      <c r="I1202" s="5"/>
      <c r="J1202" s="6"/>
      <c r="K1202" s="7"/>
      <c r="L1202" s="6"/>
      <c r="M1202" s="7"/>
      <c r="N1202" s="8"/>
      <c r="O1202" s="7"/>
      <c r="P1202" s="6"/>
      <c r="Q1202" s="11"/>
      <c r="R1202" s="12"/>
      <c r="S1202" s="10"/>
      <c r="T1202" s="2"/>
    </row>
    <row r="1203" spans="1:20" ht="37.5" customHeight="1" x14ac:dyDescent="0.25">
      <c r="A1203" s="2"/>
      <c r="G1203" s="3"/>
      <c r="H1203" s="4"/>
      <c r="I1203" s="5"/>
      <c r="J1203" s="6"/>
      <c r="K1203" s="7"/>
      <c r="L1203" s="6"/>
      <c r="M1203" s="7"/>
      <c r="N1203" s="8"/>
      <c r="O1203" s="7"/>
      <c r="P1203" s="6"/>
      <c r="Q1203" s="11"/>
      <c r="R1203" s="12"/>
      <c r="S1203" s="10"/>
      <c r="T1203" s="2"/>
    </row>
    <row r="1204" spans="1:20" ht="37.5" customHeight="1" x14ac:dyDescent="0.25">
      <c r="A1204" s="2"/>
      <c r="G1204" s="3"/>
      <c r="H1204" s="4"/>
      <c r="I1204" s="5"/>
      <c r="J1204" s="6"/>
      <c r="K1204" s="7"/>
      <c r="L1204" s="6"/>
      <c r="M1204" s="7"/>
      <c r="N1204" s="8"/>
      <c r="O1204" s="7"/>
      <c r="P1204" s="6"/>
      <c r="Q1204" s="11"/>
      <c r="R1204" s="12"/>
      <c r="S1204" s="10"/>
      <c r="T1204" s="2"/>
    </row>
    <row r="1205" spans="1:20" ht="37.5" customHeight="1" x14ac:dyDescent="0.25">
      <c r="A1205" s="2"/>
      <c r="G1205" s="3"/>
      <c r="H1205" s="4"/>
      <c r="I1205" s="5"/>
      <c r="J1205" s="6"/>
      <c r="K1205" s="7"/>
      <c r="L1205" s="6"/>
      <c r="M1205" s="7"/>
      <c r="N1205" s="8"/>
      <c r="O1205" s="7"/>
      <c r="P1205" s="6"/>
      <c r="Q1205" s="11"/>
      <c r="R1205" s="12"/>
      <c r="S1205" s="10"/>
      <c r="T1205" s="2"/>
    </row>
    <row r="1206" spans="1:20" ht="37.5" customHeight="1" x14ac:dyDescent="0.25">
      <c r="A1206" s="2"/>
      <c r="G1206" s="3"/>
      <c r="H1206" s="4"/>
      <c r="I1206" s="5"/>
      <c r="J1206" s="6"/>
      <c r="K1206" s="7"/>
      <c r="L1206" s="6"/>
      <c r="M1206" s="7"/>
      <c r="N1206" s="8"/>
      <c r="O1206" s="7"/>
      <c r="P1206" s="6"/>
      <c r="Q1206" s="11"/>
      <c r="R1206" s="12"/>
      <c r="S1206" s="10"/>
      <c r="T1206" s="2"/>
    </row>
    <row r="1207" spans="1:20" ht="37.5" customHeight="1" x14ac:dyDescent="0.25">
      <c r="A1207" s="2"/>
      <c r="G1207" s="3"/>
      <c r="H1207" s="4"/>
      <c r="I1207" s="5"/>
      <c r="J1207" s="6"/>
      <c r="K1207" s="7"/>
      <c r="L1207" s="6"/>
      <c r="M1207" s="7"/>
      <c r="N1207" s="8"/>
      <c r="O1207" s="7"/>
      <c r="P1207" s="6"/>
      <c r="Q1207" s="11"/>
      <c r="R1207" s="12"/>
      <c r="S1207" s="10"/>
      <c r="T1207" s="2"/>
    </row>
    <row r="1208" spans="1:20" ht="37.5" customHeight="1" x14ac:dyDescent="0.25">
      <c r="A1208" s="2"/>
      <c r="G1208" s="3"/>
      <c r="H1208" s="4"/>
      <c r="I1208" s="5"/>
      <c r="J1208" s="6"/>
      <c r="K1208" s="7"/>
      <c r="L1208" s="6"/>
      <c r="M1208" s="7"/>
      <c r="N1208" s="8"/>
      <c r="O1208" s="7"/>
      <c r="P1208" s="6"/>
      <c r="Q1208" s="11"/>
      <c r="R1208" s="12"/>
      <c r="S1208" s="10"/>
      <c r="T1208" s="2"/>
    </row>
    <row r="1209" spans="1:20" ht="37.5" customHeight="1" x14ac:dyDescent="0.25">
      <c r="A1209" s="2"/>
      <c r="G1209" s="3"/>
      <c r="H1209" s="4"/>
      <c r="I1209" s="5"/>
      <c r="J1209" s="6"/>
      <c r="K1209" s="7"/>
      <c r="L1209" s="6"/>
      <c r="M1209" s="7"/>
      <c r="N1209" s="8"/>
      <c r="O1209" s="7"/>
      <c r="P1209" s="6"/>
      <c r="Q1209" s="11"/>
      <c r="R1209" s="12"/>
      <c r="S1209" s="10"/>
      <c r="T1209" s="2"/>
    </row>
    <row r="1210" spans="1:20" ht="37.5" customHeight="1" x14ac:dyDescent="0.25">
      <c r="A1210" s="2"/>
      <c r="G1210" s="3"/>
      <c r="H1210" s="4"/>
      <c r="I1210" s="5"/>
      <c r="J1210" s="6"/>
      <c r="K1210" s="7"/>
      <c r="L1210" s="6"/>
      <c r="M1210" s="7"/>
      <c r="N1210" s="8"/>
      <c r="O1210" s="7"/>
      <c r="P1210" s="6"/>
      <c r="Q1210" s="11"/>
      <c r="R1210" s="12"/>
      <c r="S1210" s="10"/>
      <c r="T1210" s="2"/>
    </row>
    <row r="1211" spans="1:20" ht="37.5" customHeight="1" x14ac:dyDescent="0.25">
      <c r="A1211" s="2"/>
      <c r="G1211" s="3"/>
      <c r="H1211" s="4"/>
      <c r="I1211" s="5"/>
      <c r="J1211" s="6"/>
      <c r="K1211" s="7"/>
      <c r="L1211" s="6"/>
      <c r="M1211" s="7"/>
      <c r="N1211" s="8"/>
      <c r="O1211" s="7"/>
      <c r="P1211" s="6"/>
      <c r="Q1211" s="11"/>
      <c r="R1211" s="12"/>
      <c r="S1211" s="10"/>
      <c r="T1211" s="2"/>
    </row>
    <row r="1212" spans="1:20" ht="37.5" customHeight="1" x14ac:dyDescent="0.25">
      <c r="A1212" s="2"/>
      <c r="G1212" s="3"/>
      <c r="H1212" s="4"/>
      <c r="I1212" s="5"/>
      <c r="J1212" s="6"/>
      <c r="K1212" s="7"/>
      <c r="L1212" s="6"/>
      <c r="M1212" s="7"/>
      <c r="N1212" s="8"/>
      <c r="O1212" s="7"/>
      <c r="P1212" s="6"/>
      <c r="Q1212" s="11"/>
      <c r="R1212" s="12"/>
      <c r="S1212" s="10"/>
      <c r="T1212" s="2"/>
    </row>
    <row r="1213" spans="1:20" ht="37.5" customHeight="1" x14ac:dyDescent="0.25">
      <c r="A1213" s="2"/>
      <c r="G1213" s="3"/>
      <c r="H1213" s="4"/>
      <c r="I1213" s="5"/>
      <c r="J1213" s="6"/>
      <c r="K1213" s="7"/>
      <c r="L1213" s="6"/>
      <c r="M1213" s="7"/>
      <c r="N1213" s="8"/>
      <c r="O1213" s="7"/>
      <c r="P1213" s="6"/>
      <c r="Q1213" s="11"/>
      <c r="R1213" s="12"/>
      <c r="S1213" s="10"/>
      <c r="T1213" s="2"/>
    </row>
    <row r="1214" spans="1:20" ht="37.5" customHeight="1" x14ac:dyDescent="0.25">
      <c r="A1214" s="2"/>
      <c r="G1214" s="3"/>
      <c r="H1214" s="4"/>
      <c r="I1214" s="5"/>
      <c r="J1214" s="6"/>
      <c r="K1214" s="7"/>
      <c r="L1214" s="6"/>
      <c r="M1214" s="7"/>
      <c r="N1214" s="8"/>
      <c r="O1214" s="7"/>
      <c r="P1214" s="6"/>
      <c r="Q1214" s="11"/>
      <c r="R1214" s="12"/>
      <c r="S1214" s="10"/>
      <c r="T1214" s="2"/>
    </row>
    <row r="1215" spans="1:20" ht="37.5" customHeight="1" x14ac:dyDescent="0.25">
      <c r="A1215" s="2"/>
      <c r="G1215" s="3"/>
      <c r="H1215" s="4"/>
      <c r="I1215" s="5"/>
      <c r="J1215" s="6"/>
      <c r="K1215" s="7"/>
      <c r="L1215" s="6"/>
      <c r="M1215" s="7"/>
      <c r="N1215" s="8"/>
      <c r="O1215" s="7"/>
      <c r="P1215" s="6"/>
      <c r="Q1215" s="11"/>
      <c r="R1215" s="12"/>
      <c r="S1215" s="10"/>
      <c r="T1215" s="2"/>
    </row>
    <row r="1216" spans="1:20" ht="37.5" customHeight="1" x14ac:dyDescent="0.25">
      <c r="A1216" s="2"/>
      <c r="G1216" s="3"/>
      <c r="H1216" s="4"/>
      <c r="I1216" s="5"/>
      <c r="J1216" s="6"/>
      <c r="K1216" s="7"/>
      <c r="L1216" s="6"/>
      <c r="M1216" s="7"/>
      <c r="N1216" s="8"/>
      <c r="O1216" s="7"/>
      <c r="P1216" s="6"/>
      <c r="Q1216" s="11"/>
      <c r="R1216" s="12"/>
      <c r="S1216" s="10"/>
      <c r="T1216" s="2"/>
    </row>
    <row r="1217" spans="1:20" ht="37.5" customHeight="1" x14ac:dyDescent="0.25">
      <c r="A1217" s="2"/>
      <c r="G1217" s="3"/>
      <c r="H1217" s="4"/>
      <c r="I1217" s="5"/>
      <c r="J1217" s="6"/>
      <c r="K1217" s="7"/>
      <c r="L1217" s="6"/>
      <c r="M1217" s="7"/>
      <c r="N1217" s="8"/>
      <c r="O1217" s="7"/>
      <c r="P1217" s="6"/>
      <c r="Q1217" s="11"/>
      <c r="R1217" s="12"/>
      <c r="S1217" s="10"/>
      <c r="T1217" s="2"/>
    </row>
    <row r="1218" spans="1:20" ht="37.5" customHeight="1" x14ac:dyDescent="0.25">
      <c r="A1218" s="2"/>
      <c r="G1218" s="3"/>
      <c r="H1218" s="4"/>
      <c r="I1218" s="5"/>
      <c r="J1218" s="6"/>
      <c r="K1218" s="7"/>
      <c r="L1218" s="6"/>
      <c r="M1218" s="7"/>
      <c r="N1218" s="8"/>
      <c r="O1218" s="7"/>
      <c r="P1218" s="6"/>
      <c r="Q1218" s="11"/>
      <c r="R1218" s="12"/>
      <c r="S1218" s="10"/>
      <c r="T1218" s="2"/>
    </row>
    <row r="1219" spans="1:20" ht="37.5" customHeight="1" x14ac:dyDescent="0.25">
      <c r="A1219" s="2"/>
      <c r="G1219" s="3"/>
      <c r="H1219" s="4"/>
      <c r="I1219" s="5"/>
      <c r="J1219" s="6"/>
      <c r="K1219" s="7"/>
      <c r="L1219" s="6"/>
      <c r="M1219" s="7"/>
      <c r="N1219" s="8"/>
      <c r="O1219" s="7"/>
      <c r="P1219" s="6"/>
      <c r="Q1219" s="11"/>
      <c r="R1219" s="12"/>
      <c r="S1219" s="10"/>
      <c r="T1219" s="2"/>
    </row>
    <row r="1220" spans="1:20" ht="37.5" customHeight="1" x14ac:dyDescent="0.25">
      <c r="A1220" s="2"/>
      <c r="G1220" s="3"/>
      <c r="H1220" s="4"/>
      <c r="I1220" s="5"/>
      <c r="J1220" s="6"/>
      <c r="K1220" s="7"/>
      <c r="L1220" s="6"/>
      <c r="M1220" s="7"/>
      <c r="N1220" s="8"/>
      <c r="O1220" s="7"/>
      <c r="P1220" s="6"/>
      <c r="Q1220" s="11"/>
      <c r="R1220" s="12"/>
      <c r="S1220" s="10"/>
      <c r="T1220" s="2"/>
    </row>
    <row r="1221" spans="1:20" ht="37.5" customHeight="1" x14ac:dyDescent="0.25">
      <c r="A1221" s="2"/>
      <c r="G1221" s="3"/>
      <c r="H1221" s="4"/>
      <c r="I1221" s="5"/>
      <c r="J1221" s="6"/>
      <c r="K1221" s="7"/>
      <c r="L1221" s="6"/>
      <c r="M1221" s="7"/>
      <c r="N1221" s="8"/>
      <c r="O1221" s="7"/>
      <c r="P1221" s="6"/>
      <c r="Q1221" s="11"/>
      <c r="R1221" s="12"/>
      <c r="S1221" s="10"/>
      <c r="T1221" s="2"/>
    </row>
    <row r="1222" spans="1:20" ht="37.5" customHeight="1" x14ac:dyDescent="0.25">
      <c r="A1222" s="2"/>
      <c r="G1222" s="3"/>
      <c r="H1222" s="4"/>
      <c r="I1222" s="5"/>
      <c r="J1222" s="6"/>
      <c r="K1222" s="7"/>
      <c r="L1222" s="6"/>
      <c r="M1222" s="7"/>
      <c r="N1222" s="8"/>
      <c r="O1222" s="7"/>
      <c r="P1222" s="6"/>
      <c r="Q1222" s="11"/>
      <c r="R1222" s="12"/>
      <c r="S1222" s="10"/>
      <c r="T1222" s="2"/>
    </row>
    <row r="1223" spans="1:20" ht="37.5" customHeight="1" x14ac:dyDescent="0.25">
      <c r="A1223" s="2"/>
      <c r="G1223" s="3"/>
      <c r="H1223" s="4"/>
      <c r="I1223" s="5"/>
      <c r="J1223" s="6"/>
      <c r="K1223" s="7"/>
      <c r="L1223" s="6"/>
      <c r="M1223" s="7"/>
      <c r="N1223" s="8"/>
      <c r="O1223" s="7"/>
      <c r="P1223" s="6"/>
      <c r="Q1223" s="11"/>
      <c r="R1223" s="12"/>
      <c r="S1223" s="10"/>
      <c r="T1223" s="2"/>
    </row>
    <row r="1224" spans="1:20" ht="37.5" customHeight="1" x14ac:dyDescent="0.25">
      <c r="A1224" s="2"/>
      <c r="G1224" s="3"/>
      <c r="H1224" s="4"/>
      <c r="I1224" s="5"/>
      <c r="J1224" s="6"/>
      <c r="K1224" s="7"/>
      <c r="L1224" s="6"/>
      <c r="M1224" s="7"/>
      <c r="N1224" s="8"/>
      <c r="O1224" s="7"/>
      <c r="P1224" s="6"/>
      <c r="Q1224" s="11"/>
      <c r="R1224" s="12"/>
      <c r="S1224" s="10"/>
      <c r="T1224" s="2"/>
    </row>
    <row r="1225" spans="1:20" ht="37.5" customHeight="1" x14ac:dyDescent="0.25">
      <c r="A1225" s="2"/>
      <c r="G1225" s="3"/>
      <c r="H1225" s="4"/>
      <c r="I1225" s="5"/>
      <c r="J1225" s="6"/>
      <c r="K1225" s="7"/>
      <c r="L1225" s="6"/>
      <c r="M1225" s="7"/>
      <c r="N1225" s="8"/>
      <c r="O1225" s="7"/>
      <c r="P1225" s="6"/>
      <c r="Q1225" s="11"/>
      <c r="R1225" s="12"/>
      <c r="S1225" s="10"/>
      <c r="T1225" s="2"/>
    </row>
    <row r="1226" spans="1:20" ht="37.5" customHeight="1" x14ac:dyDescent="0.25">
      <c r="A1226" s="2"/>
      <c r="G1226" s="3"/>
      <c r="H1226" s="4"/>
      <c r="I1226" s="5"/>
      <c r="J1226" s="6"/>
      <c r="K1226" s="7"/>
      <c r="L1226" s="6"/>
      <c r="M1226" s="7"/>
      <c r="N1226" s="8"/>
      <c r="O1226" s="7"/>
      <c r="P1226" s="6"/>
      <c r="Q1226" s="11"/>
      <c r="R1226" s="12"/>
      <c r="S1226" s="10"/>
      <c r="T1226" s="2"/>
    </row>
    <row r="1227" spans="1:20" ht="37.5" customHeight="1" x14ac:dyDescent="0.25">
      <c r="A1227" s="2"/>
      <c r="G1227" s="3"/>
      <c r="H1227" s="4"/>
      <c r="I1227" s="5"/>
      <c r="J1227" s="6"/>
      <c r="K1227" s="7"/>
      <c r="L1227" s="6"/>
      <c r="M1227" s="7"/>
      <c r="N1227" s="8"/>
      <c r="O1227" s="7"/>
      <c r="P1227" s="6"/>
      <c r="Q1227" s="11"/>
      <c r="R1227" s="12"/>
      <c r="S1227" s="10"/>
      <c r="T1227" s="2"/>
    </row>
    <row r="1228" spans="1:20" ht="37.5" customHeight="1" x14ac:dyDescent="0.25">
      <c r="A1228" s="2"/>
      <c r="G1228" s="3"/>
      <c r="H1228" s="4"/>
      <c r="I1228" s="5"/>
      <c r="J1228" s="6"/>
      <c r="K1228" s="7"/>
      <c r="L1228" s="6"/>
      <c r="M1228" s="7"/>
      <c r="N1228" s="8"/>
      <c r="O1228" s="7"/>
      <c r="P1228" s="6"/>
      <c r="Q1228" s="11"/>
      <c r="R1228" s="12"/>
      <c r="S1228" s="10"/>
      <c r="T1228" s="2"/>
    </row>
    <row r="1229" spans="1:20" ht="37.5" customHeight="1" x14ac:dyDescent="0.25">
      <c r="A1229" s="2"/>
      <c r="G1229" s="3"/>
      <c r="H1229" s="4"/>
      <c r="I1229" s="5"/>
      <c r="J1229" s="6"/>
      <c r="K1229" s="7"/>
      <c r="L1229" s="6"/>
      <c r="M1229" s="7"/>
      <c r="N1229" s="8"/>
      <c r="O1229" s="7"/>
      <c r="P1229" s="6"/>
      <c r="Q1229" s="11"/>
      <c r="R1229" s="12"/>
      <c r="S1229" s="10"/>
      <c r="T1229" s="2"/>
    </row>
    <row r="1230" spans="1:20" ht="37.5" customHeight="1" x14ac:dyDescent="0.25">
      <c r="A1230" s="2"/>
      <c r="G1230" s="3"/>
      <c r="H1230" s="4"/>
      <c r="I1230" s="5"/>
      <c r="J1230" s="6"/>
      <c r="K1230" s="7"/>
      <c r="L1230" s="6"/>
      <c r="M1230" s="7"/>
      <c r="N1230" s="8"/>
      <c r="O1230" s="7"/>
      <c r="P1230" s="6"/>
      <c r="Q1230" s="11"/>
      <c r="R1230" s="12"/>
      <c r="S1230" s="10"/>
      <c r="T1230" s="2"/>
    </row>
    <row r="1231" spans="1:20" ht="37.5" customHeight="1" x14ac:dyDescent="0.25">
      <c r="A1231" s="2"/>
      <c r="G1231" s="3"/>
      <c r="H1231" s="4"/>
      <c r="I1231" s="5"/>
      <c r="J1231" s="6"/>
      <c r="K1231" s="7"/>
      <c r="L1231" s="6"/>
      <c r="M1231" s="7"/>
      <c r="N1231" s="8"/>
      <c r="O1231" s="7"/>
      <c r="P1231" s="6"/>
      <c r="Q1231" s="11"/>
      <c r="R1231" s="12"/>
      <c r="S1231" s="10"/>
      <c r="T1231" s="2"/>
    </row>
    <row r="1232" spans="1:20" ht="37.5" customHeight="1" x14ac:dyDescent="0.25">
      <c r="A1232" s="2"/>
      <c r="G1232" s="3"/>
      <c r="H1232" s="4"/>
      <c r="I1232" s="5"/>
      <c r="J1232" s="6"/>
      <c r="K1232" s="7"/>
      <c r="L1232" s="6"/>
      <c r="M1232" s="7"/>
      <c r="N1232" s="8"/>
      <c r="O1232" s="7"/>
      <c r="P1232" s="6"/>
      <c r="Q1232" s="11"/>
      <c r="R1232" s="12"/>
      <c r="S1232" s="10"/>
      <c r="T1232" s="2"/>
    </row>
    <row r="1233" spans="1:20" ht="37.5" customHeight="1" x14ac:dyDescent="0.25">
      <c r="A1233" s="2"/>
      <c r="G1233" s="3"/>
      <c r="H1233" s="4"/>
      <c r="I1233" s="5"/>
      <c r="J1233" s="6"/>
      <c r="K1233" s="7"/>
      <c r="L1233" s="6"/>
      <c r="M1233" s="7"/>
      <c r="N1233" s="8"/>
      <c r="O1233" s="7"/>
      <c r="P1233" s="6"/>
      <c r="Q1233" s="11"/>
      <c r="R1233" s="12"/>
      <c r="S1233" s="10"/>
      <c r="T1233" s="2"/>
    </row>
    <row r="1234" spans="1:20" ht="37.5" customHeight="1" x14ac:dyDescent="0.25">
      <c r="A1234" s="2"/>
      <c r="G1234" s="3"/>
      <c r="H1234" s="4"/>
      <c r="I1234" s="5"/>
      <c r="J1234" s="6"/>
      <c r="K1234" s="7"/>
      <c r="L1234" s="6"/>
      <c r="M1234" s="7"/>
      <c r="N1234" s="8"/>
      <c r="O1234" s="7"/>
      <c r="P1234" s="6"/>
      <c r="Q1234" s="11"/>
      <c r="R1234" s="12"/>
      <c r="S1234" s="10"/>
      <c r="T1234" s="2"/>
    </row>
    <row r="1235" spans="1:20" ht="37.5" customHeight="1" x14ac:dyDescent="0.25">
      <c r="A1235" s="2"/>
      <c r="G1235" s="3"/>
      <c r="H1235" s="4"/>
      <c r="I1235" s="5"/>
      <c r="J1235" s="6"/>
      <c r="K1235" s="7"/>
      <c r="L1235" s="6"/>
      <c r="M1235" s="7"/>
      <c r="N1235" s="8"/>
      <c r="O1235" s="7"/>
      <c r="P1235" s="6"/>
      <c r="Q1235" s="11"/>
      <c r="R1235" s="12"/>
      <c r="S1235" s="10"/>
      <c r="T1235" s="2"/>
    </row>
    <row r="1236" spans="1:20" ht="37.5" customHeight="1" x14ac:dyDescent="0.25">
      <c r="A1236" s="2"/>
      <c r="G1236" s="3"/>
      <c r="H1236" s="4"/>
      <c r="I1236" s="5"/>
      <c r="J1236" s="6"/>
      <c r="K1236" s="7"/>
      <c r="L1236" s="6"/>
      <c r="M1236" s="7"/>
      <c r="N1236" s="8"/>
      <c r="O1236" s="7"/>
      <c r="P1236" s="6"/>
      <c r="Q1236" s="11"/>
      <c r="R1236" s="12"/>
      <c r="S1236" s="10"/>
      <c r="T1236" s="2"/>
    </row>
    <row r="1237" spans="1:20" ht="37.5" customHeight="1" x14ac:dyDescent="0.25">
      <c r="A1237" s="2"/>
      <c r="G1237" s="3"/>
      <c r="H1237" s="4"/>
      <c r="I1237" s="5"/>
      <c r="J1237" s="6"/>
      <c r="K1237" s="7"/>
      <c r="L1237" s="6"/>
      <c r="M1237" s="7"/>
      <c r="N1237" s="8"/>
      <c r="O1237" s="7"/>
      <c r="P1237" s="6"/>
      <c r="Q1237" s="11"/>
      <c r="R1237" s="12"/>
      <c r="S1237" s="10"/>
      <c r="T1237" s="2"/>
    </row>
    <row r="1238" spans="1:20" ht="37.5" customHeight="1" x14ac:dyDescent="0.25">
      <c r="A1238" s="2"/>
      <c r="G1238" s="3"/>
      <c r="H1238" s="4"/>
      <c r="I1238" s="5"/>
      <c r="J1238" s="6"/>
      <c r="K1238" s="7"/>
      <c r="L1238" s="6"/>
      <c r="M1238" s="7"/>
      <c r="N1238" s="8"/>
      <c r="O1238" s="7"/>
      <c r="P1238" s="6"/>
      <c r="Q1238" s="11"/>
      <c r="R1238" s="12"/>
      <c r="S1238" s="10"/>
      <c r="T1238" s="2"/>
    </row>
    <row r="1239" spans="1:20" ht="37.5" customHeight="1" x14ac:dyDescent="0.25">
      <c r="A1239" s="2"/>
      <c r="G1239" s="3"/>
      <c r="H1239" s="4"/>
      <c r="I1239" s="5"/>
      <c r="J1239" s="6"/>
      <c r="K1239" s="7"/>
      <c r="L1239" s="6"/>
      <c r="M1239" s="7"/>
      <c r="N1239" s="8"/>
      <c r="O1239" s="7"/>
      <c r="P1239" s="6"/>
      <c r="Q1239" s="11"/>
      <c r="R1239" s="12"/>
      <c r="S1239" s="10"/>
      <c r="T1239" s="2"/>
    </row>
    <row r="1240" spans="1:20" ht="37.5" customHeight="1" x14ac:dyDescent="0.25">
      <c r="A1240" s="2"/>
      <c r="G1240" s="3"/>
      <c r="H1240" s="4"/>
      <c r="I1240" s="5"/>
      <c r="J1240" s="6"/>
      <c r="K1240" s="7"/>
      <c r="L1240" s="6"/>
      <c r="M1240" s="7"/>
      <c r="N1240" s="8"/>
      <c r="O1240" s="7"/>
      <c r="P1240" s="6"/>
      <c r="Q1240" s="11"/>
      <c r="R1240" s="12"/>
      <c r="S1240" s="10"/>
      <c r="T1240" s="2"/>
    </row>
    <row r="1241" spans="1:20" ht="37.5" customHeight="1" x14ac:dyDescent="0.25">
      <c r="A1241" s="2"/>
      <c r="G1241" s="3"/>
      <c r="H1241" s="4"/>
      <c r="I1241" s="5"/>
      <c r="J1241" s="6"/>
      <c r="K1241" s="7"/>
      <c r="L1241" s="6"/>
      <c r="M1241" s="7"/>
      <c r="N1241" s="8"/>
      <c r="O1241" s="7"/>
      <c r="P1241" s="6"/>
      <c r="Q1241" s="11"/>
      <c r="R1241" s="12"/>
      <c r="S1241" s="10"/>
      <c r="T1241" s="2"/>
    </row>
    <row r="1242" spans="1:20" ht="37.5" customHeight="1" x14ac:dyDescent="0.25">
      <c r="A1242" s="2"/>
      <c r="G1242" s="3"/>
      <c r="H1242" s="4"/>
      <c r="I1242" s="5"/>
      <c r="J1242" s="6"/>
      <c r="K1242" s="7"/>
      <c r="L1242" s="6"/>
      <c r="M1242" s="7"/>
      <c r="N1242" s="8"/>
      <c r="O1242" s="7"/>
      <c r="P1242" s="6"/>
      <c r="Q1242" s="11"/>
      <c r="R1242" s="12"/>
      <c r="S1242" s="10"/>
      <c r="T1242" s="2"/>
    </row>
    <row r="1243" spans="1:20" ht="37.5" customHeight="1" x14ac:dyDescent="0.25">
      <c r="A1243" s="2"/>
      <c r="G1243" s="3"/>
      <c r="H1243" s="4"/>
      <c r="I1243" s="5"/>
      <c r="J1243" s="6"/>
      <c r="K1243" s="7"/>
      <c r="L1243" s="6"/>
      <c r="M1243" s="7"/>
      <c r="N1243" s="8"/>
      <c r="O1243" s="7"/>
      <c r="P1243" s="6"/>
      <c r="Q1243" s="11"/>
      <c r="R1243" s="12"/>
      <c r="S1243" s="10"/>
      <c r="T1243" s="2"/>
    </row>
    <row r="1244" spans="1:20" ht="37.5" customHeight="1" x14ac:dyDescent="0.25">
      <c r="A1244" s="2"/>
      <c r="G1244" s="3"/>
      <c r="H1244" s="4"/>
      <c r="I1244" s="5"/>
      <c r="J1244" s="6"/>
      <c r="K1244" s="7"/>
      <c r="L1244" s="6"/>
      <c r="M1244" s="7"/>
      <c r="N1244" s="8"/>
      <c r="O1244" s="7"/>
      <c r="P1244" s="6"/>
      <c r="Q1244" s="11"/>
      <c r="R1244" s="12"/>
      <c r="S1244" s="10"/>
      <c r="T1244" s="2"/>
    </row>
    <row r="1245" spans="1:20" ht="37.5" customHeight="1" x14ac:dyDescent="0.25">
      <c r="A1245" s="2"/>
      <c r="G1245" s="3"/>
      <c r="H1245" s="4"/>
      <c r="I1245" s="5"/>
      <c r="J1245" s="6"/>
      <c r="K1245" s="7"/>
      <c r="L1245" s="6"/>
      <c r="M1245" s="7"/>
      <c r="N1245" s="8"/>
      <c r="O1245" s="7"/>
      <c r="P1245" s="6"/>
      <c r="Q1245" s="11"/>
      <c r="R1245" s="12"/>
      <c r="S1245" s="10"/>
      <c r="T1245" s="2"/>
    </row>
    <row r="1246" spans="1:20" ht="37.5" customHeight="1" x14ac:dyDescent="0.25">
      <c r="A1246" s="2"/>
      <c r="G1246" s="3"/>
      <c r="H1246" s="4"/>
      <c r="I1246" s="5"/>
      <c r="J1246" s="6"/>
      <c r="K1246" s="7"/>
      <c r="L1246" s="6"/>
      <c r="M1246" s="7"/>
      <c r="N1246" s="8"/>
      <c r="O1246" s="7"/>
      <c r="P1246" s="6"/>
      <c r="Q1246" s="11"/>
      <c r="R1246" s="12"/>
      <c r="S1246" s="10"/>
      <c r="T1246" s="2"/>
    </row>
    <row r="1247" spans="1:20" ht="37.5" customHeight="1" x14ac:dyDescent="0.25">
      <c r="A1247" s="2"/>
      <c r="G1247" s="3"/>
      <c r="H1247" s="4"/>
      <c r="I1247" s="5"/>
      <c r="J1247" s="6"/>
      <c r="K1247" s="7"/>
      <c r="L1247" s="6"/>
      <c r="M1247" s="7"/>
      <c r="N1247" s="8"/>
      <c r="O1247" s="7"/>
      <c r="P1247" s="6"/>
      <c r="Q1247" s="11"/>
      <c r="R1247" s="12"/>
      <c r="S1247" s="10"/>
      <c r="T1247" s="2"/>
    </row>
    <row r="1248" spans="1:20" ht="37.5" customHeight="1" x14ac:dyDescent="0.25">
      <c r="A1248" s="2"/>
      <c r="G1248" s="3"/>
      <c r="H1248" s="4"/>
      <c r="I1248" s="5"/>
      <c r="J1248" s="6"/>
      <c r="K1248" s="7"/>
      <c r="L1248" s="6"/>
      <c r="M1248" s="7"/>
      <c r="N1248" s="8"/>
      <c r="O1248" s="7"/>
      <c r="P1248" s="6"/>
      <c r="Q1248" s="11"/>
      <c r="R1248" s="12"/>
      <c r="S1248" s="10"/>
      <c r="T1248" s="2"/>
    </row>
    <row r="1249" spans="1:20" ht="37.5" customHeight="1" x14ac:dyDescent="0.25">
      <c r="A1249" s="2"/>
      <c r="G1249" s="3"/>
      <c r="H1249" s="4"/>
      <c r="I1249" s="5"/>
      <c r="J1249" s="6"/>
      <c r="K1249" s="7"/>
      <c r="L1249" s="6"/>
      <c r="M1249" s="7"/>
      <c r="N1249" s="8"/>
      <c r="O1249" s="7"/>
      <c r="P1249" s="6"/>
      <c r="Q1249" s="11"/>
      <c r="R1249" s="12"/>
      <c r="S1249" s="10"/>
      <c r="T1249" s="2"/>
    </row>
    <row r="1250" spans="1:20" ht="37.5" customHeight="1" x14ac:dyDescent="0.25">
      <c r="A1250" s="2"/>
      <c r="G1250" s="3"/>
      <c r="H1250" s="4"/>
      <c r="I1250" s="5"/>
      <c r="J1250" s="6"/>
      <c r="K1250" s="7"/>
      <c r="L1250" s="6"/>
      <c r="M1250" s="7"/>
      <c r="N1250" s="8"/>
      <c r="O1250" s="7"/>
      <c r="P1250" s="6"/>
      <c r="Q1250" s="11"/>
      <c r="R1250" s="12"/>
      <c r="S1250" s="10"/>
      <c r="T1250" s="2"/>
    </row>
    <row r="1251" spans="1:20" ht="37.5" customHeight="1" x14ac:dyDescent="0.25">
      <c r="A1251" s="2"/>
      <c r="G1251" s="3"/>
      <c r="H1251" s="4"/>
      <c r="I1251" s="5"/>
      <c r="J1251" s="6"/>
      <c r="K1251" s="7"/>
      <c r="L1251" s="6"/>
      <c r="M1251" s="7"/>
      <c r="N1251" s="8"/>
      <c r="O1251" s="7"/>
      <c r="P1251" s="6"/>
      <c r="Q1251" s="11"/>
      <c r="R1251" s="12"/>
      <c r="S1251" s="10"/>
      <c r="T1251" s="2"/>
    </row>
    <row r="1252" spans="1:20" ht="37.5" customHeight="1" x14ac:dyDescent="0.25">
      <c r="A1252" s="2"/>
      <c r="G1252" s="3"/>
      <c r="H1252" s="4"/>
      <c r="I1252" s="5"/>
      <c r="J1252" s="6"/>
      <c r="K1252" s="7"/>
      <c r="L1252" s="6"/>
      <c r="M1252" s="7"/>
      <c r="N1252" s="8"/>
      <c r="O1252" s="7"/>
      <c r="P1252" s="6"/>
      <c r="Q1252" s="11"/>
      <c r="R1252" s="12"/>
      <c r="S1252" s="10"/>
      <c r="T1252" s="2"/>
    </row>
    <row r="1253" spans="1:20" ht="37.5" customHeight="1" x14ac:dyDescent="0.25">
      <c r="A1253" s="2"/>
      <c r="G1253" s="3"/>
      <c r="H1253" s="4"/>
      <c r="I1253" s="5"/>
      <c r="J1253" s="6"/>
      <c r="K1253" s="7"/>
      <c r="L1253" s="6"/>
      <c r="M1253" s="7"/>
      <c r="N1253" s="8"/>
      <c r="O1253" s="7"/>
      <c r="P1253" s="6"/>
      <c r="Q1253" s="11"/>
      <c r="R1253" s="12"/>
      <c r="S1253" s="10"/>
      <c r="T1253" s="2"/>
    </row>
    <row r="1254" spans="1:20" ht="37.5" customHeight="1" x14ac:dyDescent="0.25">
      <c r="A1254" s="2"/>
      <c r="G1254" s="3"/>
      <c r="H1254" s="4"/>
      <c r="I1254" s="5"/>
      <c r="J1254" s="6"/>
      <c r="K1254" s="7"/>
      <c r="L1254" s="6"/>
      <c r="M1254" s="7"/>
      <c r="N1254" s="8"/>
      <c r="O1254" s="7"/>
      <c r="P1254" s="6"/>
      <c r="Q1254" s="11"/>
      <c r="R1254" s="12"/>
      <c r="S1254" s="10"/>
      <c r="T1254" s="2"/>
    </row>
    <row r="1255" spans="1:20" ht="37.5" customHeight="1" x14ac:dyDescent="0.25">
      <c r="A1255" s="2"/>
      <c r="G1255" s="3"/>
      <c r="H1255" s="4"/>
      <c r="I1255" s="5"/>
      <c r="J1255" s="6"/>
      <c r="K1255" s="7"/>
      <c r="L1255" s="6"/>
      <c r="M1255" s="7"/>
      <c r="N1255" s="8"/>
      <c r="O1255" s="7"/>
      <c r="P1255" s="6"/>
      <c r="Q1255" s="11"/>
      <c r="R1255" s="12"/>
      <c r="S1255" s="10"/>
      <c r="T1255" s="2"/>
    </row>
    <row r="1256" spans="1:20" ht="37.5" customHeight="1" x14ac:dyDescent="0.25">
      <c r="A1256" s="2"/>
      <c r="G1256" s="3"/>
      <c r="H1256" s="4"/>
      <c r="I1256" s="5"/>
      <c r="J1256" s="6"/>
      <c r="K1256" s="7"/>
      <c r="L1256" s="6"/>
      <c r="M1256" s="7"/>
      <c r="N1256" s="8"/>
      <c r="O1256" s="7"/>
      <c r="P1256" s="6"/>
      <c r="Q1256" s="11"/>
      <c r="R1256" s="12"/>
      <c r="S1256" s="10"/>
      <c r="T1256" s="2"/>
    </row>
    <row r="1257" spans="1:20" ht="37.5" customHeight="1" x14ac:dyDescent="0.25">
      <c r="A1257" s="2"/>
      <c r="G1257" s="3"/>
      <c r="H1257" s="4"/>
      <c r="I1257" s="5"/>
      <c r="J1257" s="6"/>
      <c r="K1257" s="7"/>
      <c r="L1257" s="6"/>
      <c r="M1257" s="7"/>
      <c r="N1257" s="8"/>
      <c r="O1257" s="7"/>
      <c r="P1257" s="6"/>
      <c r="Q1257" s="11"/>
      <c r="R1257" s="12"/>
      <c r="S1257" s="10"/>
      <c r="T1257" s="2"/>
    </row>
    <row r="1258" spans="1:20" ht="37.5" customHeight="1" x14ac:dyDescent="0.25">
      <c r="A1258" s="2"/>
      <c r="G1258" s="3"/>
      <c r="H1258" s="4"/>
      <c r="I1258" s="5"/>
      <c r="J1258" s="6"/>
      <c r="K1258" s="7"/>
      <c r="L1258" s="6"/>
      <c r="M1258" s="7"/>
      <c r="N1258" s="8"/>
      <c r="O1258" s="7"/>
      <c r="P1258" s="6"/>
      <c r="Q1258" s="11"/>
      <c r="R1258" s="12"/>
      <c r="S1258" s="10"/>
      <c r="T1258" s="2"/>
    </row>
    <row r="1259" spans="1:20" ht="37.5" customHeight="1" x14ac:dyDescent="0.25">
      <c r="A1259" s="2"/>
      <c r="G1259" s="3"/>
      <c r="H1259" s="4"/>
      <c r="I1259" s="5"/>
      <c r="J1259" s="6"/>
      <c r="K1259" s="7"/>
      <c r="L1259" s="6"/>
      <c r="M1259" s="7"/>
      <c r="N1259" s="8"/>
      <c r="O1259" s="7"/>
      <c r="P1259" s="6"/>
      <c r="Q1259" s="11"/>
      <c r="R1259" s="12"/>
      <c r="S1259" s="10"/>
      <c r="T1259" s="2"/>
    </row>
    <row r="1260" spans="1:20" ht="37.5" customHeight="1" x14ac:dyDescent="0.25">
      <c r="A1260" s="2"/>
      <c r="G1260" s="3"/>
      <c r="H1260" s="4"/>
      <c r="I1260" s="5"/>
      <c r="J1260" s="6"/>
      <c r="K1260" s="7"/>
      <c r="L1260" s="6"/>
      <c r="M1260" s="7"/>
      <c r="N1260" s="8"/>
      <c r="O1260" s="7"/>
      <c r="P1260" s="6"/>
      <c r="Q1260" s="11"/>
      <c r="R1260" s="12"/>
      <c r="S1260" s="10"/>
      <c r="T1260" s="2"/>
    </row>
    <row r="1261" spans="1:20" ht="37.5" customHeight="1" x14ac:dyDescent="0.25">
      <c r="A1261" s="2"/>
      <c r="G1261" s="3"/>
      <c r="H1261" s="4"/>
      <c r="I1261" s="5"/>
      <c r="J1261" s="6"/>
      <c r="K1261" s="7"/>
      <c r="L1261" s="6"/>
      <c r="M1261" s="7"/>
      <c r="N1261" s="8"/>
      <c r="O1261" s="7"/>
      <c r="P1261" s="6"/>
      <c r="Q1261" s="11"/>
      <c r="R1261" s="12"/>
      <c r="S1261" s="10"/>
      <c r="T1261" s="2"/>
    </row>
    <row r="1262" spans="1:20" ht="37.5" customHeight="1" x14ac:dyDescent="0.25">
      <c r="A1262" s="2"/>
      <c r="G1262" s="3"/>
      <c r="H1262" s="4"/>
      <c r="I1262" s="5"/>
      <c r="J1262" s="6"/>
      <c r="K1262" s="7"/>
      <c r="L1262" s="6"/>
      <c r="M1262" s="7"/>
      <c r="N1262" s="8"/>
      <c r="O1262" s="7"/>
      <c r="P1262" s="6"/>
      <c r="Q1262" s="11"/>
      <c r="R1262" s="12"/>
      <c r="S1262" s="10"/>
      <c r="T1262" s="2"/>
    </row>
    <row r="1263" spans="1:20" ht="37.5" customHeight="1" x14ac:dyDescent="0.25">
      <c r="A1263" s="2"/>
      <c r="G1263" s="3"/>
      <c r="H1263" s="4"/>
      <c r="I1263" s="5"/>
      <c r="J1263" s="6"/>
      <c r="K1263" s="7"/>
      <c r="L1263" s="6"/>
      <c r="M1263" s="7"/>
      <c r="N1263" s="8"/>
      <c r="O1263" s="7"/>
      <c r="P1263" s="6"/>
      <c r="Q1263" s="11"/>
      <c r="R1263" s="12"/>
      <c r="S1263" s="10"/>
      <c r="T1263" s="2"/>
    </row>
    <row r="1264" spans="1:20" ht="37.5" customHeight="1" x14ac:dyDescent="0.25">
      <c r="A1264" s="2"/>
      <c r="G1264" s="3"/>
      <c r="H1264" s="4"/>
      <c r="I1264" s="5"/>
      <c r="J1264" s="6"/>
      <c r="K1264" s="7"/>
      <c r="L1264" s="6"/>
      <c r="M1264" s="7"/>
      <c r="N1264" s="8"/>
      <c r="O1264" s="7"/>
      <c r="P1264" s="6"/>
      <c r="Q1264" s="11"/>
      <c r="R1264" s="12"/>
      <c r="S1264" s="10"/>
      <c r="T1264" s="2"/>
    </row>
    <row r="1265" spans="1:20" ht="37.5" customHeight="1" x14ac:dyDescent="0.25">
      <c r="A1265" s="2"/>
      <c r="G1265" s="3"/>
      <c r="H1265" s="4"/>
      <c r="I1265" s="5"/>
      <c r="J1265" s="6"/>
      <c r="K1265" s="7"/>
      <c r="L1265" s="6"/>
      <c r="M1265" s="7"/>
      <c r="N1265" s="8"/>
      <c r="O1265" s="7"/>
      <c r="P1265" s="6"/>
      <c r="Q1265" s="11"/>
      <c r="R1265" s="12"/>
      <c r="S1265" s="10"/>
      <c r="T1265" s="2"/>
    </row>
    <row r="1266" spans="1:20" ht="37.5" customHeight="1" x14ac:dyDescent="0.25">
      <c r="A1266" s="2"/>
      <c r="G1266" s="3"/>
      <c r="H1266" s="4"/>
      <c r="I1266" s="5"/>
      <c r="J1266" s="6"/>
      <c r="K1266" s="7"/>
      <c r="L1266" s="6"/>
      <c r="M1266" s="7"/>
      <c r="N1266" s="8"/>
      <c r="O1266" s="7"/>
      <c r="P1266" s="6"/>
      <c r="Q1266" s="11"/>
      <c r="R1266" s="12"/>
      <c r="S1266" s="10"/>
      <c r="T1266" s="2"/>
    </row>
    <row r="1267" spans="1:20" ht="37.5" customHeight="1" x14ac:dyDescent="0.25">
      <c r="A1267" s="2"/>
      <c r="G1267" s="3"/>
      <c r="H1267" s="4"/>
      <c r="I1267" s="5"/>
      <c r="J1267" s="6"/>
      <c r="K1267" s="7"/>
      <c r="L1267" s="6"/>
      <c r="M1267" s="7"/>
      <c r="N1267" s="8"/>
      <c r="O1267" s="7"/>
      <c r="P1267" s="6"/>
      <c r="Q1267" s="11"/>
      <c r="R1267" s="12"/>
      <c r="S1267" s="10"/>
      <c r="T1267" s="2"/>
    </row>
    <row r="1268" spans="1:20" ht="37.5" customHeight="1" x14ac:dyDescent="0.25">
      <c r="A1268" s="2"/>
      <c r="G1268" s="3"/>
      <c r="H1268" s="4"/>
      <c r="I1268" s="5"/>
      <c r="J1268" s="6"/>
      <c r="K1268" s="7"/>
      <c r="L1268" s="6"/>
      <c r="M1268" s="7"/>
      <c r="N1268" s="8"/>
      <c r="O1268" s="7"/>
      <c r="P1268" s="6"/>
      <c r="Q1268" s="11"/>
      <c r="R1268" s="12"/>
      <c r="S1268" s="10"/>
      <c r="T1268" s="2"/>
    </row>
    <row r="1269" spans="1:20" ht="37.5" customHeight="1" x14ac:dyDescent="0.25">
      <c r="A1269" s="2"/>
      <c r="G1269" s="3"/>
      <c r="H1269" s="4"/>
      <c r="I1269" s="5"/>
      <c r="J1269" s="6"/>
      <c r="K1269" s="7"/>
      <c r="L1269" s="6"/>
      <c r="M1269" s="7"/>
      <c r="N1269" s="8"/>
      <c r="O1269" s="7"/>
      <c r="P1269" s="6"/>
      <c r="Q1269" s="11"/>
      <c r="R1269" s="12"/>
      <c r="S1269" s="10"/>
      <c r="T1269" s="2"/>
    </row>
    <row r="1270" spans="1:20" ht="37.5" customHeight="1" x14ac:dyDescent="0.25">
      <c r="A1270" s="2"/>
      <c r="G1270" s="3"/>
      <c r="H1270" s="4"/>
      <c r="I1270" s="5"/>
      <c r="J1270" s="6"/>
      <c r="K1270" s="7"/>
      <c r="L1270" s="6"/>
      <c r="M1270" s="7"/>
      <c r="N1270" s="8"/>
      <c r="O1270" s="7"/>
      <c r="P1270" s="6"/>
      <c r="Q1270" s="11"/>
      <c r="R1270" s="12"/>
      <c r="S1270" s="10"/>
      <c r="T1270" s="2"/>
    </row>
    <row r="1271" spans="1:20" ht="37.5" customHeight="1" x14ac:dyDescent="0.25">
      <c r="A1271" s="2"/>
      <c r="G1271" s="3"/>
      <c r="H1271" s="4"/>
      <c r="I1271" s="5"/>
      <c r="J1271" s="6"/>
      <c r="K1271" s="7"/>
      <c r="L1271" s="6"/>
      <c r="M1271" s="7"/>
      <c r="N1271" s="8"/>
      <c r="O1271" s="7"/>
      <c r="P1271" s="6"/>
      <c r="Q1271" s="11"/>
      <c r="R1271" s="12"/>
      <c r="S1271" s="10"/>
      <c r="T1271" s="2"/>
    </row>
    <row r="1272" spans="1:20" ht="37.5" customHeight="1" x14ac:dyDescent="0.25">
      <c r="A1272" s="2"/>
      <c r="G1272" s="3"/>
      <c r="H1272" s="4"/>
      <c r="I1272" s="5"/>
      <c r="J1272" s="6"/>
      <c r="K1272" s="7"/>
      <c r="L1272" s="6"/>
      <c r="M1272" s="7"/>
      <c r="N1272" s="8"/>
      <c r="O1272" s="7"/>
      <c r="P1272" s="6"/>
      <c r="Q1272" s="11"/>
      <c r="R1272" s="12"/>
      <c r="S1272" s="10"/>
      <c r="T1272" s="2"/>
    </row>
    <row r="1273" spans="1:20" ht="37.5" customHeight="1" x14ac:dyDescent="0.25">
      <c r="A1273" s="2"/>
      <c r="G1273" s="3"/>
      <c r="H1273" s="4"/>
      <c r="I1273" s="5"/>
      <c r="J1273" s="6"/>
      <c r="K1273" s="7"/>
      <c r="L1273" s="6"/>
      <c r="M1273" s="7"/>
      <c r="N1273" s="8"/>
      <c r="O1273" s="7"/>
      <c r="P1273" s="6"/>
      <c r="Q1273" s="11"/>
      <c r="R1273" s="12"/>
      <c r="S1273" s="10"/>
      <c r="T1273" s="2"/>
    </row>
    <row r="1274" spans="1:20" ht="37.5" customHeight="1" x14ac:dyDescent="0.25">
      <c r="A1274" s="2"/>
      <c r="G1274" s="3"/>
      <c r="H1274" s="4"/>
      <c r="I1274" s="5"/>
      <c r="J1274" s="6"/>
      <c r="K1274" s="7"/>
      <c r="L1274" s="6"/>
      <c r="M1274" s="7"/>
      <c r="N1274" s="8"/>
      <c r="O1274" s="7"/>
      <c r="P1274" s="6"/>
      <c r="Q1274" s="11"/>
      <c r="R1274" s="12"/>
      <c r="S1274" s="10"/>
      <c r="T1274" s="2"/>
    </row>
    <row r="1275" spans="1:20" ht="37.5" customHeight="1" x14ac:dyDescent="0.25">
      <c r="A1275" s="2"/>
      <c r="G1275" s="3"/>
      <c r="H1275" s="4"/>
      <c r="I1275" s="5"/>
      <c r="J1275" s="6"/>
      <c r="K1275" s="7"/>
      <c r="L1275" s="6"/>
      <c r="M1275" s="7"/>
      <c r="N1275" s="8"/>
      <c r="O1275" s="7"/>
      <c r="P1275" s="6"/>
      <c r="Q1275" s="11"/>
      <c r="R1275" s="12"/>
      <c r="S1275" s="10"/>
      <c r="T1275" s="2"/>
    </row>
    <row r="1276" spans="1:20" ht="37.5" customHeight="1" x14ac:dyDescent="0.25">
      <c r="A1276" s="2"/>
      <c r="G1276" s="3"/>
      <c r="H1276" s="4"/>
      <c r="I1276" s="5"/>
      <c r="J1276" s="6"/>
      <c r="K1276" s="7"/>
      <c r="L1276" s="6"/>
      <c r="M1276" s="7"/>
      <c r="N1276" s="8"/>
      <c r="O1276" s="7"/>
      <c r="P1276" s="6"/>
      <c r="Q1276" s="11"/>
      <c r="R1276" s="12"/>
      <c r="S1276" s="10"/>
      <c r="T1276" s="2"/>
    </row>
    <row r="1277" spans="1:20" ht="37.5" customHeight="1" x14ac:dyDescent="0.25">
      <c r="A1277" s="2"/>
      <c r="G1277" s="3"/>
      <c r="H1277" s="4"/>
      <c r="I1277" s="5"/>
      <c r="J1277" s="6"/>
      <c r="K1277" s="7"/>
      <c r="L1277" s="6"/>
      <c r="M1277" s="7"/>
      <c r="N1277" s="8"/>
      <c r="O1277" s="7"/>
      <c r="P1277" s="6"/>
      <c r="Q1277" s="11"/>
      <c r="R1277" s="12"/>
      <c r="S1277" s="10"/>
      <c r="T1277" s="2"/>
    </row>
    <row r="1278" spans="1:20" ht="37.5" customHeight="1" x14ac:dyDescent="0.25">
      <c r="A1278" s="2"/>
      <c r="G1278" s="3"/>
      <c r="H1278" s="4"/>
      <c r="I1278" s="5"/>
      <c r="J1278" s="6"/>
      <c r="K1278" s="7"/>
      <c r="L1278" s="6"/>
      <c r="M1278" s="7"/>
      <c r="N1278" s="8"/>
      <c r="O1278" s="7"/>
      <c r="P1278" s="6"/>
      <c r="Q1278" s="11"/>
      <c r="R1278" s="12"/>
      <c r="S1278" s="10"/>
      <c r="T1278" s="2"/>
    </row>
    <row r="1279" spans="1:20" ht="37.5" customHeight="1" x14ac:dyDescent="0.25">
      <c r="A1279" s="2"/>
      <c r="G1279" s="3"/>
      <c r="H1279" s="4"/>
      <c r="I1279" s="5"/>
      <c r="J1279" s="6"/>
      <c r="K1279" s="7"/>
      <c r="L1279" s="6"/>
      <c r="M1279" s="7"/>
      <c r="N1279" s="8"/>
      <c r="O1279" s="7"/>
      <c r="P1279" s="6"/>
      <c r="Q1279" s="11"/>
      <c r="R1279" s="12"/>
      <c r="S1279" s="10"/>
      <c r="T1279" s="2"/>
    </row>
    <row r="1280" spans="1:20" ht="37.5" customHeight="1" x14ac:dyDescent="0.25">
      <c r="A1280" s="2"/>
      <c r="G1280" s="3"/>
      <c r="H1280" s="4"/>
      <c r="I1280" s="5"/>
      <c r="J1280" s="6"/>
      <c r="K1280" s="7"/>
      <c r="L1280" s="6"/>
      <c r="M1280" s="7"/>
      <c r="N1280" s="8"/>
      <c r="O1280" s="7"/>
      <c r="P1280" s="6"/>
      <c r="Q1280" s="11"/>
      <c r="R1280" s="12"/>
      <c r="S1280" s="10"/>
      <c r="T1280" s="2"/>
    </row>
    <row r="1281" spans="1:20" ht="37.5" customHeight="1" x14ac:dyDescent="0.25">
      <c r="A1281" s="2"/>
      <c r="G1281" s="3"/>
      <c r="H1281" s="4"/>
      <c r="I1281" s="5"/>
      <c r="J1281" s="6"/>
      <c r="K1281" s="7"/>
      <c r="L1281" s="6"/>
      <c r="M1281" s="7"/>
      <c r="N1281" s="8"/>
      <c r="O1281" s="7"/>
      <c r="P1281" s="6"/>
      <c r="Q1281" s="11"/>
      <c r="R1281" s="12"/>
      <c r="S1281" s="10"/>
      <c r="T1281" s="2"/>
    </row>
    <row r="1282" spans="1:20" ht="37.5" customHeight="1" x14ac:dyDescent="0.25">
      <c r="A1282" s="2"/>
      <c r="G1282" s="3"/>
      <c r="H1282" s="4"/>
      <c r="I1282" s="5"/>
      <c r="J1282" s="6"/>
      <c r="K1282" s="7"/>
      <c r="L1282" s="6"/>
      <c r="M1282" s="7"/>
      <c r="N1282" s="8"/>
      <c r="O1282" s="7"/>
      <c r="P1282" s="6"/>
      <c r="Q1282" s="11"/>
      <c r="R1282" s="12"/>
      <c r="S1282" s="10"/>
      <c r="T1282" s="2"/>
    </row>
    <row r="1283" spans="1:20" ht="37.5" customHeight="1" x14ac:dyDescent="0.25">
      <c r="A1283" s="2"/>
      <c r="G1283" s="3"/>
      <c r="H1283" s="4"/>
      <c r="I1283" s="5"/>
      <c r="J1283" s="6"/>
      <c r="K1283" s="7"/>
      <c r="L1283" s="6"/>
      <c r="M1283" s="7"/>
      <c r="N1283" s="8"/>
      <c r="O1283" s="7"/>
      <c r="P1283" s="6"/>
      <c r="Q1283" s="11"/>
      <c r="R1283" s="12"/>
      <c r="S1283" s="10"/>
      <c r="T1283" s="2"/>
    </row>
    <row r="1284" spans="1:20" ht="37.5" customHeight="1" x14ac:dyDescent="0.25">
      <c r="A1284" s="2"/>
      <c r="G1284" s="3"/>
      <c r="H1284" s="4"/>
      <c r="I1284" s="5"/>
      <c r="J1284" s="6"/>
      <c r="K1284" s="7"/>
      <c r="L1284" s="6"/>
      <c r="M1284" s="7"/>
      <c r="N1284" s="8"/>
      <c r="O1284" s="7"/>
      <c r="P1284" s="6"/>
      <c r="Q1284" s="11"/>
      <c r="R1284" s="12"/>
      <c r="S1284" s="10"/>
      <c r="T1284" s="2"/>
    </row>
    <row r="1285" spans="1:20" ht="37.5" customHeight="1" x14ac:dyDescent="0.25">
      <c r="A1285" s="2"/>
      <c r="G1285" s="3"/>
      <c r="H1285" s="4"/>
      <c r="I1285" s="5"/>
      <c r="J1285" s="6"/>
      <c r="K1285" s="7"/>
      <c r="L1285" s="6"/>
      <c r="M1285" s="7"/>
      <c r="N1285" s="8"/>
      <c r="O1285" s="7"/>
      <c r="P1285" s="6"/>
      <c r="Q1285" s="11"/>
      <c r="R1285" s="12"/>
      <c r="S1285" s="10"/>
      <c r="T1285" s="2"/>
    </row>
    <row r="1286" spans="1:20" ht="37.5" customHeight="1" x14ac:dyDescent="0.25">
      <c r="A1286" s="2"/>
      <c r="G1286" s="3"/>
      <c r="H1286" s="4"/>
      <c r="I1286" s="5"/>
      <c r="J1286" s="6"/>
      <c r="K1286" s="7"/>
      <c r="L1286" s="6"/>
      <c r="M1286" s="7"/>
      <c r="N1286" s="8"/>
      <c r="O1286" s="7"/>
      <c r="P1286" s="6"/>
      <c r="Q1286" s="11"/>
      <c r="R1286" s="12"/>
      <c r="S1286" s="10"/>
      <c r="T1286" s="2"/>
    </row>
    <row r="1287" spans="1:20" ht="37.5" customHeight="1" x14ac:dyDescent="0.25">
      <c r="A1287" s="2"/>
      <c r="G1287" s="3"/>
      <c r="H1287" s="4"/>
      <c r="I1287" s="5"/>
      <c r="J1287" s="6"/>
      <c r="K1287" s="7"/>
      <c r="L1287" s="6"/>
      <c r="M1287" s="7"/>
      <c r="N1287" s="8"/>
      <c r="O1287" s="7"/>
      <c r="P1287" s="6"/>
      <c r="Q1287" s="11"/>
      <c r="R1287" s="12"/>
      <c r="S1287" s="10"/>
      <c r="T1287" s="2"/>
    </row>
    <row r="1288" spans="1:20" ht="37.5" customHeight="1" x14ac:dyDescent="0.25">
      <c r="A1288" s="2"/>
      <c r="G1288" s="3"/>
      <c r="H1288" s="4"/>
      <c r="I1288" s="5"/>
      <c r="J1288" s="6"/>
      <c r="K1288" s="7"/>
      <c r="L1288" s="6"/>
      <c r="M1288" s="7"/>
      <c r="N1288" s="8"/>
      <c r="O1288" s="7"/>
      <c r="P1288" s="6"/>
      <c r="Q1288" s="11"/>
      <c r="R1288" s="12"/>
      <c r="S1288" s="10"/>
      <c r="T1288" s="2"/>
    </row>
    <row r="1289" spans="1:20" ht="37.5" customHeight="1" x14ac:dyDescent="0.25">
      <c r="A1289" s="2"/>
      <c r="G1289" s="3"/>
      <c r="H1289" s="4"/>
      <c r="I1289" s="5"/>
      <c r="J1289" s="6"/>
      <c r="K1289" s="7"/>
      <c r="L1289" s="6"/>
      <c r="M1289" s="7"/>
      <c r="N1289" s="8"/>
      <c r="O1289" s="7"/>
      <c r="P1289" s="6"/>
      <c r="Q1289" s="11"/>
      <c r="R1289" s="12"/>
      <c r="S1289" s="10"/>
      <c r="T1289" s="2"/>
    </row>
    <row r="1290" spans="1:20" ht="37.5" customHeight="1" x14ac:dyDescent="0.25">
      <c r="A1290" s="2"/>
      <c r="G1290" s="3"/>
      <c r="H1290" s="4"/>
      <c r="I1290" s="5"/>
      <c r="J1290" s="6"/>
      <c r="K1290" s="7"/>
      <c r="L1290" s="6"/>
      <c r="M1290" s="7"/>
      <c r="N1290" s="8"/>
      <c r="O1290" s="7"/>
      <c r="P1290" s="6"/>
      <c r="Q1290" s="11"/>
      <c r="R1290" s="12"/>
      <c r="S1290" s="10"/>
      <c r="T1290" s="2"/>
    </row>
    <row r="1291" spans="1:20" ht="37.5" customHeight="1" x14ac:dyDescent="0.25">
      <c r="A1291" s="2"/>
      <c r="G1291" s="3"/>
      <c r="H1291" s="4"/>
      <c r="I1291" s="5"/>
      <c r="J1291" s="6"/>
      <c r="K1291" s="7"/>
      <c r="L1291" s="6"/>
      <c r="M1291" s="7"/>
      <c r="N1291" s="8"/>
      <c r="O1291" s="7"/>
      <c r="P1291" s="6"/>
      <c r="Q1291" s="11"/>
      <c r="R1291" s="12"/>
      <c r="S1291" s="10"/>
      <c r="T1291" s="2"/>
    </row>
    <row r="1292" spans="1:20" ht="37.5" customHeight="1" x14ac:dyDescent="0.25">
      <c r="A1292" s="2"/>
      <c r="G1292" s="3"/>
      <c r="H1292" s="4"/>
      <c r="I1292" s="5"/>
      <c r="J1292" s="6"/>
      <c r="K1292" s="7"/>
      <c r="L1292" s="6"/>
      <c r="M1292" s="7"/>
      <c r="N1292" s="8"/>
      <c r="O1292" s="7"/>
      <c r="P1292" s="6"/>
      <c r="Q1292" s="11"/>
      <c r="R1292" s="12"/>
      <c r="S1292" s="10"/>
      <c r="T1292" s="2"/>
    </row>
    <row r="1293" spans="1:20" ht="37.5" customHeight="1" x14ac:dyDescent="0.25">
      <c r="A1293" s="2"/>
      <c r="G1293" s="3"/>
      <c r="H1293" s="4"/>
      <c r="I1293" s="5"/>
      <c r="J1293" s="6"/>
      <c r="K1293" s="7"/>
      <c r="L1293" s="6"/>
      <c r="M1293" s="7"/>
      <c r="N1293" s="8"/>
      <c r="O1293" s="7"/>
      <c r="P1293" s="6"/>
      <c r="Q1293" s="11"/>
      <c r="R1293" s="12"/>
      <c r="S1293" s="10"/>
      <c r="T1293" s="2"/>
    </row>
    <row r="1294" spans="1:20" ht="37.5" customHeight="1" x14ac:dyDescent="0.25">
      <c r="A1294" s="2"/>
      <c r="G1294" s="3"/>
      <c r="H1294" s="4"/>
      <c r="I1294" s="5"/>
      <c r="J1294" s="6"/>
      <c r="K1294" s="7"/>
      <c r="L1294" s="6"/>
      <c r="M1294" s="7"/>
      <c r="N1294" s="8"/>
      <c r="O1294" s="7"/>
      <c r="P1294" s="6"/>
      <c r="Q1294" s="11"/>
      <c r="R1294" s="12"/>
      <c r="S1294" s="10"/>
      <c r="T1294" s="2"/>
    </row>
    <row r="1295" spans="1:20" ht="37.5" customHeight="1" x14ac:dyDescent="0.25">
      <c r="A1295" s="2"/>
      <c r="G1295" s="3"/>
      <c r="H1295" s="4"/>
      <c r="I1295" s="5"/>
      <c r="J1295" s="6"/>
      <c r="K1295" s="7"/>
      <c r="L1295" s="6"/>
      <c r="M1295" s="7"/>
      <c r="N1295" s="8"/>
      <c r="O1295" s="7"/>
      <c r="P1295" s="6"/>
      <c r="Q1295" s="11"/>
      <c r="R1295" s="12"/>
      <c r="S1295" s="10"/>
      <c r="T1295" s="2"/>
    </row>
    <row r="1296" spans="1:20" ht="37.5" customHeight="1" x14ac:dyDescent="0.25">
      <c r="A1296" s="2"/>
      <c r="G1296" s="3"/>
      <c r="H1296" s="4"/>
      <c r="I1296" s="5"/>
      <c r="J1296" s="6"/>
      <c r="K1296" s="7"/>
      <c r="L1296" s="6"/>
      <c r="M1296" s="7"/>
      <c r="N1296" s="8"/>
      <c r="O1296" s="7"/>
      <c r="P1296" s="6"/>
      <c r="Q1296" s="11"/>
      <c r="R1296" s="12"/>
      <c r="S1296" s="10"/>
      <c r="T1296" s="2"/>
    </row>
    <row r="1297" spans="1:20" ht="37.5" customHeight="1" x14ac:dyDescent="0.25">
      <c r="A1297" s="2"/>
      <c r="G1297" s="3"/>
      <c r="H1297" s="4"/>
      <c r="I1297" s="5"/>
      <c r="J1297" s="6"/>
      <c r="K1297" s="7"/>
      <c r="L1297" s="6"/>
      <c r="M1297" s="7"/>
      <c r="N1297" s="8"/>
      <c r="O1297" s="7"/>
      <c r="P1297" s="6"/>
      <c r="Q1297" s="11"/>
      <c r="R1297" s="12"/>
      <c r="S1297" s="10"/>
      <c r="T1297" s="2"/>
    </row>
    <row r="1298" spans="1:20" ht="37.5" customHeight="1" x14ac:dyDescent="0.25">
      <c r="A1298" s="2"/>
      <c r="G1298" s="3"/>
      <c r="H1298" s="4"/>
      <c r="I1298" s="5"/>
      <c r="J1298" s="6"/>
      <c r="K1298" s="7"/>
      <c r="L1298" s="6"/>
      <c r="M1298" s="7"/>
      <c r="N1298" s="8"/>
      <c r="O1298" s="7"/>
      <c r="P1298" s="6"/>
      <c r="Q1298" s="11"/>
      <c r="R1298" s="12"/>
      <c r="S1298" s="10"/>
      <c r="T1298" s="2"/>
    </row>
    <row r="1299" spans="1:20" ht="37.5" customHeight="1" x14ac:dyDescent="0.25">
      <c r="A1299" s="2"/>
      <c r="G1299" s="3"/>
      <c r="H1299" s="4"/>
      <c r="I1299" s="5"/>
      <c r="J1299" s="6"/>
      <c r="K1299" s="7"/>
      <c r="L1299" s="6"/>
      <c r="M1299" s="7"/>
      <c r="N1299" s="8"/>
      <c r="O1299" s="7"/>
      <c r="P1299" s="6"/>
      <c r="Q1299" s="11"/>
      <c r="R1299" s="12"/>
      <c r="S1299" s="10"/>
      <c r="T1299" s="2"/>
    </row>
    <row r="1300" spans="1:20" ht="37.5" customHeight="1" x14ac:dyDescent="0.25">
      <c r="A1300" s="2"/>
      <c r="G1300" s="3"/>
      <c r="H1300" s="4"/>
      <c r="I1300" s="5"/>
      <c r="J1300" s="6"/>
      <c r="K1300" s="7"/>
      <c r="L1300" s="6"/>
      <c r="M1300" s="7"/>
      <c r="N1300" s="8"/>
      <c r="O1300" s="7"/>
      <c r="P1300" s="6"/>
      <c r="Q1300" s="11"/>
      <c r="R1300" s="12"/>
      <c r="S1300" s="10"/>
      <c r="T1300" s="2"/>
    </row>
    <row r="1301" spans="1:20" ht="37.5" customHeight="1" x14ac:dyDescent="0.25">
      <c r="A1301" s="2"/>
      <c r="G1301" s="3"/>
      <c r="H1301" s="4"/>
      <c r="I1301" s="5"/>
      <c r="J1301" s="6"/>
      <c r="K1301" s="7"/>
      <c r="L1301" s="6"/>
      <c r="M1301" s="7"/>
      <c r="N1301" s="8"/>
      <c r="O1301" s="7"/>
      <c r="P1301" s="6"/>
      <c r="Q1301" s="11"/>
      <c r="R1301" s="12"/>
      <c r="S1301" s="10"/>
      <c r="T1301" s="2"/>
    </row>
    <row r="1302" spans="1:20" ht="37.5" customHeight="1" x14ac:dyDescent="0.25">
      <c r="A1302" s="2"/>
      <c r="G1302" s="3"/>
      <c r="H1302" s="4"/>
      <c r="I1302" s="5"/>
      <c r="J1302" s="6"/>
      <c r="K1302" s="7"/>
      <c r="L1302" s="6"/>
      <c r="M1302" s="7"/>
      <c r="N1302" s="8"/>
      <c r="O1302" s="7"/>
      <c r="P1302" s="6"/>
      <c r="Q1302" s="11"/>
      <c r="R1302" s="12"/>
      <c r="S1302" s="10"/>
      <c r="T1302" s="2"/>
    </row>
    <row r="1303" spans="1:20" ht="37.5" customHeight="1" x14ac:dyDescent="0.25">
      <c r="A1303" s="2"/>
      <c r="G1303" s="3"/>
      <c r="H1303" s="4"/>
      <c r="I1303" s="5"/>
      <c r="J1303" s="6"/>
      <c r="K1303" s="7"/>
      <c r="L1303" s="6"/>
      <c r="M1303" s="7"/>
      <c r="N1303" s="8"/>
      <c r="O1303" s="7"/>
      <c r="P1303" s="6"/>
      <c r="Q1303" s="11"/>
      <c r="R1303" s="12"/>
      <c r="S1303" s="10"/>
      <c r="T1303" s="2"/>
    </row>
    <row r="1304" spans="1:20" ht="37.5" customHeight="1" x14ac:dyDescent="0.25">
      <c r="A1304" s="2"/>
      <c r="G1304" s="3"/>
      <c r="H1304" s="4"/>
      <c r="I1304" s="5"/>
      <c r="J1304" s="6"/>
      <c r="K1304" s="7"/>
      <c r="L1304" s="6"/>
      <c r="M1304" s="7"/>
      <c r="N1304" s="8"/>
      <c r="O1304" s="7"/>
      <c r="P1304" s="6"/>
      <c r="Q1304" s="11"/>
      <c r="R1304" s="12"/>
      <c r="S1304" s="10"/>
      <c r="T1304" s="2"/>
    </row>
    <row r="1305" spans="1:20" ht="37.5" customHeight="1" x14ac:dyDescent="0.25">
      <c r="A1305" s="2"/>
      <c r="G1305" s="3"/>
      <c r="H1305" s="4"/>
      <c r="I1305" s="5"/>
      <c r="J1305" s="6"/>
      <c r="K1305" s="7"/>
      <c r="L1305" s="6"/>
      <c r="M1305" s="7"/>
      <c r="N1305" s="8"/>
      <c r="O1305" s="7"/>
      <c r="P1305" s="6"/>
      <c r="Q1305" s="11"/>
      <c r="R1305" s="12"/>
      <c r="S1305" s="10"/>
      <c r="T1305" s="2"/>
    </row>
    <row r="1306" spans="1:20" ht="37.5" customHeight="1" x14ac:dyDescent="0.25">
      <c r="A1306" s="2"/>
      <c r="G1306" s="3"/>
      <c r="H1306" s="4"/>
      <c r="I1306" s="5"/>
      <c r="J1306" s="6"/>
      <c r="K1306" s="7"/>
      <c r="L1306" s="6"/>
      <c r="M1306" s="7"/>
      <c r="N1306" s="8"/>
      <c r="O1306" s="7"/>
      <c r="P1306" s="6"/>
      <c r="Q1306" s="11"/>
      <c r="R1306" s="12"/>
      <c r="S1306" s="10"/>
      <c r="T1306" s="2"/>
    </row>
    <row r="1307" spans="1:20" ht="37.5" customHeight="1" x14ac:dyDescent="0.25">
      <c r="A1307" s="2"/>
      <c r="G1307" s="3"/>
      <c r="H1307" s="4"/>
      <c r="I1307" s="5"/>
      <c r="J1307" s="6"/>
      <c r="K1307" s="7"/>
      <c r="L1307" s="6"/>
      <c r="M1307" s="7"/>
      <c r="N1307" s="8"/>
      <c r="O1307" s="7"/>
      <c r="P1307" s="6"/>
      <c r="Q1307" s="11"/>
      <c r="R1307" s="12"/>
      <c r="S1307" s="10"/>
      <c r="T1307" s="2"/>
    </row>
    <row r="1308" spans="1:20" ht="37.5" customHeight="1" x14ac:dyDescent="0.25">
      <c r="A1308" s="2"/>
      <c r="G1308" s="3"/>
      <c r="H1308" s="4"/>
      <c r="I1308" s="5"/>
      <c r="J1308" s="6"/>
      <c r="K1308" s="7"/>
      <c r="L1308" s="6"/>
      <c r="M1308" s="7"/>
      <c r="N1308" s="8"/>
      <c r="O1308" s="7"/>
      <c r="P1308" s="6"/>
      <c r="Q1308" s="11"/>
      <c r="R1308" s="12"/>
      <c r="S1308" s="10"/>
      <c r="T1308" s="2"/>
    </row>
    <row r="1309" spans="1:20" ht="37.5" customHeight="1" x14ac:dyDescent="0.25">
      <c r="A1309" s="2"/>
      <c r="G1309" s="3"/>
      <c r="H1309" s="4"/>
      <c r="I1309" s="5"/>
      <c r="J1309" s="6"/>
      <c r="K1309" s="7"/>
      <c r="L1309" s="6"/>
      <c r="M1309" s="7"/>
      <c r="N1309" s="8"/>
      <c r="O1309" s="7"/>
      <c r="P1309" s="6"/>
      <c r="Q1309" s="11"/>
      <c r="R1309" s="12"/>
      <c r="S1309" s="10"/>
      <c r="T1309" s="2"/>
    </row>
    <row r="1310" spans="1:20" ht="37.5" customHeight="1" x14ac:dyDescent="0.25">
      <c r="A1310" s="2"/>
      <c r="G1310" s="3"/>
      <c r="H1310" s="4"/>
      <c r="I1310" s="5"/>
      <c r="J1310" s="6"/>
      <c r="K1310" s="7"/>
      <c r="L1310" s="6"/>
      <c r="M1310" s="7"/>
      <c r="N1310" s="8"/>
      <c r="O1310" s="7"/>
      <c r="P1310" s="6"/>
      <c r="Q1310" s="11"/>
      <c r="R1310" s="12"/>
      <c r="S1310" s="10"/>
      <c r="T1310" s="2"/>
    </row>
    <row r="1311" spans="1:20" x14ac:dyDescent="0.25">
      <c r="H1311" s="4"/>
      <c r="I1311" s="15"/>
      <c r="J1311" s="6"/>
      <c r="K1311" s="7"/>
      <c r="L1311" s="6"/>
      <c r="M1311" s="7"/>
      <c r="N1311" s="16"/>
      <c r="O1311" s="7"/>
      <c r="P1311" s="6"/>
      <c r="S1311" s="18"/>
    </row>
    <row r="1312" spans="1:20" x14ac:dyDescent="0.25">
      <c r="H1312" s="4"/>
      <c r="I1312" s="15"/>
      <c r="J1312" s="6"/>
      <c r="K1312" s="7"/>
      <c r="L1312" s="6"/>
      <c r="M1312" s="7"/>
      <c r="N1312" s="16"/>
      <c r="O1312" s="7"/>
      <c r="P1312" s="6"/>
      <c r="S1312" s="18"/>
    </row>
    <row r="1313" spans="8:19" ht="15" x14ac:dyDescent="0.25">
      <c r="H1313"/>
      <c r="I1313"/>
      <c r="K1313"/>
      <c r="M1313"/>
      <c r="O1313"/>
      <c r="S1313" s="18"/>
    </row>
    <row r="1314" spans="8:19" ht="15" x14ac:dyDescent="0.25">
      <c r="H1314"/>
      <c r="I1314"/>
      <c r="K1314"/>
      <c r="M1314"/>
      <c r="O1314"/>
      <c r="S1314" s="18"/>
    </row>
    <row r="1315" spans="8:19" ht="15" x14ac:dyDescent="0.25">
      <c r="H1315"/>
      <c r="I1315"/>
      <c r="K1315"/>
      <c r="M1315"/>
      <c r="O1315"/>
    </row>
    <row r="1316" spans="8:19" ht="15" x14ac:dyDescent="0.25">
      <c r="H1316"/>
      <c r="I1316"/>
      <c r="K1316"/>
      <c r="M1316"/>
      <c r="O1316"/>
    </row>
    <row r="1317" spans="8:19" ht="15" x14ac:dyDescent="0.25">
      <c r="H1317"/>
      <c r="I1317"/>
      <c r="K1317"/>
      <c r="M1317"/>
      <c r="O1317"/>
    </row>
    <row r="1318" spans="8:19" ht="15" x14ac:dyDescent="0.25">
      <c r="H1318"/>
      <c r="I1318"/>
      <c r="K1318"/>
      <c r="M1318"/>
      <c r="O1318"/>
    </row>
  </sheetData>
  <conditionalFormatting sqref="H1164:H1310">
    <cfRule type="containsText" dxfId="24" priority="24" operator="containsText" text="rem">
      <formula>NOT(ISERROR(SEARCH("rem",H1164)))</formula>
    </cfRule>
  </conditionalFormatting>
  <conditionalFormatting sqref="H1164:H1048576">
    <cfRule type="containsText" dxfId="23" priority="25" operator="containsText" text="Export">
      <formula>NOT(ISERROR(SEARCH("Export",H1164)))</formula>
    </cfRule>
  </conditionalFormatting>
  <conditionalFormatting sqref="H1164:H1048576">
    <cfRule type="containsText" dxfId="22" priority="23" operator="containsText" text="99">
      <formula>NOT(ISERROR(SEARCH("99",H1164)))</formula>
    </cfRule>
  </conditionalFormatting>
  <conditionalFormatting sqref="H1112:H1163">
    <cfRule type="beginsWith" dxfId="21" priority="18" operator="beginsWith" text="99">
      <formula>LEFT(H1112,LEN("99"))="99"</formula>
    </cfRule>
  </conditionalFormatting>
  <conditionalFormatting sqref="H1112:H1163">
    <cfRule type="beginsWith" dxfId="20" priority="19" operator="beginsWith" text="99">
      <formula>LEFT(H1112,2)="99"</formula>
    </cfRule>
    <cfRule type="containsText" dxfId="19" priority="20" operator="containsText" text="rem">
      <formula>NOT(ISERROR(SEARCH("rem",H1112)))</formula>
    </cfRule>
    <cfRule type="duplicateValues" dxfId="18" priority="21"/>
  </conditionalFormatting>
  <conditionalFormatting sqref="T1112:T1163">
    <cfRule type="duplicateValues" dxfId="17" priority="22"/>
  </conditionalFormatting>
  <conditionalFormatting sqref="H1:H1111">
    <cfRule type="beginsWith" dxfId="16" priority="13" operator="beginsWith" text="99">
      <formula>LEFT(H1,LEN("99"))="99"</formula>
    </cfRule>
  </conditionalFormatting>
  <conditionalFormatting sqref="H1:H1111">
    <cfRule type="beginsWith" dxfId="15" priority="14" operator="beginsWith" text="99">
      <formula>LEFT(H1,2)="99"</formula>
    </cfRule>
    <cfRule type="containsText" dxfId="14" priority="15" operator="containsText" text="rem">
      <formula>NOT(ISERROR(SEARCH("rem",H1)))</formula>
    </cfRule>
    <cfRule type="duplicateValues" dxfId="13" priority="16"/>
  </conditionalFormatting>
  <conditionalFormatting sqref="T1:T1111">
    <cfRule type="duplicateValues" dxfId="12" priority="17"/>
  </conditionalFormatting>
  <conditionalFormatting sqref="A1112:A1163">
    <cfRule type="duplicateValues" dxfId="11" priority="12"/>
  </conditionalFormatting>
  <conditionalFormatting sqref="A1:A1111">
    <cfRule type="duplicateValues" dxfId="10" priority="11"/>
  </conditionalFormatting>
  <conditionalFormatting sqref="F1:F1048576">
    <cfRule type="cellIs" dxfId="9" priority="3" operator="greaterThan">
      <formula>4000</formula>
    </cfRule>
    <cfRule type="cellIs" dxfId="8" priority="4" operator="greaterThan">
      <formula>2000</formula>
    </cfRule>
    <cfRule type="cellIs" dxfId="7" priority="5" operator="lessThan">
      <formula>0</formula>
    </cfRule>
    <cfRule type="cellIs" dxfId="6" priority="9" operator="lessThan">
      <formula>0</formula>
    </cfRule>
    <cfRule type="cellIs" dxfId="5" priority="10" operator="greaterThan">
      <formula>2000</formula>
    </cfRule>
  </conditionalFormatting>
  <conditionalFormatting sqref="L1:L1048576 N1:N1048576 P1:P1048576 R1:R1048576">
    <cfRule type="cellIs" dxfId="4" priority="8" operator="lessThan">
      <formula>0</formula>
    </cfRule>
  </conditionalFormatting>
  <conditionalFormatting sqref="L1:L1048576">
    <cfRule type="cellIs" dxfId="3" priority="7" operator="greaterThan">
      <formula>2000</formula>
    </cfRule>
  </conditionalFormatting>
  <conditionalFormatting sqref="R1:R1048576">
    <cfRule type="cellIs" dxfId="2" priority="1" operator="greaterThan">
      <formula>4000</formula>
    </cfRule>
    <cfRule type="cellIs" dxfId="1" priority="2" operator="greaterThan">
      <formula>2000</formula>
    </cfRule>
    <cfRule type="cellIs" dxfId="0" priority="6" operator="greaterThan">
      <formula>2000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Safari Villas</vt:lpstr>
      <vt:lpstr>'Safari Villas'!Print_Area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UMER</cp:lastModifiedBy>
  <dcterms:created xsi:type="dcterms:W3CDTF">2025-04-21T06:20:13Z</dcterms:created>
  <dcterms:modified xsi:type="dcterms:W3CDTF">2025-04-28T11:16:16Z</dcterms:modified>
</cp:coreProperties>
</file>