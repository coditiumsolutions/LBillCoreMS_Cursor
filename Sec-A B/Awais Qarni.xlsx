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mad\Desktop\Import Reading\01-Reading\"/>
    </mc:Choice>
  </mc:AlternateContent>
  <bookViews>
    <workbookView xWindow="0" yWindow="0" windowWidth="24000" windowHeight="9735"/>
  </bookViews>
  <sheets>
    <sheet name="Awais Qarni" sheetId="1" r:id="rId1"/>
  </sheets>
  <definedNames>
    <definedName name="_xlnm.Print_Area" localSheetId="0">'Awais Qarni'!$A$1:$T$185</definedName>
    <definedName name="_xlnm.Print_Titles" localSheetId="0">'Awais Qarni'!$4:$5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6" i="1" l="1"/>
  <c r="B177" i="1" l="1"/>
  <c r="B178" i="1"/>
  <c r="B179" i="1"/>
  <c r="B181" i="1"/>
  <c r="B183" i="1"/>
  <c r="B184" i="1"/>
  <c r="B185" i="1"/>
  <c r="B175" i="1"/>
  <c r="B174" i="1"/>
  <c r="B173" i="1"/>
  <c r="B172" i="1"/>
  <c r="B171" i="1"/>
  <c r="B170" i="1"/>
  <c r="B169" i="1"/>
  <c r="R185" i="1" l="1"/>
  <c r="P185" i="1"/>
  <c r="N185" i="1"/>
  <c r="L185" i="1"/>
  <c r="F185" i="1" s="1"/>
  <c r="R184" i="1"/>
  <c r="P184" i="1"/>
  <c r="N184" i="1"/>
  <c r="L184" i="1"/>
  <c r="F184" i="1" s="1"/>
  <c r="R183" i="1"/>
  <c r="P183" i="1"/>
  <c r="N183" i="1"/>
  <c r="L183" i="1"/>
  <c r="F183" i="1" s="1"/>
  <c r="R182" i="1"/>
  <c r="P182" i="1"/>
  <c r="N182" i="1"/>
  <c r="L182" i="1"/>
  <c r="F182" i="1" s="1"/>
  <c r="R181" i="1"/>
  <c r="P181" i="1"/>
  <c r="N181" i="1"/>
  <c r="L181" i="1"/>
  <c r="F181" i="1" s="1"/>
  <c r="R180" i="1"/>
  <c r="P180" i="1"/>
  <c r="N180" i="1"/>
  <c r="L180" i="1"/>
  <c r="F180" i="1" s="1"/>
  <c r="R179" i="1"/>
  <c r="P179" i="1"/>
  <c r="N179" i="1"/>
  <c r="L179" i="1"/>
  <c r="F179" i="1" s="1"/>
  <c r="R178" i="1"/>
  <c r="P178" i="1"/>
  <c r="N178" i="1"/>
  <c r="L178" i="1"/>
  <c r="F178" i="1" s="1"/>
  <c r="R177" i="1"/>
  <c r="P177" i="1"/>
  <c r="N177" i="1"/>
  <c r="L177" i="1"/>
  <c r="F177" i="1" s="1"/>
  <c r="R176" i="1"/>
  <c r="P176" i="1"/>
  <c r="N176" i="1"/>
  <c r="L176" i="1"/>
  <c r="F176" i="1" s="1"/>
  <c r="R175" i="1"/>
  <c r="P175" i="1"/>
  <c r="N175" i="1"/>
  <c r="L175" i="1"/>
  <c r="F175" i="1" s="1"/>
  <c r="R174" i="1"/>
  <c r="P174" i="1"/>
  <c r="N174" i="1"/>
  <c r="L174" i="1"/>
  <c r="F174" i="1" s="1"/>
  <c r="R173" i="1"/>
  <c r="P173" i="1"/>
  <c r="N173" i="1"/>
  <c r="L173" i="1"/>
  <c r="F173" i="1" s="1"/>
  <c r="R172" i="1"/>
  <c r="P172" i="1"/>
  <c r="N172" i="1"/>
  <c r="L172" i="1"/>
  <c r="F172" i="1" s="1"/>
  <c r="R171" i="1"/>
  <c r="P171" i="1"/>
  <c r="N171" i="1"/>
  <c r="L171" i="1"/>
  <c r="F171" i="1" s="1"/>
  <c r="R170" i="1"/>
  <c r="P170" i="1"/>
  <c r="N170" i="1"/>
  <c r="L170" i="1"/>
  <c r="F170" i="1" s="1"/>
  <c r="G170" i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R169" i="1"/>
  <c r="P169" i="1"/>
  <c r="N169" i="1"/>
  <c r="L169" i="1"/>
  <c r="F169" i="1" s="1"/>
  <c r="R168" i="1"/>
  <c r="P168" i="1"/>
  <c r="N168" i="1"/>
  <c r="B168" i="1"/>
  <c r="L168" i="1" s="1"/>
  <c r="F168" i="1" s="1"/>
  <c r="R167" i="1"/>
  <c r="P167" i="1"/>
  <c r="N167" i="1"/>
  <c r="L167" i="1"/>
  <c r="F167" i="1" s="1"/>
  <c r="R166" i="1"/>
  <c r="P166" i="1"/>
  <c r="N166" i="1"/>
  <c r="B166" i="1"/>
  <c r="L166" i="1" s="1"/>
  <c r="F166" i="1" s="1"/>
  <c r="R165" i="1"/>
  <c r="P165" i="1"/>
  <c r="N165" i="1"/>
  <c r="L165" i="1"/>
  <c r="F165" i="1" s="1"/>
  <c r="B165" i="1"/>
  <c r="R164" i="1"/>
  <c r="P164" i="1"/>
  <c r="N164" i="1"/>
  <c r="B164" i="1"/>
  <c r="L164" i="1" s="1"/>
  <c r="F164" i="1" s="1"/>
  <c r="R163" i="1"/>
  <c r="P163" i="1"/>
  <c r="N163" i="1"/>
  <c r="B163" i="1"/>
  <c r="L163" i="1" s="1"/>
  <c r="F163" i="1" s="1"/>
  <c r="R162" i="1"/>
  <c r="P162" i="1"/>
  <c r="N162" i="1"/>
  <c r="B162" i="1"/>
  <c r="L162" i="1" s="1"/>
  <c r="F162" i="1" s="1"/>
  <c r="R161" i="1"/>
  <c r="P161" i="1"/>
  <c r="N161" i="1"/>
  <c r="B161" i="1"/>
  <c r="L161" i="1" s="1"/>
  <c r="F161" i="1" s="1"/>
  <c r="R160" i="1"/>
  <c r="P160" i="1"/>
  <c r="N160" i="1"/>
  <c r="B160" i="1"/>
  <c r="L160" i="1" s="1"/>
  <c r="F160" i="1" s="1"/>
  <c r="R159" i="1"/>
  <c r="P159" i="1"/>
  <c r="N159" i="1"/>
  <c r="L159" i="1"/>
  <c r="F159" i="1" s="1"/>
  <c r="B159" i="1"/>
  <c r="R158" i="1"/>
  <c r="P158" i="1"/>
  <c r="N158" i="1"/>
  <c r="B158" i="1"/>
  <c r="L158" i="1" s="1"/>
  <c r="F158" i="1" s="1"/>
  <c r="R157" i="1"/>
  <c r="P157" i="1"/>
  <c r="N157" i="1"/>
  <c r="B157" i="1"/>
  <c r="L157" i="1" s="1"/>
  <c r="F157" i="1" s="1"/>
  <c r="R156" i="1"/>
  <c r="P156" i="1"/>
  <c r="N156" i="1"/>
  <c r="L156" i="1"/>
  <c r="F156" i="1" s="1"/>
  <c r="R155" i="1"/>
  <c r="P155" i="1"/>
  <c r="N155" i="1"/>
  <c r="B155" i="1"/>
  <c r="L155" i="1" s="1"/>
  <c r="F155" i="1" s="1"/>
  <c r="R154" i="1"/>
  <c r="P154" i="1"/>
  <c r="N154" i="1"/>
  <c r="B154" i="1"/>
  <c r="L154" i="1" s="1"/>
  <c r="F154" i="1" s="1"/>
  <c r="R153" i="1"/>
  <c r="P153" i="1"/>
  <c r="N153" i="1"/>
  <c r="B153" i="1"/>
  <c r="L153" i="1" s="1"/>
  <c r="F153" i="1" s="1"/>
  <c r="R152" i="1"/>
  <c r="P152" i="1"/>
  <c r="N152" i="1"/>
  <c r="B152" i="1"/>
  <c r="L152" i="1" s="1"/>
  <c r="F152" i="1" s="1"/>
  <c r="R151" i="1"/>
  <c r="P151" i="1"/>
  <c r="N151" i="1"/>
  <c r="K151" i="1"/>
  <c r="B151" i="1"/>
  <c r="R150" i="1"/>
  <c r="P150" i="1"/>
  <c r="N150" i="1"/>
  <c r="L150" i="1"/>
  <c r="F150" i="1" s="1"/>
  <c r="B150" i="1"/>
  <c r="R149" i="1"/>
  <c r="P149" i="1"/>
  <c r="N149" i="1"/>
  <c r="K149" i="1"/>
  <c r="B149" i="1"/>
  <c r="R148" i="1"/>
  <c r="P148" i="1"/>
  <c r="N148" i="1"/>
  <c r="B148" i="1"/>
  <c r="L148" i="1" s="1"/>
  <c r="F148" i="1" s="1"/>
  <c r="R147" i="1"/>
  <c r="P147" i="1"/>
  <c r="N147" i="1"/>
  <c r="B147" i="1"/>
  <c r="L147" i="1" s="1"/>
  <c r="F147" i="1" s="1"/>
  <c r="R146" i="1"/>
  <c r="P146" i="1"/>
  <c r="N146" i="1"/>
  <c r="B146" i="1"/>
  <c r="L146" i="1" s="1"/>
  <c r="F146" i="1" s="1"/>
  <c r="R145" i="1"/>
  <c r="P145" i="1"/>
  <c r="N145" i="1"/>
  <c r="B145" i="1"/>
  <c r="L145" i="1" s="1"/>
  <c r="F145" i="1" s="1"/>
  <c r="R144" i="1"/>
  <c r="P144" i="1"/>
  <c r="N144" i="1"/>
  <c r="B144" i="1"/>
  <c r="L144" i="1" s="1"/>
  <c r="F144" i="1" s="1"/>
  <c r="R143" i="1"/>
  <c r="P143" i="1"/>
  <c r="N143" i="1"/>
  <c r="K143" i="1"/>
  <c r="B143" i="1"/>
  <c r="R142" i="1"/>
  <c r="P142" i="1"/>
  <c r="N142" i="1"/>
  <c r="B142" i="1"/>
  <c r="L142" i="1" s="1"/>
  <c r="F142" i="1" s="1"/>
  <c r="R141" i="1"/>
  <c r="P141" i="1"/>
  <c r="N141" i="1"/>
  <c r="B141" i="1"/>
  <c r="L141" i="1" s="1"/>
  <c r="F141" i="1" s="1"/>
  <c r="R140" i="1"/>
  <c r="P140" i="1"/>
  <c r="N140" i="1"/>
  <c r="B140" i="1"/>
  <c r="L140" i="1" s="1"/>
  <c r="F140" i="1" s="1"/>
  <c r="R139" i="1"/>
  <c r="P139" i="1"/>
  <c r="N139" i="1"/>
  <c r="B139" i="1"/>
  <c r="L139" i="1" s="1"/>
  <c r="F139" i="1" s="1"/>
  <c r="R138" i="1"/>
  <c r="P138" i="1"/>
  <c r="N138" i="1"/>
  <c r="L138" i="1"/>
  <c r="F138" i="1" s="1"/>
  <c r="B138" i="1"/>
  <c r="R137" i="1"/>
  <c r="P137" i="1"/>
  <c r="N137" i="1"/>
  <c r="K137" i="1"/>
  <c r="B137" i="1"/>
  <c r="L137" i="1" s="1"/>
  <c r="F137" i="1" s="1"/>
  <c r="R136" i="1"/>
  <c r="P136" i="1"/>
  <c r="N136" i="1"/>
  <c r="B136" i="1"/>
  <c r="L136" i="1" s="1"/>
  <c r="F136" i="1" s="1"/>
  <c r="R135" i="1"/>
  <c r="P135" i="1"/>
  <c r="N135" i="1"/>
  <c r="B135" i="1"/>
  <c r="L135" i="1" s="1"/>
  <c r="F135" i="1" s="1"/>
  <c r="R134" i="1"/>
  <c r="P134" i="1"/>
  <c r="N134" i="1"/>
  <c r="B134" i="1"/>
  <c r="L134" i="1" s="1"/>
  <c r="F134" i="1" s="1"/>
  <c r="R133" i="1"/>
  <c r="P133" i="1"/>
  <c r="N133" i="1"/>
  <c r="B133" i="1"/>
  <c r="R132" i="1"/>
  <c r="P132" i="1"/>
  <c r="N132" i="1"/>
  <c r="B132" i="1"/>
  <c r="L132" i="1" s="1"/>
  <c r="F132" i="1" s="1"/>
  <c r="R131" i="1"/>
  <c r="P131" i="1"/>
  <c r="N131" i="1"/>
  <c r="B131" i="1"/>
  <c r="L131" i="1" s="1"/>
  <c r="F131" i="1" s="1"/>
  <c r="R130" i="1"/>
  <c r="P130" i="1"/>
  <c r="N130" i="1"/>
  <c r="K130" i="1"/>
  <c r="B130" i="1"/>
  <c r="L130" i="1" s="1"/>
  <c r="F130" i="1" s="1"/>
  <c r="R129" i="1"/>
  <c r="P129" i="1"/>
  <c r="N129" i="1"/>
  <c r="B129" i="1"/>
  <c r="L129" i="1" s="1"/>
  <c r="F129" i="1" s="1"/>
  <c r="R128" i="1"/>
  <c r="P128" i="1"/>
  <c r="N128" i="1"/>
  <c r="K128" i="1"/>
  <c r="B128" i="1"/>
  <c r="R127" i="1"/>
  <c r="P127" i="1"/>
  <c r="N127" i="1"/>
  <c r="B127" i="1"/>
  <c r="L127" i="1" s="1"/>
  <c r="F127" i="1" s="1"/>
  <c r="R126" i="1"/>
  <c r="P126" i="1"/>
  <c r="N126" i="1"/>
  <c r="K126" i="1"/>
  <c r="B126" i="1"/>
  <c r="R125" i="1"/>
  <c r="P125" i="1"/>
  <c r="N125" i="1"/>
  <c r="B125" i="1"/>
  <c r="L125" i="1" s="1"/>
  <c r="F125" i="1" s="1"/>
  <c r="R124" i="1"/>
  <c r="P124" i="1"/>
  <c r="N124" i="1"/>
  <c r="B124" i="1"/>
  <c r="L124" i="1" s="1"/>
  <c r="F124" i="1" s="1"/>
  <c r="R123" i="1"/>
  <c r="P123" i="1"/>
  <c r="N123" i="1"/>
  <c r="B123" i="1"/>
  <c r="L123" i="1" s="1"/>
  <c r="F123" i="1" s="1"/>
  <c r="R122" i="1"/>
  <c r="P122" i="1"/>
  <c r="N122" i="1"/>
  <c r="K122" i="1"/>
  <c r="B122" i="1"/>
  <c r="R121" i="1"/>
  <c r="P121" i="1"/>
  <c r="N121" i="1"/>
  <c r="B121" i="1"/>
  <c r="L121" i="1" s="1"/>
  <c r="F121" i="1" s="1"/>
  <c r="R120" i="1"/>
  <c r="P120" i="1"/>
  <c r="N120" i="1"/>
  <c r="K120" i="1"/>
  <c r="B120" i="1"/>
  <c r="R119" i="1"/>
  <c r="P119" i="1"/>
  <c r="N119" i="1"/>
  <c r="B119" i="1"/>
  <c r="L119" i="1" s="1"/>
  <c r="F119" i="1" s="1"/>
  <c r="R118" i="1"/>
  <c r="P118" i="1"/>
  <c r="N118" i="1"/>
  <c r="B118" i="1"/>
  <c r="L118" i="1" s="1"/>
  <c r="F118" i="1" s="1"/>
  <c r="R117" i="1"/>
  <c r="P117" i="1"/>
  <c r="N117" i="1"/>
  <c r="B117" i="1"/>
  <c r="L117" i="1" s="1"/>
  <c r="F117" i="1" s="1"/>
  <c r="R116" i="1"/>
  <c r="P116" i="1"/>
  <c r="N116" i="1"/>
  <c r="B116" i="1"/>
  <c r="L116" i="1" s="1"/>
  <c r="F116" i="1" s="1"/>
  <c r="R115" i="1"/>
  <c r="P115" i="1"/>
  <c r="N115" i="1"/>
  <c r="L115" i="1"/>
  <c r="F115" i="1" s="1"/>
  <c r="B115" i="1"/>
  <c r="R114" i="1"/>
  <c r="P114" i="1"/>
  <c r="N114" i="1"/>
  <c r="B114" i="1"/>
  <c r="L114" i="1" s="1"/>
  <c r="F114" i="1" s="1"/>
  <c r="R113" i="1"/>
  <c r="P113" i="1"/>
  <c r="N113" i="1"/>
  <c r="B113" i="1"/>
  <c r="L113" i="1" s="1"/>
  <c r="F113" i="1" s="1"/>
  <c r="R112" i="1"/>
  <c r="P112" i="1"/>
  <c r="N112" i="1"/>
  <c r="B112" i="1"/>
  <c r="L112" i="1" s="1"/>
  <c r="F112" i="1" s="1"/>
  <c r="R111" i="1"/>
  <c r="P111" i="1"/>
  <c r="N111" i="1"/>
  <c r="B111" i="1"/>
  <c r="L111" i="1" s="1"/>
  <c r="F111" i="1" s="1"/>
  <c r="R110" i="1"/>
  <c r="P110" i="1"/>
  <c r="N110" i="1"/>
  <c r="K110" i="1"/>
  <c r="B110" i="1"/>
  <c r="L110" i="1" s="1"/>
  <c r="F110" i="1" s="1"/>
  <c r="R109" i="1"/>
  <c r="P109" i="1"/>
  <c r="N109" i="1"/>
  <c r="B109" i="1"/>
  <c r="L109" i="1" s="1"/>
  <c r="F109" i="1" s="1"/>
  <c r="R108" i="1"/>
  <c r="P108" i="1"/>
  <c r="N108" i="1"/>
  <c r="B108" i="1"/>
  <c r="L108" i="1" s="1"/>
  <c r="F108" i="1" s="1"/>
  <c r="R107" i="1"/>
  <c r="P107" i="1"/>
  <c r="N107" i="1"/>
  <c r="B107" i="1"/>
  <c r="L107" i="1" s="1"/>
  <c r="F107" i="1" s="1"/>
  <c r="R106" i="1"/>
  <c r="P106" i="1"/>
  <c r="N106" i="1"/>
  <c r="B106" i="1"/>
  <c r="L106" i="1" s="1"/>
  <c r="F106" i="1" s="1"/>
  <c r="R105" i="1"/>
  <c r="P105" i="1"/>
  <c r="N105" i="1"/>
  <c r="B105" i="1"/>
  <c r="L105" i="1" s="1"/>
  <c r="F105" i="1" s="1"/>
  <c r="R104" i="1"/>
  <c r="P104" i="1"/>
  <c r="N104" i="1"/>
  <c r="B104" i="1"/>
  <c r="L104" i="1" s="1"/>
  <c r="F104" i="1" s="1"/>
  <c r="R103" i="1"/>
  <c r="P103" i="1"/>
  <c r="N103" i="1"/>
  <c r="B103" i="1"/>
  <c r="L103" i="1" s="1"/>
  <c r="F103" i="1" s="1"/>
  <c r="R102" i="1"/>
  <c r="P102" i="1"/>
  <c r="N102" i="1"/>
  <c r="B102" i="1"/>
  <c r="L102" i="1" s="1"/>
  <c r="F102" i="1" s="1"/>
  <c r="R101" i="1"/>
  <c r="P101" i="1"/>
  <c r="N101" i="1"/>
  <c r="B101" i="1"/>
  <c r="L101" i="1" s="1"/>
  <c r="F101" i="1" s="1"/>
  <c r="R100" i="1"/>
  <c r="P100" i="1"/>
  <c r="N100" i="1"/>
  <c r="L100" i="1"/>
  <c r="F100" i="1" s="1"/>
  <c r="B100" i="1"/>
  <c r="R99" i="1"/>
  <c r="P99" i="1"/>
  <c r="N99" i="1"/>
  <c r="B99" i="1"/>
  <c r="L99" i="1" s="1"/>
  <c r="F99" i="1" s="1"/>
  <c r="R98" i="1"/>
  <c r="P98" i="1"/>
  <c r="N98" i="1"/>
  <c r="K98" i="1"/>
  <c r="B98" i="1"/>
  <c r="R97" i="1"/>
  <c r="P97" i="1"/>
  <c r="N97" i="1"/>
  <c r="K97" i="1"/>
  <c r="B97" i="1"/>
  <c r="R96" i="1"/>
  <c r="P96" i="1"/>
  <c r="N96" i="1"/>
  <c r="K96" i="1"/>
  <c r="B96" i="1"/>
  <c r="L96" i="1" s="1"/>
  <c r="F96" i="1" s="1"/>
  <c r="R95" i="1"/>
  <c r="P95" i="1"/>
  <c r="N95" i="1"/>
  <c r="L95" i="1"/>
  <c r="F95" i="1" s="1"/>
  <c r="B95" i="1"/>
  <c r="R94" i="1"/>
  <c r="P94" i="1"/>
  <c r="N94" i="1"/>
  <c r="B94" i="1"/>
  <c r="L94" i="1" s="1"/>
  <c r="F94" i="1" s="1"/>
  <c r="R93" i="1"/>
  <c r="P93" i="1"/>
  <c r="N93" i="1"/>
  <c r="K93" i="1"/>
  <c r="B93" i="1"/>
  <c r="R92" i="1"/>
  <c r="P92" i="1"/>
  <c r="N92" i="1"/>
  <c r="B92" i="1"/>
  <c r="L92" i="1" s="1"/>
  <c r="F92" i="1" s="1"/>
  <c r="R91" i="1"/>
  <c r="P91" i="1"/>
  <c r="N91" i="1"/>
  <c r="B91" i="1"/>
  <c r="L91" i="1" s="1"/>
  <c r="F91" i="1" s="1"/>
  <c r="R90" i="1"/>
  <c r="P90" i="1"/>
  <c r="N90" i="1"/>
  <c r="B90" i="1"/>
  <c r="L90" i="1" s="1"/>
  <c r="F90" i="1" s="1"/>
  <c r="R89" i="1"/>
  <c r="P89" i="1"/>
  <c r="N89" i="1"/>
  <c r="B89" i="1"/>
  <c r="L89" i="1" s="1"/>
  <c r="F89" i="1" s="1"/>
  <c r="R88" i="1"/>
  <c r="P88" i="1"/>
  <c r="N88" i="1"/>
  <c r="K88" i="1"/>
  <c r="B88" i="1"/>
  <c r="L88" i="1" s="1"/>
  <c r="F88" i="1" s="1"/>
  <c r="R87" i="1"/>
  <c r="P87" i="1"/>
  <c r="N87" i="1"/>
  <c r="K87" i="1"/>
  <c r="B87" i="1"/>
  <c r="L87" i="1" s="1"/>
  <c r="F87" i="1" s="1"/>
  <c r="R86" i="1"/>
  <c r="P86" i="1"/>
  <c r="N86" i="1"/>
  <c r="B86" i="1"/>
  <c r="L86" i="1" s="1"/>
  <c r="F86" i="1" s="1"/>
  <c r="R85" i="1"/>
  <c r="P85" i="1"/>
  <c r="N85" i="1"/>
  <c r="B85" i="1"/>
  <c r="L85" i="1" s="1"/>
  <c r="F85" i="1" s="1"/>
  <c r="R84" i="1"/>
  <c r="P84" i="1"/>
  <c r="N84" i="1"/>
  <c r="B84" i="1"/>
  <c r="L84" i="1" s="1"/>
  <c r="F84" i="1" s="1"/>
  <c r="R83" i="1"/>
  <c r="P83" i="1"/>
  <c r="N83" i="1"/>
  <c r="B83" i="1"/>
  <c r="L83" i="1" s="1"/>
  <c r="F83" i="1" s="1"/>
  <c r="R82" i="1"/>
  <c r="P82" i="1"/>
  <c r="N82" i="1"/>
  <c r="B82" i="1"/>
  <c r="L82" i="1" s="1"/>
  <c r="F82" i="1" s="1"/>
  <c r="R81" i="1"/>
  <c r="P81" i="1"/>
  <c r="N81" i="1"/>
  <c r="B81" i="1"/>
  <c r="L81" i="1" s="1"/>
  <c r="F81" i="1" s="1"/>
  <c r="R80" i="1"/>
  <c r="P80" i="1"/>
  <c r="N80" i="1"/>
  <c r="B80" i="1"/>
  <c r="L80" i="1" s="1"/>
  <c r="F80" i="1" s="1"/>
  <c r="R79" i="1"/>
  <c r="P79" i="1"/>
  <c r="N79" i="1"/>
  <c r="B79" i="1"/>
  <c r="L79" i="1" s="1"/>
  <c r="F79" i="1" s="1"/>
  <c r="R78" i="1"/>
  <c r="P78" i="1"/>
  <c r="N78" i="1"/>
  <c r="B78" i="1"/>
  <c r="L78" i="1" s="1"/>
  <c r="F78" i="1" s="1"/>
  <c r="R77" i="1"/>
  <c r="P77" i="1"/>
  <c r="N77" i="1"/>
  <c r="B77" i="1"/>
  <c r="L77" i="1" s="1"/>
  <c r="F77" i="1" s="1"/>
  <c r="R76" i="1"/>
  <c r="P76" i="1"/>
  <c r="N76" i="1"/>
  <c r="B76" i="1"/>
  <c r="L76" i="1" s="1"/>
  <c r="F76" i="1" s="1"/>
  <c r="R75" i="1"/>
  <c r="P75" i="1"/>
  <c r="N75" i="1"/>
  <c r="B75" i="1"/>
  <c r="L75" i="1" s="1"/>
  <c r="F75" i="1" s="1"/>
  <c r="R74" i="1"/>
  <c r="P74" i="1"/>
  <c r="N74" i="1"/>
  <c r="K74" i="1"/>
  <c r="B74" i="1"/>
  <c r="L74" i="1" s="1"/>
  <c r="F74" i="1" s="1"/>
  <c r="R73" i="1"/>
  <c r="P73" i="1"/>
  <c r="N73" i="1"/>
  <c r="B73" i="1"/>
  <c r="L73" i="1" s="1"/>
  <c r="F73" i="1" s="1"/>
  <c r="R72" i="1"/>
  <c r="P72" i="1"/>
  <c r="N72" i="1"/>
  <c r="L72" i="1"/>
  <c r="F72" i="1" s="1"/>
  <c r="R71" i="1"/>
  <c r="P71" i="1"/>
  <c r="N71" i="1"/>
  <c r="B71" i="1"/>
  <c r="L71" i="1" s="1"/>
  <c r="F71" i="1" s="1"/>
  <c r="R70" i="1"/>
  <c r="P70" i="1"/>
  <c r="N70" i="1"/>
  <c r="B70" i="1"/>
  <c r="L70" i="1" s="1"/>
  <c r="F70" i="1" s="1"/>
  <c r="R69" i="1"/>
  <c r="P69" i="1"/>
  <c r="N69" i="1"/>
  <c r="B69" i="1"/>
  <c r="L69" i="1" s="1"/>
  <c r="F69" i="1" s="1"/>
  <c r="R68" i="1"/>
  <c r="P68" i="1"/>
  <c r="N68" i="1"/>
  <c r="K68" i="1"/>
  <c r="B68" i="1"/>
  <c r="L68" i="1" s="1"/>
  <c r="F68" i="1" s="1"/>
  <c r="R67" i="1"/>
  <c r="P67" i="1"/>
  <c r="N67" i="1"/>
  <c r="L67" i="1"/>
  <c r="F67" i="1" s="1"/>
  <c r="R66" i="1"/>
  <c r="P66" i="1"/>
  <c r="N66" i="1"/>
  <c r="B66" i="1"/>
  <c r="L66" i="1" s="1"/>
  <c r="F66" i="1" s="1"/>
  <c r="R65" i="1"/>
  <c r="P65" i="1"/>
  <c r="N65" i="1"/>
  <c r="K65" i="1"/>
  <c r="B65" i="1"/>
  <c r="R64" i="1"/>
  <c r="P64" i="1"/>
  <c r="N64" i="1"/>
  <c r="B64" i="1"/>
  <c r="L64" i="1" s="1"/>
  <c r="F64" i="1" s="1"/>
  <c r="R63" i="1"/>
  <c r="P63" i="1"/>
  <c r="N63" i="1"/>
  <c r="K63" i="1"/>
  <c r="B63" i="1"/>
  <c r="L63" i="1" s="1"/>
  <c r="F63" i="1" s="1"/>
  <c r="R62" i="1"/>
  <c r="P62" i="1"/>
  <c r="N62" i="1"/>
  <c r="B62" i="1"/>
  <c r="L62" i="1" s="1"/>
  <c r="F62" i="1" s="1"/>
  <c r="R61" i="1"/>
  <c r="P61" i="1"/>
  <c r="N61" i="1"/>
  <c r="B61" i="1"/>
  <c r="L61" i="1" s="1"/>
  <c r="F61" i="1" s="1"/>
  <c r="R60" i="1"/>
  <c r="P60" i="1"/>
  <c r="N60" i="1"/>
  <c r="B60" i="1"/>
  <c r="L60" i="1" s="1"/>
  <c r="F60" i="1" s="1"/>
  <c r="R59" i="1"/>
  <c r="P59" i="1"/>
  <c r="N59" i="1"/>
  <c r="K59" i="1"/>
  <c r="B59" i="1"/>
  <c r="R58" i="1"/>
  <c r="P58" i="1"/>
  <c r="N58" i="1"/>
  <c r="L58" i="1"/>
  <c r="F58" i="1" s="1"/>
  <c r="B58" i="1"/>
  <c r="R57" i="1"/>
  <c r="P57" i="1"/>
  <c r="N57" i="1"/>
  <c r="B57" i="1"/>
  <c r="L57" i="1" s="1"/>
  <c r="F57" i="1" s="1"/>
  <c r="R56" i="1"/>
  <c r="P56" i="1"/>
  <c r="N56" i="1"/>
  <c r="B56" i="1"/>
  <c r="L56" i="1" s="1"/>
  <c r="F56" i="1" s="1"/>
  <c r="R55" i="1"/>
  <c r="P55" i="1"/>
  <c r="N55" i="1"/>
  <c r="B55" i="1"/>
  <c r="L55" i="1" s="1"/>
  <c r="F55" i="1" s="1"/>
  <c r="R54" i="1"/>
  <c r="P54" i="1"/>
  <c r="N54" i="1"/>
  <c r="B54" i="1"/>
  <c r="L54" i="1" s="1"/>
  <c r="F54" i="1" s="1"/>
  <c r="R53" i="1"/>
  <c r="P53" i="1"/>
  <c r="N53" i="1"/>
  <c r="B53" i="1"/>
  <c r="L53" i="1" s="1"/>
  <c r="F53" i="1" s="1"/>
  <c r="R52" i="1"/>
  <c r="P52" i="1"/>
  <c r="N52" i="1"/>
  <c r="K52" i="1"/>
  <c r="B52" i="1"/>
  <c r="R51" i="1"/>
  <c r="P51" i="1"/>
  <c r="N51" i="1"/>
  <c r="L51" i="1"/>
  <c r="F51" i="1" s="1"/>
  <c r="B51" i="1"/>
  <c r="R50" i="1"/>
  <c r="P50" i="1"/>
  <c r="N50" i="1"/>
  <c r="K50" i="1"/>
  <c r="B50" i="1"/>
  <c r="L50" i="1" s="1"/>
  <c r="F50" i="1" s="1"/>
  <c r="R49" i="1"/>
  <c r="P49" i="1"/>
  <c r="N49" i="1"/>
  <c r="K49" i="1"/>
  <c r="B49" i="1"/>
  <c r="L49" i="1" s="1"/>
  <c r="F49" i="1" s="1"/>
  <c r="R48" i="1"/>
  <c r="P48" i="1"/>
  <c r="N48" i="1"/>
  <c r="B48" i="1"/>
  <c r="L48" i="1" s="1"/>
  <c r="F48" i="1" s="1"/>
  <c r="R47" i="1"/>
  <c r="P47" i="1"/>
  <c r="N47" i="1"/>
  <c r="L47" i="1"/>
  <c r="F47" i="1" s="1"/>
  <c r="B47" i="1"/>
  <c r="R46" i="1"/>
  <c r="P46" i="1"/>
  <c r="N46" i="1"/>
  <c r="B46" i="1"/>
  <c r="L46" i="1" s="1"/>
  <c r="F46" i="1" s="1"/>
  <c r="R45" i="1"/>
  <c r="P45" i="1"/>
  <c r="N45" i="1"/>
  <c r="K45" i="1"/>
  <c r="B45" i="1"/>
  <c r="R44" i="1"/>
  <c r="P44" i="1"/>
  <c r="N44" i="1"/>
  <c r="B44" i="1"/>
  <c r="L44" i="1" s="1"/>
  <c r="F44" i="1" s="1"/>
  <c r="R43" i="1"/>
  <c r="P43" i="1"/>
  <c r="N43" i="1"/>
  <c r="B43" i="1"/>
  <c r="L43" i="1" s="1"/>
  <c r="F43" i="1" s="1"/>
  <c r="R42" i="1"/>
  <c r="P42" i="1"/>
  <c r="N42" i="1"/>
  <c r="K42" i="1"/>
  <c r="B42" i="1"/>
  <c r="L42" i="1" s="1"/>
  <c r="F42" i="1" s="1"/>
  <c r="R41" i="1"/>
  <c r="P41" i="1"/>
  <c r="N41" i="1"/>
  <c r="B41" i="1"/>
  <c r="L41" i="1" s="1"/>
  <c r="F41" i="1" s="1"/>
  <c r="R40" i="1"/>
  <c r="P40" i="1"/>
  <c r="N40" i="1"/>
  <c r="K40" i="1"/>
  <c r="B40" i="1"/>
  <c r="R39" i="1"/>
  <c r="P39" i="1"/>
  <c r="N39" i="1"/>
  <c r="B39" i="1"/>
  <c r="L39" i="1" s="1"/>
  <c r="F39" i="1" s="1"/>
  <c r="R38" i="1"/>
  <c r="P38" i="1"/>
  <c r="N38" i="1"/>
  <c r="B38" i="1"/>
  <c r="L38" i="1" s="1"/>
  <c r="F38" i="1" s="1"/>
  <c r="R37" i="1"/>
  <c r="P37" i="1"/>
  <c r="N37" i="1"/>
  <c r="B37" i="1"/>
  <c r="L37" i="1" s="1"/>
  <c r="F37" i="1" s="1"/>
  <c r="R36" i="1"/>
  <c r="P36" i="1"/>
  <c r="N36" i="1"/>
  <c r="B36" i="1"/>
  <c r="L36" i="1" s="1"/>
  <c r="F36" i="1" s="1"/>
  <c r="R35" i="1"/>
  <c r="P35" i="1"/>
  <c r="N35" i="1"/>
  <c r="B35" i="1"/>
  <c r="L35" i="1" s="1"/>
  <c r="F35" i="1" s="1"/>
  <c r="R34" i="1"/>
  <c r="P34" i="1"/>
  <c r="N34" i="1"/>
  <c r="L34" i="1"/>
  <c r="F34" i="1" s="1"/>
  <c r="B34" i="1"/>
  <c r="R33" i="1"/>
  <c r="P33" i="1"/>
  <c r="N33" i="1"/>
  <c r="K33" i="1"/>
  <c r="B33" i="1"/>
  <c r="R32" i="1"/>
  <c r="P32" i="1"/>
  <c r="N32" i="1"/>
  <c r="B32" i="1"/>
  <c r="L32" i="1" s="1"/>
  <c r="F32" i="1" s="1"/>
  <c r="R31" i="1"/>
  <c r="P31" i="1"/>
  <c r="N31" i="1"/>
  <c r="L31" i="1"/>
  <c r="F31" i="1" s="1"/>
  <c r="B31" i="1"/>
  <c r="R30" i="1"/>
  <c r="P30" i="1"/>
  <c r="N30" i="1"/>
  <c r="B30" i="1"/>
  <c r="L30" i="1" s="1"/>
  <c r="F30" i="1" s="1"/>
  <c r="R29" i="1"/>
  <c r="P29" i="1"/>
  <c r="N29" i="1"/>
  <c r="B29" i="1"/>
  <c r="L29" i="1" s="1"/>
  <c r="F29" i="1" s="1"/>
  <c r="R28" i="1"/>
  <c r="P28" i="1"/>
  <c r="N28" i="1"/>
  <c r="B28" i="1"/>
  <c r="L28" i="1" s="1"/>
  <c r="F28" i="1" s="1"/>
  <c r="R27" i="1"/>
  <c r="P27" i="1"/>
  <c r="N27" i="1"/>
  <c r="B27" i="1"/>
  <c r="L27" i="1" s="1"/>
  <c r="F27" i="1" s="1"/>
  <c r="R26" i="1"/>
  <c r="P26" i="1"/>
  <c r="N26" i="1"/>
  <c r="B26" i="1"/>
  <c r="L26" i="1" s="1"/>
  <c r="F26" i="1" s="1"/>
  <c r="R25" i="1"/>
  <c r="P25" i="1"/>
  <c r="N25" i="1"/>
  <c r="L25" i="1"/>
  <c r="F25" i="1" s="1"/>
  <c r="B25" i="1"/>
  <c r="R24" i="1"/>
  <c r="P24" i="1"/>
  <c r="N24" i="1"/>
  <c r="B24" i="1"/>
  <c r="L24" i="1" s="1"/>
  <c r="F24" i="1" s="1"/>
  <c r="R23" i="1"/>
  <c r="P23" i="1"/>
  <c r="N23" i="1"/>
  <c r="K23" i="1"/>
  <c r="B23" i="1"/>
  <c r="L23" i="1" s="1"/>
  <c r="F23" i="1" s="1"/>
  <c r="R22" i="1"/>
  <c r="P22" i="1"/>
  <c r="N22" i="1"/>
  <c r="K22" i="1"/>
  <c r="B22" i="1"/>
  <c r="L22" i="1" s="1"/>
  <c r="F22" i="1" s="1"/>
  <c r="R21" i="1"/>
  <c r="P21" i="1"/>
  <c r="N21" i="1"/>
  <c r="K21" i="1"/>
  <c r="B21" i="1"/>
  <c r="R20" i="1"/>
  <c r="P20" i="1"/>
  <c r="N20" i="1"/>
  <c r="L20" i="1"/>
  <c r="F20" i="1" s="1"/>
  <c r="B20" i="1"/>
  <c r="R19" i="1"/>
  <c r="P19" i="1"/>
  <c r="N19" i="1"/>
  <c r="B19" i="1"/>
  <c r="L19" i="1" s="1"/>
  <c r="F19" i="1" s="1"/>
  <c r="R18" i="1"/>
  <c r="P18" i="1"/>
  <c r="N18" i="1"/>
  <c r="B18" i="1"/>
  <c r="L18" i="1" s="1"/>
  <c r="F18" i="1" s="1"/>
  <c r="R17" i="1"/>
  <c r="P17" i="1"/>
  <c r="N17" i="1"/>
  <c r="B17" i="1"/>
  <c r="L17" i="1" s="1"/>
  <c r="F17" i="1" s="1"/>
  <c r="R16" i="1"/>
  <c r="P16" i="1"/>
  <c r="N16" i="1"/>
  <c r="B16" i="1"/>
  <c r="L16" i="1" s="1"/>
  <c r="F16" i="1" s="1"/>
  <c r="R15" i="1"/>
  <c r="P15" i="1"/>
  <c r="N15" i="1"/>
  <c r="B15" i="1"/>
  <c r="L15" i="1" s="1"/>
  <c r="F15" i="1" s="1"/>
  <c r="R14" i="1"/>
  <c r="P14" i="1"/>
  <c r="N14" i="1"/>
  <c r="B14" i="1"/>
  <c r="L14" i="1" s="1"/>
  <c r="F14" i="1" s="1"/>
  <c r="R13" i="1"/>
  <c r="P13" i="1"/>
  <c r="N13" i="1"/>
  <c r="K13" i="1"/>
  <c r="B13" i="1"/>
  <c r="R12" i="1"/>
  <c r="P12" i="1"/>
  <c r="N12" i="1"/>
  <c r="B12" i="1"/>
  <c r="L12" i="1" s="1"/>
  <c r="F12" i="1" s="1"/>
  <c r="R11" i="1"/>
  <c r="P11" i="1"/>
  <c r="N11" i="1"/>
  <c r="L11" i="1"/>
  <c r="F11" i="1" s="1"/>
  <c r="B11" i="1"/>
  <c r="R10" i="1"/>
  <c r="P10" i="1"/>
  <c r="N10" i="1"/>
  <c r="B10" i="1"/>
  <c r="L10" i="1" s="1"/>
  <c r="F10" i="1" s="1"/>
  <c r="R9" i="1"/>
  <c r="P9" i="1"/>
  <c r="N9" i="1"/>
  <c r="K9" i="1"/>
  <c r="B9" i="1"/>
  <c r="L9" i="1" s="1"/>
  <c r="F9" i="1" s="1"/>
  <c r="R8" i="1"/>
  <c r="P8" i="1"/>
  <c r="N8" i="1"/>
  <c r="K8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B8" i="1"/>
  <c r="L8" i="1" s="1"/>
  <c r="F8" i="1" s="1"/>
  <c r="R7" i="1"/>
  <c r="P7" i="1"/>
  <c r="N7" i="1"/>
  <c r="G7" i="1"/>
  <c r="B7" i="1"/>
  <c r="L7" i="1" s="1"/>
  <c r="F7" i="1" s="1"/>
  <c r="R6" i="1"/>
  <c r="P6" i="1"/>
  <c r="N6" i="1"/>
  <c r="K6" i="1"/>
  <c r="B6" i="1"/>
  <c r="L6" i="1" s="1"/>
  <c r="F6" i="1" s="1"/>
  <c r="L97" i="1" l="1"/>
  <c r="F97" i="1" s="1"/>
  <c r="L143" i="1"/>
  <c r="F143" i="1" s="1"/>
  <c r="L33" i="1"/>
  <c r="F33" i="1" s="1"/>
  <c r="L40" i="1"/>
  <c r="F40" i="1" s="1"/>
  <c r="L45" i="1"/>
  <c r="F45" i="1" s="1"/>
  <c r="L93" i="1"/>
  <c r="F93" i="1" s="1"/>
  <c r="L98" i="1"/>
  <c r="F98" i="1" s="1"/>
  <c r="L120" i="1"/>
  <c r="F120" i="1" s="1"/>
  <c r="L126" i="1"/>
  <c r="F126" i="1" s="1"/>
  <c r="L151" i="1"/>
  <c r="F151" i="1" s="1"/>
  <c r="L13" i="1"/>
  <c r="F13" i="1" s="1"/>
  <c r="L21" i="1"/>
  <c r="F21" i="1" s="1"/>
  <c r="L52" i="1"/>
  <c r="F52" i="1" s="1"/>
  <c r="L59" i="1"/>
  <c r="F59" i="1" s="1"/>
  <c r="L65" i="1"/>
  <c r="F65" i="1" s="1"/>
  <c r="L128" i="1"/>
  <c r="F128" i="1" s="1"/>
  <c r="L133" i="1"/>
  <c r="F133" i="1" s="1"/>
  <c r="L122" i="1"/>
  <c r="F122" i="1" s="1"/>
  <c r="L149" i="1"/>
  <c r="F149" i="1" s="1"/>
</calcChain>
</file>

<file path=xl/sharedStrings.xml><?xml version="1.0" encoding="utf-8"?>
<sst xmlns="http://schemas.openxmlformats.org/spreadsheetml/2006/main" count="746" uniqueCount="380">
  <si>
    <t>Bahria Town (Pvt) Ltd. Lahore</t>
  </si>
  <si>
    <t>Electricity Meter Reading Sheet April-2025</t>
  </si>
  <si>
    <t>Awais Qarni Block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</si>
  <si>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</si>
  <si>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</si>
  <si>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</si>
  <si>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</si>
  <si>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</si>
  <si>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</si>
  <si>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</si>
  <si>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</si>
  <si>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</si>
  <si>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</si>
  <si>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</si>
  <si>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</si>
  <si>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</si>
  <si>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</si>
  <si>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BTL-22320</t>
  </si>
  <si>
    <t>2-E</t>
  </si>
  <si>
    <t>Residential</t>
  </si>
  <si>
    <t>BTL-17213</t>
  </si>
  <si>
    <t>3-E</t>
  </si>
  <si>
    <t>BTL-14642</t>
  </si>
  <si>
    <t>4-E</t>
  </si>
  <si>
    <t>BTL-23328</t>
  </si>
  <si>
    <t>5-E</t>
  </si>
  <si>
    <t>BTL-17300</t>
  </si>
  <si>
    <t>6-E</t>
  </si>
  <si>
    <t>BTL-20739</t>
  </si>
  <si>
    <t>7-E</t>
  </si>
  <si>
    <t>BTL-22196</t>
  </si>
  <si>
    <t>8-E</t>
  </si>
  <si>
    <t>BTL-24022</t>
  </si>
  <si>
    <t>9-E</t>
  </si>
  <si>
    <t>BTL-24051</t>
  </si>
  <si>
    <t>10-E</t>
  </si>
  <si>
    <t>BTL-13961</t>
  </si>
  <si>
    <t>11-E</t>
  </si>
  <si>
    <t>BTL-24489</t>
  </si>
  <si>
    <t>12-E</t>
  </si>
  <si>
    <t>BTL-17527</t>
  </si>
  <si>
    <t>13-E</t>
  </si>
  <si>
    <t>BTL-15002</t>
  </si>
  <si>
    <t>14-E</t>
  </si>
  <si>
    <t>BTL-17727</t>
  </si>
  <si>
    <t>15-E</t>
  </si>
  <si>
    <t>BTL-32964</t>
  </si>
  <si>
    <t>16-E</t>
  </si>
  <si>
    <t>BTL-26085</t>
  </si>
  <si>
    <t>17-E</t>
  </si>
  <si>
    <t>BTL-14228</t>
  </si>
  <si>
    <t>18-E</t>
  </si>
  <si>
    <t>BTL-23313</t>
  </si>
  <si>
    <t>22-E</t>
  </si>
  <si>
    <t>BTL-19794</t>
  </si>
  <si>
    <t>26-E</t>
  </si>
  <si>
    <t>BTL-14583</t>
  </si>
  <si>
    <t>27-E</t>
  </si>
  <si>
    <t>BTL-16715</t>
  </si>
  <si>
    <t>28-E</t>
  </si>
  <si>
    <t>BTL-32788</t>
  </si>
  <si>
    <t>29-E</t>
  </si>
  <si>
    <t>BTL-20119</t>
  </si>
  <si>
    <t>30-E</t>
  </si>
  <si>
    <t>BTL-14994</t>
  </si>
  <si>
    <t>31-E</t>
  </si>
  <si>
    <t>BTL-17726</t>
  </si>
  <si>
    <t>32-E</t>
  </si>
  <si>
    <t>BTL-17214</t>
  </si>
  <si>
    <t>34-E</t>
  </si>
  <si>
    <t>BTL-15768</t>
  </si>
  <si>
    <t>35-E</t>
  </si>
  <si>
    <t>BTL-17491</t>
  </si>
  <si>
    <t>36-E</t>
  </si>
  <si>
    <t>BTL-17784</t>
  </si>
  <si>
    <t>37-E</t>
  </si>
  <si>
    <t>BTL-28416</t>
  </si>
  <si>
    <t>38-E</t>
  </si>
  <si>
    <t>BTL-20533</t>
  </si>
  <si>
    <t>39-E</t>
  </si>
  <si>
    <t>BTL-18785</t>
  </si>
  <si>
    <t>41-E</t>
  </si>
  <si>
    <t>BTL-19925</t>
  </si>
  <si>
    <t>42-E</t>
  </si>
  <si>
    <t>BTL-25658</t>
  </si>
  <si>
    <t>43-E</t>
  </si>
  <si>
    <t>BTL-19008</t>
  </si>
  <si>
    <t>44-E</t>
  </si>
  <si>
    <t>BTL-16785</t>
  </si>
  <si>
    <t>45-E</t>
  </si>
  <si>
    <t>BTL-14591</t>
  </si>
  <si>
    <t>46-E</t>
  </si>
  <si>
    <t>BTL-18573</t>
  </si>
  <si>
    <t>47-E</t>
  </si>
  <si>
    <t>BTL-16288</t>
  </si>
  <si>
    <t>48-E</t>
  </si>
  <si>
    <t>BTL-14795</t>
  </si>
  <si>
    <t>49-E</t>
  </si>
  <si>
    <t>BTL-16905</t>
  </si>
  <si>
    <t>50-E</t>
  </si>
  <si>
    <t>BTL-19654</t>
  </si>
  <si>
    <t>51-E</t>
  </si>
  <si>
    <t>BTL-20655</t>
  </si>
  <si>
    <t>52-E</t>
  </si>
  <si>
    <t>BTL-15619</t>
  </si>
  <si>
    <t>53-E</t>
  </si>
  <si>
    <t>BTL-15140</t>
  </si>
  <si>
    <t>54-E</t>
  </si>
  <si>
    <t>BTL-14514</t>
  </si>
  <si>
    <t>55-E</t>
  </si>
  <si>
    <t>BTL-18346</t>
  </si>
  <si>
    <t>56-E</t>
  </si>
  <si>
    <t>BTL-15956</t>
  </si>
  <si>
    <t>57-E</t>
  </si>
  <si>
    <t>BTL-14753</t>
  </si>
  <si>
    <t>58-E</t>
  </si>
  <si>
    <t>BTL-21802</t>
  </si>
  <si>
    <t>59-E</t>
  </si>
  <si>
    <t>BTL-24160</t>
  </si>
  <si>
    <t>63-E</t>
  </si>
  <si>
    <t>BTL-18967</t>
  </si>
  <si>
    <t>65-E</t>
  </si>
  <si>
    <t>BTL-15481</t>
  </si>
  <si>
    <t>66-E</t>
  </si>
  <si>
    <t>BTL-17350</t>
  </si>
  <si>
    <t>67-E</t>
  </si>
  <si>
    <t>BTL-14380</t>
  </si>
  <si>
    <t>68-E</t>
  </si>
  <si>
    <t>BTL-14301</t>
  </si>
  <si>
    <t>69-E</t>
  </si>
  <si>
    <t>BTL-13936</t>
  </si>
  <si>
    <t>70-E</t>
  </si>
  <si>
    <t>BTL-20702</t>
  </si>
  <si>
    <t>71-E</t>
  </si>
  <si>
    <t>BTL-16262</t>
  </si>
  <si>
    <t>72-E</t>
  </si>
  <si>
    <t>BTL-14776</t>
  </si>
  <si>
    <t>76-E</t>
  </si>
  <si>
    <t>BTL-15134</t>
  </si>
  <si>
    <t>77-E</t>
  </si>
  <si>
    <t>BTL-30112</t>
  </si>
  <si>
    <t>78-E</t>
  </si>
  <si>
    <t>BTL-17785</t>
  </si>
  <si>
    <t>79-E</t>
  </si>
  <si>
    <t>BTL-16873</t>
  </si>
  <si>
    <t>80-E</t>
  </si>
  <si>
    <t>BTL-14798</t>
  </si>
  <si>
    <t>81-E</t>
  </si>
  <si>
    <t>BTL-28065</t>
  </si>
  <si>
    <t>82-E</t>
  </si>
  <si>
    <t>BTL-15480</t>
  </si>
  <si>
    <t>86-E</t>
  </si>
  <si>
    <t>BTL-16135</t>
  </si>
  <si>
    <t>87-E</t>
  </si>
  <si>
    <t>BTL-19554</t>
  </si>
  <si>
    <t>88-E</t>
  </si>
  <si>
    <t>BTL-30933</t>
  </si>
  <si>
    <t>89-E</t>
  </si>
  <si>
    <t>BTL-19734</t>
  </si>
  <si>
    <t>90-E</t>
  </si>
  <si>
    <t>BTL-21275</t>
  </si>
  <si>
    <t>91-E</t>
  </si>
  <si>
    <t>BTL-13931</t>
  </si>
  <si>
    <t>92-E</t>
  </si>
  <si>
    <t>BTL-17212</t>
  </si>
  <si>
    <t>93-E</t>
  </si>
  <si>
    <t>BTL-18744</t>
  </si>
  <si>
    <t>94-E</t>
  </si>
  <si>
    <t>BTL-18841</t>
  </si>
  <si>
    <t>97-E</t>
  </si>
  <si>
    <t>BTL-16037</t>
  </si>
  <si>
    <t>98-E</t>
  </si>
  <si>
    <t>BTL-17302</t>
  </si>
  <si>
    <t>99-E</t>
  </si>
  <si>
    <t>BTL-28472</t>
  </si>
  <si>
    <t>101-E</t>
  </si>
  <si>
    <t>BTL-15332</t>
  </si>
  <si>
    <t>104-E</t>
  </si>
  <si>
    <t>BTL-17068</t>
  </si>
  <si>
    <t>105-E</t>
  </si>
  <si>
    <t>BTL-14127</t>
  </si>
  <si>
    <t>106-E</t>
  </si>
  <si>
    <t>BTL-20947</t>
  </si>
  <si>
    <t>107-E</t>
  </si>
  <si>
    <t>BTL-26291</t>
  </si>
  <si>
    <t>108-E</t>
  </si>
  <si>
    <t>BTL-30692</t>
  </si>
  <si>
    <t>109-E</t>
  </si>
  <si>
    <t>BTL-15519</t>
  </si>
  <si>
    <t>110-E</t>
  </si>
  <si>
    <t>BTL-22581</t>
  </si>
  <si>
    <t>111-E</t>
  </si>
  <si>
    <t>BTL-19886</t>
  </si>
  <si>
    <t>113-E</t>
  </si>
  <si>
    <t>BTL-16261</t>
  </si>
  <si>
    <t>114-E</t>
  </si>
  <si>
    <t>BTL-16301</t>
  </si>
  <si>
    <t>115-E</t>
  </si>
  <si>
    <t>BTL-15523</t>
  </si>
  <si>
    <t>116-E</t>
  </si>
  <si>
    <t>BTL-16669</t>
  </si>
  <si>
    <t>118-E</t>
  </si>
  <si>
    <t>BTL-15023</t>
  </si>
  <si>
    <t>119-E</t>
  </si>
  <si>
    <t>BTL-15641</t>
  </si>
  <si>
    <t>120-E</t>
  </si>
  <si>
    <t>BTL-17561</t>
  </si>
  <si>
    <t>121-E</t>
  </si>
  <si>
    <t>BTL-32130</t>
  </si>
  <si>
    <t>122-E</t>
  </si>
  <si>
    <t>BTL-14993</t>
  </si>
  <si>
    <t>123-E</t>
  </si>
  <si>
    <t>BTL-15088</t>
  </si>
  <si>
    <t>124-E</t>
  </si>
  <si>
    <t>BTL-15398</t>
  </si>
  <si>
    <t>125-E</t>
  </si>
  <si>
    <t>BTL-13983</t>
  </si>
  <si>
    <t>126-E</t>
  </si>
  <si>
    <t>BTL-17851</t>
  </si>
  <si>
    <t>127-E</t>
  </si>
  <si>
    <t>BTL-15825</t>
  </si>
  <si>
    <t>128-E</t>
  </si>
  <si>
    <t>BTL-14399</t>
  </si>
  <si>
    <t>129-E</t>
  </si>
  <si>
    <t>BTL-21705</t>
  </si>
  <si>
    <t>130-E</t>
  </si>
  <si>
    <t>BTL-20514</t>
  </si>
  <si>
    <t>131-E</t>
  </si>
  <si>
    <t>BTL-19775</t>
  </si>
  <si>
    <t>133-E</t>
  </si>
  <si>
    <t>BTL-18348</t>
  </si>
  <si>
    <t>135-E</t>
  </si>
  <si>
    <t>BTL-26284</t>
  </si>
  <si>
    <t>136-E</t>
  </si>
  <si>
    <t>BTL-25243</t>
  </si>
  <si>
    <t>138-E</t>
  </si>
  <si>
    <t>BTL-17990</t>
  </si>
  <si>
    <t>139-E</t>
  </si>
  <si>
    <t>BTL-30646</t>
  </si>
  <si>
    <t>140-E</t>
  </si>
  <si>
    <t>BTL-19222</t>
  </si>
  <si>
    <t>141-E</t>
  </si>
  <si>
    <t>BTL-25728</t>
  </si>
  <si>
    <t>142-E</t>
  </si>
  <si>
    <t>BTL-23738</t>
  </si>
  <si>
    <t>143-E</t>
  </si>
  <si>
    <t>BTL-28866</t>
  </si>
  <si>
    <t>144-E</t>
  </si>
  <si>
    <t>BTL-15313</t>
  </si>
  <si>
    <t>145-E</t>
  </si>
  <si>
    <t>BTL-22253</t>
  </si>
  <si>
    <t>146-E</t>
  </si>
  <si>
    <t>BTL-25072</t>
  </si>
  <si>
    <t>147-E</t>
  </si>
  <si>
    <t>BTL-16430</t>
  </si>
  <si>
    <t>148-E</t>
  </si>
  <si>
    <t>BTL-19644</t>
  </si>
  <si>
    <t>150-E</t>
  </si>
  <si>
    <t>BTL-24775</t>
  </si>
  <si>
    <t>151-E</t>
  </si>
  <si>
    <t>BTL-15110</t>
  </si>
  <si>
    <t>152-E</t>
  </si>
  <si>
    <t>BTL-29212</t>
  </si>
  <si>
    <t>156-E</t>
  </si>
  <si>
    <t>BTL-23333</t>
  </si>
  <si>
    <t>157-E</t>
  </si>
  <si>
    <t>BTL-21618</t>
  </si>
  <si>
    <t>158-E</t>
  </si>
  <si>
    <t>BTL-21932</t>
  </si>
  <si>
    <t>159-E</t>
  </si>
  <si>
    <t>BTL-14444</t>
  </si>
  <si>
    <t>161-E</t>
  </si>
  <si>
    <t>BTL-28453</t>
  </si>
  <si>
    <t>163-E</t>
  </si>
  <si>
    <t>BTL-17852</t>
  </si>
  <si>
    <t>164-E</t>
  </si>
  <si>
    <t>BTL-31045</t>
  </si>
  <si>
    <t>166-E</t>
  </si>
  <si>
    <t>BTL-30049</t>
  </si>
  <si>
    <t>167-E</t>
  </si>
  <si>
    <t>BTL-15789</t>
  </si>
  <si>
    <t>168-E</t>
  </si>
  <si>
    <t>BTL-17399</t>
  </si>
  <si>
    <t>170-E</t>
  </si>
  <si>
    <t>BTL-14958</t>
  </si>
  <si>
    <t>171-E</t>
  </si>
  <si>
    <t>BTL-14963</t>
  </si>
  <si>
    <t>172-E</t>
  </si>
  <si>
    <t>BTL-19194</t>
  </si>
  <si>
    <t>174-E</t>
  </si>
  <si>
    <t>BTL-21557</t>
  </si>
  <si>
    <t>176-E</t>
  </si>
  <si>
    <t>BTL-21946</t>
  </si>
  <si>
    <t>177-E</t>
  </si>
  <si>
    <t>BTL-14960</t>
  </si>
  <si>
    <t>178-E</t>
  </si>
  <si>
    <t>BTL-23948</t>
  </si>
  <si>
    <t>179-E</t>
  </si>
  <si>
    <t>BTL-28685</t>
  </si>
  <si>
    <t>180-E</t>
  </si>
  <si>
    <t>BTL-15212</t>
  </si>
  <si>
    <t>184-E</t>
  </si>
  <si>
    <t>BTL-27701</t>
  </si>
  <si>
    <t>185-E</t>
  </si>
  <si>
    <t>BTL-17301</t>
  </si>
  <si>
    <t>186-E</t>
  </si>
  <si>
    <t>BTL-22506</t>
  </si>
  <si>
    <t>188-E</t>
  </si>
  <si>
    <t>BTL-16853</t>
  </si>
  <si>
    <t>189-E</t>
  </si>
  <si>
    <t>BTL-31539</t>
  </si>
  <si>
    <t>191-E</t>
  </si>
  <si>
    <t>BTL-23152</t>
  </si>
  <si>
    <t>SHOP-44 (2nd/F APP-201)</t>
  </si>
  <si>
    <t>BTL-19769</t>
  </si>
  <si>
    <t>30-SHOP</t>
  </si>
  <si>
    <t>Commercial</t>
  </si>
  <si>
    <t>BTL-20821</t>
  </si>
  <si>
    <t>31-SHOP</t>
  </si>
  <si>
    <t>BTL-17044</t>
  </si>
  <si>
    <t>32-SHOP</t>
  </si>
  <si>
    <t>BTL-27732</t>
  </si>
  <si>
    <t>33-SHOP</t>
  </si>
  <si>
    <t>BTL-15010</t>
  </si>
  <si>
    <t>34-SHOP</t>
  </si>
  <si>
    <t>BTL-17686</t>
  </si>
  <si>
    <t>37-SHOP</t>
  </si>
  <si>
    <t>BTL-23077</t>
  </si>
  <si>
    <t>37-SHOP (G/F HALL)</t>
  </si>
  <si>
    <t>BTL-15881</t>
  </si>
  <si>
    <t>39-SHOP</t>
  </si>
  <si>
    <t>BTL-18764</t>
  </si>
  <si>
    <t>40-SHOP</t>
  </si>
  <si>
    <t>BTL-22099</t>
  </si>
  <si>
    <t>44-SHOP</t>
  </si>
  <si>
    <t>BTL-20202</t>
  </si>
  <si>
    <t>49-SHOP</t>
  </si>
  <si>
    <t>BTL-32963</t>
  </si>
  <si>
    <t>50-SHOP</t>
  </si>
  <si>
    <t>BTL-31976</t>
  </si>
  <si>
    <t>51-SHOP</t>
  </si>
  <si>
    <t>BTL-17786</t>
  </si>
  <si>
    <t>PARK NR H-52</t>
  </si>
  <si>
    <t>Bahria Self Consumption</t>
  </si>
  <si>
    <t>BTL-15724</t>
  </si>
  <si>
    <t>SLP NR (H-192)</t>
  </si>
  <si>
    <t>BTL-33249</t>
  </si>
  <si>
    <t>04-PLAZA</t>
  </si>
  <si>
    <t>BTL-32270</t>
  </si>
  <si>
    <t>11-PLAZA</t>
  </si>
  <si>
    <t>BTL-33860</t>
  </si>
  <si>
    <t>16-PLAZA</t>
  </si>
  <si>
    <t>BTL-32067</t>
  </si>
  <si>
    <t>28-PLAZA</t>
  </si>
  <si>
    <t>BTL-28782</t>
  </si>
  <si>
    <t>29-PLAZA</t>
  </si>
  <si>
    <t>BTL-33861</t>
  </si>
  <si>
    <t>31-PLAZA</t>
  </si>
  <si>
    <t>BTL-33041</t>
  </si>
  <si>
    <t>35-PLAZA</t>
  </si>
  <si>
    <t>BTL-31232</t>
  </si>
  <si>
    <t>39-PLAZA</t>
  </si>
  <si>
    <t>BTL-31592</t>
  </si>
  <si>
    <t>71-PLAZA</t>
  </si>
  <si>
    <t>BTL-33448</t>
  </si>
  <si>
    <t>79-PLAZA</t>
  </si>
  <si>
    <t>BTL-32271</t>
  </si>
  <si>
    <t>82-PLAZA</t>
  </si>
  <si>
    <t>BTL-31127</t>
  </si>
  <si>
    <t>84-PLAZA</t>
  </si>
  <si>
    <t>BTL-32500</t>
  </si>
  <si>
    <t>86-PLAZA</t>
  </si>
  <si>
    <t>BTL-31436</t>
  </si>
  <si>
    <t>87-PLAZA</t>
  </si>
  <si>
    <t>BTL-33181</t>
  </si>
  <si>
    <t>94-PLAZA</t>
  </si>
  <si>
    <t>BTL-33260</t>
  </si>
  <si>
    <t>SLP</t>
  </si>
  <si>
    <t>BTL-28195</t>
  </si>
  <si>
    <t>SLP NR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</si>
</sst>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9" fillId="3" borderId="17" xfId="0" applyFont="1" applyFill="1" applyBorder="1" applyAlignment="1">
      <alignment vertical="center"/>
    </xf>
    <xf numFmtId="0" fontId="15" fillId="3" borderId="17" xfId="0" applyFont="1" applyFill="1" applyBorder="1" applyAlignment="1">
      <alignment vertical="center"/>
    </xf>
    <xf numFmtId="0" fontId="19" fillId="7" borderId="0" xfId="0" applyFont="1" applyFill="1"/>
    <xf numFmtId="0" fontId="14" fillId="0" borderId="0" xfId="0" applyFont="1"/>
    <xf numFmtId="0" fontId="0" fillId="4" borderId="0" xfId="0" applyFill="1"/>
    <xf numFmtId="0" fontId="11" fillId="0" borderId="0" xfId="0" applyFont="1" applyAlignment="1">
      <alignment wrapText="1"/>
    </xf>
    <xf numFmtId="0" fontId="9" fillId="5" borderId="18" xfId="0" applyFont="1" applyFill="1" applyBorder="1"/>
    <xf numFmtId="0" fontId="9" fillId="5" borderId="0" xfId="0" applyFont="1" applyFill="1"/>
    <xf numFmtId="0" fontId="9" fillId="0" borderId="0" xfId="0" applyFont="1"/>
    <xf numFmtId="0" fontId="20" fillId="4" borderId="0" xfId="0" applyFont="1" applyFill="1" applyAlignment="1">
      <alignment horizontal="left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1</xdr:rowOff>
    </xdr:from>
    <xdr:to>
      <xdr:col>2</xdr:col>
      <xdr:colOff>141194</xdr:colOff>
      <xdr:row>2</xdr:row>
      <xdr:rowOff>35300</xdr:rowOff>
    </xdr:to>
    <xdr:pic>
      <xdr:nvPicPr>
        <xdr:cNvPr id="2" name="Picture 1" descr="logo bahri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1"/>
          <a:ext cx="717177" cy="80682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126"/>
  <sheetViews>
    <sheetView tabSelected="1" view="pageBreakPreview" topLeftCell="A178" zoomScaleSheetLayoutView="100" workbookViewId="0">
      <selection activeCell="L187" sqref="L187"/>
    </sheetView>
  </sheetViews>
  <sheetFormatPr defaultRowHeight="15.75" x14ac:dyDescent="0.25"/>
  <cols>
    <col min="1" max="1" width="11.28515625" style="31" customWidth="1"/>
    <col min="7" max="7" width="4.28515625" style="32" customWidth="1"/>
    <col min="8" max="8" width="13.5703125" style="33" customWidth="1"/>
    <col min="9" max="9" width="14.7109375" style="34" customWidth="1"/>
    <col min="10" max="10" width="8.5703125" customWidth="1"/>
    <col min="11" max="11" width="7.7109375" style="35" customWidth="1"/>
    <col min="12" max="12" width="13" customWidth="1"/>
    <col min="13" max="13" width="7.7109375" style="36" customWidth="1"/>
    <col min="14" max="14" width="13" customWidth="1"/>
    <col min="15" max="15" width="7.7109375" style="36" customWidth="1"/>
    <col min="16" max="16" width="13" customWidth="1"/>
    <col min="17" max="17" width="7.7109375" style="37" customWidth="1"/>
    <col min="18" max="18" width="13" customWidth="1"/>
    <col min="19" max="19" width="14.140625" style="38" customWidth="1"/>
    <col min="20" max="20" width="11.28515625" style="31" customWidth="1"/>
  </cols>
  <sheetData>
    <row r="1" spans="1:20" ht="31.5" customHeight="1" x14ac:dyDescent="0.25">
      <c r="A1"/>
      <c r="G1" s="41" t="s">
        <v>0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1:20" ht="29.25" customHeight="1" thickBot="1" x14ac:dyDescent="0.3">
      <c r="A2"/>
      <c r="G2" s="42" t="s">
        <v>1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3" t="s">
        <v>4</v>
      </c>
      <c r="H4" s="45" t="s">
        <v>5</v>
      </c>
      <c r="I4" s="47" t="s">
        <v>6</v>
      </c>
      <c r="J4" s="49" t="s">
        <v>7</v>
      </c>
      <c r="K4" s="51" t="s">
        <v>8</v>
      </c>
      <c r="L4" s="52"/>
      <c r="M4" s="53" t="s">
        <v>9</v>
      </c>
      <c r="N4" s="51"/>
      <c r="O4" s="54" t="s">
        <v>10</v>
      </c>
      <c r="P4" s="55"/>
      <c r="Q4" s="54" t="s">
        <v>11</v>
      </c>
      <c r="R4" s="56"/>
      <c r="S4" s="39" t="s">
        <v>12</v>
      </c>
      <c r="T4" s="40"/>
    </row>
    <row r="5" spans="1:20" ht="31.5" customHeight="1" thickBot="1" x14ac:dyDescent="0.3">
      <c r="A5" s="13" t="s">
        <v>13</v>
      </c>
      <c r="G5" s="44"/>
      <c r="H5" s="46" t="s">
        <v>5</v>
      </c>
      <c r="I5" s="48" t="s">
        <v>6</v>
      </c>
      <c r="J5" s="50"/>
      <c r="K5" s="14" t="s">
        <v>14</v>
      </c>
      <c r="L5" s="14" t="s">
        <v>15</v>
      </c>
      <c r="M5" s="14" t="s">
        <v>14</v>
      </c>
      <c r="N5" s="14" t="s">
        <v>15</v>
      </c>
      <c r="O5" s="14" t="s">
        <v>14</v>
      </c>
      <c r="P5" s="15" t="s">
        <v>15</v>
      </c>
      <c r="Q5" s="16" t="s">
        <v>14</v>
      </c>
      <c r="R5" s="17" t="s">
        <v>15</v>
      </c>
      <c r="S5" s="18" t="s">
        <v>16</v>
      </c>
      <c r="T5" s="13" t="s">
        <v>13</v>
      </c>
    </row>
    <row r="6" spans="1:20" ht="37.5" customHeight="1" x14ac:dyDescent="0.25">
      <c r="A6" s="19" t="s">
        <v>17</v>
      </c>
      <c r="B6">
        <f>C6+D6</f>
        <v>11966</v>
      </c>
      <c r="C6">
        <v>3103</v>
      </c>
      <c r="D6">
        <v>8863</v>
      </c>
      <c r="E6">
        <v>13682</v>
      </c>
      <c r="F6">
        <f t="shared" ref="F6:F69" si="0">L6</f>
        <v>474</v>
      </c>
      <c r="G6" s="20">
        <v>1</v>
      </c>
      <c r="H6" s="21">
        <v>99723030009</v>
      </c>
      <c r="I6" s="22" t="s">
        <v>18</v>
      </c>
      <c r="J6" s="23"/>
      <c r="K6" s="24">
        <f>M6+O6</f>
        <v>11492</v>
      </c>
      <c r="L6" s="23">
        <f t="shared" ref="L6:L69" si="1">B6-K6</f>
        <v>474</v>
      </c>
      <c r="M6" s="24">
        <v>3012</v>
      </c>
      <c r="N6" s="25">
        <f t="shared" ref="N6:N69" si="2">C6-M6</f>
        <v>91</v>
      </c>
      <c r="O6" s="24">
        <v>8480</v>
      </c>
      <c r="P6" s="23">
        <f t="shared" ref="P6:P69" si="3">D6-O6</f>
        <v>383</v>
      </c>
      <c r="Q6" s="26">
        <v>12756</v>
      </c>
      <c r="R6" s="23">
        <f t="shared" ref="R6:R69" si="4">E6-Q6</f>
        <v>926</v>
      </c>
      <c r="S6" s="27" t="s">
        <v>19</v>
      </c>
      <c r="T6" s="19" t="s">
        <v>17</v>
      </c>
    </row>
    <row r="7" spans="1:20" ht="37.5" customHeight="1" x14ac:dyDescent="0.25">
      <c r="A7" s="19" t="s">
        <v>20</v>
      </c>
      <c r="B7">
        <f t="shared" ref="B7:B70" si="5">C7+D7</f>
        <v>22669</v>
      </c>
      <c r="C7">
        <v>4137</v>
      </c>
      <c r="D7">
        <v>18532</v>
      </c>
      <c r="F7">
        <f t="shared" si="0"/>
        <v>382</v>
      </c>
      <c r="G7" s="20">
        <f>G6+1</f>
        <v>2</v>
      </c>
      <c r="H7" s="21">
        <v>66621100450</v>
      </c>
      <c r="I7" s="22" t="s">
        <v>21</v>
      </c>
      <c r="J7" s="23"/>
      <c r="K7" s="24">
        <v>22287</v>
      </c>
      <c r="L7" s="23">
        <f t="shared" si="1"/>
        <v>382</v>
      </c>
      <c r="M7" s="24">
        <v>4061</v>
      </c>
      <c r="N7" s="25">
        <f t="shared" si="2"/>
        <v>76</v>
      </c>
      <c r="O7" s="24">
        <v>18226</v>
      </c>
      <c r="P7" s="23">
        <f t="shared" si="3"/>
        <v>306</v>
      </c>
      <c r="Q7" s="26"/>
      <c r="R7" s="23">
        <f t="shared" si="4"/>
        <v>0</v>
      </c>
      <c r="S7" s="27" t="s">
        <v>19</v>
      </c>
      <c r="T7" s="19" t="s">
        <v>20</v>
      </c>
    </row>
    <row r="8" spans="1:20" ht="37.5" customHeight="1" x14ac:dyDescent="0.25">
      <c r="A8" s="19" t="s">
        <v>22</v>
      </c>
      <c r="B8">
        <f t="shared" si="5"/>
        <v>7391</v>
      </c>
      <c r="C8">
        <v>1536</v>
      </c>
      <c r="D8">
        <v>5855</v>
      </c>
      <c r="E8">
        <v>10322</v>
      </c>
      <c r="F8">
        <f t="shared" si="0"/>
        <v>410</v>
      </c>
      <c r="G8" s="20">
        <f t="shared" ref="G8:G71" si="6">G7+1</f>
        <v>3</v>
      </c>
      <c r="H8" s="21">
        <v>99624010182</v>
      </c>
      <c r="I8" s="22" t="s">
        <v>23</v>
      </c>
      <c r="J8" s="23"/>
      <c r="K8" s="24">
        <f>M8+O8</f>
        <v>6981</v>
      </c>
      <c r="L8" s="23">
        <f t="shared" si="1"/>
        <v>410</v>
      </c>
      <c r="M8" s="24">
        <v>1435</v>
      </c>
      <c r="N8" s="25">
        <f t="shared" si="2"/>
        <v>101</v>
      </c>
      <c r="O8" s="24">
        <v>5546</v>
      </c>
      <c r="P8" s="23">
        <f t="shared" si="3"/>
        <v>309</v>
      </c>
      <c r="Q8" s="26">
        <v>9105</v>
      </c>
      <c r="R8" s="23">
        <f t="shared" si="4"/>
        <v>1217</v>
      </c>
      <c r="S8" s="27" t="s">
        <v>19</v>
      </c>
      <c r="T8" s="19" t="s">
        <v>22</v>
      </c>
    </row>
    <row r="9" spans="1:20" ht="37.5" customHeight="1" x14ac:dyDescent="0.25">
      <c r="A9" s="19" t="s">
        <v>24</v>
      </c>
      <c r="B9">
        <f t="shared" si="5"/>
        <v>968</v>
      </c>
      <c r="C9">
        <v>390</v>
      </c>
      <c r="D9">
        <v>578</v>
      </c>
      <c r="E9">
        <v>2832</v>
      </c>
      <c r="F9">
        <f t="shared" si="0"/>
        <v>321</v>
      </c>
      <c r="G9" s="20">
        <f t="shared" si="6"/>
        <v>4</v>
      </c>
      <c r="H9" s="21">
        <v>99624050024</v>
      </c>
      <c r="I9" s="22" t="s">
        <v>25</v>
      </c>
      <c r="J9" s="23"/>
      <c r="K9" s="24">
        <f>M9+O9</f>
        <v>647</v>
      </c>
      <c r="L9" s="23">
        <f t="shared" si="1"/>
        <v>321</v>
      </c>
      <c r="M9" s="24">
        <v>285</v>
      </c>
      <c r="N9" s="25">
        <f t="shared" si="2"/>
        <v>105</v>
      </c>
      <c r="O9" s="24">
        <v>362</v>
      </c>
      <c r="P9" s="23">
        <f t="shared" si="3"/>
        <v>216</v>
      </c>
      <c r="Q9" s="26">
        <v>1822</v>
      </c>
      <c r="R9" s="23">
        <f t="shared" si="4"/>
        <v>1010</v>
      </c>
      <c r="S9" s="27" t="s">
        <v>19</v>
      </c>
      <c r="T9" s="19" t="s">
        <v>24</v>
      </c>
    </row>
    <row r="10" spans="1:20" ht="37.5" customHeight="1" x14ac:dyDescent="0.25">
      <c r="A10" s="19" t="s">
        <v>26</v>
      </c>
      <c r="B10">
        <f t="shared" si="5"/>
        <v>25389</v>
      </c>
      <c r="C10">
        <v>4666</v>
      </c>
      <c r="D10">
        <v>20723</v>
      </c>
      <c r="F10">
        <f t="shared" si="0"/>
        <v>329</v>
      </c>
      <c r="G10" s="20">
        <f t="shared" si="6"/>
        <v>5</v>
      </c>
      <c r="H10" s="21">
        <v>23009050001</v>
      </c>
      <c r="I10" s="22" t="s">
        <v>27</v>
      </c>
      <c r="J10" s="23"/>
      <c r="K10" s="24">
        <v>25060</v>
      </c>
      <c r="L10" s="23">
        <f t="shared" si="1"/>
        <v>329</v>
      </c>
      <c r="M10" s="24">
        <v>4608</v>
      </c>
      <c r="N10" s="25">
        <f t="shared" si="2"/>
        <v>58</v>
      </c>
      <c r="O10" s="24">
        <v>20452</v>
      </c>
      <c r="P10" s="23">
        <f t="shared" si="3"/>
        <v>271</v>
      </c>
      <c r="Q10" s="26"/>
      <c r="R10" s="23">
        <f t="shared" si="4"/>
        <v>0</v>
      </c>
      <c r="S10" s="27" t="s">
        <v>19</v>
      </c>
      <c r="T10" s="19" t="s">
        <v>26</v>
      </c>
    </row>
    <row r="11" spans="1:20" ht="37.5" customHeight="1" x14ac:dyDescent="0.25">
      <c r="A11" s="19" t="s">
        <v>28</v>
      </c>
      <c r="B11">
        <f t="shared" si="5"/>
        <v>19347</v>
      </c>
      <c r="C11">
        <v>3405</v>
      </c>
      <c r="D11">
        <v>15942</v>
      </c>
      <c r="F11">
        <f t="shared" si="0"/>
        <v>735</v>
      </c>
      <c r="G11" s="20">
        <f t="shared" si="6"/>
        <v>6</v>
      </c>
      <c r="H11" s="21">
        <v>66622010396</v>
      </c>
      <c r="I11" s="22" t="s">
        <v>29</v>
      </c>
      <c r="J11" s="23"/>
      <c r="K11" s="24">
        <v>18612</v>
      </c>
      <c r="L11" s="23">
        <f t="shared" si="1"/>
        <v>735</v>
      </c>
      <c r="M11" s="24">
        <v>3273</v>
      </c>
      <c r="N11" s="25">
        <f t="shared" si="2"/>
        <v>132</v>
      </c>
      <c r="O11" s="24">
        <v>15339</v>
      </c>
      <c r="P11" s="23">
        <f t="shared" si="3"/>
        <v>603</v>
      </c>
      <c r="Q11" s="26"/>
      <c r="R11" s="23">
        <f t="shared" si="4"/>
        <v>0</v>
      </c>
      <c r="S11" s="27" t="s">
        <v>19</v>
      </c>
      <c r="T11" s="19" t="s">
        <v>28</v>
      </c>
    </row>
    <row r="12" spans="1:20" ht="37.5" customHeight="1" x14ac:dyDescent="0.25">
      <c r="A12" s="19" t="s">
        <v>30</v>
      </c>
      <c r="B12">
        <f t="shared" si="5"/>
        <v>7536</v>
      </c>
      <c r="C12">
        <v>1344</v>
      </c>
      <c r="D12">
        <v>6192</v>
      </c>
      <c r="F12">
        <f t="shared" si="0"/>
        <v>62</v>
      </c>
      <c r="G12" s="20">
        <f t="shared" si="6"/>
        <v>7</v>
      </c>
      <c r="H12" s="21">
        <v>88818020278</v>
      </c>
      <c r="I12" s="22" t="s">
        <v>31</v>
      </c>
      <c r="J12" s="23"/>
      <c r="K12" s="24">
        <v>7474</v>
      </c>
      <c r="L12" s="23">
        <f t="shared" si="1"/>
        <v>62</v>
      </c>
      <c r="M12" s="24">
        <v>1329</v>
      </c>
      <c r="N12" s="25">
        <f t="shared" si="2"/>
        <v>15</v>
      </c>
      <c r="O12" s="24">
        <v>6145</v>
      </c>
      <c r="P12" s="23">
        <f t="shared" si="3"/>
        <v>47</v>
      </c>
      <c r="Q12" s="26"/>
      <c r="R12" s="23">
        <f t="shared" si="4"/>
        <v>0</v>
      </c>
      <c r="S12" s="27" t="s">
        <v>19</v>
      </c>
      <c r="T12" s="19" t="s">
        <v>30</v>
      </c>
    </row>
    <row r="13" spans="1:20" ht="37.5" customHeight="1" x14ac:dyDescent="0.25">
      <c r="A13" s="19" t="s">
        <v>32</v>
      </c>
      <c r="B13">
        <f t="shared" si="5"/>
        <v>10638</v>
      </c>
      <c r="C13">
        <v>2286</v>
      </c>
      <c r="D13">
        <v>8352</v>
      </c>
      <c r="E13">
        <v>13517</v>
      </c>
      <c r="F13">
        <f t="shared" si="0"/>
        <v>486</v>
      </c>
      <c r="G13" s="20">
        <f t="shared" si="6"/>
        <v>8</v>
      </c>
      <c r="H13" s="21">
        <v>99723060135</v>
      </c>
      <c r="I13" s="22" t="s">
        <v>33</v>
      </c>
      <c r="J13" s="23"/>
      <c r="K13" s="24">
        <f>M13+O13</f>
        <v>10152</v>
      </c>
      <c r="L13" s="23">
        <f t="shared" si="1"/>
        <v>486</v>
      </c>
      <c r="M13" s="24">
        <v>2189</v>
      </c>
      <c r="N13" s="25">
        <f t="shared" si="2"/>
        <v>97</v>
      </c>
      <c r="O13" s="24">
        <v>7963</v>
      </c>
      <c r="P13" s="23">
        <f t="shared" si="3"/>
        <v>389</v>
      </c>
      <c r="Q13" s="26">
        <v>12510</v>
      </c>
      <c r="R13" s="23">
        <f t="shared" si="4"/>
        <v>1007</v>
      </c>
      <c r="S13" s="27" t="s">
        <v>19</v>
      </c>
      <c r="T13" s="19" t="s">
        <v>32</v>
      </c>
    </row>
    <row r="14" spans="1:20" ht="37.5" customHeight="1" x14ac:dyDescent="0.25">
      <c r="A14" s="19" t="s">
        <v>34</v>
      </c>
      <c r="B14">
        <f t="shared" si="5"/>
        <v>24022</v>
      </c>
      <c r="C14">
        <v>3734</v>
      </c>
      <c r="D14">
        <v>20288</v>
      </c>
      <c r="F14">
        <f t="shared" si="0"/>
        <v>557</v>
      </c>
      <c r="G14" s="20">
        <f t="shared" si="6"/>
        <v>9</v>
      </c>
      <c r="H14" s="21">
        <v>88819050444</v>
      </c>
      <c r="I14" s="22" t="s">
        <v>35</v>
      </c>
      <c r="J14" s="23"/>
      <c r="K14" s="24">
        <v>23465</v>
      </c>
      <c r="L14" s="23">
        <f t="shared" si="1"/>
        <v>557</v>
      </c>
      <c r="M14" s="24">
        <v>3647</v>
      </c>
      <c r="N14" s="25">
        <f t="shared" si="2"/>
        <v>87</v>
      </c>
      <c r="O14" s="24">
        <v>19818</v>
      </c>
      <c r="P14" s="23">
        <f t="shared" si="3"/>
        <v>470</v>
      </c>
      <c r="Q14" s="26"/>
      <c r="R14" s="23">
        <f t="shared" si="4"/>
        <v>0</v>
      </c>
      <c r="S14" s="27" t="s">
        <v>19</v>
      </c>
      <c r="T14" s="19" t="s">
        <v>34</v>
      </c>
    </row>
    <row r="15" spans="1:20" ht="37.5" customHeight="1" x14ac:dyDescent="0.25">
      <c r="A15" s="19" t="s">
        <v>36</v>
      </c>
      <c r="B15">
        <f t="shared" si="5"/>
        <v>40641</v>
      </c>
      <c r="C15">
        <v>7418</v>
      </c>
      <c r="D15">
        <v>33223</v>
      </c>
      <c r="F15">
        <f t="shared" si="0"/>
        <v>262</v>
      </c>
      <c r="G15" s="20">
        <f t="shared" si="6"/>
        <v>10</v>
      </c>
      <c r="H15" s="21">
        <v>88819010004</v>
      </c>
      <c r="I15" s="22" t="s">
        <v>37</v>
      </c>
      <c r="J15" s="23"/>
      <c r="K15" s="24">
        <v>40379</v>
      </c>
      <c r="L15" s="23">
        <f t="shared" si="1"/>
        <v>262</v>
      </c>
      <c r="M15" s="24">
        <v>7371</v>
      </c>
      <c r="N15" s="25">
        <f t="shared" si="2"/>
        <v>47</v>
      </c>
      <c r="O15" s="24">
        <v>33008</v>
      </c>
      <c r="P15" s="23">
        <f t="shared" si="3"/>
        <v>215</v>
      </c>
      <c r="Q15" s="26"/>
      <c r="R15" s="23">
        <f t="shared" si="4"/>
        <v>0</v>
      </c>
      <c r="S15" s="27" t="s">
        <v>19</v>
      </c>
      <c r="T15" s="19" t="s">
        <v>36</v>
      </c>
    </row>
    <row r="16" spans="1:20" ht="37.5" customHeight="1" x14ac:dyDescent="0.25">
      <c r="A16" s="19" t="s">
        <v>38</v>
      </c>
      <c r="B16">
        <f t="shared" si="5"/>
        <v>25969</v>
      </c>
      <c r="C16">
        <v>4028</v>
      </c>
      <c r="D16">
        <v>21941</v>
      </c>
      <c r="F16">
        <f t="shared" si="0"/>
        <v>489</v>
      </c>
      <c r="G16" s="20">
        <f t="shared" si="6"/>
        <v>11</v>
      </c>
      <c r="H16" s="21">
        <v>88820020236</v>
      </c>
      <c r="I16" s="22" t="s">
        <v>39</v>
      </c>
      <c r="J16" s="23"/>
      <c r="K16" s="24">
        <v>25480</v>
      </c>
      <c r="L16" s="23">
        <f t="shared" si="1"/>
        <v>489</v>
      </c>
      <c r="M16" s="24">
        <v>3953</v>
      </c>
      <c r="N16" s="25">
        <f t="shared" si="2"/>
        <v>75</v>
      </c>
      <c r="O16" s="24">
        <v>21527</v>
      </c>
      <c r="P16" s="23">
        <f t="shared" si="3"/>
        <v>414</v>
      </c>
      <c r="Q16" s="26"/>
      <c r="R16" s="23">
        <f t="shared" si="4"/>
        <v>0</v>
      </c>
      <c r="S16" s="27" t="s">
        <v>19</v>
      </c>
      <c r="T16" s="19" t="s">
        <v>38</v>
      </c>
    </row>
    <row r="17" spans="1:20" ht="37.5" customHeight="1" x14ac:dyDescent="0.25">
      <c r="A17" s="19" t="s">
        <v>40</v>
      </c>
      <c r="B17">
        <f t="shared" si="5"/>
        <v>69680</v>
      </c>
      <c r="C17">
        <v>13256</v>
      </c>
      <c r="D17">
        <v>56424</v>
      </c>
      <c r="F17">
        <f t="shared" si="0"/>
        <v>455</v>
      </c>
      <c r="G17" s="20">
        <f t="shared" si="6"/>
        <v>12</v>
      </c>
      <c r="H17" s="21">
        <v>23014090186</v>
      </c>
      <c r="I17" s="22" t="s">
        <v>41</v>
      </c>
      <c r="J17" s="23"/>
      <c r="K17" s="24">
        <v>69225</v>
      </c>
      <c r="L17" s="23">
        <f t="shared" si="1"/>
        <v>455</v>
      </c>
      <c r="M17" s="24">
        <v>13181</v>
      </c>
      <c r="N17" s="25">
        <f t="shared" si="2"/>
        <v>75</v>
      </c>
      <c r="O17" s="24">
        <v>56044</v>
      </c>
      <c r="P17" s="23">
        <f t="shared" si="3"/>
        <v>380</v>
      </c>
      <c r="Q17" s="26"/>
      <c r="R17" s="23">
        <f t="shared" si="4"/>
        <v>0</v>
      </c>
      <c r="S17" s="27" t="s">
        <v>19</v>
      </c>
      <c r="T17" s="19" t="s">
        <v>40</v>
      </c>
    </row>
    <row r="18" spans="1:20" ht="37.5" customHeight="1" x14ac:dyDescent="0.25">
      <c r="A18" s="19" t="s">
        <v>42</v>
      </c>
      <c r="B18">
        <f t="shared" si="5"/>
        <v>33207</v>
      </c>
      <c r="C18">
        <v>5631</v>
      </c>
      <c r="D18">
        <v>27576</v>
      </c>
      <c r="F18">
        <f t="shared" si="0"/>
        <v>575</v>
      </c>
      <c r="G18" s="20">
        <f t="shared" si="6"/>
        <v>13</v>
      </c>
      <c r="H18" s="21">
        <v>88820020412</v>
      </c>
      <c r="I18" s="22" t="s">
        <v>43</v>
      </c>
      <c r="J18" s="23"/>
      <c r="K18" s="24">
        <v>32632</v>
      </c>
      <c r="L18" s="23">
        <f t="shared" si="1"/>
        <v>575</v>
      </c>
      <c r="M18" s="24">
        <v>5526</v>
      </c>
      <c r="N18" s="25">
        <f t="shared" si="2"/>
        <v>105</v>
      </c>
      <c r="O18" s="24">
        <v>27106</v>
      </c>
      <c r="P18" s="23">
        <f t="shared" si="3"/>
        <v>470</v>
      </c>
      <c r="Q18" s="26"/>
      <c r="R18" s="23">
        <f t="shared" si="4"/>
        <v>0</v>
      </c>
      <c r="S18" s="27" t="s">
        <v>19</v>
      </c>
      <c r="T18" s="19" t="s">
        <v>42</v>
      </c>
    </row>
    <row r="19" spans="1:20" ht="37.5" customHeight="1" x14ac:dyDescent="0.25">
      <c r="A19" s="19" t="s">
        <v>44</v>
      </c>
      <c r="B19">
        <f t="shared" si="5"/>
        <v>23184</v>
      </c>
      <c r="C19">
        <v>3861</v>
      </c>
      <c r="D19">
        <v>19323</v>
      </c>
      <c r="F19">
        <f t="shared" si="0"/>
        <v>413</v>
      </c>
      <c r="G19" s="20">
        <f t="shared" si="6"/>
        <v>14</v>
      </c>
      <c r="H19" s="21">
        <v>88821020116</v>
      </c>
      <c r="I19" s="22" t="s">
        <v>45</v>
      </c>
      <c r="J19" s="23"/>
      <c r="K19" s="24">
        <v>22771</v>
      </c>
      <c r="L19" s="23">
        <f t="shared" si="1"/>
        <v>413</v>
      </c>
      <c r="M19" s="24">
        <v>3781</v>
      </c>
      <c r="N19" s="25">
        <f t="shared" si="2"/>
        <v>80</v>
      </c>
      <c r="O19" s="24">
        <v>18990</v>
      </c>
      <c r="P19" s="23">
        <f t="shared" si="3"/>
        <v>333</v>
      </c>
      <c r="Q19" s="26"/>
      <c r="R19" s="23">
        <f t="shared" si="4"/>
        <v>0</v>
      </c>
      <c r="S19" s="27" t="s">
        <v>19</v>
      </c>
      <c r="T19" s="19" t="s">
        <v>44</v>
      </c>
    </row>
    <row r="20" spans="1:20" ht="37.5" customHeight="1" x14ac:dyDescent="0.25">
      <c r="A20" s="19" t="s">
        <v>46</v>
      </c>
      <c r="B20">
        <f t="shared" si="5"/>
        <v>39966</v>
      </c>
      <c r="C20">
        <v>7565</v>
      </c>
      <c r="D20">
        <v>32401</v>
      </c>
      <c r="F20">
        <f t="shared" si="0"/>
        <v>128</v>
      </c>
      <c r="G20" s="20">
        <f t="shared" si="6"/>
        <v>15</v>
      </c>
      <c r="H20" s="21">
        <v>88819030050</v>
      </c>
      <c r="I20" s="22" t="s">
        <v>47</v>
      </c>
      <c r="J20" s="23"/>
      <c r="K20" s="24">
        <v>39838</v>
      </c>
      <c r="L20" s="23">
        <f t="shared" si="1"/>
        <v>128</v>
      </c>
      <c r="M20" s="24">
        <v>7550</v>
      </c>
      <c r="N20" s="25">
        <f t="shared" si="2"/>
        <v>15</v>
      </c>
      <c r="O20" s="24">
        <v>32288</v>
      </c>
      <c r="P20" s="23">
        <f t="shared" si="3"/>
        <v>113</v>
      </c>
      <c r="Q20" s="26"/>
      <c r="R20" s="23">
        <f t="shared" si="4"/>
        <v>0</v>
      </c>
      <c r="S20" s="27" t="s">
        <v>19</v>
      </c>
      <c r="T20" s="19" t="s">
        <v>46</v>
      </c>
    </row>
    <row r="21" spans="1:20" ht="37.5" customHeight="1" x14ac:dyDescent="0.25">
      <c r="A21" s="19" t="s">
        <v>48</v>
      </c>
      <c r="B21">
        <f t="shared" si="5"/>
        <v>3533</v>
      </c>
      <c r="C21">
        <v>887</v>
      </c>
      <c r="D21">
        <v>2646</v>
      </c>
      <c r="E21">
        <v>8618</v>
      </c>
      <c r="F21">
        <f t="shared" si="0"/>
        <v>105</v>
      </c>
      <c r="G21" s="20">
        <f t="shared" si="6"/>
        <v>16</v>
      </c>
      <c r="H21" s="21">
        <v>99723070130</v>
      </c>
      <c r="I21" s="22" t="s">
        <v>49</v>
      </c>
      <c r="J21" s="23"/>
      <c r="K21" s="24">
        <f>M21+O21</f>
        <v>3428</v>
      </c>
      <c r="L21" s="23">
        <f t="shared" si="1"/>
        <v>105</v>
      </c>
      <c r="M21" s="24">
        <v>852</v>
      </c>
      <c r="N21" s="25">
        <f t="shared" si="2"/>
        <v>35</v>
      </c>
      <c r="O21" s="24">
        <v>2576</v>
      </c>
      <c r="P21" s="23">
        <f t="shared" si="3"/>
        <v>70</v>
      </c>
      <c r="Q21" s="26">
        <v>8000</v>
      </c>
      <c r="R21" s="23">
        <f t="shared" si="4"/>
        <v>618</v>
      </c>
      <c r="S21" s="27" t="s">
        <v>19</v>
      </c>
      <c r="T21" s="19" t="s">
        <v>48</v>
      </c>
    </row>
    <row r="22" spans="1:20" ht="37.5" customHeight="1" x14ac:dyDescent="0.25">
      <c r="A22" s="19" t="s">
        <v>50</v>
      </c>
      <c r="B22">
        <f t="shared" si="5"/>
        <v>4751</v>
      </c>
      <c r="C22">
        <v>1109</v>
      </c>
      <c r="D22">
        <v>3642</v>
      </c>
      <c r="E22">
        <v>8730</v>
      </c>
      <c r="F22">
        <f t="shared" si="0"/>
        <v>185</v>
      </c>
      <c r="G22" s="20">
        <f t="shared" si="6"/>
        <v>17</v>
      </c>
      <c r="H22" s="21">
        <v>99623080320</v>
      </c>
      <c r="I22" s="22" t="s">
        <v>51</v>
      </c>
      <c r="J22" s="23"/>
      <c r="K22" s="24">
        <f>M22+O22</f>
        <v>4566</v>
      </c>
      <c r="L22" s="23">
        <f t="shared" si="1"/>
        <v>185</v>
      </c>
      <c r="M22" s="24">
        <v>1056</v>
      </c>
      <c r="N22" s="25">
        <f t="shared" si="2"/>
        <v>53</v>
      </c>
      <c r="O22" s="24">
        <v>3510</v>
      </c>
      <c r="P22" s="23">
        <f t="shared" si="3"/>
        <v>132</v>
      </c>
      <c r="Q22" s="26">
        <v>7914</v>
      </c>
      <c r="R22" s="23">
        <f t="shared" si="4"/>
        <v>816</v>
      </c>
      <c r="S22" s="27" t="s">
        <v>19</v>
      </c>
      <c r="T22" s="19" t="s">
        <v>50</v>
      </c>
    </row>
    <row r="23" spans="1:20" ht="37.5" customHeight="1" x14ac:dyDescent="0.25">
      <c r="A23" s="19" t="s">
        <v>52</v>
      </c>
      <c r="B23">
        <f t="shared" si="5"/>
        <v>5210</v>
      </c>
      <c r="C23">
        <v>1306</v>
      </c>
      <c r="D23">
        <v>3904</v>
      </c>
      <c r="E23">
        <v>3913</v>
      </c>
      <c r="F23">
        <f t="shared" si="0"/>
        <v>532</v>
      </c>
      <c r="G23" s="20">
        <f t="shared" si="6"/>
        <v>18</v>
      </c>
      <c r="H23" s="21">
        <v>99624030231</v>
      </c>
      <c r="I23" s="22" t="s">
        <v>53</v>
      </c>
      <c r="J23" s="23"/>
      <c r="K23" s="24">
        <f>M23+O23</f>
        <v>4678</v>
      </c>
      <c r="L23" s="23">
        <f t="shared" si="1"/>
        <v>532</v>
      </c>
      <c r="M23" s="24">
        <v>1165</v>
      </c>
      <c r="N23" s="25">
        <f t="shared" si="2"/>
        <v>141</v>
      </c>
      <c r="O23" s="24">
        <v>3513</v>
      </c>
      <c r="P23" s="23">
        <f t="shared" si="3"/>
        <v>391</v>
      </c>
      <c r="Q23" s="26">
        <v>3258</v>
      </c>
      <c r="R23" s="23">
        <f t="shared" si="4"/>
        <v>655</v>
      </c>
      <c r="S23" s="27" t="s">
        <v>19</v>
      </c>
      <c r="T23" s="19" t="s">
        <v>52</v>
      </c>
    </row>
    <row r="24" spans="1:20" ht="37.5" customHeight="1" x14ac:dyDescent="0.25">
      <c r="A24" s="19" t="s">
        <v>54</v>
      </c>
      <c r="B24">
        <f t="shared" si="5"/>
        <v>29558</v>
      </c>
      <c r="C24">
        <v>5406</v>
      </c>
      <c r="D24">
        <v>24152</v>
      </c>
      <c r="F24">
        <f t="shared" si="0"/>
        <v>391</v>
      </c>
      <c r="G24" s="20">
        <f t="shared" si="6"/>
        <v>19</v>
      </c>
      <c r="H24" s="21">
        <v>66616020463</v>
      </c>
      <c r="I24" s="22" t="s">
        <v>55</v>
      </c>
      <c r="J24" s="23"/>
      <c r="K24" s="24">
        <v>29167</v>
      </c>
      <c r="L24" s="23">
        <f t="shared" si="1"/>
        <v>391</v>
      </c>
      <c r="M24" s="24">
        <v>5330</v>
      </c>
      <c r="N24" s="25">
        <f t="shared" si="2"/>
        <v>76</v>
      </c>
      <c r="O24" s="24">
        <v>23837</v>
      </c>
      <c r="P24" s="23">
        <f t="shared" si="3"/>
        <v>315</v>
      </c>
      <c r="Q24" s="26"/>
      <c r="R24" s="23">
        <f t="shared" si="4"/>
        <v>0</v>
      </c>
      <c r="S24" s="27" t="s">
        <v>19</v>
      </c>
      <c r="T24" s="19" t="s">
        <v>54</v>
      </c>
    </row>
    <row r="25" spans="1:20" ht="37.5" customHeight="1" x14ac:dyDescent="0.25">
      <c r="A25" s="19" t="s">
        <v>56</v>
      </c>
      <c r="B25">
        <f t="shared" si="5"/>
        <v>69182</v>
      </c>
      <c r="C25">
        <v>12817</v>
      </c>
      <c r="D25">
        <v>56365</v>
      </c>
      <c r="F25">
        <f t="shared" si="0"/>
        <v>726</v>
      </c>
      <c r="G25" s="20">
        <f t="shared" si="6"/>
        <v>20</v>
      </c>
      <c r="H25" s="21">
        <v>66618010397</v>
      </c>
      <c r="I25" s="22" t="s">
        <v>57</v>
      </c>
      <c r="J25" s="23"/>
      <c r="K25" s="24">
        <v>68456</v>
      </c>
      <c r="L25" s="23">
        <f t="shared" si="1"/>
        <v>726</v>
      </c>
      <c r="M25" s="24">
        <v>12698</v>
      </c>
      <c r="N25" s="25">
        <f t="shared" si="2"/>
        <v>119</v>
      </c>
      <c r="O25" s="24">
        <v>55758</v>
      </c>
      <c r="P25" s="23">
        <f t="shared" si="3"/>
        <v>607</v>
      </c>
      <c r="Q25" s="26"/>
      <c r="R25" s="23">
        <f t="shared" si="4"/>
        <v>0</v>
      </c>
      <c r="S25" s="27" t="s">
        <v>19</v>
      </c>
      <c r="T25" s="19" t="s">
        <v>56</v>
      </c>
    </row>
    <row r="26" spans="1:20" ht="37.5" customHeight="1" x14ac:dyDescent="0.25">
      <c r="A26" s="19" t="s">
        <v>58</v>
      </c>
      <c r="B26">
        <f t="shared" si="5"/>
        <v>77145</v>
      </c>
      <c r="C26">
        <v>14246</v>
      </c>
      <c r="D26">
        <v>62899</v>
      </c>
      <c r="F26">
        <f t="shared" si="0"/>
        <v>16</v>
      </c>
      <c r="G26" s="20">
        <f t="shared" si="6"/>
        <v>21</v>
      </c>
      <c r="H26" s="21">
        <v>23014060296</v>
      </c>
      <c r="I26" s="22" t="s">
        <v>59</v>
      </c>
      <c r="J26" s="23"/>
      <c r="K26" s="24">
        <v>77129</v>
      </c>
      <c r="L26" s="23">
        <f t="shared" si="1"/>
        <v>16</v>
      </c>
      <c r="M26" s="24">
        <v>14243</v>
      </c>
      <c r="N26" s="25">
        <f t="shared" si="2"/>
        <v>3</v>
      </c>
      <c r="O26" s="24">
        <v>62886</v>
      </c>
      <c r="P26" s="23">
        <f t="shared" si="3"/>
        <v>13</v>
      </c>
      <c r="Q26" s="26"/>
      <c r="R26" s="23">
        <f t="shared" si="4"/>
        <v>0</v>
      </c>
      <c r="S26" s="27" t="s">
        <v>19</v>
      </c>
      <c r="T26" s="19" t="s">
        <v>58</v>
      </c>
    </row>
    <row r="27" spans="1:20" ht="37.5" customHeight="1" x14ac:dyDescent="0.25">
      <c r="A27" s="19" t="s">
        <v>60</v>
      </c>
      <c r="B27">
        <f t="shared" si="5"/>
        <v>18508</v>
      </c>
      <c r="C27">
        <v>3548</v>
      </c>
      <c r="D27">
        <v>14960</v>
      </c>
      <c r="F27">
        <f t="shared" si="0"/>
        <v>82</v>
      </c>
      <c r="G27" s="20">
        <f t="shared" si="6"/>
        <v>22</v>
      </c>
      <c r="H27" s="21">
        <v>88820060190</v>
      </c>
      <c r="I27" s="22" t="s">
        <v>61</v>
      </c>
      <c r="J27" s="23"/>
      <c r="K27" s="24">
        <v>18426</v>
      </c>
      <c r="L27" s="23">
        <f t="shared" si="1"/>
        <v>82</v>
      </c>
      <c r="M27" s="24">
        <v>3533</v>
      </c>
      <c r="N27" s="25">
        <f t="shared" si="2"/>
        <v>15</v>
      </c>
      <c r="O27" s="24">
        <v>14893</v>
      </c>
      <c r="P27" s="23">
        <f t="shared" si="3"/>
        <v>67</v>
      </c>
      <c r="Q27" s="26"/>
      <c r="R27" s="23">
        <f t="shared" si="4"/>
        <v>0</v>
      </c>
      <c r="S27" s="27" t="s">
        <v>19</v>
      </c>
      <c r="T27" s="19" t="s">
        <v>60</v>
      </c>
    </row>
    <row r="28" spans="1:20" ht="37.5" customHeight="1" x14ac:dyDescent="0.25">
      <c r="A28" s="19" t="s">
        <v>62</v>
      </c>
      <c r="B28">
        <f t="shared" si="5"/>
        <v>64240</v>
      </c>
      <c r="C28">
        <v>11274</v>
      </c>
      <c r="D28">
        <v>52966</v>
      </c>
      <c r="F28">
        <f t="shared" si="0"/>
        <v>213</v>
      </c>
      <c r="G28" s="20">
        <f t="shared" si="6"/>
        <v>23</v>
      </c>
      <c r="H28" s="21">
        <v>66616031351</v>
      </c>
      <c r="I28" s="22" t="s">
        <v>63</v>
      </c>
      <c r="J28" s="23"/>
      <c r="K28" s="24">
        <v>64027</v>
      </c>
      <c r="L28" s="23">
        <f t="shared" si="1"/>
        <v>213</v>
      </c>
      <c r="M28" s="24">
        <v>11243</v>
      </c>
      <c r="N28" s="25">
        <f t="shared" si="2"/>
        <v>31</v>
      </c>
      <c r="O28" s="24">
        <v>52784</v>
      </c>
      <c r="P28" s="23">
        <f t="shared" si="3"/>
        <v>182</v>
      </c>
      <c r="Q28" s="26"/>
      <c r="R28" s="23">
        <f t="shared" si="4"/>
        <v>0</v>
      </c>
      <c r="S28" s="27" t="s">
        <v>19</v>
      </c>
      <c r="T28" s="19" t="s">
        <v>62</v>
      </c>
    </row>
    <row r="29" spans="1:20" ht="37.5" customHeight="1" x14ac:dyDescent="0.25">
      <c r="A29" s="19" t="s">
        <v>64</v>
      </c>
      <c r="B29">
        <f t="shared" si="5"/>
        <v>21517</v>
      </c>
      <c r="C29">
        <v>3838</v>
      </c>
      <c r="D29">
        <v>17679</v>
      </c>
      <c r="F29">
        <f t="shared" si="0"/>
        <v>509</v>
      </c>
      <c r="G29" s="20">
        <f t="shared" si="6"/>
        <v>24</v>
      </c>
      <c r="H29" s="21">
        <v>88820020119</v>
      </c>
      <c r="I29" s="22" t="s">
        <v>65</v>
      </c>
      <c r="J29" s="23"/>
      <c r="K29" s="24">
        <v>21008</v>
      </c>
      <c r="L29" s="23">
        <f t="shared" si="1"/>
        <v>509</v>
      </c>
      <c r="M29" s="24">
        <v>3755</v>
      </c>
      <c r="N29" s="25">
        <f t="shared" si="2"/>
        <v>83</v>
      </c>
      <c r="O29" s="24">
        <v>17253</v>
      </c>
      <c r="P29" s="23">
        <f t="shared" si="3"/>
        <v>426</v>
      </c>
      <c r="Q29" s="26"/>
      <c r="R29" s="23">
        <f t="shared" si="4"/>
        <v>0</v>
      </c>
      <c r="S29" s="27" t="s">
        <v>19</v>
      </c>
      <c r="T29" s="19" t="s">
        <v>64</v>
      </c>
    </row>
    <row r="30" spans="1:20" ht="37.5" customHeight="1" x14ac:dyDescent="0.25">
      <c r="A30" s="19" t="s">
        <v>66</v>
      </c>
      <c r="B30">
        <f t="shared" si="5"/>
        <v>17369</v>
      </c>
      <c r="C30">
        <v>4082</v>
      </c>
      <c r="D30">
        <v>13287</v>
      </c>
      <c r="F30">
        <f t="shared" si="0"/>
        <v>270</v>
      </c>
      <c r="G30" s="20">
        <f t="shared" si="6"/>
        <v>25</v>
      </c>
      <c r="H30" s="21">
        <v>88820010451</v>
      </c>
      <c r="I30" s="22" t="s">
        <v>67</v>
      </c>
      <c r="J30" s="23"/>
      <c r="K30" s="24">
        <v>17099</v>
      </c>
      <c r="L30" s="23">
        <f t="shared" si="1"/>
        <v>270</v>
      </c>
      <c r="M30" s="24">
        <v>4008</v>
      </c>
      <c r="N30" s="25">
        <f t="shared" si="2"/>
        <v>74</v>
      </c>
      <c r="O30" s="24">
        <v>13091</v>
      </c>
      <c r="P30" s="23">
        <f t="shared" si="3"/>
        <v>196</v>
      </c>
      <c r="Q30" s="26"/>
      <c r="R30" s="23">
        <f t="shared" si="4"/>
        <v>0</v>
      </c>
      <c r="S30" s="27" t="s">
        <v>19</v>
      </c>
      <c r="T30" s="19" t="s">
        <v>66</v>
      </c>
    </row>
    <row r="31" spans="1:20" ht="37.5" customHeight="1" x14ac:dyDescent="0.25">
      <c r="A31" s="19" t="s">
        <v>68</v>
      </c>
      <c r="B31">
        <f t="shared" si="5"/>
        <v>46397</v>
      </c>
      <c r="C31">
        <v>7922</v>
      </c>
      <c r="D31">
        <v>38475</v>
      </c>
      <c r="F31">
        <f t="shared" si="0"/>
        <v>161</v>
      </c>
      <c r="G31" s="20">
        <f t="shared" si="6"/>
        <v>26</v>
      </c>
      <c r="H31" s="21">
        <v>23014060785</v>
      </c>
      <c r="I31" s="22" t="s">
        <v>69</v>
      </c>
      <c r="J31" s="23"/>
      <c r="K31" s="24">
        <v>46236</v>
      </c>
      <c r="L31" s="23">
        <f t="shared" si="1"/>
        <v>161</v>
      </c>
      <c r="M31" s="24">
        <v>7894</v>
      </c>
      <c r="N31" s="25">
        <f t="shared" si="2"/>
        <v>28</v>
      </c>
      <c r="O31" s="24">
        <v>38342</v>
      </c>
      <c r="P31" s="23">
        <f t="shared" si="3"/>
        <v>133</v>
      </c>
      <c r="Q31" s="26"/>
      <c r="R31" s="23">
        <f t="shared" si="4"/>
        <v>0</v>
      </c>
      <c r="S31" s="27" t="s">
        <v>19</v>
      </c>
      <c r="T31" s="19" t="s">
        <v>68</v>
      </c>
    </row>
    <row r="32" spans="1:20" ht="37.5" customHeight="1" x14ac:dyDescent="0.25">
      <c r="A32" s="19" t="s">
        <v>70</v>
      </c>
      <c r="B32">
        <f t="shared" si="5"/>
        <v>59032</v>
      </c>
      <c r="C32">
        <v>11330</v>
      </c>
      <c r="D32">
        <v>47702</v>
      </c>
      <c r="F32">
        <f t="shared" si="0"/>
        <v>138</v>
      </c>
      <c r="G32" s="20">
        <f t="shared" si="6"/>
        <v>27</v>
      </c>
      <c r="H32" s="21">
        <v>23014010307</v>
      </c>
      <c r="I32" s="22" t="s">
        <v>71</v>
      </c>
      <c r="J32" s="23"/>
      <c r="K32" s="24">
        <v>58894</v>
      </c>
      <c r="L32" s="23">
        <f t="shared" si="1"/>
        <v>138</v>
      </c>
      <c r="M32" s="24">
        <v>11308</v>
      </c>
      <c r="N32" s="25">
        <f t="shared" si="2"/>
        <v>22</v>
      </c>
      <c r="O32" s="24">
        <v>47586</v>
      </c>
      <c r="P32" s="23">
        <f t="shared" si="3"/>
        <v>116</v>
      </c>
      <c r="Q32" s="26"/>
      <c r="R32" s="23">
        <f t="shared" si="4"/>
        <v>0</v>
      </c>
      <c r="S32" s="27" t="s">
        <v>19</v>
      </c>
      <c r="T32" s="19" t="s">
        <v>70</v>
      </c>
    </row>
    <row r="33" spans="1:20" ht="37.5" customHeight="1" x14ac:dyDescent="0.25">
      <c r="A33" s="19" t="s">
        <v>72</v>
      </c>
      <c r="B33">
        <f t="shared" si="5"/>
        <v>13591</v>
      </c>
      <c r="C33">
        <v>3362</v>
      </c>
      <c r="D33">
        <v>10229</v>
      </c>
      <c r="E33">
        <v>14089</v>
      </c>
      <c r="F33">
        <f t="shared" si="0"/>
        <v>741</v>
      </c>
      <c r="G33" s="20">
        <f t="shared" si="6"/>
        <v>28</v>
      </c>
      <c r="H33" s="21">
        <v>99723060151</v>
      </c>
      <c r="I33" s="22" t="s">
        <v>73</v>
      </c>
      <c r="J33" s="23"/>
      <c r="K33" s="24">
        <f>M33+O33</f>
        <v>12850</v>
      </c>
      <c r="L33" s="23">
        <f t="shared" si="1"/>
        <v>741</v>
      </c>
      <c r="M33" s="24">
        <v>3182</v>
      </c>
      <c r="N33" s="25">
        <f t="shared" si="2"/>
        <v>180</v>
      </c>
      <c r="O33" s="24">
        <v>9668</v>
      </c>
      <c r="P33" s="23">
        <f t="shared" si="3"/>
        <v>561</v>
      </c>
      <c r="Q33" s="26">
        <v>12964</v>
      </c>
      <c r="R33" s="23">
        <f t="shared" si="4"/>
        <v>1125</v>
      </c>
      <c r="S33" s="27" t="s">
        <v>19</v>
      </c>
      <c r="T33" s="19" t="s">
        <v>72</v>
      </c>
    </row>
    <row r="34" spans="1:20" ht="37.5" customHeight="1" x14ac:dyDescent="0.25">
      <c r="A34" s="19" t="s">
        <v>74</v>
      </c>
      <c r="B34">
        <f t="shared" si="5"/>
        <v>19632</v>
      </c>
      <c r="C34">
        <v>3203</v>
      </c>
      <c r="D34">
        <v>16429</v>
      </c>
      <c r="F34">
        <f t="shared" si="0"/>
        <v>408</v>
      </c>
      <c r="G34" s="20">
        <f t="shared" si="6"/>
        <v>29</v>
      </c>
      <c r="H34" s="21">
        <v>88821080101</v>
      </c>
      <c r="I34" s="22" t="s">
        <v>75</v>
      </c>
      <c r="J34" s="23"/>
      <c r="K34" s="24">
        <v>19224</v>
      </c>
      <c r="L34" s="23">
        <f t="shared" si="1"/>
        <v>408</v>
      </c>
      <c r="M34" s="24">
        <v>3134</v>
      </c>
      <c r="N34" s="25">
        <f t="shared" si="2"/>
        <v>69</v>
      </c>
      <c r="O34" s="24">
        <v>16090</v>
      </c>
      <c r="P34" s="23">
        <f t="shared" si="3"/>
        <v>339</v>
      </c>
      <c r="Q34" s="26"/>
      <c r="R34" s="23">
        <f t="shared" si="4"/>
        <v>0</v>
      </c>
      <c r="S34" s="27" t="s">
        <v>19</v>
      </c>
      <c r="T34" s="19" t="s">
        <v>74</v>
      </c>
    </row>
    <row r="35" spans="1:20" ht="37.5" customHeight="1" x14ac:dyDescent="0.25">
      <c r="A35" s="19" t="s">
        <v>76</v>
      </c>
      <c r="B35">
        <f t="shared" si="5"/>
        <v>7708</v>
      </c>
      <c r="C35">
        <v>1198</v>
      </c>
      <c r="D35">
        <v>6510</v>
      </c>
      <c r="F35">
        <f t="shared" si="0"/>
        <v>285</v>
      </c>
      <c r="G35" s="20">
        <f t="shared" si="6"/>
        <v>30</v>
      </c>
      <c r="H35" s="21">
        <v>66622020219</v>
      </c>
      <c r="I35" s="22" t="s">
        <v>77</v>
      </c>
      <c r="J35" s="23"/>
      <c r="K35" s="24">
        <v>7423</v>
      </c>
      <c r="L35" s="23">
        <f t="shared" si="1"/>
        <v>285</v>
      </c>
      <c r="M35" s="24">
        <v>1148</v>
      </c>
      <c r="N35" s="25">
        <f t="shared" si="2"/>
        <v>50</v>
      </c>
      <c r="O35" s="24">
        <v>6275</v>
      </c>
      <c r="P35" s="23">
        <f t="shared" si="3"/>
        <v>235</v>
      </c>
      <c r="Q35" s="26"/>
      <c r="R35" s="23">
        <f t="shared" si="4"/>
        <v>0</v>
      </c>
      <c r="S35" s="27" t="s">
        <v>19</v>
      </c>
      <c r="T35" s="19" t="s">
        <v>76</v>
      </c>
    </row>
    <row r="36" spans="1:20" ht="37.5" customHeight="1" x14ac:dyDescent="0.25">
      <c r="A36" s="19" t="s">
        <v>78</v>
      </c>
      <c r="B36">
        <f t="shared" si="5"/>
        <v>94580</v>
      </c>
      <c r="C36">
        <v>16224</v>
      </c>
      <c r="D36">
        <v>78356</v>
      </c>
      <c r="F36">
        <f t="shared" si="0"/>
        <v>1146</v>
      </c>
      <c r="G36" s="20">
        <f t="shared" si="6"/>
        <v>31</v>
      </c>
      <c r="H36" s="21">
        <v>23015100882</v>
      </c>
      <c r="I36" s="22" t="s">
        <v>79</v>
      </c>
      <c r="J36" s="23"/>
      <c r="K36" s="24">
        <v>93434</v>
      </c>
      <c r="L36" s="23">
        <f t="shared" si="1"/>
        <v>1146</v>
      </c>
      <c r="M36" s="24">
        <v>16000</v>
      </c>
      <c r="N36" s="25">
        <f t="shared" si="2"/>
        <v>224</v>
      </c>
      <c r="O36" s="24">
        <v>77434</v>
      </c>
      <c r="P36" s="23">
        <f t="shared" si="3"/>
        <v>922</v>
      </c>
      <c r="Q36" s="26"/>
      <c r="R36" s="23">
        <f t="shared" si="4"/>
        <v>0</v>
      </c>
      <c r="S36" s="27" t="s">
        <v>19</v>
      </c>
      <c r="T36" s="19" t="s">
        <v>78</v>
      </c>
    </row>
    <row r="37" spans="1:20" ht="37.5" customHeight="1" x14ac:dyDescent="0.25">
      <c r="A37" s="19" t="s">
        <v>80</v>
      </c>
      <c r="B37">
        <f t="shared" si="5"/>
        <v>31340</v>
      </c>
      <c r="C37">
        <v>5894</v>
      </c>
      <c r="D37">
        <v>25446</v>
      </c>
      <c r="F37">
        <f t="shared" si="0"/>
        <v>533</v>
      </c>
      <c r="G37" s="20">
        <f t="shared" si="6"/>
        <v>32</v>
      </c>
      <c r="H37" s="21">
        <v>66622020225</v>
      </c>
      <c r="I37" s="22" t="s">
        <v>81</v>
      </c>
      <c r="J37" s="23"/>
      <c r="K37" s="24">
        <v>30807</v>
      </c>
      <c r="L37" s="23">
        <f t="shared" si="1"/>
        <v>533</v>
      </c>
      <c r="M37" s="24">
        <v>5795</v>
      </c>
      <c r="N37" s="25">
        <f t="shared" si="2"/>
        <v>99</v>
      </c>
      <c r="O37" s="24">
        <v>25012</v>
      </c>
      <c r="P37" s="23">
        <f t="shared" si="3"/>
        <v>434</v>
      </c>
      <c r="Q37" s="26"/>
      <c r="R37" s="23">
        <f t="shared" si="4"/>
        <v>0</v>
      </c>
      <c r="S37" s="27" t="s">
        <v>19</v>
      </c>
      <c r="T37" s="19" t="s">
        <v>80</v>
      </c>
    </row>
    <row r="38" spans="1:20" ht="37.5" customHeight="1" x14ac:dyDescent="0.25">
      <c r="A38" s="19" t="s">
        <v>82</v>
      </c>
      <c r="B38">
        <f t="shared" si="5"/>
        <v>52430</v>
      </c>
      <c r="C38">
        <v>9231</v>
      </c>
      <c r="D38">
        <v>43199</v>
      </c>
      <c r="F38">
        <f t="shared" si="0"/>
        <v>589</v>
      </c>
      <c r="G38" s="20">
        <f t="shared" si="6"/>
        <v>33</v>
      </c>
      <c r="H38" s="21">
        <v>66616031054</v>
      </c>
      <c r="I38" s="22" t="s">
        <v>83</v>
      </c>
      <c r="J38" s="23"/>
      <c r="K38" s="24">
        <v>51841</v>
      </c>
      <c r="L38" s="23">
        <f t="shared" si="1"/>
        <v>589</v>
      </c>
      <c r="M38" s="24">
        <v>9125</v>
      </c>
      <c r="N38" s="25">
        <f t="shared" si="2"/>
        <v>106</v>
      </c>
      <c r="O38" s="24">
        <v>42716</v>
      </c>
      <c r="P38" s="23">
        <f t="shared" si="3"/>
        <v>483</v>
      </c>
      <c r="Q38" s="26"/>
      <c r="R38" s="23">
        <f t="shared" si="4"/>
        <v>0</v>
      </c>
      <c r="S38" s="27" t="s">
        <v>19</v>
      </c>
      <c r="T38" s="19" t="s">
        <v>82</v>
      </c>
    </row>
    <row r="39" spans="1:20" ht="37.5" customHeight="1" x14ac:dyDescent="0.25">
      <c r="A39" s="19" t="s">
        <v>84</v>
      </c>
      <c r="B39">
        <f t="shared" si="5"/>
        <v>3444</v>
      </c>
      <c r="C39">
        <v>393</v>
      </c>
      <c r="D39">
        <v>3051</v>
      </c>
      <c r="F39">
        <f t="shared" si="0"/>
        <v>18</v>
      </c>
      <c r="G39" s="20">
        <f t="shared" si="6"/>
        <v>34</v>
      </c>
      <c r="H39" s="21">
        <v>66621010085</v>
      </c>
      <c r="I39" s="22" t="s">
        <v>85</v>
      </c>
      <c r="J39" s="23"/>
      <c r="K39" s="24">
        <v>3426</v>
      </c>
      <c r="L39" s="23">
        <f t="shared" si="1"/>
        <v>18</v>
      </c>
      <c r="M39" s="24">
        <v>389</v>
      </c>
      <c r="N39" s="25">
        <f t="shared" si="2"/>
        <v>4</v>
      </c>
      <c r="O39" s="24">
        <v>3037</v>
      </c>
      <c r="P39" s="23">
        <f t="shared" si="3"/>
        <v>14</v>
      </c>
      <c r="Q39" s="26"/>
      <c r="R39" s="23">
        <f t="shared" si="4"/>
        <v>0</v>
      </c>
      <c r="S39" s="27" t="s">
        <v>19</v>
      </c>
      <c r="T39" s="19" t="s">
        <v>84</v>
      </c>
    </row>
    <row r="40" spans="1:20" ht="37.5" customHeight="1" x14ac:dyDescent="0.25">
      <c r="A40" s="19" t="s">
        <v>86</v>
      </c>
      <c r="B40">
        <f t="shared" si="5"/>
        <v>8550</v>
      </c>
      <c r="C40">
        <v>2319</v>
      </c>
      <c r="D40">
        <v>6231</v>
      </c>
      <c r="E40">
        <v>14764</v>
      </c>
      <c r="F40">
        <f t="shared" si="0"/>
        <v>471</v>
      </c>
      <c r="G40" s="20">
        <f t="shared" si="6"/>
        <v>35</v>
      </c>
      <c r="H40" s="21">
        <v>99723060079</v>
      </c>
      <c r="I40" s="22" t="s">
        <v>87</v>
      </c>
      <c r="J40" s="23"/>
      <c r="K40" s="24">
        <f>M40+O40</f>
        <v>8079</v>
      </c>
      <c r="L40" s="23">
        <f t="shared" si="1"/>
        <v>471</v>
      </c>
      <c r="M40" s="24">
        <v>2184</v>
      </c>
      <c r="N40" s="25">
        <f t="shared" si="2"/>
        <v>135</v>
      </c>
      <c r="O40" s="24">
        <v>5895</v>
      </c>
      <c r="P40" s="23">
        <f t="shared" si="3"/>
        <v>336</v>
      </c>
      <c r="Q40" s="26">
        <v>13794</v>
      </c>
      <c r="R40" s="23">
        <f t="shared" si="4"/>
        <v>970</v>
      </c>
      <c r="S40" s="27" t="s">
        <v>19</v>
      </c>
      <c r="T40" s="19" t="s">
        <v>86</v>
      </c>
    </row>
    <row r="41" spans="1:20" ht="37.5" customHeight="1" x14ac:dyDescent="0.25">
      <c r="A41" s="19" t="s">
        <v>88</v>
      </c>
      <c r="B41">
        <f t="shared" si="5"/>
        <v>47128</v>
      </c>
      <c r="C41">
        <v>8608</v>
      </c>
      <c r="D41">
        <v>38520</v>
      </c>
      <c r="F41">
        <f t="shared" si="0"/>
        <v>96</v>
      </c>
      <c r="G41" s="20">
        <f t="shared" si="6"/>
        <v>36</v>
      </c>
      <c r="H41" s="21">
        <v>23014060397</v>
      </c>
      <c r="I41" s="22" t="s">
        <v>89</v>
      </c>
      <c r="J41" s="23"/>
      <c r="K41" s="24">
        <v>47032</v>
      </c>
      <c r="L41" s="23">
        <f t="shared" si="1"/>
        <v>96</v>
      </c>
      <c r="M41" s="24">
        <v>8583</v>
      </c>
      <c r="N41" s="25">
        <f t="shared" si="2"/>
        <v>25</v>
      </c>
      <c r="O41" s="24">
        <v>38449</v>
      </c>
      <c r="P41" s="23">
        <f t="shared" si="3"/>
        <v>71</v>
      </c>
      <c r="Q41" s="26"/>
      <c r="R41" s="23">
        <f t="shared" si="4"/>
        <v>0</v>
      </c>
      <c r="S41" s="27" t="s">
        <v>19</v>
      </c>
      <c r="T41" s="19" t="s">
        <v>88</v>
      </c>
    </row>
    <row r="42" spans="1:20" ht="37.5" customHeight="1" x14ac:dyDescent="0.25">
      <c r="A42" s="19" t="s">
        <v>90</v>
      </c>
      <c r="B42">
        <f t="shared" si="5"/>
        <v>9399</v>
      </c>
      <c r="C42">
        <v>1566</v>
      </c>
      <c r="D42">
        <v>7833</v>
      </c>
      <c r="E42">
        <v>7646</v>
      </c>
      <c r="F42">
        <f t="shared" si="0"/>
        <v>605</v>
      </c>
      <c r="G42" s="20">
        <f t="shared" si="6"/>
        <v>37</v>
      </c>
      <c r="H42" s="21">
        <v>99624010115</v>
      </c>
      <c r="I42" s="22" t="s">
        <v>91</v>
      </c>
      <c r="J42" s="23"/>
      <c r="K42" s="24">
        <f>M42+O42</f>
        <v>8794</v>
      </c>
      <c r="L42" s="23">
        <f t="shared" si="1"/>
        <v>605</v>
      </c>
      <c r="M42" s="24">
        <v>1433</v>
      </c>
      <c r="N42" s="25">
        <f t="shared" si="2"/>
        <v>133</v>
      </c>
      <c r="O42" s="24">
        <v>7361</v>
      </c>
      <c r="P42" s="23">
        <f t="shared" si="3"/>
        <v>472</v>
      </c>
      <c r="Q42" s="26">
        <v>6763</v>
      </c>
      <c r="R42" s="23">
        <f t="shared" si="4"/>
        <v>883</v>
      </c>
      <c r="S42" s="27" t="s">
        <v>19</v>
      </c>
      <c r="T42" s="19" t="s">
        <v>90</v>
      </c>
    </row>
    <row r="43" spans="1:20" ht="37.5" customHeight="1" x14ac:dyDescent="0.25">
      <c r="A43" s="19" t="s">
        <v>92</v>
      </c>
      <c r="B43">
        <f t="shared" si="5"/>
        <v>23281</v>
      </c>
      <c r="C43">
        <v>4017</v>
      </c>
      <c r="D43">
        <v>19264</v>
      </c>
      <c r="F43">
        <f t="shared" si="0"/>
        <v>452</v>
      </c>
      <c r="G43" s="20">
        <f t="shared" si="6"/>
        <v>38</v>
      </c>
      <c r="H43" s="21">
        <v>66622020224</v>
      </c>
      <c r="I43" s="22" t="s">
        <v>93</v>
      </c>
      <c r="J43" s="23"/>
      <c r="K43" s="24">
        <v>22829</v>
      </c>
      <c r="L43" s="23">
        <f t="shared" si="1"/>
        <v>452</v>
      </c>
      <c r="M43" s="24">
        <v>3938</v>
      </c>
      <c r="N43" s="25">
        <f t="shared" si="2"/>
        <v>79</v>
      </c>
      <c r="O43" s="24">
        <v>18891</v>
      </c>
      <c r="P43" s="23">
        <f t="shared" si="3"/>
        <v>373</v>
      </c>
      <c r="Q43" s="26"/>
      <c r="R43" s="23">
        <f t="shared" si="4"/>
        <v>0</v>
      </c>
      <c r="S43" s="27" t="s">
        <v>19</v>
      </c>
      <c r="T43" s="19" t="s">
        <v>92</v>
      </c>
    </row>
    <row r="44" spans="1:20" ht="37.5" customHeight="1" x14ac:dyDescent="0.25">
      <c r="A44" s="19" t="s">
        <v>94</v>
      </c>
      <c r="B44">
        <f t="shared" si="5"/>
        <v>25789</v>
      </c>
      <c r="C44">
        <v>4355</v>
      </c>
      <c r="D44">
        <v>21434</v>
      </c>
      <c r="F44">
        <f t="shared" si="0"/>
        <v>254</v>
      </c>
      <c r="G44" s="20">
        <f t="shared" si="6"/>
        <v>39</v>
      </c>
      <c r="H44" s="21">
        <v>66621030083</v>
      </c>
      <c r="I44" s="22" t="s">
        <v>95</v>
      </c>
      <c r="J44" s="23"/>
      <c r="K44" s="24">
        <v>25535</v>
      </c>
      <c r="L44" s="23">
        <f t="shared" si="1"/>
        <v>254</v>
      </c>
      <c r="M44" s="24">
        <v>4310</v>
      </c>
      <c r="N44" s="25">
        <f t="shared" si="2"/>
        <v>45</v>
      </c>
      <c r="O44" s="24">
        <v>21225</v>
      </c>
      <c r="P44" s="23">
        <f t="shared" si="3"/>
        <v>209</v>
      </c>
      <c r="Q44" s="26"/>
      <c r="R44" s="23">
        <f t="shared" si="4"/>
        <v>0</v>
      </c>
      <c r="S44" s="27" t="s">
        <v>19</v>
      </c>
      <c r="T44" s="19" t="s">
        <v>94</v>
      </c>
    </row>
    <row r="45" spans="1:20" ht="37.5" customHeight="1" x14ac:dyDescent="0.25">
      <c r="A45" s="19" t="s">
        <v>96</v>
      </c>
      <c r="B45">
        <f t="shared" si="5"/>
        <v>4621</v>
      </c>
      <c r="C45">
        <v>938</v>
      </c>
      <c r="D45">
        <v>3683</v>
      </c>
      <c r="E45">
        <v>5835</v>
      </c>
      <c r="F45">
        <f t="shared" si="0"/>
        <v>453</v>
      </c>
      <c r="G45" s="20">
        <f t="shared" si="6"/>
        <v>40</v>
      </c>
      <c r="H45" s="21">
        <v>99624030228</v>
      </c>
      <c r="I45" s="22" t="s">
        <v>97</v>
      </c>
      <c r="J45" s="23"/>
      <c r="K45" s="24">
        <f>M45+O45</f>
        <v>4168</v>
      </c>
      <c r="L45" s="23">
        <f t="shared" si="1"/>
        <v>453</v>
      </c>
      <c r="M45" s="24">
        <v>837</v>
      </c>
      <c r="N45" s="25">
        <f t="shared" si="2"/>
        <v>101</v>
      </c>
      <c r="O45" s="24">
        <v>3331</v>
      </c>
      <c r="P45" s="23">
        <f t="shared" si="3"/>
        <v>352</v>
      </c>
      <c r="Q45" s="26">
        <v>4784</v>
      </c>
      <c r="R45" s="23">
        <f t="shared" si="4"/>
        <v>1051</v>
      </c>
      <c r="S45" s="27" t="s">
        <v>19</v>
      </c>
      <c r="T45" s="19" t="s">
        <v>96</v>
      </c>
    </row>
    <row r="46" spans="1:20" ht="37.5" customHeight="1" x14ac:dyDescent="0.25">
      <c r="A46" s="19" t="s">
        <v>98</v>
      </c>
      <c r="B46">
        <f t="shared" si="5"/>
        <v>115248</v>
      </c>
      <c r="C46">
        <v>20895</v>
      </c>
      <c r="D46">
        <v>94353</v>
      </c>
      <c r="F46">
        <f t="shared" si="0"/>
        <v>755</v>
      </c>
      <c r="G46" s="20">
        <f t="shared" si="6"/>
        <v>41</v>
      </c>
      <c r="H46" s="21">
        <v>23015101180</v>
      </c>
      <c r="I46" s="22" t="s">
        <v>99</v>
      </c>
      <c r="J46" s="23"/>
      <c r="K46" s="24">
        <v>114493</v>
      </c>
      <c r="L46" s="23">
        <f t="shared" si="1"/>
        <v>755</v>
      </c>
      <c r="M46" s="24">
        <v>20776</v>
      </c>
      <c r="N46" s="25">
        <f t="shared" si="2"/>
        <v>119</v>
      </c>
      <c r="O46" s="24">
        <v>93717</v>
      </c>
      <c r="P46" s="23">
        <f t="shared" si="3"/>
        <v>636</v>
      </c>
      <c r="Q46" s="26"/>
      <c r="R46" s="23">
        <f t="shared" si="4"/>
        <v>0</v>
      </c>
      <c r="S46" s="27" t="s">
        <v>19</v>
      </c>
      <c r="T46" s="19" t="s">
        <v>98</v>
      </c>
    </row>
    <row r="47" spans="1:20" ht="37.5" customHeight="1" x14ac:dyDescent="0.25">
      <c r="A47" s="19" t="s">
        <v>100</v>
      </c>
      <c r="B47">
        <f t="shared" si="5"/>
        <v>68195</v>
      </c>
      <c r="C47">
        <v>11458</v>
      </c>
      <c r="D47">
        <v>56737</v>
      </c>
      <c r="F47">
        <f t="shared" si="0"/>
        <v>936</v>
      </c>
      <c r="G47" s="20">
        <f t="shared" si="6"/>
        <v>42</v>
      </c>
      <c r="H47" s="21">
        <v>66616020354</v>
      </c>
      <c r="I47" s="22" t="s">
        <v>101</v>
      </c>
      <c r="J47" s="23"/>
      <c r="K47" s="24">
        <v>67259</v>
      </c>
      <c r="L47" s="23">
        <f t="shared" si="1"/>
        <v>936</v>
      </c>
      <c r="M47" s="24">
        <v>11304</v>
      </c>
      <c r="N47" s="25">
        <f t="shared" si="2"/>
        <v>154</v>
      </c>
      <c r="O47" s="24">
        <v>55955</v>
      </c>
      <c r="P47" s="23">
        <f t="shared" si="3"/>
        <v>782</v>
      </c>
      <c r="Q47" s="26"/>
      <c r="R47" s="23">
        <f t="shared" si="4"/>
        <v>0</v>
      </c>
      <c r="S47" s="27" t="s">
        <v>19</v>
      </c>
      <c r="T47" s="19" t="s">
        <v>100</v>
      </c>
    </row>
    <row r="48" spans="1:20" ht="37.5" customHeight="1" x14ac:dyDescent="0.25">
      <c r="A48" s="19" t="s">
        <v>102</v>
      </c>
      <c r="B48">
        <f t="shared" si="5"/>
        <v>65560</v>
      </c>
      <c r="C48">
        <v>13157</v>
      </c>
      <c r="D48">
        <v>52403</v>
      </c>
      <c r="F48">
        <f t="shared" si="0"/>
        <v>497</v>
      </c>
      <c r="G48" s="20">
        <f t="shared" si="6"/>
        <v>43</v>
      </c>
      <c r="H48" s="21">
        <v>23015100506</v>
      </c>
      <c r="I48" s="22" t="s">
        <v>103</v>
      </c>
      <c r="J48" s="23"/>
      <c r="K48" s="24">
        <v>65063</v>
      </c>
      <c r="L48" s="23">
        <f t="shared" si="1"/>
        <v>497</v>
      </c>
      <c r="M48" s="24">
        <v>13062</v>
      </c>
      <c r="N48" s="25">
        <f t="shared" si="2"/>
        <v>95</v>
      </c>
      <c r="O48" s="24">
        <v>52001</v>
      </c>
      <c r="P48" s="23">
        <f t="shared" si="3"/>
        <v>402</v>
      </c>
      <c r="Q48" s="26"/>
      <c r="R48" s="23">
        <f t="shared" si="4"/>
        <v>0</v>
      </c>
      <c r="S48" s="27" t="s">
        <v>19</v>
      </c>
      <c r="T48" s="19" t="s">
        <v>102</v>
      </c>
    </row>
    <row r="49" spans="1:20" ht="37.5" customHeight="1" x14ac:dyDescent="0.25">
      <c r="A49" s="19" t="s">
        <v>104</v>
      </c>
      <c r="B49">
        <f t="shared" si="5"/>
        <v>6197</v>
      </c>
      <c r="C49">
        <v>1329</v>
      </c>
      <c r="D49">
        <v>4868</v>
      </c>
      <c r="E49">
        <v>7577</v>
      </c>
      <c r="F49">
        <f t="shared" si="0"/>
        <v>558</v>
      </c>
      <c r="G49" s="20">
        <f t="shared" si="6"/>
        <v>44</v>
      </c>
      <c r="H49" s="21">
        <v>99624010252</v>
      </c>
      <c r="I49" s="22" t="s">
        <v>105</v>
      </c>
      <c r="J49" s="23"/>
      <c r="K49" s="24">
        <f>M49+O49</f>
        <v>5639</v>
      </c>
      <c r="L49" s="23">
        <f t="shared" si="1"/>
        <v>558</v>
      </c>
      <c r="M49" s="24">
        <v>1181</v>
      </c>
      <c r="N49" s="25">
        <f t="shared" si="2"/>
        <v>148</v>
      </c>
      <c r="O49" s="24">
        <v>4458</v>
      </c>
      <c r="P49" s="23">
        <f t="shared" si="3"/>
        <v>410</v>
      </c>
      <c r="Q49" s="26">
        <v>6714</v>
      </c>
      <c r="R49" s="23">
        <f t="shared" si="4"/>
        <v>863</v>
      </c>
      <c r="S49" s="27" t="s">
        <v>19</v>
      </c>
      <c r="T49" s="19" t="s">
        <v>104</v>
      </c>
    </row>
    <row r="50" spans="1:20" ht="37.5" customHeight="1" x14ac:dyDescent="0.25">
      <c r="A50" s="19" t="s">
        <v>106</v>
      </c>
      <c r="B50">
        <f t="shared" si="5"/>
        <v>7933</v>
      </c>
      <c r="C50">
        <v>1919</v>
      </c>
      <c r="D50">
        <v>6014</v>
      </c>
      <c r="E50">
        <v>13952</v>
      </c>
      <c r="F50">
        <f t="shared" si="0"/>
        <v>365</v>
      </c>
      <c r="G50" s="20">
        <f t="shared" si="6"/>
        <v>45</v>
      </c>
      <c r="H50" s="21">
        <v>99723070182</v>
      </c>
      <c r="I50" s="22" t="s">
        <v>107</v>
      </c>
      <c r="J50" s="23"/>
      <c r="K50" s="24">
        <f>M50+O50</f>
        <v>7568</v>
      </c>
      <c r="L50" s="23">
        <f t="shared" si="1"/>
        <v>365</v>
      </c>
      <c r="M50" s="24">
        <v>1816</v>
      </c>
      <c r="N50" s="25">
        <f t="shared" si="2"/>
        <v>103</v>
      </c>
      <c r="O50" s="24">
        <v>5752</v>
      </c>
      <c r="P50" s="23">
        <f t="shared" si="3"/>
        <v>262</v>
      </c>
      <c r="Q50" s="26">
        <v>12876</v>
      </c>
      <c r="R50" s="23">
        <f t="shared" si="4"/>
        <v>1076</v>
      </c>
      <c r="S50" s="27" t="s">
        <v>19</v>
      </c>
      <c r="T50" s="19" t="s">
        <v>106</v>
      </c>
    </row>
    <row r="51" spans="1:20" ht="37.5" customHeight="1" x14ac:dyDescent="0.25">
      <c r="A51" s="19" t="s">
        <v>108</v>
      </c>
      <c r="B51">
        <f t="shared" si="5"/>
        <v>20176</v>
      </c>
      <c r="C51">
        <v>2940</v>
      </c>
      <c r="D51">
        <v>17236</v>
      </c>
      <c r="F51">
        <f t="shared" si="0"/>
        <v>1177</v>
      </c>
      <c r="G51" s="20">
        <f t="shared" si="6"/>
        <v>46</v>
      </c>
      <c r="H51" s="21">
        <v>66623011462</v>
      </c>
      <c r="I51" s="22" t="s">
        <v>109</v>
      </c>
      <c r="J51" s="23"/>
      <c r="K51" s="24">
        <v>18999</v>
      </c>
      <c r="L51" s="23">
        <f t="shared" si="1"/>
        <v>1177</v>
      </c>
      <c r="M51" s="24">
        <v>2763</v>
      </c>
      <c r="N51" s="25">
        <f t="shared" si="2"/>
        <v>177</v>
      </c>
      <c r="O51" s="24">
        <v>16236</v>
      </c>
      <c r="P51" s="23">
        <f t="shared" si="3"/>
        <v>1000</v>
      </c>
      <c r="Q51" s="26"/>
      <c r="R51" s="23">
        <f t="shared" si="4"/>
        <v>0</v>
      </c>
      <c r="S51" s="27" t="s">
        <v>19</v>
      </c>
      <c r="T51" s="19" t="s">
        <v>108</v>
      </c>
    </row>
    <row r="52" spans="1:20" ht="37.5" customHeight="1" x14ac:dyDescent="0.25">
      <c r="A52" s="19" t="s">
        <v>110</v>
      </c>
      <c r="B52">
        <f t="shared" si="5"/>
        <v>4821</v>
      </c>
      <c r="C52">
        <v>1224</v>
      </c>
      <c r="D52">
        <v>3597</v>
      </c>
      <c r="E52">
        <v>9803</v>
      </c>
      <c r="F52">
        <f t="shared" si="0"/>
        <v>204</v>
      </c>
      <c r="G52" s="20">
        <f t="shared" si="6"/>
        <v>47</v>
      </c>
      <c r="H52" s="21">
        <v>99623080413</v>
      </c>
      <c r="I52" s="22" t="s">
        <v>111</v>
      </c>
      <c r="J52" s="23"/>
      <c r="K52" s="24">
        <f>M52+O52</f>
        <v>4617</v>
      </c>
      <c r="L52" s="23">
        <f t="shared" si="1"/>
        <v>204</v>
      </c>
      <c r="M52" s="24">
        <v>1160</v>
      </c>
      <c r="N52" s="25">
        <f t="shared" si="2"/>
        <v>64</v>
      </c>
      <c r="O52" s="24">
        <v>3457</v>
      </c>
      <c r="P52" s="23">
        <f t="shared" si="3"/>
        <v>140</v>
      </c>
      <c r="Q52" s="26">
        <v>8878</v>
      </c>
      <c r="R52" s="23">
        <f t="shared" si="4"/>
        <v>925</v>
      </c>
      <c r="S52" s="27" t="s">
        <v>19</v>
      </c>
      <c r="T52" s="19" t="s">
        <v>110</v>
      </c>
    </row>
    <row r="53" spans="1:20" ht="37.5" customHeight="1" x14ac:dyDescent="0.25">
      <c r="A53" s="19" t="s">
        <v>112</v>
      </c>
      <c r="B53">
        <f t="shared" si="5"/>
        <v>80782</v>
      </c>
      <c r="C53">
        <v>12127</v>
      </c>
      <c r="D53">
        <v>68655</v>
      </c>
      <c r="F53">
        <f t="shared" si="0"/>
        <v>350</v>
      </c>
      <c r="G53" s="20">
        <f t="shared" si="6"/>
        <v>48</v>
      </c>
      <c r="H53" s="21">
        <v>23014040006</v>
      </c>
      <c r="I53" s="22" t="s">
        <v>113</v>
      </c>
      <c r="J53" s="23"/>
      <c r="K53" s="24">
        <v>80432</v>
      </c>
      <c r="L53" s="23">
        <f t="shared" si="1"/>
        <v>350</v>
      </c>
      <c r="M53" s="24">
        <v>12063</v>
      </c>
      <c r="N53" s="25">
        <f t="shared" si="2"/>
        <v>64</v>
      </c>
      <c r="O53" s="24">
        <v>68369</v>
      </c>
      <c r="P53" s="23">
        <f t="shared" si="3"/>
        <v>286</v>
      </c>
      <c r="Q53" s="26"/>
      <c r="R53" s="23">
        <f t="shared" si="4"/>
        <v>0</v>
      </c>
      <c r="S53" s="27" t="s">
        <v>19</v>
      </c>
      <c r="T53" s="19" t="s">
        <v>112</v>
      </c>
    </row>
    <row r="54" spans="1:20" ht="37.5" customHeight="1" x14ac:dyDescent="0.25">
      <c r="A54" s="19" t="s">
        <v>114</v>
      </c>
      <c r="B54">
        <f t="shared" si="5"/>
        <v>64670</v>
      </c>
      <c r="C54">
        <v>11794</v>
      </c>
      <c r="D54">
        <v>52876</v>
      </c>
      <c r="F54">
        <f t="shared" si="0"/>
        <v>821</v>
      </c>
      <c r="G54" s="20">
        <f t="shared" si="6"/>
        <v>49</v>
      </c>
      <c r="H54" s="21">
        <v>66617020460</v>
      </c>
      <c r="I54" s="22" t="s">
        <v>115</v>
      </c>
      <c r="J54" s="23"/>
      <c r="K54" s="24">
        <v>63849</v>
      </c>
      <c r="L54" s="23">
        <f t="shared" si="1"/>
        <v>821</v>
      </c>
      <c r="M54" s="24">
        <v>11643</v>
      </c>
      <c r="N54" s="25">
        <f t="shared" si="2"/>
        <v>151</v>
      </c>
      <c r="O54" s="24">
        <v>52206</v>
      </c>
      <c r="P54" s="23">
        <f t="shared" si="3"/>
        <v>670</v>
      </c>
      <c r="Q54" s="26"/>
      <c r="R54" s="23">
        <f t="shared" si="4"/>
        <v>0</v>
      </c>
      <c r="S54" s="27" t="s">
        <v>19</v>
      </c>
      <c r="T54" s="19" t="s">
        <v>114</v>
      </c>
    </row>
    <row r="55" spans="1:20" ht="37.5" customHeight="1" x14ac:dyDescent="0.25">
      <c r="A55" s="19" t="s">
        <v>116</v>
      </c>
      <c r="B55">
        <f t="shared" si="5"/>
        <v>43956</v>
      </c>
      <c r="C55">
        <v>7983</v>
      </c>
      <c r="D55">
        <v>35973</v>
      </c>
      <c r="F55">
        <f t="shared" si="0"/>
        <v>61</v>
      </c>
      <c r="G55" s="20">
        <f t="shared" si="6"/>
        <v>50</v>
      </c>
      <c r="H55" s="21">
        <v>88818010181</v>
      </c>
      <c r="I55" s="22" t="s">
        <v>117</v>
      </c>
      <c r="J55" s="23"/>
      <c r="K55" s="24">
        <v>43895</v>
      </c>
      <c r="L55" s="23">
        <f t="shared" si="1"/>
        <v>61</v>
      </c>
      <c r="M55" s="24">
        <v>7973</v>
      </c>
      <c r="N55" s="25">
        <f t="shared" si="2"/>
        <v>10</v>
      </c>
      <c r="O55" s="24">
        <v>35922</v>
      </c>
      <c r="P55" s="23">
        <f t="shared" si="3"/>
        <v>51</v>
      </c>
      <c r="Q55" s="26"/>
      <c r="R55" s="23">
        <f t="shared" si="4"/>
        <v>0</v>
      </c>
      <c r="S55" s="27" t="s">
        <v>19</v>
      </c>
      <c r="T55" s="19" t="s">
        <v>116</v>
      </c>
    </row>
    <row r="56" spans="1:20" ht="37.5" customHeight="1" x14ac:dyDescent="0.25">
      <c r="A56" s="19" t="s">
        <v>118</v>
      </c>
      <c r="B56">
        <f t="shared" si="5"/>
        <v>7875</v>
      </c>
      <c r="C56">
        <v>1322</v>
      </c>
      <c r="D56">
        <v>6553</v>
      </c>
      <c r="F56">
        <f t="shared" si="0"/>
        <v>347</v>
      </c>
      <c r="G56" s="20">
        <f t="shared" si="6"/>
        <v>51</v>
      </c>
      <c r="H56" s="21">
        <v>88820010055</v>
      </c>
      <c r="I56" s="22" t="s">
        <v>119</v>
      </c>
      <c r="J56" s="23"/>
      <c r="K56" s="24">
        <v>7528</v>
      </c>
      <c r="L56" s="23">
        <f t="shared" si="1"/>
        <v>347</v>
      </c>
      <c r="M56" s="24">
        <v>1268</v>
      </c>
      <c r="N56" s="25">
        <f t="shared" si="2"/>
        <v>54</v>
      </c>
      <c r="O56" s="24">
        <v>6260</v>
      </c>
      <c r="P56" s="23">
        <f t="shared" si="3"/>
        <v>293</v>
      </c>
      <c r="Q56" s="26"/>
      <c r="R56" s="23">
        <f t="shared" si="4"/>
        <v>0</v>
      </c>
      <c r="S56" s="27" t="s">
        <v>19</v>
      </c>
      <c r="T56" s="19" t="s">
        <v>118</v>
      </c>
    </row>
    <row r="57" spans="1:20" ht="37.5" customHeight="1" x14ac:dyDescent="0.25">
      <c r="A57" s="19" t="s">
        <v>120</v>
      </c>
      <c r="B57">
        <f t="shared" si="5"/>
        <v>42550</v>
      </c>
      <c r="C57">
        <v>7017</v>
      </c>
      <c r="D57">
        <v>35533</v>
      </c>
      <c r="F57">
        <f t="shared" si="0"/>
        <v>641</v>
      </c>
      <c r="G57" s="20">
        <f t="shared" si="6"/>
        <v>52</v>
      </c>
      <c r="H57" s="21">
        <v>66617020328</v>
      </c>
      <c r="I57" s="22" t="s">
        <v>121</v>
      </c>
      <c r="J57" s="23"/>
      <c r="K57" s="24">
        <v>41909</v>
      </c>
      <c r="L57" s="23">
        <f t="shared" si="1"/>
        <v>641</v>
      </c>
      <c r="M57" s="24">
        <v>6921</v>
      </c>
      <c r="N57" s="25">
        <f t="shared" si="2"/>
        <v>96</v>
      </c>
      <c r="O57" s="24">
        <v>34988</v>
      </c>
      <c r="P57" s="23">
        <f t="shared" si="3"/>
        <v>545</v>
      </c>
      <c r="Q57" s="26"/>
      <c r="R57" s="23">
        <f t="shared" si="4"/>
        <v>0</v>
      </c>
      <c r="S57" s="27" t="s">
        <v>19</v>
      </c>
      <c r="T57" s="19" t="s">
        <v>120</v>
      </c>
    </row>
    <row r="58" spans="1:20" ht="37.5" customHeight="1" x14ac:dyDescent="0.25">
      <c r="A58" s="19" t="s">
        <v>122</v>
      </c>
      <c r="B58">
        <f t="shared" si="5"/>
        <v>86184</v>
      </c>
      <c r="C58">
        <v>14293</v>
      </c>
      <c r="D58">
        <v>71891</v>
      </c>
      <c r="F58">
        <f t="shared" si="0"/>
        <v>1022</v>
      </c>
      <c r="G58" s="20">
        <f t="shared" si="6"/>
        <v>53</v>
      </c>
      <c r="H58" s="21">
        <v>66616020383</v>
      </c>
      <c r="I58" s="22" t="s">
        <v>123</v>
      </c>
      <c r="J58" s="23"/>
      <c r="K58" s="24">
        <v>85162</v>
      </c>
      <c r="L58" s="23">
        <f t="shared" si="1"/>
        <v>1022</v>
      </c>
      <c r="M58" s="24">
        <v>14141</v>
      </c>
      <c r="N58" s="25">
        <f t="shared" si="2"/>
        <v>152</v>
      </c>
      <c r="O58" s="24">
        <v>71021</v>
      </c>
      <c r="P58" s="23">
        <f t="shared" si="3"/>
        <v>870</v>
      </c>
      <c r="Q58" s="26"/>
      <c r="R58" s="23">
        <f t="shared" si="4"/>
        <v>0</v>
      </c>
      <c r="S58" s="27" t="s">
        <v>19</v>
      </c>
      <c r="T58" s="19" t="s">
        <v>122</v>
      </c>
    </row>
    <row r="59" spans="1:20" ht="37.5" customHeight="1" x14ac:dyDescent="0.25">
      <c r="A59" s="19" t="s">
        <v>124</v>
      </c>
      <c r="B59">
        <f t="shared" si="5"/>
        <v>10581</v>
      </c>
      <c r="C59">
        <v>1803</v>
      </c>
      <c r="D59">
        <v>8778</v>
      </c>
      <c r="E59">
        <v>10321</v>
      </c>
      <c r="F59">
        <f t="shared" si="0"/>
        <v>268</v>
      </c>
      <c r="G59" s="20">
        <f t="shared" si="6"/>
        <v>54</v>
      </c>
      <c r="H59" s="21">
        <v>99423020043</v>
      </c>
      <c r="I59" s="22" t="s">
        <v>125</v>
      </c>
      <c r="J59" s="23"/>
      <c r="K59" s="24">
        <f>M59+O59</f>
        <v>10313</v>
      </c>
      <c r="L59" s="23">
        <f t="shared" si="1"/>
        <v>268</v>
      </c>
      <c r="M59" s="24">
        <v>1746</v>
      </c>
      <c r="N59" s="25">
        <f t="shared" si="2"/>
        <v>57</v>
      </c>
      <c r="O59" s="24">
        <v>8567</v>
      </c>
      <c r="P59" s="23">
        <f t="shared" si="3"/>
        <v>211</v>
      </c>
      <c r="Q59" s="26">
        <v>9730</v>
      </c>
      <c r="R59" s="23">
        <f t="shared" si="4"/>
        <v>591</v>
      </c>
      <c r="S59" s="27" t="s">
        <v>19</v>
      </c>
      <c r="T59" s="19" t="s">
        <v>124</v>
      </c>
    </row>
    <row r="60" spans="1:20" ht="37.5" customHeight="1" x14ac:dyDescent="0.25">
      <c r="A60" s="19" t="s">
        <v>126</v>
      </c>
      <c r="B60">
        <f t="shared" si="5"/>
        <v>50222</v>
      </c>
      <c r="C60">
        <v>9627</v>
      </c>
      <c r="D60">
        <v>40595</v>
      </c>
      <c r="F60">
        <f t="shared" si="0"/>
        <v>275</v>
      </c>
      <c r="G60" s="20">
        <f t="shared" si="6"/>
        <v>55</v>
      </c>
      <c r="H60" s="21">
        <v>23013042288</v>
      </c>
      <c r="I60" s="22" t="s">
        <v>127</v>
      </c>
      <c r="J60" s="23"/>
      <c r="K60" s="24">
        <v>49947</v>
      </c>
      <c r="L60" s="23">
        <f t="shared" si="1"/>
        <v>275</v>
      </c>
      <c r="M60" s="24">
        <v>9582</v>
      </c>
      <c r="N60" s="25">
        <f t="shared" si="2"/>
        <v>45</v>
      </c>
      <c r="O60" s="24">
        <v>40365</v>
      </c>
      <c r="P60" s="23">
        <f t="shared" si="3"/>
        <v>230</v>
      </c>
      <c r="Q60" s="26"/>
      <c r="R60" s="23">
        <f t="shared" si="4"/>
        <v>0</v>
      </c>
      <c r="S60" s="27" t="s">
        <v>19</v>
      </c>
      <c r="T60" s="19" t="s">
        <v>126</v>
      </c>
    </row>
    <row r="61" spans="1:20" ht="37.5" customHeight="1" x14ac:dyDescent="0.25">
      <c r="A61" s="19" t="s">
        <v>128</v>
      </c>
      <c r="B61">
        <f t="shared" si="5"/>
        <v>118681</v>
      </c>
      <c r="C61">
        <v>19576</v>
      </c>
      <c r="D61">
        <v>99105</v>
      </c>
      <c r="F61">
        <f t="shared" si="0"/>
        <v>316</v>
      </c>
      <c r="G61" s="20">
        <f t="shared" si="6"/>
        <v>56</v>
      </c>
      <c r="H61" s="21">
        <v>23013010307</v>
      </c>
      <c r="I61" s="22" t="s">
        <v>129</v>
      </c>
      <c r="J61" s="23"/>
      <c r="K61" s="24">
        <v>118365</v>
      </c>
      <c r="L61" s="23">
        <f t="shared" si="1"/>
        <v>316</v>
      </c>
      <c r="M61" s="24">
        <v>19520</v>
      </c>
      <c r="N61" s="25">
        <f t="shared" si="2"/>
        <v>56</v>
      </c>
      <c r="O61" s="24">
        <v>98845</v>
      </c>
      <c r="P61" s="23">
        <f t="shared" si="3"/>
        <v>260</v>
      </c>
      <c r="Q61" s="26"/>
      <c r="R61" s="23">
        <f t="shared" si="4"/>
        <v>0</v>
      </c>
      <c r="S61" s="27" t="s">
        <v>19</v>
      </c>
      <c r="T61" s="19" t="s">
        <v>128</v>
      </c>
    </row>
    <row r="62" spans="1:20" ht="37.5" customHeight="1" x14ac:dyDescent="0.25">
      <c r="A62" s="19" t="s">
        <v>130</v>
      </c>
      <c r="B62">
        <f t="shared" si="5"/>
        <v>78526</v>
      </c>
      <c r="C62">
        <v>12497</v>
      </c>
      <c r="D62">
        <v>66029</v>
      </c>
      <c r="F62">
        <f t="shared" si="0"/>
        <v>265</v>
      </c>
      <c r="G62" s="20">
        <f t="shared" si="6"/>
        <v>57</v>
      </c>
      <c r="H62" s="21">
        <v>23013010028</v>
      </c>
      <c r="I62" s="22" t="s">
        <v>131</v>
      </c>
      <c r="J62" s="23"/>
      <c r="K62" s="24">
        <v>78261</v>
      </c>
      <c r="L62" s="23">
        <f t="shared" si="1"/>
        <v>265</v>
      </c>
      <c r="M62" s="24">
        <v>12457</v>
      </c>
      <c r="N62" s="25">
        <f t="shared" si="2"/>
        <v>40</v>
      </c>
      <c r="O62" s="24">
        <v>65804</v>
      </c>
      <c r="P62" s="23">
        <f t="shared" si="3"/>
        <v>225</v>
      </c>
      <c r="Q62" s="26"/>
      <c r="R62" s="23">
        <f t="shared" si="4"/>
        <v>0</v>
      </c>
      <c r="S62" s="27" t="s">
        <v>19</v>
      </c>
      <c r="T62" s="19" t="s">
        <v>130</v>
      </c>
    </row>
    <row r="63" spans="1:20" ht="37.5" customHeight="1" x14ac:dyDescent="0.25">
      <c r="A63" s="19" t="s">
        <v>132</v>
      </c>
      <c r="B63">
        <f t="shared" si="5"/>
        <v>12841</v>
      </c>
      <c r="C63">
        <v>3596</v>
      </c>
      <c r="D63">
        <v>9245</v>
      </c>
      <c r="E63">
        <v>20538</v>
      </c>
      <c r="F63">
        <f t="shared" si="0"/>
        <v>452</v>
      </c>
      <c r="G63" s="20">
        <f t="shared" si="6"/>
        <v>58</v>
      </c>
      <c r="H63" s="21">
        <v>99423020045</v>
      </c>
      <c r="I63" s="22" t="s">
        <v>133</v>
      </c>
      <c r="J63" s="23"/>
      <c r="K63" s="24">
        <f>M63+O63</f>
        <v>12389</v>
      </c>
      <c r="L63" s="23">
        <f t="shared" si="1"/>
        <v>452</v>
      </c>
      <c r="M63" s="24">
        <v>3457</v>
      </c>
      <c r="N63" s="25">
        <f t="shared" si="2"/>
        <v>139</v>
      </c>
      <c r="O63" s="24">
        <v>8932</v>
      </c>
      <c r="P63" s="23">
        <f t="shared" si="3"/>
        <v>313</v>
      </c>
      <c r="Q63" s="26">
        <v>19285</v>
      </c>
      <c r="R63" s="23">
        <f t="shared" si="4"/>
        <v>1253</v>
      </c>
      <c r="S63" s="27" t="s">
        <v>19</v>
      </c>
      <c r="T63" s="19" t="s">
        <v>132</v>
      </c>
    </row>
    <row r="64" spans="1:20" ht="37.5" customHeight="1" x14ac:dyDescent="0.25">
      <c r="A64" s="19" t="s">
        <v>134</v>
      </c>
      <c r="B64">
        <f t="shared" si="5"/>
        <v>30823</v>
      </c>
      <c r="C64">
        <v>6054</v>
      </c>
      <c r="D64">
        <v>24769</v>
      </c>
      <c r="F64">
        <f t="shared" si="0"/>
        <v>923</v>
      </c>
      <c r="G64" s="20">
        <f t="shared" si="6"/>
        <v>59</v>
      </c>
      <c r="H64" s="21">
        <v>66617020016</v>
      </c>
      <c r="I64" s="22" t="s">
        <v>135</v>
      </c>
      <c r="J64" s="23"/>
      <c r="K64" s="24">
        <v>29900</v>
      </c>
      <c r="L64" s="23">
        <f t="shared" si="1"/>
        <v>923</v>
      </c>
      <c r="M64" s="24">
        <v>5871</v>
      </c>
      <c r="N64" s="25">
        <f t="shared" si="2"/>
        <v>183</v>
      </c>
      <c r="O64" s="24">
        <v>24029</v>
      </c>
      <c r="P64" s="23">
        <f t="shared" si="3"/>
        <v>740</v>
      </c>
      <c r="Q64" s="26"/>
      <c r="R64" s="23">
        <f t="shared" si="4"/>
        <v>0</v>
      </c>
      <c r="S64" s="27" t="s">
        <v>19</v>
      </c>
      <c r="T64" s="19" t="s">
        <v>134</v>
      </c>
    </row>
    <row r="65" spans="1:20" ht="37.5" customHeight="1" x14ac:dyDescent="0.25">
      <c r="A65" s="19" t="s">
        <v>136</v>
      </c>
      <c r="B65">
        <f t="shared" si="5"/>
        <v>2834</v>
      </c>
      <c r="C65">
        <v>590</v>
      </c>
      <c r="D65">
        <v>2244</v>
      </c>
      <c r="E65">
        <v>5730</v>
      </c>
      <c r="F65">
        <f t="shared" si="0"/>
        <v>221</v>
      </c>
      <c r="G65" s="20">
        <f t="shared" si="6"/>
        <v>60</v>
      </c>
      <c r="H65" s="21">
        <v>99624030227</v>
      </c>
      <c r="I65" s="22" t="s">
        <v>137</v>
      </c>
      <c r="J65" s="23"/>
      <c r="K65" s="24">
        <f>M65+O65</f>
        <v>2613</v>
      </c>
      <c r="L65" s="23">
        <f t="shared" si="1"/>
        <v>221</v>
      </c>
      <c r="M65" s="24">
        <v>526</v>
      </c>
      <c r="N65" s="25">
        <f t="shared" si="2"/>
        <v>64</v>
      </c>
      <c r="O65" s="24">
        <v>2087</v>
      </c>
      <c r="P65" s="23">
        <f t="shared" si="3"/>
        <v>157</v>
      </c>
      <c r="Q65" s="26">
        <v>4764</v>
      </c>
      <c r="R65" s="23">
        <f t="shared" si="4"/>
        <v>966</v>
      </c>
      <c r="S65" s="27" t="s">
        <v>19</v>
      </c>
      <c r="T65" s="19" t="s">
        <v>136</v>
      </c>
    </row>
    <row r="66" spans="1:20" ht="37.5" customHeight="1" x14ac:dyDescent="0.25">
      <c r="A66" s="19" t="s">
        <v>138</v>
      </c>
      <c r="B66">
        <f t="shared" si="5"/>
        <v>75024</v>
      </c>
      <c r="C66">
        <v>10488</v>
      </c>
      <c r="D66">
        <v>64536</v>
      </c>
      <c r="F66">
        <f t="shared" si="0"/>
        <v>639</v>
      </c>
      <c r="G66" s="20">
        <f t="shared" si="6"/>
        <v>61</v>
      </c>
      <c r="H66" s="21">
        <v>23013080038</v>
      </c>
      <c r="I66" s="22" t="s">
        <v>139</v>
      </c>
      <c r="J66" s="23"/>
      <c r="K66" s="24">
        <v>74385</v>
      </c>
      <c r="L66" s="23">
        <f t="shared" si="1"/>
        <v>639</v>
      </c>
      <c r="M66" s="24">
        <v>10384</v>
      </c>
      <c r="N66" s="25">
        <f t="shared" si="2"/>
        <v>104</v>
      </c>
      <c r="O66" s="24">
        <v>64001</v>
      </c>
      <c r="P66" s="23">
        <f t="shared" si="3"/>
        <v>535</v>
      </c>
      <c r="Q66" s="26"/>
      <c r="R66" s="23">
        <f t="shared" si="4"/>
        <v>0</v>
      </c>
      <c r="S66" s="27" t="s">
        <v>19</v>
      </c>
      <c r="T66" s="19" t="s">
        <v>138</v>
      </c>
    </row>
    <row r="67" spans="1:20" ht="37.5" customHeight="1" x14ac:dyDescent="0.25">
      <c r="A67" s="19" t="s">
        <v>140</v>
      </c>
      <c r="B67">
        <v>913</v>
      </c>
      <c r="C67">
        <v>81</v>
      </c>
      <c r="D67">
        <v>525</v>
      </c>
      <c r="F67">
        <f t="shared" si="0"/>
        <v>0</v>
      </c>
      <c r="G67" s="20">
        <f t="shared" si="6"/>
        <v>62</v>
      </c>
      <c r="H67" s="21">
        <v>66622060524</v>
      </c>
      <c r="I67" s="22" t="s">
        <v>141</v>
      </c>
      <c r="J67" s="23"/>
      <c r="K67" s="24">
        <v>913</v>
      </c>
      <c r="L67" s="23">
        <f t="shared" si="1"/>
        <v>0</v>
      </c>
      <c r="M67" s="24">
        <v>81</v>
      </c>
      <c r="N67" s="25">
        <f t="shared" si="2"/>
        <v>0</v>
      </c>
      <c r="O67" s="24">
        <v>525</v>
      </c>
      <c r="P67" s="23">
        <f t="shared" si="3"/>
        <v>0</v>
      </c>
      <c r="Q67" s="26"/>
      <c r="R67" s="23">
        <f t="shared" si="4"/>
        <v>0</v>
      </c>
      <c r="S67" s="27" t="s">
        <v>19</v>
      </c>
      <c r="T67" s="19" t="s">
        <v>140</v>
      </c>
    </row>
    <row r="68" spans="1:20" ht="37.5" customHeight="1" x14ac:dyDescent="0.25">
      <c r="A68" s="19" t="s">
        <v>142</v>
      </c>
      <c r="B68">
        <f t="shared" si="5"/>
        <v>688</v>
      </c>
      <c r="C68">
        <v>178</v>
      </c>
      <c r="D68">
        <v>510</v>
      </c>
      <c r="E68">
        <v>2715</v>
      </c>
      <c r="F68">
        <f t="shared" si="0"/>
        <v>309</v>
      </c>
      <c r="G68" s="20">
        <f t="shared" si="6"/>
        <v>63</v>
      </c>
      <c r="H68" s="21">
        <v>99624050260</v>
      </c>
      <c r="I68" s="22" t="s">
        <v>143</v>
      </c>
      <c r="J68" s="23"/>
      <c r="K68" s="24">
        <f>M68+O68</f>
        <v>379</v>
      </c>
      <c r="L68" s="23">
        <f t="shared" si="1"/>
        <v>309</v>
      </c>
      <c r="M68" s="24">
        <v>113</v>
      </c>
      <c r="N68" s="25">
        <f t="shared" si="2"/>
        <v>65</v>
      </c>
      <c r="O68" s="24">
        <v>266</v>
      </c>
      <c r="P68" s="23">
        <f t="shared" si="3"/>
        <v>244</v>
      </c>
      <c r="Q68" s="26">
        <v>1651</v>
      </c>
      <c r="R68" s="23">
        <f t="shared" si="4"/>
        <v>1064</v>
      </c>
      <c r="S68" s="27" t="s">
        <v>19</v>
      </c>
      <c r="T68" s="19" t="s">
        <v>142</v>
      </c>
    </row>
    <row r="69" spans="1:20" ht="37.5" customHeight="1" x14ac:dyDescent="0.25">
      <c r="A69" s="19" t="s">
        <v>144</v>
      </c>
      <c r="B69">
        <f t="shared" si="5"/>
        <v>32109</v>
      </c>
      <c r="C69">
        <v>5860</v>
      </c>
      <c r="D69">
        <v>26249</v>
      </c>
      <c r="F69">
        <f t="shared" si="0"/>
        <v>193</v>
      </c>
      <c r="G69" s="20">
        <f t="shared" si="6"/>
        <v>64</v>
      </c>
      <c r="H69" s="21">
        <v>23014060431</v>
      </c>
      <c r="I69" s="22" t="s">
        <v>145</v>
      </c>
      <c r="J69" s="23"/>
      <c r="K69" s="24">
        <v>31916</v>
      </c>
      <c r="L69" s="23">
        <f t="shared" si="1"/>
        <v>193</v>
      </c>
      <c r="M69" s="24">
        <v>5818</v>
      </c>
      <c r="N69" s="25">
        <f t="shared" si="2"/>
        <v>42</v>
      </c>
      <c r="O69" s="24">
        <v>26098</v>
      </c>
      <c r="P69" s="23">
        <f t="shared" si="3"/>
        <v>151</v>
      </c>
      <c r="Q69" s="26"/>
      <c r="R69" s="23">
        <f t="shared" si="4"/>
        <v>0</v>
      </c>
      <c r="S69" s="27" t="s">
        <v>19</v>
      </c>
      <c r="T69" s="19" t="s">
        <v>144</v>
      </c>
    </row>
    <row r="70" spans="1:20" ht="37.5" customHeight="1" x14ac:dyDescent="0.25">
      <c r="A70" s="19" t="s">
        <v>146</v>
      </c>
      <c r="B70">
        <f t="shared" si="5"/>
        <v>28037</v>
      </c>
      <c r="C70">
        <v>4952</v>
      </c>
      <c r="D70">
        <v>23085</v>
      </c>
      <c r="F70">
        <f t="shared" ref="F70:F133" si="7">L70</f>
        <v>258</v>
      </c>
      <c r="G70" s="20">
        <f t="shared" si="6"/>
        <v>65</v>
      </c>
      <c r="H70" s="21">
        <v>23009070183</v>
      </c>
      <c r="I70" s="22" t="s">
        <v>147</v>
      </c>
      <c r="J70" s="23"/>
      <c r="K70" s="24">
        <v>27779</v>
      </c>
      <c r="L70" s="23">
        <f t="shared" ref="L70:L133" si="8">B70-K70</f>
        <v>258</v>
      </c>
      <c r="M70" s="24">
        <v>4905</v>
      </c>
      <c r="N70" s="25">
        <f t="shared" ref="N70:N133" si="9">C70-M70</f>
        <v>47</v>
      </c>
      <c r="O70" s="24">
        <v>22874</v>
      </c>
      <c r="P70" s="23">
        <f t="shared" ref="P70:P133" si="10">D70-O70</f>
        <v>211</v>
      </c>
      <c r="Q70" s="26"/>
      <c r="R70" s="23">
        <f t="shared" ref="R70:R133" si="11">E70-Q70</f>
        <v>0</v>
      </c>
      <c r="S70" s="27" t="s">
        <v>19</v>
      </c>
      <c r="T70" s="19" t="s">
        <v>146</v>
      </c>
    </row>
    <row r="71" spans="1:20" ht="37.5" customHeight="1" x14ac:dyDescent="0.25">
      <c r="A71" s="19" t="s">
        <v>148</v>
      </c>
      <c r="B71">
        <f t="shared" ref="B71:B134" si="12">C71+D71</f>
        <v>19248</v>
      </c>
      <c r="C71">
        <v>3421</v>
      </c>
      <c r="D71">
        <v>15827</v>
      </c>
      <c r="F71">
        <f t="shared" si="7"/>
        <v>760</v>
      </c>
      <c r="G71" s="20">
        <f t="shared" si="6"/>
        <v>66</v>
      </c>
      <c r="H71" s="21">
        <v>66622010286</v>
      </c>
      <c r="I71" s="22" t="s">
        <v>149</v>
      </c>
      <c r="J71" s="23"/>
      <c r="K71" s="24">
        <v>18488</v>
      </c>
      <c r="L71" s="23">
        <f t="shared" si="8"/>
        <v>760</v>
      </c>
      <c r="M71" s="24">
        <v>3276</v>
      </c>
      <c r="N71" s="25">
        <f t="shared" si="9"/>
        <v>145</v>
      </c>
      <c r="O71" s="24">
        <v>15212</v>
      </c>
      <c r="P71" s="23">
        <f t="shared" si="10"/>
        <v>615</v>
      </c>
      <c r="Q71" s="26"/>
      <c r="R71" s="23">
        <f t="shared" si="11"/>
        <v>0</v>
      </c>
      <c r="S71" s="27" t="s">
        <v>19</v>
      </c>
      <c r="T71" s="19" t="s">
        <v>148</v>
      </c>
    </row>
    <row r="72" spans="1:20" ht="37.5" customHeight="1" x14ac:dyDescent="0.25">
      <c r="A72" s="19" t="s">
        <v>150</v>
      </c>
      <c r="B72">
        <v>354</v>
      </c>
      <c r="C72">
        <v>44</v>
      </c>
      <c r="D72">
        <v>304</v>
      </c>
      <c r="F72">
        <f t="shared" si="7"/>
        <v>0</v>
      </c>
      <c r="G72" s="20">
        <f t="shared" ref="G72:G135" si="13">G71+1</f>
        <v>67</v>
      </c>
      <c r="H72" s="21">
        <v>88819020378</v>
      </c>
      <c r="I72" s="22" t="s">
        <v>151</v>
      </c>
      <c r="J72" s="23"/>
      <c r="K72" s="24">
        <v>354</v>
      </c>
      <c r="L72" s="23">
        <f t="shared" si="8"/>
        <v>0</v>
      </c>
      <c r="M72" s="24">
        <v>50</v>
      </c>
      <c r="N72" s="25">
        <f t="shared" si="9"/>
        <v>-6</v>
      </c>
      <c r="O72" s="24">
        <v>304</v>
      </c>
      <c r="P72" s="23">
        <f t="shared" si="10"/>
        <v>0</v>
      </c>
      <c r="Q72" s="26"/>
      <c r="R72" s="23">
        <f t="shared" si="11"/>
        <v>0</v>
      </c>
      <c r="S72" s="27" t="s">
        <v>19</v>
      </c>
      <c r="T72" s="19" t="s">
        <v>150</v>
      </c>
    </row>
    <row r="73" spans="1:20" ht="37.5" customHeight="1" x14ac:dyDescent="0.25">
      <c r="A73" s="19" t="s">
        <v>152</v>
      </c>
      <c r="B73">
        <f t="shared" si="12"/>
        <v>47611</v>
      </c>
      <c r="C73">
        <v>7821</v>
      </c>
      <c r="D73">
        <v>39790</v>
      </c>
      <c r="F73">
        <f t="shared" si="7"/>
        <v>390</v>
      </c>
      <c r="G73" s="20">
        <f t="shared" si="13"/>
        <v>68</v>
      </c>
      <c r="H73" s="21">
        <v>23014040232</v>
      </c>
      <c r="I73" s="22" t="s">
        <v>153</v>
      </c>
      <c r="J73" s="23"/>
      <c r="K73" s="24">
        <v>47221</v>
      </c>
      <c r="L73" s="23">
        <f t="shared" si="8"/>
        <v>390</v>
      </c>
      <c r="M73" s="24">
        <v>7765</v>
      </c>
      <c r="N73" s="25">
        <f t="shared" si="9"/>
        <v>56</v>
      </c>
      <c r="O73" s="24">
        <v>39456</v>
      </c>
      <c r="P73" s="23">
        <f t="shared" si="10"/>
        <v>334</v>
      </c>
      <c r="Q73" s="26"/>
      <c r="R73" s="23">
        <f t="shared" si="11"/>
        <v>0</v>
      </c>
      <c r="S73" s="27" t="s">
        <v>19</v>
      </c>
      <c r="T73" s="19" t="s">
        <v>152</v>
      </c>
    </row>
    <row r="74" spans="1:20" ht="37.5" customHeight="1" x14ac:dyDescent="0.25">
      <c r="A74" s="19" t="s">
        <v>154</v>
      </c>
      <c r="B74">
        <f t="shared" si="12"/>
        <v>2332</v>
      </c>
      <c r="C74">
        <v>494</v>
      </c>
      <c r="D74">
        <v>1838</v>
      </c>
      <c r="E74">
        <v>8552</v>
      </c>
      <c r="F74">
        <f t="shared" si="7"/>
        <v>202</v>
      </c>
      <c r="G74" s="20">
        <f t="shared" si="13"/>
        <v>69</v>
      </c>
      <c r="H74" s="21">
        <v>99624030308</v>
      </c>
      <c r="I74" s="22" t="s">
        <v>155</v>
      </c>
      <c r="J74" s="23"/>
      <c r="K74" s="24">
        <f>M74+O74</f>
        <v>2130</v>
      </c>
      <c r="L74" s="23">
        <f t="shared" si="8"/>
        <v>202</v>
      </c>
      <c r="M74" s="24">
        <v>443</v>
      </c>
      <c r="N74" s="25">
        <f t="shared" si="9"/>
        <v>51</v>
      </c>
      <c r="O74" s="24">
        <v>1687</v>
      </c>
      <c r="P74" s="23">
        <f t="shared" si="10"/>
        <v>151</v>
      </c>
      <c r="Q74" s="26">
        <v>7177</v>
      </c>
      <c r="R74" s="23">
        <f t="shared" si="11"/>
        <v>1375</v>
      </c>
      <c r="S74" s="27" t="s">
        <v>19</v>
      </c>
      <c r="T74" s="19" t="s">
        <v>154</v>
      </c>
    </row>
    <row r="75" spans="1:20" ht="37.5" customHeight="1" x14ac:dyDescent="0.25">
      <c r="A75" s="19" t="s">
        <v>156</v>
      </c>
      <c r="B75">
        <f t="shared" si="12"/>
        <v>4016</v>
      </c>
      <c r="C75">
        <v>709</v>
      </c>
      <c r="D75">
        <v>3307</v>
      </c>
      <c r="F75">
        <f t="shared" si="7"/>
        <v>1512</v>
      </c>
      <c r="G75" s="20">
        <f t="shared" si="13"/>
        <v>70</v>
      </c>
      <c r="H75" s="21">
        <v>66623011020</v>
      </c>
      <c r="I75" s="22" t="s">
        <v>157</v>
      </c>
      <c r="J75" s="23"/>
      <c r="K75" s="24">
        <v>2504</v>
      </c>
      <c r="L75" s="23">
        <f t="shared" si="8"/>
        <v>1512</v>
      </c>
      <c r="M75" s="24">
        <v>393</v>
      </c>
      <c r="N75" s="25">
        <f t="shared" si="9"/>
        <v>316</v>
      </c>
      <c r="O75" s="24">
        <v>2111</v>
      </c>
      <c r="P75" s="23">
        <f t="shared" si="10"/>
        <v>1196</v>
      </c>
      <c r="Q75" s="26"/>
      <c r="R75" s="23">
        <f t="shared" si="11"/>
        <v>0</v>
      </c>
      <c r="S75" s="27" t="s">
        <v>19</v>
      </c>
      <c r="T75" s="19" t="s">
        <v>156</v>
      </c>
    </row>
    <row r="76" spans="1:20" ht="37.5" customHeight="1" x14ac:dyDescent="0.25">
      <c r="A76" s="19" t="s">
        <v>158</v>
      </c>
      <c r="B76">
        <f t="shared" si="12"/>
        <v>37096</v>
      </c>
      <c r="C76">
        <v>6271</v>
      </c>
      <c r="D76">
        <v>30825</v>
      </c>
      <c r="F76">
        <f t="shared" si="7"/>
        <v>388</v>
      </c>
      <c r="G76" s="20">
        <f t="shared" si="13"/>
        <v>71</v>
      </c>
      <c r="H76" s="21">
        <v>66616020214</v>
      </c>
      <c r="I76" s="22" t="s">
        <v>159</v>
      </c>
      <c r="J76" s="23"/>
      <c r="K76" s="24">
        <v>36708</v>
      </c>
      <c r="L76" s="23">
        <f t="shared" si="8"/>
        <v>388</v>
      </c>
      <c r="M76" s="24">
        <v>6196</v>
      </c>
      <c r="N76" s="25">
        <f t="shared" si="9"/>
        <v>75</v>
      </c>
      <c r="O76" s="24">
        <v>30512</v>
      </c>
      <c r="P76" s="23">
        <f t="shared" si="10"/>
        <v>313</v>
      </c>
      <c r="Q76" s="26"/>
      <c r="R76" s="23">
        <f t="shared" si="11"/>
        <v>0</v>
      </c>
      <c r="S76" s="27" t="s">
        <v>19</v>
      </c>
      <c r="T76" s="19" t="s">
        <v>158</v>
      </c>
    </row>
    <row r="77" spans="1:20" ht="37.5" customHeight="1" x14ac:dyDescent="0.25">
      <c r="A77" s="19" t="s">
        <v>160</v>
      </c>
      <c r="B77">
        <f t="shared" si="12"/>
        <v>42266</v>
      </c>
      <c r="C77">
        <v>7934</v>
      </c>
      <c r="D77">
        <v>34332</v>
      </c>
      <c r="F77">
        <f t="shared" si="7"/>
        <v>378</v>
      </c>
      <c r="G77" s="20">
        <f t="shared" si="13"/>
        <v>72</v>
      </c>
      <c r="H77" s="21">
        <v>66617020256</v>
      </c>
      <c r="I77" s="22" t="s">
        <v>161</v>
      </c>
      <c r="J77" s="23"/>
      <c r="K77" s="24">
        <v>41888</v>
      </c>
      <c r="L77" s="23">
        <f t="shared" si="8"/>
        <v>378</v>
      </c>
      <c r="M77" s="24">
        <v>7863</v>
      </c>
      <c r="N77" s="25">
        <f t="shared" si="9"/>
        <v>71</v>
      </c>
      <c r="O77" s="24">
        <v>34025</v>
      </c>
      <c r="P77" s="23">
        <f t="shared" si="10"/>
        <v>307</v>
      </c>
      <c r="Q77" s="26"/>
      <c r="R77" s="23">
        <f t="shared" si="11"/>
        <v>0</v>
      </c>
      <c r="S77" s="27" t="s">
        <v>19</v>
      </c>
      <c r="T77" s="19" t="s">
        <v>160</v>
      </c>
    </row>
    <row r="78" spans="1:20" ht="37.5" customHeight="1" x14ac:dyDescent="0.25">
      <c r="A78" s="19" t="s">
        <v>162</v>
      </c>
      <c r="B78">
        <f t="shared" si="12"/>
        <v>93880</v>
      </c>
      <c r="C78">
        <v>18241</v>
      </c>
      <c r="D78">
        <v>75639</v>
      </c>
      <c r="F78">
        <f t="shared" si="7"/>
        <v>893</v>
      </c>
      <c r="G78" s="20">
        <f t="shared" si="13"/>
        <v>73</v>
      </c>
      <c r="H78" s="21">
        <v>88820003244</v>
      </c>
      <c r="I78" s="22" t="s">
        <v>163</v>
      </c>
      <c r="J78" s="23"/>
      <c r="K78" s="24">
        <v>92987</v>
      </c>
      <c r="L78" s="23">
        <f t="shared" si="8"/>
        <v>893</v>
      </c>
      <c r="M78" s="24">
        <v>18063</v>
      </c>
      <c r="N78" s="25">
        <f t="shared" si="9"/>
        <v>178</v>
      </c>
      <c r="O78" s="24">
        <v>74924</v>
      </c>
      <c r="P78" s="23">
        <f t="shared" si="10"/>
        <v>715</v>
      </c>
      <c r="Q78" s="26"/>
      <c r="R78" s="23">
        <f t="shared" si="11"/>
        <v>0</v>
      </c>
      <c r="S78" s="27" t="s">
        <v>19</v>
      </c>
      <c r="T78" s="19" t="s">
        <v>162</v>
      </c>
    </row>
    <row r="79" spans="1:20" ht="37.5" customHeight="1" x14ac:dyDescent="0.25">
      <c r="A79" s="19" t="s">
        <v>164</v>
      </c>
      <c r="B79">
        <f t="shared" si="12"/>
        <v>75795</v>
      </c>
      <c r="C79">
        <v>14713</v>
      </c>
      <c r="D79">
        <v>61082</v>
      </c>
      <c r="F79">
        <f t="shared" si="7"/>
        <v>404</v>
      </c>
      <c r="G79" s="20">
        <f t="shared" si="13"/>
        <v>74</v>
      </c>
      <c r="H79" s="21">
        <v>23014060805</v>
      </c>
      <c r="I79" s="22" t="s">
        <v>165</v>
      </c>
      <c r="J79" s="23"/>
      <c r="K79" s="24">
        <v>75391</v>
      </c>
      <c r="L79" s="23">
        <f t="shared" si="8"/>
        <v>404</v>
      </c>
      <c r="M79" s="24">
        <v>14642</v>
      </c>
      <c r="N79" s="25">
        <f t="shared" si="9"/>
        <v>71</v>
      </c>
      <c r="O79" s="24">
        <v>60749</v>
      </c>
      <c r="P79" s="23">
        <f t="shared" si="10"/>
        <v>333</v>
      </c>
      <c r="Q79" s="26"/>
      <c r="R79" s="23">
        <f t="shared" si="11"/>
        <v>0</v>
      </c>
      <c r="S79" s="27" t="s">
        <v>19</v>
      </c>
      <c r="T79" s="19" t="s">
        <v>164</v>
      </c>
    </row>
    <row r="80" spans="1:20" ht="37.5" customHeight="1" x14ac:dyDescent="0.25">
      <c r="A80" s="19" t="s">
        <v>166</v>
      </c>
      <c r="B80">
        <f t="shared" si="12"/>
        <v>39064</v>
      </c>
      <c r="C80">
        <v>7229</v>
      </c>
      <c r="D80">
        <v>31835</v>
      </c>
      <c r="F80">
        <f t="shared" si="7"/>
        <v>773</v>
      </c>
      <c r="G80" s="20">
        <f t="shared" si="13"/>
        <v>75</v>
      </c>
      <c r="H80" s="21">
        <v>88819030040</v>
      </c>
      <c r="I80" s="22" t="s">
        <v>167</v>
      </c>
      <c r="J80" s="23"/>
      <c r="K80" s="24">
        <v>38291</v>
      </c>
      <c r="L80" s="23">
        <f t="shared" si="8"/>
        <v>773</v>
      </c>
      <c r="M80" s="24">
        <v>7078</v>
      </c>
      <c r="N80" s="25">
        <f t="shared" si="9"/>
        <v>151</v>
      </c>
      <c r="O80" s="24">
        <v>31213</v>
      </c>
      <c r="P80" s="23">
        <f t="shared" si="10"/>
        <v>622</v>
      </c>
      <c r="Q80" s="26"/>
      <c r="R80" s="23">
        <f t="shared" si="11"/>
        <v>0</v>
      </c>
      <c r="S80" s="27" t="s">
        <v>19</v>
      </c>
      <c r="T80" s="19" t="s">
        <v>166</v>
      </c>
    </row>
    <row r="81" spans="1:20" ht="37.5" customHeight="1" x14ac:dyDescent="0.25">
      <c r="A81" s="19" t="s">
        <v>168</v>
      </c>
      <c r="B81">
        <f t="shared" si="12"/>
        <v>34000</v>
      </c>
      <c r="C81">
        <v>6773</v>
      </c>
      <c r="D81">
        <v>27227</v>
      </c>
      <c r="F81">
        <f t="shared" si="7"/>
        <v>382</v>
      </c>
      <c r="G81" s="20">
        <f t="shared" si="13"/>
        <v>76</v>
      </c>
      <c r="H81" s="21">
        <v>23015100649</v>
      </c>
      <c r="I81" s="22" t="s">
        <v>169</v>
      </c>
      <c r="J81" s="23"/>
      <c r="K81" s="24">
        <v>33618</v>
      </c>
      <c r="L81" s="23">
        <f t="shared" si="8"/>
        <v>382</v>
      </c>
      <c r="M81" s="24">
        <v>6705</v>
      </c>
      <c r="N81" s="25">
        <f t="shared" si="9"/>
        <v>68</v>
      </c>
      <c r="O81" s="24">
        <v>26913</v>
      </c>
      <c r="P81" s="23">
        <f t="shared" si="10"/>
        <v>314</v>
      </c>
      <c r="Q81" s="26"/>
      <c r="R81" s="23">
        <f t="shared" si="11"/>
        <v>0</v>
      </c>
      <c r="S81" s="27" t="s">
        <v>19</v>
      </c>
      <c r="T81" s="19" t="s">
        <v>168</v>
      </c>
    </row>
    <row r="82" spans="1:20" ht="37.5" customHeight="1" x14ac:dyDescent="0.25">
      <c r="A82" s="19" t="s">
        <v>170</v>
      </c>
      <c r="B82">
        <f t="shared" si="12"/>
        <v>25900</v>
      </c>
      <c r="C82">
        <v>4728</v>
      </c>
      <c r="D82">
        <v>21172</v>
      </c>
      <c r="F82">
        <f t="shared" si="7"/>
        <v>443</v>
      </c>
      <c r="G82" s="20">
        <f t="shared" si="13"/>
        <v>77</v>
      </c>
      <c r="H82" s="21">
        <v>88818030172</v>
      </c>
      <c r="I82" s="22" t="s">
        <v>171</v>
      </c>
      <c r="J82" s="23"/>
      <c r="K82" s="24">
        <v>25457</v>
      </c>
      <c r="L82" s="23">
        <f t="shared" si="8"/>
        <v>443</v>
      </c>
      <c r="M82" s="24">
        <v>4655</v>
      </c>
      <c r="N82" s="25">
        <f t="shared" si="9"/>
        <v>73</v>
      </c>
      <c r="O82" s="24">
        <v>20802</v>
      </c>
      <c r="P82" s="23">
        <f t="shared" si="10"/>
        <v>370</v>
      </c>
      <c r="Q82" s="26"/>
      <c r="R82" s="23">
        <f t="shared" si="11"/>
        <v>0</v>
      </c>
      <c r="S82" s="27" t="s">
        <v>19</v>
      </c>
      <c r="T82" s="19" t="s">
        <v>170</v>
      </c>
    </row>
    <row r="83" spans="1:20" ht="37.5" customHeight="1" x14ac:dyDescent="0.25">
      <c r="A83" s="19" t="s">
        <v>172</v>
      </c>
      <c r="B83">
        <f t="shared" si="12"/>
        <v>92701</v>
      </c>
      <c r="C83">
        <v>15826</v>
      </c>
      <c r="D83">
        <v>76875</v>
      </c>
      <c r="F83">
        <f t="shared" si="7"/>
        <v>701</v>
      </c>
      <c r="G83" s="20">
        <f t="shared" si="13"/>
        <v>78</v>
      </c>
      <c r="H83" s="21">
        <v>23014060861</v>
      </c>
      <c r="I83" s="22" t="s">
        <v>173</v>
      </c>
      <c r="J83" s="23"/>
      <c r="K83" s="24">
        <v>92000</v>
      </c>
      <c r="L83" s="23">
        <f t="shared" si="8"/>
        <v>701</v>
      </c>
      <c r="M83" s="24">
        <v>15710</v>
      </c>
      <c r="N83" s="25">
        <f t="shared" si="9"/>
        <v>116</v>
      </c>
      <c r="O83" s="24">
        <v>76290</v>
      </c>
      <c r="P83" s="23">
        <f t="shared" si="10"/>
        <v>585</v>
      </c>
      <c r="Q83" s="26"/>
      <c r="R83" s="23">
        <f t="shared" si="11"/>
        <v>0</v>
      </c>
      <c r="S83" s="27" t="s">
        <v>19</v>
      </c>
      <c r="T83" s="19" t="s">
        <v>172</v>
      </c>
    </row>
    <row r="84" spans="1:20" ht="37.5" customHeight="1" x14ac:dyDescent="0.25">
      <c r="A84" s="19" t="s">
        <v>174</v>
      </c>
      <c r="B84">
        <f t="shared" si="12"/>
        <v>8384</v>
      </c>
      <c r="C84">
        <v>1603</v>
      </c>
      <c r="D84">
        <v>6781</v>
      </c>
      <c r="F84">
        <f t="shared" si="7"/>
        <v>494</v>
      </c>
      <c r="G84" s="20">
        <f t="shared" si="13"/>
        <v>79</v>
      </c>
      <c r="H84" s="21">
        <v>66622020414</v>
      </c>
      <c r="I84" s="22" t="s">
        <v>175</v>
      </c>
      <c r="J84" s="23"/>
      <c r="K84" s="24">
        <v>7890</v>
      </c>
      <c r="L84" s="23">
        <f t="shared" si="8"/>
        <v>494</v>
      </c>
      <c r="M84" s="24">
        <v>1497</v>
      </c>
      <c r="N84" s="25">
        <f t="shared" si="9"/>
        <v>106</v>
      </c>
      <c r="O84" s="24">
        <v>6393</v>
      </c>
      <c r="P84" s="23">
        <f t="shared" si="10"/>
        <v>388</v>
      </c>
      <c r="Q84" s="26"/>
      <c r="R84" s="23">
        <f t="shared" si="11"/>
        <v>0</v>
      </c>
      <c r="S84" s="27" t="s">
        <v>19</v>
      </c>
      <c r="T84" s="19" t="s">
        <v>174</v>
      </c>
    </row>
    <row r="85" spans="1:20" ht="37.5" customHeight="1" x14ac:dyDescent="0.25">
      <c r="A85" s="19" t="s">
        <v>176</v>
      </c>
      <c r="B85">
        <f t="shared" si="12"/>
        <v>29071</v>
      </c>
      <c r="C85">
        <v>5033</v>
      </c>
      <c r="D85">
        <v>24038</v>
      </c>
      <c r="F85">
        <f t="shared" si="7"/>
        <v>690</v>
      </c>
      <c r="G85" s="20">
        <f t="shared" si="13"/>
        <v>80</v>
      </c>
      <c r="H85" s="21">
        <v>88821080279</v>
      </c>
      <c r="I85" s="22" t="s">
        <v>177</v>
      </c>
      <c r="J85" s="23"/>
      <c r="K85" s="24">
        <v>28381</v>
      </c>
      <c r="L85" s="23">
        <f t="shared" si="8"/>
        <v>690</v>
      </c>
      <c r="M85" s="24">
        <v>4923</v>
      </c>
      <c r="N85" s="25">
        <f t="shared" si="9"/>
        <v>110</v>
      </c>
      <c r="O85" s="24">
        <v>23458</v>
      </c>
      <c r="P85" s="23">
        <f t="shared" si="10"/>
        <v>580</v>
      </c>
      <c r="Q85" s="26"/>
      <c r="R85" s="23">
        <f t="shared" si="11"/>
        <v>0</v>
      </c>
      <c r="S85" s="27" t="s">
        <v>19</v>
      </c>
      <c r="T85" s="19" t="s">
        <v>176</v>
      </c>
    </row>
    <row r="86" spans="1:20" ht="37.5" customHeight="1" x14ac:dyDescent="0.25">
      <c r="A86" s="19" t="s">
        <v>178</v>
      </c>
      <c r="B86">
        <f t="shared" si="12"/>
        <v>730</v>
      </c>
      <c r="C86">
        <v>259</v>
      </c>
      <c r="D86">
        <v>471</v>
      </c>
      <c r="E86">
        <v>1144</v>
      </c>
      <c r="F86">
        <f t="shared" si="7"/>
        <v>730</v>
      </c>
      <c r="G86" s="20">
        <f t="shared" si="13"/>
        <v>81</v>
      </c>
      <c r="H86" s="21">
        <v>99625010177</v>
      </c>
      <c r="I86" s="22" t="s">
        <v>179</v>
      </c>
      <c r="J86" s="23"/>
      <c r="K86" s="24">
        <v>0</v>
      </c>
      <c r="L86" s="23">
        <f t="shared" si="8"/>
        <v>730</v>
      </c>
      <c r="M86" s="24">
        <v>0</v>
      </c>
      <c r="N86" s="25">
        <f t="shared" si="9"/>
        <v>259</v>
      </c>
      <c r="O86" s="24">
        <v>0</v>
      </c>
      <c r="P86" s="23">
        <f t="shared" si="10"/>
        <v>471</v>
      </c>
      <c r="Q86" s="26">
        <v>0</v>
      </c>
      <c r="R86" s="23">
        <f t="shared" si="11"/>
        <v>1144</v>
      </c>
      <c r="S86" s="27" t="s">
        <v>19</v>
      </c>
      <c r="T86" s="19" t="s">
        <v>178</v>
      </c>
    </row>
    <row r="87" spans="1:20" ht="37.5" customHeight="1" x14ac:dyDescent="0.25">
      <c r="A87" s="19" t="s">
        <v>180</v>
      </c>
      <c r="B87">
        <f t="shared" si="12"/>
        <v>11506</v>
      </c>
      <c r="C87">
        <v>1713</v>
      </c>
      <c r="D87">
        <v>9793</v>
      </c>
      <c r="E87">
        <v>10890</v>
      </c>
      <c r="F87">
        <f t="shared" si="7"/>
        <v>351</v>
      </c>
      <c r="G87" s="20">
        <f t="shared" si="13"/>
        <v>82</v>
      </c>
      <c r="H87" s="21">
        <v>99723050110</v>
      </c>
      <c r="I87" s="22" t="s">
        <v>181</v>
      </c>
      <c r="J87" s="23"/>
      <c r="K87" s="24">
        <f>M87+O87</f>
        <v>11155</v>
      </c>
      <c r="L87" s="23">
        <f t="shared" si="8"/>
        <v>351</v>
      </c>
      <c r="M87" s="24">
        <v>1618</v>
      </c>
      <c r="N87" s="25">
        <f t="shared" si="9"/>
        <v>95</v>
      </c>
      <c r="O87" s="24">
        <v>9537</v>
      </c>
      <c r="P87" s="23">
        <f t="shared" si="10"/>
        <v>256</v>
      </c>
      <c r="Q87" s="26">
        <v>10167</v>
      </c>
      <c r="R87" s="23">
        <f t="shared" si="11"/>
        <v>723</v>
      </c>
      <c r="S87" s="27" t="s">
        <v>19</v>
      </c>
      <c r="T87" s="19" t="s">
        <v>180</v>
      </c>
    </row>
    <row r="88" spans="1:20" ht="37.5" customHeight="1" x14ac:dyDescent="0.25">
      <c r="A88" s="19" t="s">
        <v>182</v>
      </c>
      <c r="B88">
        <f t="shared" si="12"/>
        <v>9350</v>
      </c>
      <c r="C88">
        <v>2266</v>
      </c>
      <c r="D88">
        <v>7084</v>
      </c>
      <c r="E88">
        <v>5606</v>
      </c>
      <c r="F88">
        <f t="shared" si="7"/>
        <v>407</v>
      </c>
      <c r="G88" s="20">
        <f t="shared" si="13"/>
        <v>83</v>
      </c>
      <c r="H88" s="21">
        <v>99623080203</v>
      </c>
      <c r="I88" s="22" t="s">
        <v>183</v>
      </c>
      <c r="J88" s="23"/>
      <c r="K88" s="24">
        <f>M88+O88</f>
        <v>8943</v>
      </c>
      <c r="L88" s="23">
        <f t="shared" si="8"/>
        <v>407</v>
      </c>
      <c r="M88" s="24">
        <v>2153</v>
      </c>
      <c r="N88" s="25">
        <f t="shared" si="9"/>
        <v>113</v>
      </c>
      <c r="O88" s="24">
        <v>6790</v>
      </c>
      <c r="P88" s="23">
        <f t="shared" si="10"/>
        <v>294</v>
      </c>
      <c r="Q88" s="26">
        <v>5006</v>
      </c>
      <c r="R88" s="23">
        <f t="shared" si="11"/>
        <v>600</v>
      </c>
      <c r="S88" s="27" t="s">
        <v>19</v>
      </c>
      <c r="T88" s="19" t="s">
        <v>182</v>
      </c>
    </row>
    <row r="89" spans="1:20" ht="37.5" customHeight="1" x14ac:dyDescent="0.25">
      <c r="A89" s="19" t="s">
        <v>184</v>
      </c>
      <c r="B89">
        <f t="shared" si="12"/>
        <v>6726</v>
      </c>
      <c r="C89">
        <v>1119</v>
      </c>
      <c r="D89">
        <v>5607</v>
      </c>
      <c r="F89">
        <f t="shared" si="7"/>
        <v>13</v>
      </c>
      <c r="G89" s="20">
        <f t="shared" si="13"/>
        <v>84</v>
      </c>
      <c r="H89" s="21">
        <v>66621050178</v>
      </c>
      <c r="I89" s="22" t="s">
        <v>185</v>
      </c>
      <c r="J89" s="23"/>
      <c r="K89" s="24">
        <v>6713</v>
      </c>
      <c r="L89" s="23">
        <f t="shared" si="8"/>
        <v>13</v>
      </c>
      <c r="M89" s="24">
        <v>1117</v>
      </c>
      <c r="N89" s="25">
        <f t="shared" si="9"/>
        <v>2</v>
      </c>
      <c r="O89" s="24">
        <v>5596</v>
      </c>
      <c r="P89" s="23">
        <f t="shared" si="10"/>
        <v>11</v>
      </c>
      <c r="Q89" s="26"/>
      <c r="R89" s="23">
        <f t="shared" si="11"/>
        <v>0</v>
      </c>
      <c r="S89" s="27" t="s">
        <v>19</v>
      </c>
      <c r="T89" s="19" t="s">
        <v>184</v>
      </c>
    </row>
    <row r="90" spans="1:20" ht="37.5" customHeight="1" x14ac:dyDescent="0.25">
      <c r="A90" s="19" t="s">
        <v>186</v>
      </c>
      <c r="B90">
        <f t="shared" si="12"/>
        <v>2957</v>
      </c>
      <c r="C90">
        <v>514</v>
      </c>
      <c r="D90">
        <v>2443</v>
      </c>
      <c r="F90">
        <f t="shared" si="7"/>
        <v>211</v>
      </c>
      <c r="G90" s="20">
        <f t="shared" si="13"/>
        <v>85</v>
      </c>
      <c r="H90" s="21">
        <v>66623011148</v>
      </c>
      <c r="I90" s="22" t="s">
        <v>187</v>
      </c>
      <c r="J90" s="23"/>
      <c r="K90" s="24">
        <v>2746</v>
      </c>
      <c r="L90" s="23">
        <f t="shared" si="8"/>
        <v>211</v>
      </c>
      <c r="M90" s="24">
        <v>438</v>
      </c>
      <c r="N90" s="25">
        <f t="shared" si="9"/>
        <v>76</v>
      </c>
      <c r="O90" s="24">
        <v>2308</v>
      </c>
      <c r="P90" s="23">
        <f t="shared" si="10"/>
        <v>135</v>
      </c>
      <c r="Q90" s="26"/>
      <c r="R90" s="23">
        <f t="shared" si="11"/>
        <v>0</v>
      </c>
      <c r="S90" s="27" t="s">
        <v>19</v>
      </c>
      <c r="T90" s="19" t="s">
        <v>186</v>
      </c>
    </row>
    <row r="91" spans="1:20" ht="37.5" customHeight="1" x14ac:dyDescent="0.25">
      <c r="A91" s="19" t="s">
        <v>188</v>
      </c>
      <c r="B91">
        <f t="shared" si="12"/>
        <v>59839</v>
      </c>
      <c r="C91">
        <v>10973</v>
      </c>
      <c r="D91">
        <v>48866</v>
      </c>
      <c r="F91">
        <f t="shared" si="7"/>
        <v>466</v>
      </c>
      <c r="G91" s="20">
        <f t="shared" si="13"/>
        <v>86</v>
      </c>
      <c r="H91" s="21">
        <v>23013090440</v>
      </c>
      <c r="I91" s="22" t="s">
        <v>189</v>
      </c>
      <c r="J91" s="23"/>
      <c r="K91" s="24">
        <v>59373</v>
      </c>
      <c r="L91" s="23">
        <f t="shared" si="8"/>
        <v>466</v>
      </c>
      <c r="M91" s="24">
        <v>10905</v>
      </c>
      <c r="N91" s="25">
        <f t="shared" si="9"/>
        <v>68</v>
      </c>
      <c r="O91" s="24">
        <v>48468</v>
      </c>
      <c r="P91" s="23">
        <f t="shared" si="10"/>
        <v>398</v>
      </c>
      <c r="Q91" s="26"/>
      <c r="R91" s="23">
        <f t="shared" si="11"/>
        <v>0</v>
      </c>
      <c r="S91" s="27" t="s">
        <v>19</v>
      </c>
      <c r="T91" s="19" t="s">
        <v>188</v>
      </c>
    </row>
    <row r="92" spans="1:20" ht="37.5" customHeight="1" x14ac:dyDescent="0.25">
      <c r="A92" s="19" t="s">
        <v>190</v>
      </c>
      <c r="B92">
        <f t="shared" si="12"/>
        <v>39735</v>
      </c>
      <c r="C92">
        <v>6685</v>
      </c>
      <c r="D92">
        <v>33050</v>
      </c>
      <c r="F92">
        <f t="shared" si="7"/>
        <v>405</v>
      </c>
      <c r="G92" s="20">
        <f t="shared" si="13"/>
        <v>87</v>
      </c>
      <c r="H92" s="21">
        <v>88818030326</v>
      </c>
      <c r="I92" s="22" t="s">
        <v>191</v>
      </c>
      <c r="J92" s="23"/>
      <c r="K92" s="24">
        <v>39330</v>
      </c>
      <c r="L92" s="23">
        <f t="shared" si="8"/>
        <v>405</v>
      </c>
      <c r="M92" s="24">
        <v>6610</v>
      </c>
      <c r="N92" s="25">
        <f t="shared" si="9"/>
        <v>75</v>
      </c>
      <c r="O92" s="24">
        <v>32720</v>
      </c>
      <c r="P92" s="23">
        <f t="shared" si="10"/>
        <v>330</v>
      </c>
      <c r="Q92" s="26"/>
      <c r="R92" s="23">
        <f t="shared" si="11"/>
        <v>0</v>
      </c>
      <c r="S92" s="27" t="s">
        <v>19</v>
      </c>
      <c r="T92" s="19" t="s">
        <v>190</v>
      </c>
    </row>
    <row r="93" spans="1:20" ht="37.5" customHeight="1" x14ac:dyDescent="0.25">
      <c r="A93" s="19" t="s">
        <v>192</v>
      </c>
      <c r="B93">
        <f t="shared" si="12"/>
        <v>17173</v>
      </c>
      <c r="C93">
        <v>3804</v>
      </c>
      <c r="D93">
        <v>13369</v>
      </c>
      <c r="E93">
        <v>26145</v>
      </c>
      <c r="F93">
        <f t="shared" si="7"/>
        <v>630</v>
      </c>
      <c r="G93" s="20">
        <f t="shared" si="13"/>
        <v>88</v>
      </c>
      <c r="H93" s="21">
        <v>99423020027</v>
      </c>
      <c r="I93" s="22" t="s">
        <v>193</v>
      </c>
      <c r="J93" s="23"/>
      <c r="K93" s="24">
        <f>M93+O93</f>
        <v>16543</v>
      </c>
      <c r="L93" s="23">
        <f t="shared" si="8"/>
        <v>630</v>
      </c>
      <c r="M93" s="24">
        <v>3672</v>
      </c>
      <c r="N93" s="25">
        <f t="shared" si="9"/>
        <v>132</v>
      </c>
      <c r="O93" s="24">
        <v>12871</v>
      </c>
      <c r="P93" s="23">
        <f t="shared" si="10"/>
        <v>498</v>
      </c>
      <c r="Q93" s="26">
        <v>24861</v>
      </c>
      <c r="R93" s="23">
        <f t="shared" si="11"/>
        <v>1284</v>
      </c>
      <c r="S93" s="27" t="s">
        <v>19</v>
      </c>
      <c r="T93" s="19" t="s">
        <v>192</v>
      </c>
    </row>
    <row r="94" spans="1:20" ht="37.5" customHeight="1" x14ac:dyDescent="0.25">
      <c r="A94" s="19" t="s">
        <v>194</v>
      </c>
      <c r="B94">
        <f t="shared" si="12"/>
        <v>64502</v>
      </c>
      <c r="C94">
        <v>11992</v>
      </c>
      <c r="D94">
        <v>52510</v>
      </c>
      <c r="F94">
        <f t="shared" si="7"/>
        <v>481</v>
      </c>
      <c r="G94" s="20">
        <f t="shared" si="13"/>
        <v>89</v>
      </c>
      <c r="H94" s="21">
        <v>23014040370</v>
      </c>
      <c r="I94" s="22" t="s">
        <v>195</v>
      </c>
      <c r="J94" s="23"/>
      <c r="K94" s="24">
        <v>64021</v>
      </c>
      <c r="L94" s="23">
        <f t="shared" si="8"/>
        <v>481</v>
      </c>
      <c r="M94" s="24">
        <v>11902</v>
      </c>
      <c r="N94" s="25">
        <f t="shared" si="9"/>
        <v>90</v>
      </c>
      <c r="O94" s="24">
        <v>52119</v>
      </c>
      <c r="P94" s="23">
        <f t="shared" si="10"/>
        <v>391</v>
      </c>
      <c r="Q94" s="26"/>
      <c r="R94" s="23">
        <f t="shared" si="11"/>
        <v>0</v>
      </c>
      <c r="S94" s="27" t="s">
        <v>19</v>
      </c>
      <c r="T94" s="19" t="s">
        <v>194</v>
      </c>
    </row>
    <row r="95" spans="1:20" ht="37.5" customHeight="1" x14ac:dyDescent="0.25">
      <c r="A95" s="19" t="s">
        <v>196</v>
      </c>
      <c r="B95">
        <f t="shared" si="12"/>
        <v>10754</v>
      </c>
      <c r="C95">
        <v>2291</v>
      </c>
      <c r="D95">
        <v>8463</v>
      </c>
      <c r="F95">
        <f t="shared" si="7"/>
        <v>257</v>
      </c>
      <c r="G95" s="20">
        <f t="shared" si="13"/>
        <v>90</v>
      </c>
      <c r="H95" s="21">
        <v>66622040698</v>
      </c>
      <c r="I95" s="22" t="s">
        <v>197</v>
      </c>
      <c r="J95" s="23"/>
      <c r="K95" s="24">
        <v>10497</v>
      </c>
      <c r="L95" s="23">
        <f t="shared" si="8"/>
        <v>257</v>
      </c>
      <c r="M95" s="24">
        <v>2240</v>
      </c>
      <c r="N95" s="25">
        <f t="shared" si="9"/>
        <v>51</v>
      </c>
      <c r="O95" s="24">
        <v>8257</v>
      </c>
      <c r="P95" s="23">
        <f t="shared" si="10"/>
        <v>206</v>
      </c>
      <c r="Q95" s="26"/>
      <c r="R95" s="23">
        <f t="shared" si="11"/>
        <v>0</v>
      </c>
      <c r="S95" s="27" t="s">
        <v>19</v>
      </c>
      <c r="T95" s="19" t="s">
        <v>196</v>
      </c>
    </row>
    <row r="96" spans="1:20" ht="37.5" customHeight="1" x14ac:dyDescent="0.25">
      <c r="A96" s="19" t="s">
        <v>198</v>
      </c>
      <c r="B96">
        <f t="shared" si="12"/>
        <v>6397</v>
      </c>
      <c r="C96">
        <v>1529</v>
      </c>
      <c r="D96">
        <v>4868</v>
      </c>
      <c r="E96">
        <v>13781</v>
      </c>
      <c r="F96">
        <f t="shared" si="7"/>
        <v>345</v>
      </c>
      <c r="G96" s="20">
        <f t="shared" si="13"/>
        <v>91</v>
      </c>
      <c r="H96" s="21">
        <v>99723070036</v>
      </c>
      <c r="I96" s="22" t="s">
        <v>199</v>
      </c>
      <c r="J96" s="23"/>
      <c r="K96" s="24">
        <f>M96+O96</f>
        <v>6052</v>
      </c>
      <c r="L96" s="23">
        <f t="shared" si="8"/>
        <v>345</v>
      </c>
      <c r="M96" s="24">
        <v>1446</v>
      </c>
      <c r="N96" s="25">
        <f t="shared" si="9"/>
        <v>83</v>
      </c>
      <c r="O96" s="24">
        <v>4606</v>
      </c>
      <c r="P96" s="23">
        <f t="shared" si="10"/>
        <v>262</v>
      </c>
      <c r="Q96" s="26">
        <v>12856</v>
      </c>
      <c r="R96" s="23">
        <f t="shared" si="11"/>
        <v>925</v>
      </c>
      <c r="S96" s="27" t="s">
        <v>19</v>
      </c>
      <c r="T96" s="19" t="s">
        <v>198</v>
      </c>
    </row>
    <row r="97" spans="1:20" ht="37.5" customHeight="1" x14ac:dyDescent="0.25">
      <c r="A97" s="19" t="s">
        <v>200</v>
      </c>
      <c r="B97">
        <f t="shared" si="12"/>
        <v>7704</v>
      </c>
      <c r="C97">
        <v>1850</v>
      </c>
      <c r="D97">
        <v>5854</v>
      </c>
      <c r="E97">
        <v>15124</v>
      </c>
      <c r="F97">
        <f t="shared" si="7"/>
        <v>346</v>
      </c>
      <c r="G97" s="20">
        <f t="shared" si="13"/>
        <v>92</v>
      </c>
      <c r="H97" s="21">
        <v>99623080258</v>
      </c>
      <c r="I97" s="22" t="s">
        <v>201</v>
      </c>
      <c r="J97" s="23"/>
      <c r="K97" s="24">
        <f>M97+O97</f>
        <v>7358</v>
      </c>
      <c r="L97" s="23">
        <f t="shared" si="8"/>
        <v>346</v>
      </c>
      <c r="M97" s="24">
        <v>1772</v>
      </c>
      <c r="N97" s="25">
        <f t="shared" si="9"/>
        <v>78</v>
      </c>
      <c r="O97" s="24">
        <v>5586</v>
      </c>
      <c r="P97" s="23">
        <f t="shared" si="10"/>
        <v>268</v>
      </c>
      <c r="Q97" s="26">
        <v>13779</v>
      </c>
      <c r="R97" s="23">
        <f t="shared" si="11"/>
        <v>1345</v>
      </c>
      <c r="S97" s="27" t="s">
        <v>19</v>
      </c>
      <c r="T97" s="19" t="s">
        <v>200</v>
      </c>
    </row>
    <row r="98" spans="1:20" ht="37.5" customHeight="1" x14ac:dyDescent="0.25">
      <c r="A98" s="19" t="s">
        <v>202</v>
      </c>
      <c r="B98">
        <f t="shared" si="12"/>
        <v>6274</v>
      </c>
      <c r="C98">
        <v>1390</v>
      </c>
      <c r="D98">
        <v>4884</v>
      </c>
      <c r="E98">
        <v>5745</v>
      </c>
      <c r="F98">
        <f t="shared" si="7"/>
        <v>495</v>
      </c>
      <c r="G98" s="20">
        <f t="shared" si="13"/>
        <v>93</v>
      </c>
      <c r="H98" s="21">
        <v>99624010290</v>
      </c>
      <c r="I98" s="22" t="s">
        <v>203</v>
      </c>
      <c r="J98" s="23"/>
      <c r="K98" s="24">
        <f>M98+O98</f>
        <v>5779</v>
      </c>
      <c r="L98" s="23">
        <f t="shared" si="8"/>
        <v>495</v>
      </c>
      <c r="M98" s="24">
        <v>1272</v>
      </c>
      <c r="N98" s="25">
        <f t="shared" si="9"/>
        <v>118</v>
      </c>
      <c r="O98" s="24">
        <v>4507</v>
      </c>
      <c r="P98" s="23">
        <f t="shared" si="10"/>
        <v>377</v>
      </c>
      <c r="Q98" s="26">
        <v>4893</v>
      </c>
      <c r="R98" s="23">
        <f t="shared" si="11"/>
        <v>852</v>
      </c>
      <c r="S98" s="27" t="s">
        <v>19</v>
      </c>
      <c r="T98" s="19" t="s">
        <v>202</v>
      </c>
    </row>
    <row r="99" spans="1:20" ht="37.5" customHeight="1" x14ac:dyDescent="0.25">
      <c r="A99" s="19" t="s">
        <v>204</v>
      </c>
      <c r="B99">
        <f t="shared" si="12"/>
        <v>65407</v>
      </c>
      <c r="C99">
        <v>11326</v>
      </c>
      <c r="D99">
        <v>54081</v>
      </c>
      <c r="F99">
        <f t="shared" si="7"/>
        <v>79</v>
      </c>
      <c r="G99" s="20">
        <f t="shared" si="13"/>
        <v>94</v>
      </c>
      <c r="H99" s="21">
        <v>23014010134</v>
      </c>
      <c r="I99" s="22" t="s">
        <v>205</v>
      </c>
      <c r="J99" s="23"/>
      <c r="K99" s="24">
        <v>65328</v>
      </c>
      <c r="L99" s="23">
        <f t="shared" si="8"/>
        <v>79</v>
      </c>
      <c r="M99" s="24">
        <v>11314</v>
      </c>
      <c r="N99" s="25">
        <f t="shared" si="9"/>
        <v>12</v>
      </c>
      <c r="O99" s="24">
        <v>54014</v>
      </c>
      <c r="P99" s="23">
        <f t="shared" si="10"/>
        <v>67</v>
      </c>
      <c r="Q99" s="26"/>
      <c r="R99" s="23">
        <f t="shared" si="11"/>
        <v>0</v>
      </c>
      <c r="S99" s="27" t="s">
        <v>19</v>
      </c>
      <c r="T99" s="19" t="s">
        <v>204</v>
      </c>
    </row>
    <row r="100" spans="1:20" ht="37.5" customHeight="1" x14ac:dyDescent="0.25">
      <c r="A100" s="19" t="s">
        <v>206</v>
      </c>
      <c r="B100">
        <f t="shared" si="12"/>
        <v>37945</v>
      </c>
      <c r="C100">
        <v>7147</v>
      </c>
      <c r="D100">
        <v>30798</v>
      </c>
      <c r="F100">
        <f t="shared" si="7"/>
        <v>254</v>
      </c>
      <c r="G100" s="20">
        <f t="shared" si="13"/>
        <v>95</v>
      </c>
      <c r="H100" s="21">
        <v>23014090214</v>
      </c>
      <c r="I100" s="22" t="s">
        <v>207</v>
      </c>
      <c r="J100" s="23"/>
      <c r="K100" s="24">
        <v>37691</v>
      </c>
      <c r="L100" s="23">
        <f t="shared" si="8"/>
        <v>254</v>
      </c>
      <c r="M100" s="24">
        <v>7099</v>
      </c>
      <c r="N100" s="25">
        <f t="shared" si="9"/>
        <v>48</v>
      </c>
      <c r="O100" s="24">
        <v>30592</v>
      </c>
      <c r="P100" s="23">
        <f t="shared" si="10"/>
        <v>206</v>
      </c>
      <c r="Q100" s="26"/>
      <c r="R100" s="23">
        <f t="shared" si="11"/>
        <v>0</v>
      </c>
      <c r="S100" s="27" t="s">
        <v>19</v>
      </c>
      <c r="T100" s="19" t="s">
        <v>206</v>
      </c>
    </row>
    <row r="101" spans="1:20" ht="37.5" customHeight="1" x14ac:dyDescent="0.25">
      <c r="A101" s="19" t="s">
        <v>208</v>
      </c>
      <c r="B101">
        <f t="shared" si="12"/>
        <v>29113</v>
      </c>
      <c r="C101">
        <v>4381</v>
      </c>
      <c r="D101">
        <v>24732</v>
      </c>
      <c r="F101">
        <f t="shared" si="7"/>
        <v>160</v>
      </c>
      <c r="G101" s="20">
        <f t="shared" si="13"/>
        <v>96</v>
      </c>
      <c r="H101" s="21">
        <v>88818030045</v>
      </c>
      <c r="I101" s="22" t="s">
        <v>209</v>
      </c>
      <c r="J101" s="23"/>
      <c r="K101" s="24">
        <v>28953</v>
      </c>
      <c r="L101" s="23">
        <f t="shared" si="8"/>
        <v>160</v>
      </c>
      <c r="M101" s="24">
        <v>4364</v>
      </c>
      <c r="N101" s="25">
        <f t="shared" si="9"/>
        <v>17</v>
      </c>
      <c r="O101" s="24">
        <v>24589</v>
      </c>
      <c r="P101" s="23">
        <f t="shared" si="10"/>
        <v>143</v>
      </c>
      <c r="Q101" s="26"/>
      <c r="R101" s="23">
        <f t="shared" si="11"/>
        <v>0</v>
      </c>
      <c r="S101" s="27" t="s">
        <v>19</v>
      </c>
      <c r="T101" s="19" t="s">
        <v>208</v>
      </c>
    </row>
    <row r="102" spans="1:20" ht="37.5" customHeight="1" x14ac:dyDescent="0.25">
      <c r="A102" s="19" t="s">
        <v>210</v>
      </c>
      <c r="B102">
        <f t="shared" si="12"/>
        <v>27738</v>
      </c>
      <c r="C102">
        <v>4985</v>
      </c>
      <c r="D102">
        <v>22753</v>
      </c>
      <c r="F102">
        <f t="shared" si="7"/>
        <v>771</v>
      </c>
      <c r="G102" s="20">
        <f t="shared" si="13"/>
        <v>97</v>
      </c>
      <c r="H102" s="21">
        <v>88819030051</v>
      </c>
      <c r="I102" s="22" t="s">
        <v>211</v>
      </c>
      <c r="J102" s="23"/>
      <c r="K102" s="24">
        <v>26967</v>
      </c>
      <c r="L102" s="23">
        <f t="shared" si="8"/>
        <v>771</v>
      </c>
      <c r="M102" s="24">
        <v>4863</v>
      </c>
      <c r="N102" s="25">
        <f t="shared" si="9"/>
        <v>122</v>
      </c>
      <c r="O102" s="24">
        <v>22104</v>
      </c>
      <c r="P102" s="23">
        <f t="shared" si="10"/>
        <v>649</v>
      </c>
      <c r="Q102" s="26"/>
      <c r="R102" s="23">
        <f t="shared" si="11"/>
        <v>0</v>
      </c>
      <c r="S102" s="27" t="s">
        <v>19</v>
      </c>
      <c r="T102" s="19" t="s">
        <v>210</v>
      </c>
    </row>
    <row r="103" spans="1:20" ht="37.5" customHeight="1" x14ac:dyDescent="0.25">
      <c r="A103" s="19" t="s">
        <v>212</v>
      </c>
      <c r="B103">
        <f t="shared" si="12"/>
        <v>36450</v>
      </c>
      <c r="C103">
        <v>6121</v>
      </c>
      <c r="D103">
        <v>30329</v>
      </c>
      <c r="F103">
        <f t="shared" si="7"/>
        <v>151</v>
      </c>
      <c r="G103" s="20">
        <f t="shared" si="13"/>
        <v>98</v>
      </c>
      <c r="H103" s="21">
        <v>23013080065</v>
      </c>
      <c r="I103" s="22" t="s">
        <v>213</v>
      </c>
      <c r="J103" s="23"/>
      <c r="K103" s="24">
        <v>36299</v>
      </c>
      <c r="L103" s="23">
        <f t="shared" si="8"/>
        <v>151</v>
      </c>
      <c r="M103" s="24">
        <v>6076</v>
      </c>
      <c r="N103" s="25">
        <f t="shared" si="9"/>
        <v>45</v>
      </c>
      <c r="O103" s="24">
        <v>30223</v>
      </c>
      <c r="P103" s="23">
        <f t="shared" si="10"/>
        <v>106</v>
      </c>
      <c r="Q103" s="26"/>
      <c r="R103" s="23">
        <f t="shared" si="11"/>
        <v>0</v>
      </c>
      <c r="S103" s="27" t="s">
        <v>19</v>
      </c>
      <c r="T103" s="19" t="s">
        <v>212</v>
      </c>
    </row>
    <row r="104" spans="1:20" ht="37.5" customHeight="1" x14ac:dyDescent="0.25">
      <c r="A104" s="19" t="s">
        <v>214</v>
      </c>
      <c r="B104">
        <f t="shared" si="12"/>
        <v>62940</v>
      </c>
      <c r="C104">
        <v>11469</v>
      </c>
      <c r="D104">
        <v>51471</v>
      </c>
      <c r="F104">
        <f t="shared" si="7"/>
        <v>468</v>
      </c>
      <c r="G104" s="20">
        <f t="shared" si="13"/>
        <v>99</v>
      </c>
      <c r="H104" s="21">
        <v>66616020298</v>
      </c>
      <c r="I104" s="22" t="s">
        <v>215</v>
      </c>
      <c r="J104" s="23"/>
      <c r="K104" s="24">
        <v>62472</v>
      </c>
      <c r="L104" s="23">
        <f t="shared" si="8"/>
        <v>468</v>
      </c>
      <c r="M104" s="24">
        <v>11392</v>
      </c>
      <c r="N104" s="25">
        <f t="shared" si="9"/>
        <v>77</v>
      </c>
      <c r="O104" s="24">
        <v>51080</v>
      </c>
      <c r="P104" s="23">
        <f t="shared" si="10"/>
        <v>391</v>
      </c>
      <c r="Q104" s="26"/>
      <c r="R104" s="23">
        <f t="shared" si="11"/>
        <v>0</v>
      </c>
      <c r="S104" s="27" t="s">
        <v>19</v>
      </c>
      <c r="T104" s="19" t="s">
        <v>214</v>
      </c>
    </row>
    <row r="105" spans="1:20" ht="37.5" customHeight="1" x14ac:dyDescent="0.25">
      <c r="A105" s="19" t="s">
        <v>216</v>
      </c>
      <c r="B105">
        <f t="shared" si="12"/>
        <v>117398</v>
      </c>
      <c r="C105">
        <v>21091</v>
      </c>
      <c r="D105">
        <v>96307</v>
      </c>
      <c r="F105">
        <f t="shared" si="7"/>
        <v>1179</v>
      </c>
      <c r="G105" s="20">
        <f t="shared" si="13"/>
        <v>100</v>
      </c>
      <c r="H105" s="21">
        <v>23013010089</v>
      </c>
      <c r="I105" s="22" t="s">
        <v>217</v>
      </c>
      <c r="J105" s="23"/>
      <c r="K105" s="24">
        <v>116219</v>
      </c>
      <c r="L105" s="23">
        <f t="shared" si="8"/>
        <v>1179</v>
      </c>
      <c r="M105" s="24">
        <v>20917</v>
      </c>
      <c r="N105" s="25">
        <f t="shared" si="9"/>
        <v>174</v>
      </c>
      <c r="O105" s="24">
        <v>95302</v>
      </c>
      <c r="P105" s="23">
        <f t="shared" si="10"/>
        <v>1005</v>
      </c>
      <c r="Q105" s="26"/>
      <c r="R105" s="23">
        <f t="shared" si="11"/>
        <v>0</v>
      </c>
      <c r="S105" s="27" t="s">
        <v>19</v>
      </c>
      <c r="T105" s="19" t="s">
        <v>216</v>
      </c>
    </row>
    <row r="106" spans="1:20" ht="37.5" customHeight="1" x14ac:dyDescent="0.25">
      <c r="A106" s="19" t="s">
        <v>218</v>
      </c>
      <c r="B106">
        <f t="shared" si="12"/>
        <v>22436</v>
      </c>
      <c r="C106">
        <v>4265</v>
      </c>
      <c r="D106">
        <v>18171</v>
      </c>
      <c r="F106">
        <f t="shared" si="7"/>
        <v>115</v>
      </c>
      <c r="G106" s="20">
        <f t="shared" si="13"/>
        <v>101</v>
      </c>
      <c r="H106" s="21">
        <v>88820030400</v>
      </c>
      <c r="I106" s="22" t="s">
        <v>219</v>
      </c>
      <c r="J106" s="23"/>
      <c r="K106" s="24">
        <v>22321</v>
      </c>
      <c r="L106" s="23">
        <f t="shared" si="8"/>
        <v>115</v>
      </c>
      <c r="M106" s="24">
        <v>4248</v>
      </c>
      <c r="N106" s="25">
        <f t="shared" si="9"/>
        <v>17</v>
      </c>
      <c r="O106" s="24">
        <v>18073</v>
      </c>
      <c r="P106" s="23">
        <f t="shared" si="10"/>
        <v>98</v>
      </c>
      <c r="Q106" s="26"/>
      <c r="R106" s="23">
        <f t="shared" si="11"/>
        <v>0</v>
      </c>
      <c r="S106" s="27" t="s">
        <v>19</v>
      </c>
      <c r="T106" s="19" t="s">
        <v>218</v>
      </c>
    </row>
    <row r="107" spans="1:20" ht="37.5" customHeight="1" x14ac:dyDescent="0.25">
      <c r="A107" s="19" t="s">
        <v>220</v>
      </c>
      <c r="B107">
        <f t="shared" si="12"/>
        <v>77592</v>
      </c>
      <c r="C107">
        <v>13217</v>
      </c>
      <c r="D107">
        <v>64375</v>
      </c>
      <c r="F107">
        <f t="shared" si="7"/>
        <v>279</v>
      </c>
      <c r="G107" s="20">
        <f t="shared" si="13"/>
        <v>102</v>
      </c>
      <c r="H107" s="21">
        <v>23014010372</v>
      </c>
      <c r="I107" s="22" t="s">
        <v>221</v>
      </c>
      <c r="J107" s="23"/>
      <c r="K107" s="24">
        <v>77313</v>
      </c>
      <c r="L107" s="23">
        <f t="shared" si="8"/>
        <v>279</v>
      </c>
      <c r="M107" s="24">
        <v>13164</v>
      </c>
      <c r="N107" s="25">
        <f t="shared" si="9"/>
        <v>53</v>
      </c>
      <c r="O107" s="24">
        <v>64149</v>
      </c>
      <c r="P107" s="23">
        <f t="shared" si="10"/>
        <v>226</v>
      </c>
      <c r="Q107" s="26"/>
      <c r="R107" s="23">
        <f t="shared" si="11"/>
        <v>0</v>
      </c>
      <c r="S107" s="27" t="s">
        <v>19</v>
      </c>
      <c r="T107" s="19" t="s">
        <v>220</v>
      </c>
    </row>
    <row r="108" spans="1:20" ht="37.5" customHeight="1" x14ac:dyDescent="0.25">
      <c r="A108" s="19" t="s">
        <v>222</v>
      </c>
      <c r="B108">
        <f t="shared" si="12"/>
        <v>7276</v>
      </c>
      <c r="C108">
        <v>1061</v>
      </c>
      <c r="D108">
        <v>6215</v>
      </c>
      <c r="F108">
        <f t="shared" si="7"/>
        <v>94</v>
      </c>
      <c r="G108" s="20">
        <f t="shared" si="13"/>
        <v>103</v>
      </c>
      <c r="H108" s="21">
        <v>66621100126</v>
      </c>
      <c r="I108" s="22" t="s">
        <v>223</v>
      </c>
      <c r="J108" s="23"/>
      <c r="K108" s="24">
        <v>7182</v>
      </c>
      <c r="L108" s="23">
        <f t="shared" si="8"/>
        <v>94</v>
      </c>
      <c r="M108" s="24">
        <v>1046</v>
      </c>
      <c r="N108" s="25">
        <f t="shared" si="9"/>
        <v>15</v>
      </c>
      <c r="O108" s="24">
        <v>6136</v>
      </c>
      <c r="P108" s="23">
        <f t="shared" si="10"/>
        <v>79</v>
      </c>
      <c r="Q108" s="26"/>
      <c r="R108" s="23">
        <f t="shared" si="11"/>
        <v>0</v>
      </c>
      <c r="S108" s="27" t="s">
        <v>19</v>
      </c>
      <c r="T108" s="19" t="s">
        <v>222</v>
      </c>
    </row>
    <row r="109" spans="1:20" ht="37.5" customHeight="1" x14ac:dyDescent="0.25">
      <c r="A109" s="19" t="s">
        <v>224</v>
      </c>
      <c r="B109">
        <f t="shared" si="12"/>
        <v>61188</v>
      </c>
      <c r="C109">
        <v>8690</v>
      </c>
      <c r="D109">
        <v>52498</v>
      </c>
      <c r="F109">
        <f t="shared" si="7"/>
        <v>962</v>
      </c>
      <c r="G109" s="20">
        <f t="shared" si="13"/>
        <v>104</v>
      </c>
      <c r="H109" s="21">
        <v>88818010114</v>
      </c>
      <c r="I109" s="22" t="s">
        <v>225</v>
      </c>
      <c r="J109" s="23"/>
      <c r="K109" s="24">
        <v>60226</v>
      </c>
      <c r="L109" s="23">
        <f t="shared" si="8"/>
        <v>962</v>
      </c>
      <c r="M109" s="24">
        <v>8510</v>
      </c>
      <c r="N109" s="25">
        <f t="shared" si="9"/>
        <v>180</v>
      </c>
      <c r="O109" s="24">
        <v>51716</v>
      </c>
      <c r="P109" s="23">
        <f t="shared" si="10"/>
        <v>782</v>
      </c>
      <c r="Q109" s="26"/>
      <c r="R109" s="23">
        <f t="shared" si="11"/>
        <v>0</v>
      </c>
      <c r="S109" s="27" t="s">
        <v>19</v>
      </c>
      <c r="T109" s="19" t="s">
        <v>224</v>
      </c>
    </row>
    <row r="110" spans="1:20" ht="37.5" customHeight="1" x14ac:dyDescent="0.25">
      <c r="A110" s="19" t="s">
        <v>226</v>
      </c>
      <c r="B110">
        <f t="shared" si="12"/>
        <v>12904</v>
      </c>
      <c r="C110">
        <v>2930</v>
      </c>
      <c r="D110">
        <v>9974</v>
      </c>
      <c r="E110">
        <v>16546</v>
      </c>
      <c r="F110">
        <f t="shared" si="7"/>
        <v>420</v>
      </c>
      <c r="G110" s="20">
        <f t="shared" si="13"/>
        <v>105</v>
      </c>
      <c r="H110" s="21">
        <v>99722030023</v>
      </c>
      <c r="I110" s="22" t="s">
        <v>227</v>
      </c>
      <c r="J110" s="23"/>
      <c r="K110" s="24">
        <f>M110+O110</f>
        <v>12484</v>
      </c>
      <c r="L110" s="23">
        <f t="shared" si="8"/>
        <v>420</v>
      </c>
      <c r="M110" s="24">
        <v>2819</v>
      </c>
      <c r="N110" s="25">
        <f t="shared" si="9"/>
        <v>111</v>
      </c>
      <c r="O110" s="24">
        <v>9665</v>
      </c>
      <c r="P110" s="23">
        <f t="shared" si="10"/>
        <v>309</v>
      </c>
      <c r="Q110" s="26">
        <v>15864</v>
      </c>
      <c r="R110" s="23">
        <f t="shared" si="11"/>
        <v>682</v>
      </c>
      <c r="S110" s="27" t="s">
        <v>19</v>
      </c>
      <c r="T110" s="19" t="s">
        <v>226</v>
      </c>
    </row>
    <row r="111" spans="1:20" ht="37.5" customHeight="1" x14ac:dyDescent="0.25">
      <c r="A111" s="19" t="s">
        <v>228</v>
      </c>
      <c r="B111">
        <f t="shared" si="12"/>
        <v>47020</v>
      </c>
      <c r="C111">
        <v>9056</v>
      </c>
      <c r="D111">
        <v>37964</v>
      </c>
      <c r="F111">
        <f t="shared" si="7"/>
        <v>451</v>
      </c>
      <c r="G111" s="20">
        <f t="shared" si="13"/>
        <v>106</v>
      </c>
      <c r="H111" s="21">
        <v>66616020159</v>
      </c>
      <c r="I111" s="22" t="s">
        <v>229</v>
      </c>
      <c r="J111" s="23"/>
      <c r="K111" s="24">
        <v>46569</v>
      </c>
      <c r="L111" s="23">
        <f t="shared" si="8"/>
        <v>451</v>
      </c>
      <c r="M111" s="24">
        <v>8968</v>
      </c>
      <c r="N111" s="25">
        <f t="shared" si="9"/>
        <v>88</v>
      </c>
      <c r="O111" s="24">
        <v>37601</v>
      </c>
      <c r="P111" s="23">
        <f t="shared" si="10"/>
        <v>363</v>
      </c>
      <c r="Q111" s="26"/>
      <c r="R111" s="23">
        <f t="shared" si="11"/>
        <v>0</v>
      </c>
      <c r="S111" s="27" t="s">
        <v>19</v>
      </c>
      <c r="T111" s="19" t="s">
        <v>228</v>
      </c>
    </row>
    <row r="112" spans="1:20" ht="37.5" customHeight="1" x14ac:dyDescent="0.25">
      <c r="A112" s="19" t="s">
        <v>230</v>
      </c>
      <c r="B112">
        <f t="shared" si="12"/>
        <v>83624</v>
      </c>
      <c r="C112">
        <v>18345</v>
      </c>
      <c r="D112">
        <v>65279</v>
      </c>
      <c r="F112">
        <f t="shared" si="7"/>
        <v>602</v>
      </c>
      <c r="G112" s="20">
        <f t="shared" si="13"/>
        <v>107</v>
      </c>
      <c r="H112" s="21">
        <v>66617020168</v>
      </c>
      <c r="I112" s="22" t="s">
        <v>231</v>
      </c>
      <c r="J112" s="23"/>
      <c r="K112" s="24">
        <v>83022</v>
      </c>
      <c r="L112" s="23">
        <f t="shared" si="8"/>
        <v>602</v>
      </c>
      <c r="M112" s="24">
        <v>18095</v>
      </c>
      <c r="N112" s="25">
        <f t="shared" si="9"/>
        <v>250</v>
      </c>
      <c r="O112" s="24">
        <v>64927</v>
      </c>
      <c r="P112" s="23">
        <f t="shared" si="10"/>
        <v>352</v>
      </c>
      <c r="Q112" s="26"/>
      <c r="R112" s="23">
        <f t="shared" si="11"/>
        <v>0</v>
      </c>
      <c r="S112" s="27" t="s">
        <v>19</v>
      </c>
      <c r="T112" s="19" t="s">
        <v>230</v>
      </c>
    </row>
    <row r="113" spans="1:20" ht="37.5" customHeight="1" x14ac:dyDescent="0.25">
      <c r="A113" s="19" t="s">
        <v>232</v>
      </c>
      <c r="B113">
        <f t="shared" si="12"/>
        <v>9977</v>
      </c>
      <c r="C113">
        <v>1796</v>
      </c>
      <c r="D113">
        <v>8181</v>
      </c>
      <c r="F113">
        <f t="shared" si="7"/>
        <v>306</v>
      </c>
      <c r="G113" s="20">
        <f t="shared" si="13"/>
        <v>108</v>
      </c>
      <c r="H113" s="21">
        <v>66621050168</v>
      </c>
      <c r="I113" s="22" t="s">
        <v>233</v>
      </c>
      <c r="J113" s="23"/>
      <c r="K113" s="24">
        <v>9671</v>
      </c>
      <c r="L113" s="23">
        <f t="shared" si="8"/>
        <v>306</v>
      </c>
      <c r="M113" s="24">
        <v>1726</v>
      </c>
      <c r="N113" s="25">
        <f t="shared" si="9"/>
        <v>70</v>
      </c>
      <c r="O113" s="24">
        <v>7945</v>
      </c>
      <c r="P113" s="23">
        <f t="shared" si="10"/>
        <v>236</v>
      </c>
      <c r="Q113" s="26"/>
      <c r="R113" s="23">
        <f t="shared" si="11"/>
        <v>0</v>
      </c>
      <c r="S113" s="27" t="s">
        <v>19</v>
      </c>
      <c r="T113" s="19" t="s">
        <v>232</v>
      </c>
    </row>
    <row r="114" spans="1:20" ht="37.5" customHeight="1" x14ac:dyDescent="0.25">
      <c r="A114" s="19" t="s">
        <v>234</v>
      </c>
      <c r="B114">
        <f t="shared" si="12"/>
        <v>39709</v>
      </c>
      <c r="C114">
        <v>7011</v>
      </c>
      <c r="D114">
        <v>32698</v>
      </c>
      <c r="F114">
        <f t="shared" si="7"/>
        <v>782</v>
      </c>
      <c r="G114" s="20">
        <f t="shared" si="13"/>
        <v>109</v>
      </c>
      <c r="H114" s="21">
        <v>88820050223</v>
      </c>
      <c r="I114" s="22" t="s">
        <v>235</v>
      </c>
      <c r="J114" s="23"/>
      <c r="K114" s="24">
        <v>38927</v>
      </c>
      <c r="L114" s="23">
        <f t="shared" si="8"/>
        <v>782</v>
      </c>
      <c r="M114" s="24">
        <v>6868</v>
      </c>
      <c r="N114" s="25">
        <f t="shared" si="9"/>
        <v>143</v>
      </c>
      <c r="O114" s="24">
        <v>32059</v>
      </c>
      <c r="P114" s="23">
        <f t="shared" si="10"/>
        <v>639</v>
      </c>
      <c r="Q114" s="26"/>
      <c r="R114" s="23">
        <f t="shared" si="11"/>
        <v>0</v>
      </c>
      <c r="S114" s="27" t="s">
        <v>19</v>
      </c>
      <c r="T114" s="19" t="s">
        <v>234</v>
      </c>
    </row>
    <row r="115" spans="1:20" ht="37.5" customHeight="1" x14ac:dyDescent="0.25">
      <c r="A115" s="19" t="s">
        <v>236</v>
      </c>
      <c r="B115">
        <f t="shared" si="12"/>
        <v>26465</v>
      </c>
      <c r="C115">
        <v>4508</v>
      </c>
      <c r="D115">
        <v>21957</v>
      </c>
      <c r="F115">
        <f t="shared" si="7"/>
        <v>169</v>
      </c>
      <c r="G115" s="20">
        <f t="shared" si="13"/>
        <v>110</v>
      </c>
      <c r="H115" s="21">
        <v>88820003246</v>
      </c>
      <c r="I115" s="22" t="s">
        <v>237</v>
      </c>
      <c r="J115" s="23"/>
      <c r="K115" s="24">
        <v>26296</v>
      </c>
      <c r="L115" s="23">
        <f t="shared" si="8"/>
        <v>169</v>
      </c>
      <c r="M115" s="24">
        <v>4479</v>
      </c>
      <c r="N115" s="25">
        <f t="shared" si="9"/>
        <v>29</v>
      </c>
      <c r="O115" s="24">
        <v>21817</v>
      </c>
      <c r="P115" s="23">
        <f t="shared" si="10"/>
        <v>140</v>
      </c>
      <c r="Q115" s="26"/>
      <c r="R115" s="23">
        <f t="shared" si="11"/>
        <v>0</v>
      </c>
      <c r="S115" s="27" t="s">
        <v>19</v>
      </c>
      <c r="T115" s="19" t="s">
        <v>236</v>
      </c>
    </row>
    <row r="116" spans="1:20" ht="37.5" customHeight="1" x14ac:dyDescent="0.25">
      <c r="A116" s="19" t="s">
        <v>238</v>
      </c>
      <c r="B116">
        <f t="shared" si="12"/>
        <v>2801</v>
      </c>
      <c r="C116">
        <v>382</v>
      </c>
      <c r="D116">
        <v>2419</v>
      </c>
      <c r="F116">
        <f t="shared" si="7"/>
        <v>207</v>
      </c>
      <c r="G116" s="20">
        <f t="shared" si="13"/>
        <v>111</v>
      </c>
      <c r="H116" s="21">
        <v>66623010355</v>
      </c>
      <c r="I116" s="22" t="s">
        <v>239</v>
      </c>
      <c r="J116" s="23"/>
      <c r="K116" s="24">
        <v>2594</v>
      </c>
      <c r="L116" s="23">
        <f t="shared" si="8"/>
        <v>207</v>
      </c>
      <c r="M116" s="24">
        <v>344</v>
      </c>
      <c r="N116" s="25">
        <f t="shared" si="9"/>
        <v>38</v>
      </c>
      <c r="O116" s="24">
        <v>2250</v>
      </c>
      <c r="P116" s="23">
        <f t="shared" si="10"/>
        <v>169</v>
      </c>
      <c r="Q116" s="26"/>
      <c r="R116" s="23">
        <f t="shared" si="11"/>
        <v>0</v>
      </c>
      <c r="S116" s="27" t="s">
        <v>19</v>
      </c>
      <c r="T116" s="19" t="s">
        <v>238</v>
      </c>
    </row>
    <row r="117" spans="1:20" ht="37.5" customHeight="1" x14ac:dyDescent="0.25">
      <c r="A117" s="19" t="s">
        <v>240</v>
      </c>
      <c r="B117">
        <f t="shared" si="12"/>
        <v>13865</v>
      </c>
      <c r="C117">
        <v>2387</v>
      </c>
      <c r="D117">
        <v>11478</v>
      </c>
      <c r="F117">
        <f t="shared" si="7"/>
        <v>396</v>
      </c>
      <c r="G117" s="20">
        <f t="shared" si="13"/>
        <v>112</v>
      </c>
      <c r="H117" s="21">
        <v>66622020223</v>
      </c>
      <c r="I117" s="22" t="s">
        <v>241</v>
      </c>
      <c r="J117" s="23"/>
      <c r="K117" s="24">
        <v>13469</v>
      </c>
      <c r="L117" s="23">
        <f t="shared" si="8"/>
        <v>396</v>
      </c>
      <c r="M117" s="24">
        <v>2322</v>
      </c>
      <c r="N117" s="25">
        <f t="shared" si="9"/>
        <v>65</v>
      </c>
      <c r="O117" s="24">
        <v>11147</v>
      </c>
      <c r="P117" s="23">
        <f t="shared" si="10"/>
        <v>331</v>
      </c>
      <c r="Q117" s="26"/>
      <c r="R117" s="23">
        <f t="shared" si="11"/>
        <v>0</v>
      </c>
      <c r="S117" s="27" t="s">
        <v>19</v>
      </c>
      <c r="T117" s="19" t="s">
        <v>240</v>
      </c>
    </row>
    <row r="118" spans="1:20" ht="37.5" customHeight="1" x14ac:dyDescent="0.25">
      <c r="A118" s="19" t="s">
        <v>242</v>
      </c>
      <c r="B118">
        <f t="shared" si="12"/>
        <v>8978</v>
      </c>
      <c r="C118">
        <v>1733</v>
      </c>
      <c r="D118">
        <v>7245</v>
      </c>
      <c r="F118">
        <f t="shared" si="7"/>
        <v>372</v>
      </c>
      <c r="G118" s="20">
        <f t="shared" si="13"/>
        <v>113</v>
      </c>
      <c r="H118" s="21">
        <v>66621010168</v>
      </c>
      <c r="I118" s="22" t="s">
        <v>243</v>
      </c>
      <c r="J118" s="23"/>
      <c r="K118" s="24">
        <v>8606</v>
      </c>
      <c r="L118" s="23">
        <f t="shared" si="8"/>
        <v>372</v>
      </c>
      <c r="M118" s="24">
        <v>1656</v>
      </c>
      <c r="N118" s="25">
        <f t="shared" si="9"/>
        <v>77</v>
      </c>
      <c r="O118" s="24">
        <v>6950</v>
      </c>
      <c r="P118" s="23">
        <f t="shared" si="10"/>
        <v>295</v>
      </c>
      <c r="Q118" s="26"/>
      <c r="R118" s="23">
        <f t="shared" si="11"/>
        <v>0</v>
      </c>
      <c r="S118" s="27" t="s">
        <v>19</v>
      </c>
      <c r="T118" s="19" t="s">
        <v>242</v>
      </c>
    </row>
    <row r="119" spans="1:20" ht="37.5" customHeight="1" x14ac:dyDescent="0.25">
      <c r="A119" s="19" t="s">
        <v>244</v>
      </c>
      <c r="B119">
        <f t="shared" si="12"/>
        <v>10549</v>
      </c>
      <c r="C119">
        <v>1556</v>
      </c>
      <c r="D119">
        <v>8993</v>
      </c>
      <c r="F119">
        <f t="shared" si="7"/>
        <v>609</v>
      </c>
      <c r="G119" s="20">
        <f t="shared" si="13"/>
        <v>114</v>
      </c>
      <c r="H119" s="21">
        <v>66619040461</v>
      </c>
      <c r="I119" s="22" t="s">
        <v>245</v>
      </c>
      <c r="J119" s="23"/>
      <c r="K119" s="24">
        <v>9940</v>
      </c>
      <c r="L119" s="23">
        <f t="shared" si="8"/>
        <v>609</v>
      </c>
      <c r="M119" s="24">
        <v>1455</v>
      </c>
      <c r="N119" s="25">
        <f t="shared" si="9"/>
        <v>101</v>
      </c>
      <c r="O119" s="24">
        <v>8485</v>
      </c>
      <c r="P119" s="23">
        <f t="shared" si="10"/>
        <v>508</v>
      </c>
      <c r="Q119" s="26"/>
      <c r="R119" s="23">
        <f t="shared" si="11"/>
        <v>0</v>
      </c>
      <c r="S119" s="27" t="s">
        <v>19</v>
      </c>
      <c r="T119" s="19" t="s">
        <v>244</v>
      </c>
    </row>
    <row r="120" spans="1:20" ht="37.5" customHeight="1" x14ac:dyDescent="0.25">
      <c r="A120" s="19" t="s">
        <v>246</v>
      </c>
      <c r="B120">
        <f t="shared" si="12"/>
        <v>6173</v>
      </c>
      <c r="C120">
        <v>1131</v>
      </c>
      <c r="D120">
        <v>5042</v>
      </c>
      <c r="E120">
        <v>6708</v>
      </c>
      <c r="F120">
        <f t="shared" si="7"/>
        <v>273</v>
      </c>
      <c r="G120" s="20">
        <f t="shared" si="13"/>
        <v>115</v>
      </c>
      <c r="H120" s="21">
        <v>99624010245</v>
      </c>
      <c r="I120" s="22" t="s">
        <v>247</v>
      </c>
      <c r="J120" s="23"/>
      <c r="K120" s="24">
        <f>M120+O120</f>
        <v>5900</v>
      </c>
      <c r="L120" s="23">
        <f t="shared" si="8"/>
        <v>273</v>
      </c>
      <c r="M120" s="24">
        <v>1048</v>
      </c>
      <c r="N120" s="25">
        <f t="shared" si="9"/>
        <v>83</v>
      </c>
      <c r="O120" s="24">
        <v>4852</v>
      </c>
      <c r="P120" s="23">
        <f t="shared" si="10"/>
        <v>190</v>
      </c>
      <c r="Q120" s="26">
        <v>5797</v>
      </c>
      <c r="R120" s="23">
        <f t="shared" si="11"/>
        <v>911</v>
      </c>
      <c r="S120" s="27" t="s">
        <v>19</v>
      </c>
      <c r="T120" s="19" t="s">
        <v>246</v>
      </c>
    </row>
    <row r="121" spans="1:20" ht="37.5" customHeight="1" x14ac:dyDescent="0.25">
      <c r="A121" s="19" t="s">
        <v>248</v>
      </c>
      <c r="B121">
        <f t="shared" si="12"/>
        <v>48055</v>
      </c>
      <c r="C121">
        <v>8255</v>
      </c>
      <c r="D121">
        <v>39800</v>
      </c>
      <c r="F121">
        <f t="shared" si="7"/>
        <v>295</v>
      </c>
      <c r="G121" s="20">
        <f t="shared" si="13"/>
        <v>116</v>
      </c>
      <c r="H121" s="21">
        <v>23013090330</v>
      </c>
      <c r="I121" s="22" t="s">
        <v>249</v>
      </c>
      <c r="J121" s="23"/>
      <c r="K121" s="24">
        <v>47760</v>
      </c>
      <c r="L121" s="23">
        <f t="shared" si="8"/>
        <v>295</v>
      </c>
      <c r="M121" s="24">
        <v>8202</v>
      </c>
      <c r="N121" s="25">
        <f t="shared" si="9"/>
        <v>53</v>
      </c>
      <c r="O121" s="24">
        <v>39558</v>
      </c>
      <c r="P121" s="23">
        <f t="shared" si="10"/>
        <v>242</v>
      </c>
      <c r="Q121" s="26"/>
      <c r="R121" s="23">
        <f t="shared" si="11"/>
        <v>0</v>
      </c>
      <c r="S121" s="27" t="s">
        <v>19</v>
      </c>
      <c r="T121" s="19" t="s">
        <v>248</v>
      </c>
    </row>
    <row r="122" spans="1:20" ht="37.5" customHeight="1" x14ac:dyDescent="0.25">
      <c r="A122" s="19" t="s">
        <v>250</v>
      </c>
      <c r="B122">
        <f t="shared" si="12"/>
        <v>7820</v>
      </c>
      <c r="C122">
        <v>1622</v>
      </c>
      <c r="D122">
        <v>6198</v>
      </c>
      <c r="E122">
        <v>10586</v>
      </c>
      <c r="F122">
        <f t="shared" si="7"/>
        <v>334</v>
      </c>
      <c r="G122" s="20">
        <f t="shared" si="13"/>
        <v>117</v>
      </c>
      <c r="H122" s="21">
        <v>99723060051</v>
      </c>
      <c r="I122" s="22" t="s">
        <v>251</v>
      </c>
      <c r="J122" s="23"/>
      <c r="K122" s="24">
        <f>M122+O122</f>
        <v>7486</v>
      </c>
      <c r="L122" s="23">
        <f t="shared" si="8"/>
        <v>334</v>
      </c>
      <c r="M122" s="24">
        <v>1535</v>
      </c>
      <c r="N122" s="25">
        <f t="shared" si="9"/>
        <v>87</v>
      </c>
      <c r="O122" s="24">
        <v>5951</v>
      </c>
      <c r="P122" s="23">
        <f t="shared" si="10"/>
        <v>247</v>
      </c>
      <c r="Q122" s="26">
        <v>9877</v>
      </c>
      <c r="R122" s="23">
        <f t="shared" si="11"/>
        <v>709</v>
      </c>
      <c r="S122" s="27" t="s">
        <v>19</v>
      </c>
      <c r="T122" s="19" t="s">
        <v>250</v>
      </c>
    </row>
    <row r="123" spans="1:20" ht="37.5" customHeight="1" x14ac:dyDescent="0.25">
      <c r="A123" s="19" t="s">
        <v>252</v>
      </c>
      <c r="B123">
        <f t="shared" si="12"/>
        <v>22455</v>
      </c>
      <c r="C123">
        <v>3335</v>
      </c>
      <c r="D123">
        <v>19120</v>
      </c>
      <c r="F123">
        <f t="shared" si="7"/>
        <v>594</v>
      </c>
      <c r="G123" s="20">
        <f t="shared" si="13"/>
        <v>118</v>
      </c>
      <c r="H123" s="21">
        <v>88820040384</v>
      </c>
      <c r="I123" s="22" t="s">
        <v>253</v>
      </c>
      <c r="J123" s="23"/>
      <c r="K123" s="24">
        <v>21861</v>
      </c>
      <c r="L123" s="23">
        <f t="shared" si="8"/>
        <v>594</v>
      </c>
      <c r="M123" s="24">
        <v>3242</v>
      </c>
      <c r="N123" s="25">
        <f t="shared" si="9"/>
        <v>93</v>
      </c>
      <c r="O123" s="24">
        <v>18619</v>
      </c>
      <c r="P123" s="23">
        <f t="shared" si="10"/>
        <v>501</v>
      </c>
      <c r="Q123" s="26"/>
      <c r="R123" s="23">
        <f t="shared" si="11"/>
        <v>0</v>
      </c>
      <c r="S123" s="27" t="s">
        <v>19</v>
      </c>
      <c r="T123" s="19" t="s">
        <v>252</v>
      </c>
    </row>
    <row r="124" spans="1:20" ht="37.5" customHeight="1" x14ac:dyDescent="0.25">
      <c r="A124" s="19" t="s">
        <v>254</v>
      </c>
      <c r="B124">
        <f t="shared" si="12"/>
        <v>25509</v>
      </c>
      <c r="C124">
        <v>4448</v>
      </c>
      <c r="D124">
        <v>21061</v>
      </c>
      <c r="F124">
        <f t="shared" si="7"/>
        <v>64</v>
      </c>
      <c r="G124" s="20">
        <f t="shared" si="13"/>
        <v>119</v>
      </c>
      <c r="H124" s="21">
        <v>23014060003</v>
      </c>
      <c r="I124" s="22" t="s">
        <v>255</v>
      </c>
      <c r="J124" s="23"/>
      <c r="K124" s="24">
        <v>25445</v>
      </c>
      <c r="L124" s="23">
        <f t="shared" si="8"/>
        <v>64</v>
      </c>
      <c r="M124" s="24">
        <v>4437</v>
      </c>
      <c r="N124" s="25">
        <f t="shared" si="9"/>
        <v>11</v>
      </c>
      <c r="O124" s="24">
        <v>21008</v>
      </c>
      <c r="P124" s="23">
        <f t="shared" si="10"/>
        <v>53</v>
      </c>
      <c r="Q124" s="26"/>
      <c r="R124" s="23">
        <f t="shared" si="11"/>
        <v>0</v>
      </c>
      <c r="S124" s="27" t="s">
        <v>19</v>
      </c>
      <c r="T124" s="19" t="s">
        <v>254</v>
      </c>
    </row>
    <row r="125" spans="1:20" ht="37.5" customHeight="1" x14ac:dyDescent="0.25">
      <c r="A125" s="19" t="s">
        <v>256</v>
      </c>
      <c r="B125">
        <f t="shared" si="12"/>
        <v>15722</v>
      </c>
      <c r="C125">
        <v>2853</v>
      </c>
      <c r="D125">
        <v>12869</v>
      </c>
      <c r="F125">
        <f t="shared" si="7"/>
        <v>40</v>
      </c>
      <c r="G125" s="20">
        <f t="shared" si="13"/>
        <v>120</v>
      </c>
      <c r="H125" s="21">
        <v>66616020430</v>
      </c>
      <c r="I125" s="22" t="s">
        <v>257</v>
      </c>
      <c r="J125" s="23"/>
      <c r="K125" s="24">
        <v>15682</v>
      </c>
      <c r="L125" s="23">
        <f t="shared" si="8"/>
        <v>40</v>
      </c>
      <c r="M125" s="24">
        <v>2846</v>
      </c>
      <c r="N125" s="25">
        <f t="shared" si="9"/>
        <v>7</v>
      </c>
      <c r="O125" s="24">
        <v>12836</v>
      </c>
      <c r="P125" s="23">
        <f t="shared" si="10"/>
        <v>33</v>
      </c>
      <c r="Q125" s="26"/>
      <c r="R125" s="23">
        <f t="shared" si="11"/>
        <v>0</v>
      </c>
      <c r="S125" s="27" t="s">
        <v>19</v>
      </c>
      <c r="T125" s="19" t="s">
        <v>256</v>
      </c>
    </row>
    <row r="126" spans="1:20" ht="37.5" customHeight="1" x14ac:dyDescent="0.25">
      <c r="A126" s="19" t="s">
        <v>258</v>
      </c>
      <c r="B126">
        <f t="shared" si="12"/>
        <v>3886</v>
      </c>
      <c r="C126">
        <v>772</v>
      </c>
      <c r="D126">
        <v>3114</v>
      </c>
      <c r="E126">
        <v>6672</v>
      </c>
      <c r="F126">
        <f t="shared" si="7"/>
        <v>153</v>
      </c>
      <c r="G126" s="20">
        <f t="shared" si="13"/>
        <v>121</v>
      </c>
      <c r="H126" s="21">
        <v>99623080005</v>
      </c>
      <c r="I126" s="22" t="s">
        <v>259</v>
      </c>
      <c r="J126" s="23"/>
      <c r="K126" s="24">
        <f>M126+O126</f>
        <v>3733</v>
      </c>
      <c r="L126" s="23">
        <f t="shared" si="8"/>
        <v>153</v>
      </c>
      <c r="M126" s="24">
        <v>721</v>
      </c>
      <c r="N126" s="25">
        <f t="shared" si="9"/>
        <v>51</v>
      </c>
      <c r="O126" s="24">
        <v>3012</v>
      </c>
      <c r="P126" s="23">
        <f t="shared" si="10"/>
        <v>102</v>
      </c>
      <c r="Q126" s="26">
        <v>6075</v>
      </c>
      <c r="R126" s="23">
        <f t="shared" si="11"/>
        <v>597</v>
      </c>
      <c r="S126" s="27" t="s">
        <v>19</v>
      </c>
      <c r="T126" s="19" t="s">
        <v>258</v>
      </c>
    </row>
    <row r="127" spans="1:20" ht="37.5" customHeight="1" x14ac:dyDescent="0.25">
      <c r="A127" s="19" t="s">
        <v>260</v>
      </c>
      <c r="B127">
        <f t="shared" si="12"/>
        <v>52981</v>
      </c>
      <c r="C127">
        <v>11527</v>
      </c>
      <c r="D127">
        <v>41454</v>
      </c>
      <c r="F127">
        <f t="shared" si="7"/>
        <v>105</v>
      </c>
      <c r="G127" s="20">
        <f t="shared" si="13"/>
        <v>122</v>
      </c>
      <c r="H127" s="21">
        <v>23013080322</v>
      </c>
      <c r="I127" s="22" t="s">
        <v>261</v>
      </c>
      <c r="J127" s="23"/>
      <c r="K127" s="24">
        <v>52876</v>
      </c>
      <c r="L127" s="23">
        <f t="shared" si="8"/>
        <v>105</v>
      </c>
      <c r="M127" s="24">
        <v>11509</v>
      </c>
      <c r="N127" s="25">
        <f t="shared" si="9"/>
        <v>18</v>
      </c>
      <c r="O127" s="24">
        <v>41367</v>
      </c>
      <c r="P127" s="23">
        <f t="shared" si="10"/>
        <v>87</v>
      </c>
      <c r="Q127" s="26"/>
      <c r="R127" s="23">
        <f t="shared" si="11"/>
        <v>0</v>
      </c>
      <c r="S127" s="27" t="s">
        <v>19</v>
      </c>
      <c r="T127" s="19" t="s">
        <v>260</v>
      </c>
    </row>
    <row r="128" spans="1:20" ht="37.5" customHeight="1" x14ac:dyDescent="0.25">
      <c r="A128" s="19" t="s">
        <v>262</v>
      </c>
      <c r="B128">
        <f t="shared" si="12"/>
        <v>1557</v>
      </c>
      <c r="C128">
        <v>389</v>
      </c>
      <c r="D128">
        <v>1168</v>
      </c>
      <c r="E128">
        <v>2207</v>
      </c>
      <c r="F128">
        <f t="shared" si="7"/>
        <v>256</v>
      </c>
      <c r="G128" s="20">
        <f t="shared" si="13"/>
        <v>123</v>
      </c>
      <c r="H128" s="21">
        <v>99624050120</v>
      </c>
      <c r="I128" s="22" t="s">
        <v>263</v>
      </c>
      <c r="J128" s="23"/>
      <c r="K128" s="24">
        <f>M128+O128</f>
        <v>1301</v>
      </c>
      <c r="L128" s="23">
        <f t="shared" si="8"/>
        <v>256</v>
      </c>
      <c r="M128" s="24">
        <v>306</v>
      </c>
      <c r="N128" s="25">
        <f t="shared" si="9"/>
        <v>83</v>
      </c>
      <c r="O128" s="24">
        <v>995</v>
      </c>
      <c r="P128" s="23">
        <f t="shared" si="10"/>
        <v>173</v>
      </c>
      <c r="Q128" s="26">
        <v>1442</v>
      </c>
      <c r="R128" s="23">
        <f t="shared" si="11"/>
        <v>765</v>
      </c>
      <c r="S128" s="27" t="s">
        <v>19</v>
      </c>
      <c r="T128" s="19" t="s">
        <v>262</v>
      </c>
    </row>
    <row r="129" spans="1:20" ht="37.5" customHeight="1" x14ac:dyDescent="0.25">
      <c r="A129" s="19" t="s">
        <v>264</v>
      </c>
      <c r="B129">
        <f t="shared" si="12"/>
        <v>25214</v>
      </c>
      <c r="C129">
        <v>4089</v>
      </c>
      <c r="D129">
        <v>21125</v>
      </c>
      <c r="F129">
        <f t="shared" si="7"/>
        <v>633</v>
      </c>
      <c r="G129" s="20">
        <f t="shared" si="13"/>
        <v>124</v>
      </c>
      <c r="H129" s="21">
        <v>88819030075</v>
      </c>
      <c r="I129" s="22" t="s">
        <v>265</v>
      </c>
      <c r="J129" s="23"/>
      <c r="K129" s="24">
        <v>24581</v>
      </c>
      <c r="L129" s="23">
        <f t="shared" si="8"/>
        <v>633</v>
      </c>
      <c r="M129" s="24">
        <v>3994</v>
      </c>
      <c r="N129" s="25">
        <f t="shared" si="9"/>
        <v>95</v>
      </c>
      <c r="O129" s="24">
        <v>20587</v>
      </c>
      <c r="P129" s="23">
        <f t="shared" si="10"/>
        <v>538</v>
      </c>
      <c r="Q129" s="26"/>
      <c r="R129" s="23">
        <f t="shared" si="11"/>
        <v>0</v>
      </c>
      <c r="S129" s="27" t="s">
        <v>19</v>
      </c>
      <c r="T129" s="19" t="s">
        <v>264</v>
      </c>
    </row>
    <row r="130" spans="1:20" ht="37.5" customHeight="1" x14ac:dyDescent="0.25">
      <c r="A130" s="19" t="s">
        <v>266</v>
      </c>
      <c r="B130">
        <f t="shared" si="12"/>
        <v>13913</v>
      </c>
      <c r="C130">
        <v>3123</v>
      </c>
      <c r="D130">
        <v>10790</v>
      </c>
      <c r="E130">
        <v>9191</v>
      </c>
      <c r="F130">
        <f t="shared" si="7"/>
        <v>440</v>
      </c>
      <c r="G130" s="20">
        <f t="shared" si="13"/>
        <v>125</v>
      </c>
      <c r="H130" s="21">
        <v>99723070187</v>
      </c>
      <c r="I130" s="22" t="s">
        <v>267</v>
      </c>
      <c r="J130" s="23"/>
      <c r="K130" s="24">
        <f>M130+O130</f>
        <v>13473</v>
      </c>
      <c r="L130" s="23">
        <f t="shared" si="8"/>
        <v>440</v>
      </c>
      <c r="M130" s="24">
        <v>2996</v>
      </c>
      <c r="N130" s="25">
        <f t="shared" si="9"/>
        <v>127</v>
      </c>
      <c r="O130" s="24">
        <v>10477</v>
      </c>
      <c r="P130" s="23">
        <f t="shared" si="10"/>
        <v>313</v>
      </c>
      <c r="Q130" s="26">
        <v>7878</v>
      </c>
      <c r="R130" s="23">
        <f t="shared" si="11"/>
        <v>1313</v>
      </c>
      <c r="S130" s="27" t="s">
        <v>19</v>
      </c>
      <c r="T130" s="19" t="s">
        <v>266</v>
      </c>
    </row>
    <row r="131" spans="1:20" ht="37.5" customHeight="1" x14ac:dyDescent="0.25">
      <c r="A131" s="19" t="s">
        <v>268</v>
      </c>
      <c r="B131">
        <f t="shared" si="12"/>
        <v>41975</v>
      </c>
      <c r="C131">
        <v>6311</v>
      </c>
      <c r="D131">
        <v>35664</v>
      </c>
      <c r="F131">
        <f t="shared" si="7"/>
        <v>512</v>
      </c>
      <c r="G131" s="20">
        <f t="shared" si="13"/>
        <v>126</v>
      </c>
      <c r="H131" s="21">
        <v>66618010209</v>
      </c>
      <c r="I131" s="22" t="s">
        <v>269</v>
      </c>
      <c r="J131" s="23"/>
      <c r="K131" s="24">
        <v>41463</v>
      </c>
      <c r="L131" s="23">
        <f t="shared" si="8"/>
        <v>512</v>
      </c>
      <c r="M131" s="24">
        <v>6234</v>
      </c>
      <c r="N131" s="25">
        <f t="shared" si="9"/>
        <v>77</v>
      </c>
      <c r="O131" s="24">
        <v>35229</v>
      </c>
      <c r="P131" s="23">
        <f t="shared" si="10"/>
        <v>435</v>
      </c>
      <c r="Q131" s="26"/>
      <c r="R131" s="23">
        <f t="shared" si="11"/>
        <v>0</v>
      </c>
      <c r="S131" s="27" t="s">
        <v>19</v>
      </c>
      <c r="T131" s="19" t="s">
        <v>268</v>
      </c>
    </row>
    <row r="132" spans="1:20" ht="37.5" customHeight="1" x14ac:dyDescent="0.25">
      <c r="A132" s="19" t="s">
        <v>270</v>
      </c>
      <c r="B132">
        <f t="shared" si="12"/>
        <v>17242</v>
      </c>
      <c r="C132">
        <v>2390</v>
      </c>
      <c r="D132">
        <v>14852</v>
      </c>
      <c r="F132">
        <f t="shared" si="7"/>
        <v>1203</v>
      </c>
      <c r="G132" s="20">
        <f t="shared" si="13"/>
        <v>127</v>
      </c>
      <c r="H132" s="21">
        <v>66621070493</v>
      </c>
      <c r="I132" s="22" t="s">
        <v>271</v>
      </c>
      <c r="J132" s="23"/>
      <c r="K132" s="24">
        <v>16039</v>
      </c>
      <c r="L132" s="23">
        <f t="shared" si="8"/>
        <v>1203</v>
      </c>
      <c r="M132" s="24">
        <v>2189</v>
      </c>
      <c r="N132" s="25">
        <f t="shared" si="9"/>
        <v>201</v>
      </c>
      <c r="O132" s="24">
        <v>13850</v>
      </c>
      <c r="P132" s="23">
        <f t="shared" si="10"/>
        <v>1002</v>
      </c>
      <c r="Q132" s="26"/>
      <c r="R132" s="23">
        <f t="shared" si="11"/>
        <v>0</v>
      </c>
      <c r="S132" s="27" t="s">
        <v>19</v>
      </c>
      <c r="T132" s="19" t="s">
        <v>270</v>
      </c>
    </row>
    <row r="133" spans="1:20" ht="37.5" customHeight="1" x14ac:dyDescent="0.25">
      <c r="A133" s="19" t="s">
        <v>272</v>
      </c>
      <c r="B133">
        <f t="shared" si="12"/>
        <v>2</v>
      </c>
      <c r="C133">
        <v>1</v>
      </c>
      <c r="D133">
        <v>1</v>
      </c>
      <c r="E133">
        <v>1390</v>
      </c>
      <c r="F133">
        <f t="shared" si="7"/>
        <v>2</v>
      </c>
      <c r="G133" s="20">
        <f t="shared" si="13"/>
        <v>128</v>
      </c>
      <c r="H133" s="21">
        <v>99625010255</v>
      </c>
      <c r="I133" s="22" t="s">
        <v>273</v>
      </c>
      <c r="J133" s="23"/>
      <c r="K133" s="24">
        <v>0</v>
      </c>
      <c r="L133" s="23">
        <f t="shared" si="8"/>
        <v>2</v>
      </c>
      <c r="M133" s="24">
        <v>0</v>
      </c>
      <c r="N133" s="25">
        <f t="shared" si="9"/>
        <v>1</v>
      </c>
      <c r="O133" s="24">
        <v>0</v>
      </c>
      <c r="P133" s="23">
        <f t="shared" si="10"/>
        <v>1</v>
      </c>
      <c r="Q133" s="26">
        <v>0</v>
      </c>
      <c r="R133" s="23">
        <f t="shared" si="11"/>
        <v>1390</v>
      </c>
      <c r="S133" s="27" t="s">
        <v>19</v>
      </c>
      <c r="T133" s="19" t="s">
        <v>272</v>
      </c>
    </row>
    <row r="134" spans="1:20" ht="37.5" customHeight="1" x14ac:dyDescent="0.25">
      <c r="A134" s="19" t="s">
        <v>274</v>
      </c>
      <c r="B134">
        <f t="shared" si="12"/>
        <v>32890</v>
      </c>
      <c r="C134">
        <v>6218</v>
      </c>
      <c r="D134">
        <v>26672</v>
      </c>
      <c r="F134">
        <f t="shared" ref="F134:F185" si="14">L134</f>
        <v>367</v>
      </c>
      <c r="G134" s="20">
        <f t="shared" si="13"/>
        <v>129</v>
      </c>
      <c r="H134" s="21">
        <v>88820030295</v>
      </c>
      <c r="I134" s="22" t="s">
        <v>275</v>
      </c>
      <c r="J134" s="23"/>
      <c r="K134" s="24">
        <v>32523</v>
      </c>
      <c r="L134" s="23">
        <f t="shared" ref="L134:L185" si="15">B134-K134</f>
        <v>367</v>
      </c>
      <c r="M134" s="24">
        <v>6148</v>
      </c>
      <c r="N134" s="25">
        <f t="shared" ref="N134:N185" si="16">C134-M134</f>
        <v>70</v>
      </c>
      <c r="O134" s="24">
        <v>26375</v>
      </c>
      <c r="P134" s="23">
        <f t="shared" ref="P134:P185" si="17">D134-O134</f>
        <v>297</v>
      </c>
      <c r="Q134" s="26"/>
      <c r="R134" s="23">
        <f t="shared" ref="R134:R185" si="18">E134-Q134</f>
        <v>0</v>
      </c>
      <c r="S134" s="27" t="s">
        <v>19</v>
      </c>
      <c r="T134" s="19" t="s">
        <v>274</v>
      </c>
    </row>
    <row r="135" spans="1:20" ht="37.5" customHeight="1" x14ac:dyDescent="0.25">
      <c r="A135" s="19" t="s">
        <v>276</v>
      </c>
      <c r="B135">
        <f t="shared" ref="B135:B185" si="19">C135+D135</f>
        <v>3228</v>
      </c>
      <c r="C135">
        <v>481</v>
      </c>
      <c r="D135">
        <v>2747</v>
      </c>
      <c r="F135">
        <f t="shared" si="14"/>
        <v>417</v>
      </c>
      <c r="G135" s="20">
        <f t="shared" si="13"/>
        <v>130</v>
      </c>
      <c r="H135" s="21">
        <v>66623010050</v>
      </c>
      <c r="I135" s="22" t="s">
        <v>277</v>
      </c>
      <c r="J135" s="23"/>
      <c r="K135" s="24">
        <v>2811</v>
      </c>
      <c r="L135" s="23">
        <f t="shared" si="15"/>
        <v>417</v>
      </c>
      <c r="M135" s="24">
        <v>414</v>
      </c>
      <c r="N135" s="25">
        <f t="shared" si="16"/>
        <v>67</v>
      </c>
      <c r="O135" s="24">
        <v>2397</v>
      </c>
      <c r="P135" s="23">
        <f t="shared" si="17"/>
        <v>350</v>
      </c>
      <c r="Q135" s="26"/>
      <c r="R135" s="23">
        <f t="shared" si="18"/>
        <v>0</v>
      </c>
      <c r="S135" s="27" t="s">
        <v>19</v>
      </c>
      <c r="T135" s="19" t="s">
        <v>276</v>
      </c>
    </row>
    <row r="136" spans="1:20" ht="37.5" customHeight="1" x14ac:dyDescent="0.25">
      <c r="A136" s="19" t="s">
        <v>278</v>
      </c>
      <c r="B136">
        <f t="shared" si="19"/>
        <v>3065</v>
      </c>
      <c r="C136">
        <v>831</v>
      </c>
      <c r="D136">
        <v>2234</v>
      </c>
      <c r="F136">
        <f t="shared" si="14"/>
        <v>54</v>
      </c>
      <c r="G136" s="20">
        <f t="shared" ref="G136:G168" si="20">G135+1</f>
        <v>131</v>
      </c>
      <c r="H136" s="21">
        <v>66619040410</v>
      </c>
      <c r="I136" s="22" t="s">
        <v>279</v>
      </c>
      <c r="J136" s="23"/>
      <c r="K136" s="24">
        <v>3011</v>
      </c>
      <c r="L136" s="23">
        <f t="shared" si="15"/>
        <v>54</v>
      </c>
      <c r="M136" s="24">
        <v>808</v>
      </c>
      <c r="N136" s="25">
        <f t="shared" si="16"/>
        <v>23</v>
      </c>
      <c r="O136" s="24">
        <v>2203</v>
      </c>
      <c r="P136" s="23">
        <f t="shared" si="17"/>
        <v>31</v>
      </c>
      <c r="Q136" s="26"/>
      <c r="R136" s="23">
        <f t="shared" si="18"/>
        <v>0</v>
      </c>
      <c r="S136" s="27" t="s">
        <v>19</v>
      </c>
      <c r="T136" s="19" t="s">
        <v>278</v>
      </c>
    </row>
    <row r="137" spans="1:20" ht="37.5" customHeight="1" x14ac:dyDescent="0.25">
      <c r="A137" s="19" t="s">
        <v>280</v>
      </c>
      <c r="B137">
        <f t="shared" si="19"/>
        <v>2302</v>
      </c>
      <c r="C137">
        <v>619</v>
      </c>
      <c r="D137">
        <v>1683</v>
      </c>
      <c r="E137">
        <v>5158</v>
      </c>
      <c r="F137">
        <f t="shared" si="14"/>
        <v>395</v>
      </c>
      <c r="G137" s="20">
        <f t="shared" si="20"/>
        <v>132</v>
      </c>
      <c r="H137" s="21">
        <v>99624040008</v>
      </c>
      <c r="I137" s="22" t="s">
        <v>281</v>
      </c>
      <c r="J137" s="23"/>
      <c r="K137" s="24">
        <f>M137+O137</f>
        <v>1907</v>
      </c>
      <c r="L137" s="23">
        <f t="shared" si="15"/>
        <v>395</v>
      </c>
      <c r="M137" s="24">
        <v>514</v>
      </c>
      <c r="N137" s="25">
        <f t="shared" si="16"/>
        <v>105</v>
      </c>
      <c r="O137" s="24">
        <v>1393</v>
      </c>
      <c r="P137" s="23">
        <f t="shared" si="17"/>
        <v>290</v>
      </c>
      <c r="Q137" s="26">
        <v>4353</v>
      </c>
      <c r="R137" s="23">
        <f t="shared" si="18"/>
        <v>805</v>
      </c>
      <c r="S137" s="27" t="s">
        <v>19</v>
      </c>
      <c r="T137" s="19" t="s">
        <v>280</v>
      </c>
    </row>
    <row r="138" spans="1:20" ht="37.5" customHeight="1" x14ac:dyDescent="0.25">
      <c r="A138" s="19" t="s">
        <v>282</v>
      </c>
      <c r="B138">
        <f t="shared" si="19"/>
        <v>86631</v>
      </c>
      <c r="C138">
        <v>15154</v>
      </c>
      <c r="D138">
        <v>71477</v>
      </c>
      <c r="F138">
        <f t="shared" si="14"/>
        <v>619</v>
      </c>
      <c r="G138" s="20">
        <f t="shared" si="20"/>
        <v>133</v>
      </c>
      <c r="H138" s="21">
        <v>23014090020</v>
      </c>
      <c r="I138" s="22" t="s">
        <v>283</v>
      </c>
      <c r="J138" s="23"/>
      <c r="K138" s="24">
        <v>86012</v>
      </c>
      <c r="L138" s="23">
        <f t="shared" si="15"/>
        <v>619</v>
      </c>
      <c r="M138" s="24">
        <v>15044</v>
      </c>
      <c r="N138" s="25">
        <f t="shared" si="16"/>
        <v>110</v>
      </c>
      <c r="O138" s="24">
        <v>70968</v>
      </c>
      <c r="P138" s="23">
        <f t="shared" si="17"/>
        <v>509</v>
      </c>
      <c r="Q138" s="26"/>
      <c r="R138" s="23">
        <f t="shared" si="18"/>
        <v>0</v>
      </c>
      <c r="S138" s="27" t="s">
        <v>19</v>
      </c>
      <c r="T138" s="19" t="s">
        <v>282</v>
      </c>
    </row>
    <row r="139" spans="1:20" ht="37.5" customHeight="1" x14ac:dyDescent="0.25">
      <c r="A139" s="19" t="s">
        <v>284</v>
      </c>
      <c r="B139">
        <f t="shared" si="19"/>
        <v>93904</v>
      </c>
      <c r="C139">
        <v>16683</v>
      </c>
      <c r="D139">
        <v>77221</v>
      </c>
      <c r="F139">
        <f t="shared" si="14"/>
        <v>620</v>
      </c>
      <c r="G139" s="20">
        <f t="shared" si="20"/>
        <v>134</v>
      </c>
      <c r="H139" s="21">
        <v>23014090116</v>
      </c>
      <c r="I139" s="22" t="s">
        <v>285</v>
      </c>
      <c r="J139" s="23"/>
      <c r="K139" s="24">
        <v>93284</v>
      </c>
      <c r="L139" s="23">
        <f t="shared" si="15"/>
        <v>620</v>
      </c>
      <c r="M139" s="24">
        <v>16570</v>
      </c>
      <c r="N139" s="25">
        <f t="shared" si="16"/>
        <v>113</v>
      </c>
      <c r="O139" s="24">
        <v>76714</v>
      </c>
      <c r="P139" s="23">
        <f t="shared" si="17"/>
        <v>507</v>
      </c>
      <c r="Q139" s="26"/>
      <c r="R139" s="23">
        <f t="shared" si="18"/>
        <v>0</v>
      </c>
      <c r="S139" s="27" t="s">
        <v>19</v>
      </c>
      <c r="T139" s="19" t="s">
        <v>284</v>
      </c>
    </row>
    <row r="140" spans="1:20" ht="37.5" customHeight="1" x14ac:dyDescent="0.25">
      <c r="A140" s="19" t="s">
        <v>286</v>
      </c>
      <c r="B140">
        <f t="shared" si="19"/>
        <v>28932</v>
      </c>
      <c r="C140">
        <v>5659</v>
      </c>
      <c r="D140">
        <v>23273</v>
      </c>
      <c r="F140">
        <f t="shared" si="14"/>
        <v>315</v>
      </c>
      <c r="G140" s="20">
        <f t="shared" si="20"/>
        <v>135</v>
      </c>
      <c r="H140" s="21">
        <v>88818020360</v>
      </c>
      <c r="I140" s="22" t="s">
        <v>287</v>
      </c>
      <c r="J140" s="23"/>
      <c r="K140" s="24">
        <v>28617</v>
      </c>
      <c r="L140" s="23">
        <f t="shared" si="15"/>
        <v>315</v>
      </c>
      <c r="M140" s="24">
        <v>5603</v>
      </c>
      <c r="N140" s="25">
        <f t="shared" si="16"/>
        <v>56</v>
      </c>
      <c r="O140" s="24">
        <v>23014</v>
      </c>
      <c r="P140" s="23">
        <f t="shared" si="17"/>
        <v>259</v>
      </c>
      <c r="Q140" s="26"/>
      <c r="R140" s="23">
        <f t="shared" si="18"/>
        <v>0</v>
      </c>
      <c r="S140" s="27" t="s">
        <v>19</v>
      </c>
      <c r="T140" s="19" t="s">
        <v>286</v>
      </c>
    </row>
    <row r="141" spans="1:20" ht="37.5" customHeight="1" x14ac:dyDescent="0.25">
      <c r="A141" s="19" t="s">
        <v>288</v>
      </c>
      <c r="B141">
        <f t="shared" si="19"/>
        <v>47086</v>
      </c>
      <c r="C141">
        <v>7884</v>
      </c>
      <c r="D141">
        <v>39202</v>
      </c>
      <c r="F141">
        <f t="shared" si="14"/>
        <v>680</v>
      </c>
      <c r="G141" s="20">
        <f t="shared" si="20"/>
        <v>136</v>
      </c>
      <c r="H141" s="21">
        <v>23015010920</v>
      </c>
      <c r="I141" s="22" t="s">
        <v>289</v>
      </c>
      <c r="J141" s="23"/>
      <c r="K141" s="24">
        <v>46406</v>
      </c>
      <c r="L141" s="23">
        <f t="shared" si="15"/>
        <v>680</v>
      </c>
      <c r="M141" s="24">
        <v>7766</v>
      </c>
      <c r="N141" s="25">
        <f t="shared" si="16"/>
        <v>118</v>
      </c>
      <c r="O141" s="24">
        <v>38640</v>
      </c>
      <c r="P141" s="23">
        <f t="shared" si="17"/>
        <v>562</v>
      </c>
      <c r="Q141" s="26"/>
      <c r="R141" s="23">
        <f t="shared" si="18"/>
        <v>0</v>
      </c>
      <c r="S141" s="27" t="s">
        <v>19</v>
      </c>
      <c r="T141" s="19" t="s">
        <v>288</v>
      </c>
    </row>
    <row r="142" spans="1:20" ht="37.5" customHeight="1" x14ac:dyDescent="0.25">
      <c r="A142" s="19" t="s">
        <v>290</v>
      </c>
      <c r="B142">
        <f t="shared" si="19"/>
        <v>2203</v>
      </c>
      <c r="C142">
        <v>277</v>
      </c>
      <c r="D142">
        <v>1926</v>
      </c>
      <c r="F142">
        <f t="shared" si="14"/>
        <v>73</v>
      </c>
      <c r="G142" s="20">
        <f t="shared" si="20"/>
        <v>137</v>
      </c>
      <c r="H142" s="21">
        <v>88820003287</v>
      </c>
      <c r="I142" s="22" t="s">
        <v>291</v>
      </c>
      <c r="J142" s="23"/>
      <c r="K142" s="24">
        <v>2130</v>
      </c>
      <c r="L142" s="23">
        <f t="shared" si="15"/>
        <v>73</v>
      </c>
      <c r="M142" s="24">
        <v>267</v>
      </c>
      <c r="N142" s="25">
        <f t="shared" si="16"/>
        <v>10</v>
      </c>
      <c r="O142" s="24">
        <v>1863</v>
      </c>
      <c r="P142" s="23">
        <f t="shared" si="17"/>
        <v>63</v>
      </c>
      <c r="Q142" s="26"/>
      <c r="R142" s="23">
        <f t="shared" si="18"/>
        <v>0</v>
      </c>
      <c r="S142" s="27" t="s">
        <v>19</v>
      </c>
      <c r="T142" s="19" t="s">
        <v>290</v>
      </c>
    </row>
    <row r="143" spans="1:20" ht="37.5" customHeight="1" x14ac:dyDescent="0.25">
      <c r="A143" s="19" t="s">
        <v>292</v>
      </c>
      <c r="B143">
        <f t="shared" si="19"/>
        <v>7248</v>
      </c>
      <c r="C143">
        <v>1680</v>
      </c>
      <c r="D143">
        <v>5568</v>
      </c>
      <c r="E143">
        <v>7587</v>
      </c>
      <c r="F143">
        <f t="shared" si="14"/>
        <v>386</v>
      </c>
      <c r="G143" s="20">
        <f t="shared" si="20"/>
        <v>138</v>
      </c>
      <c r="H143" s="21">
        <v>99623080586</v>
      </c>
      <c r="I143" s="22" t="s">
        <v>293</v>
      </c>
      <c r="J143" s="23"/>
      <c r="K143" s="24">
        <f>M143+O143</f>
        <v>6862</v>
      </c>
      <c r="L143" s="23">
        <f t="shared" si="15"/>
        <v>386</v>
      </c>
      <c r="M143" s="24">
        <v>1568</v>
      </c>
      <c r="N143" s="25">
        <f t="shared" si="16"/>
        <v>112</v>
      </c>
      <c r="O143" s="24">
        <v>5294</v>
      </c>
      <c r="P143" s="23">
        <f t="shared" si="17"/>
        <v>274</v>
      </c>
      <c r="Q143" s="26">
        <v>6738</v>
      </c>
      <c r="R143" s="23">
        <f t="shared" si="18"/>
        <v>849</v>
      </c>
      <c r="S143" s="27" t="s">
        <v>19</v>
      </c>
      <c r="T143" s="19" t="s">
        <v>292</v>
      </c>
    </row>
    <row r="144" spans="1:20" ht="37.5" customHeight="1" x14ac:dyDescent="0.25">
      <c r="A144" s="19" t="s">
        <v>294</v>
      </c>
      <c r="B144">
        <f t="shared" si="19"/>
        <v>59396</v>
      </c>
      <c r="C144">
        <v>9429</v>
      </c>
      <c r="D144">
        <v>49967</v>
      </c>
      <c r="F144">
        <f t="shared" si="14"/>
        <v>96</v>
      </c>
      <c r="G144" s="20">
        <f t="shared" si="20"/>
        <v>139</v>
      </c>
      <c r="H144" s="21">
        <v>23013080239</v>
      </c>
      <c r="I144" s="22" t="s">
        <v>295</v>
      </c>
      <c r="J144" s="23"/>
      <c r="K144" s="24">
        <v>59300</v>
      </c>
      <c r="L144" s="23">
        <f t="shared" si="15"/>
        <v>96</v>
      </c>
      <c r="M144" s="24">
        <v>9422</v>
      </c>
      <c r="N144" s="25">
        <f t="shared" si="16"/>
        <v>7</v>
      </c>
      <c r="O144" s="24">
        <v>49878</v>
      </c>
      <c r="P144" s="23">
        <f t="shared" si="17"/>
        <v>89</v>
      </c>
      <c r="Q144" s="26"/>
      <c r="R144" s="23">
        <f t="shared" si="18"/>
        <v>0</v>
      </c>
      <c r="S144" s="27" t="s">
        <v>19</v>
      </c>
      <c r="T144" s="19" t="s">
        <v>294</v>
      </c>
    </row>
    <row r="145" spans="1:20" ht="37.5" customHeight="1" x14ac:dyDescent="0.25">
      <c r="A145" s="19" t="s">
        <v>296</v>
      </c>
      <c r="B145">
        <f t="shared" si="19"/>
        <v>4859</v>
      </c>
      <c r="C145">
        <v>697</v>
      </c>
      <c r="D145">
        <v>4162</v>
      </c>
      <c r="F145">
        <f t="shared" si="14"/>
        <v>282</v>
      </c>
      <c r="G145" s="20">
        <f t="shared" si="20"/>
        <v>140</v>
      </c>
      <c r="H145" s="21">
        <v>88819050306</v>
      </c>
      <c r="I145" s="22" t="s">
        <v>297</v>
      </c>
      <c r="J145" s="23"/>
      <c r="K145" s="24">
        <v>4577</v>
      </c>
      <c r="L145" s="23">
        <f t="shared" si="15"/>
        <v>282</v>
      </c>
      <c r="M145" s="24">
        <v>645</v>
      </c>
      <c r="N145" s="25">
        <f t="shared" si="16"/>
        <v>52</v>
      </c>
      <c r="O145" s="24">
        <v>3932</v>
      </c>
      <c r="P145" s="23">
        <f t="shared" si="17"/>
        <v>230</v>
      </c>
      <c r="Q145" s="26"/>
      <c r="R145" s="23">
        <f t="shared" si="18"/>
        <v>0</v>
      </c>
      <c r="S145" s="27" t="s">
        <v>19</v>
      </c>
      <c r="T145" s="19" t="s">
        <v>296</v>
      </c>
    </row>
    <row r="146" spans="1:20" ht="37.5" customHeight="1" x14ac:dyDescent="0.25">
      <c r="A146" s="19" t="s">
        <v>298</v>
      </c>
      <c r="B146">
        <f t="shared" si="19"/>
        <v>4006</v>
      </c>
      <c r="C146">
        <v>534</v>
      </c>
      <c r="D146">
        <v>3472</v>
      </c>
      <c r="F146">
        <f t="shared" si="14"/>
        <v>165</v>
      </c>
      <c r="G146" s="20">
        <f t="shared" si="20"/>
        <v>141</v>
      </c>
      <c r="H146" s="21">
        <v>66622030210</v>
      </c>
      <c r="I146" s="22" t="s">
        <v>299</v>
      </c>
      <c r="J146" s="23"/>
      <c r="K146" s="24">
        <v>3841</v>
      </c>
      <c r="L146" s="23">
        <f t="shared" si="15"/>
        <v>165</v>
      </c>
      <c r="M146" s="24">
        <v>500</v>
      </c>
      <c r="N146" s="25">
        <f t="shared" si="16"/>
        <v>34</v>
      </c>
      <c r="O146" s="24">
        <v>3341</v>
      </c>
      <c r="P146" s="23">
        <f t="shared" si="17"/>
        <v>131</v>
      </c>
      <c r="Q146" s="26"/>
      <c r="R146" s="23">
        <f t="shared" si="18"/>
        <v>0</v>
      </c>
      <c r="S146" s="27" t="s">
        <v>19</v>
      </c>
      <c r="T146" s="19" t="s">
        <v>298</v>
      </c>
    </row>
    <row r="147" spans="1:20" ht="37.5" customHeight="1" x14ac:dyDescent="0.25">
      <c r="A147" s="19" t="s">
        <v>300</v>
      </c>
      <c r="B147">
        <f t="shared" si="19"/>
        <v>89105</v>
      </c>
      <c r="C147">
        <v>17913</v>
      </c>
      <c r="D147">
        <v>71192</v>
      </c>
      <c r="F147">
        <f t="shared" si="14"/>
        <v>884</v>
      </c>
      <c r="G147" s="20">
        <f t="shared" si="20"/>
        <v>142</v>
      </c>
      <c r="H147" s="21">
        <v>23014060138</v>
      </c>
      <c r="I147" s="22" t="s">
        <v>301</v>
      </c>
      <c r="J147" s="23"/>
      <c r="K147" s="24">
        <v>88221</v>
      </c>
      <c r="L147" s="23">
        <f t="shared" si="15"/>
        <v>884</v>
      </c>
      <c r="M147" s="24">
        <v>17757</v>
      </c>
      <c r="N147" s="25">
        <f t="shared" si="16"/>
        <v>156</v>
      </c>
      <c r="O147" s="24">
        <v>70464</v>
      </c>
      <c r="P147" s="23">
        <f t="shared" si="17"/>
        <v>728</v>
      </c>
      <c r="Q147" s="26"/>
      <c r="R147" s="23">
        <f t="shared" si="18"/>
        <v>0</v>
      </c>
      <c r="S147" s="27" t="s">
        <v>19</v>
      </c>
      <c r="T147" s="19" t="s">
        <v>300</v>
      </c>
    </row>
    <row r="148" spans="1:20" ht="37.5" customHeight="1" x14ac:dyDescent="0.25">
      <c r="A148" s="19" t="s">
        <v>302</v>
      </c>
      <c r="B148">
        <f t="shared" si="19"/>
        <v>21009</v>
      </c>
      <c r="C148">
        <v>3733</v>
      </c>
      <c r="D148">
        <v>17276</v>
      </c>
      <c r="F148">
        <f t="shared" si="14"/>
        <v>764</v>
      </c>
      <c r="G148" s="20">
        <f t="shared" si="20"/>
        <v>143</v>
      </c>
      <c r="H148" s="21">
        <v>66621090345</v>
      </c>
      <c r="I148" s="22" t="s">
        <v>303</v>
      </c>
      <c r="J148" s="23"/>
      <c r="K148" s="24">
        <v>20245</v>
      </c>
      <c r="L148" s="23">
        <f t="shared" si="15"/>
        <v>764</v>
      </c>
      <c r="M148" s="24">
        <v>3605</v>
      </c>
      <c r="N148" s="25">
        <f t="shared" si="16"/>
        <v>128</v>
      </c>
      <c r="O148" s="24">
        <v>16640</v>
      </c>
      <c r="P148" s="23">
        <f t="shared" si="17"/>
        <v>636</v>
      </c>
      <c r="Q148" s="26"/>
      <c r="R148" s="23">
        <f t="shared" si="18"/>
        <v>0</v>
      </c>
      <c r="S148" s="27" t="s">
        <v>19</v>
      </c>
      <c r="T148" s="19" t="s">
        <v>302</v>
      </c>
    </row>
    <row r="149" spans="1:20" ht="37.5" customHeight="1" x14ac:dyDescent="0.25">
      <c r="A149" s="19" t="s">
        <v>304</v>
      </c>
      <c r="B149">
        <f t="shared" si="19"/>
        <v>619</v>
      </c>
      <c r="C149">
        <v>182</v>
      </c>
      <c r="D149">
        <v>437</v>
      </c>
      <c r="E149">
        <v>2688</v>
      </c>
      <c r="F149">
        <f t="shared" si="14"/>
        <v>360</v>
      </c>
      <c r="G149" s="20">
        <f t="shared" si="20"/>
        <v>144</v>
      </c>
      <c r="H149" s="21">
        <v>99624050265</v>
      </c>
      <c r="I149" s="22" t="s">
        <v>305</v>
      </c>
      <c r="J149" s="23"/>
      <c r="K149" s="24">
        <f>M149+O149</f>
        <v>259</v>
      </c>
      <c r="L149" s="23">
        <f t="shared" si="15"/>
        <v>360</v>
      </c>
      <c r="M149" s="24">
        <v>73</v>
      </c>
      <c r="N149" s="25">
        <f t="shared" si="16"/>
        <v>109</v>
      </c>
      <c r="O149" s="24">
        <v>186</v>
      </c>
      <c r="P149" s="23">
        <f t="shared" si="17"/>
        <v>251</v>
      </c>
      <c r="Q149" s="26">
        <v>1605</v>
      </c>
      <c r="R149" s="23">
        <f t="shared" si="18"/>
        <v>1083</v>
      </c>
      <c r="S149" s="27" t="s">
        <v>19</v>
      </c>
      <c r="T149" s="19" t="s">
        <v>304</v>
      </c>
    </row>
    <row r="150" spans="1:20" ht="37.5" customHeight="1" x14ac:dyDescent="0.25">
      <c r="A150" s="19" t="s">
        <v>306</v>
      </c>
      <c r="B150">
        <f t="shared" si="19"/>
        <v>57827</v>
      </c>
      <c r="C150">
        <v>10639</v>
      </c>
      <c r="D150">
        <v>47188</v>
      </c>
      <c r="F150">
        <f t="shared" si="14"/>
        <v>972</v>
      </c>
      <c r="G150" s="20">
        <f t="shared" si="20"/>
        <v>145</v>
      </c>
      <c r="H150" s="21">
        <v>88818030199</v>
      </c>
      <c r="I150" s="22" t="s">
        <v>307</v>
      </c>
      <c r="J150" s="23"/>
      <c r="K150" s="24">
        <v>56855</v>
      </c>
      <c r="L150" s="23">
        <f t="shared" si="15"/>
        <v>972</v>
      </c>
      <c r="M150" s="24">
        <v>10484</v>
      </c>
      <c r="N150" s="25">
        <f t="shared" si="16"/>
        <v>155</v>
      </c>
      <c r="O150" s="24">
        <v>46371</v>
      </c>
      <c r="P150" s="23">
        <f t="shared" si="17"/>
        <v>817</v>
      </c>
      <c r="Q150" s="26"/>
      <c r="R150" s="23">
        <f t="shared" si="18"/>
        <v>0</v>
      </c>
      <c r="S150" s="27" t="s">
        <v>19</v>
      </c>
      <c r="T150" s="19" t="s">
        <v>306</v>
      </c>
    </row>
    <row r="151" spans="1:20" ht="37.5" customHeight="1" x14ac:dyDescent="0.25">
      <c r="A151" s="19" t="s">
        <v>308</v>
      </c>
      <c r="B151">
        <f t="shared" si="19"/>
        <v>2314</v>
      </c>
      <c r="C151">
        <v>542</v>
      </c>
      <c r="D151">
        <v>1772</v>
      </c>
      <c r="E151">
        <v>4422</v>
      </c>
      <c r="F151">
        <f t="shared" si="14"/>
        <v>669</v>
      </c>
      <c r="G151" s="20">
        <f t="shared" si="20"/>
        <v>146</v>
      </c>
      <c r="H151" s="21">
        <v>99624040320</v>
      </c>
      <c r="I151" s="22" t="s">
        <v>309</v>
      </c>
      <c r="J151" s="23"/>
      <c r="K151" s="24">
        <f>M151+O151</f>
        <v>1645</v>
      </c>
      <c r="L151" s="23">
        <f t="shared" si="15"/>
        <v>669</v>
      </c>
      <c r="M151" s="24">
        <v>376</v>
      </c>
      <c r="N151" s="25">
        <f t="shared" si="16"/>
        <v>166</v>
      </c>
      <c r="O151" s="24">
        <v>1269</v>
      </c>
      <c r="P151" s="23">
        <f t="shared" si="17"/>
        <v>503</v>
      </c>
      <c r="Q151" s="26">
        <v>3302</v>
      </c>
      <c r="R151" s="23">
        <f t="shared" si="18"/>
        <v>1120</v>
      </c>
      <c r="S151" s="27" t="s">
        <v>19</v>
      </c>
      <c r="T151" s="19" t="s">
        <v>308</v>
      </c>
    </row>
    <row r="152" spans="1:20" ht="37.5" customHeight="1" x14ac:dyDescent="0.25">
      <c r="A152" s="19" t="s">
        <v>310</v>
      </c>
      <c r="B152">
        <f t="shared" si="19"/>
        <v>1078</v>
      </c>
      <c r="C152">
        <v>139</v>
      </c>
      <c r="D152">
        <v>939</v>
      </c>
      <c r="F152">
        <f t="shared" si="14"/>
        <v>131</v>
      </c>
      <c r="G152" s="20">
        <f t="shared" si="20"/>
        <v>147</v>
      </c>
      <c r="H152" s="21">
        <v>66622060869</v>
      </c>
      <c r="I152" s="22" t="s">
        <v>311</v>
      </c>
      <c r="J152" s="23"/>
      <c r="K152" s="24">
        <v>947</v>
      </c>
      <c r="L152" s="23">
        <f t="shared" si="15"/>
        <v>131</v>
      </c>
      <c r="M152" s="24">
        <v>115</v>
      </c>
      <c r="N152" s="25">
        <f t="shared" si="16"/>
        <v>24</v>
      </c>
      <c r="O152" s="24">
        <v>832</v>
      </c>
      <c r="P152" s="23">
        <f t="shared" si="17"/>
        <v>107</v>
      </c>
      <c r="Q152" s="26"/>
      <c r="R152" s="23">
        <f t="shared" si="18"/>
        <v>0</v>
      </c>
      <c r="S152" s="27" t="s">
        <v>19</v>
      </c>
      <c r="T152" s="19" t="s">
        <v>310</v>
      </c>
    </row>
    <row r="153" spans="1:20" ht="37.5" customHeight="1" x14ac:dyDescent="0.25">
      <c r="A153" s="19" t="s">
        <v>312</v>
      </c>
      <c r="B153">
        <f t="shared" si="19"/>
        <v>32092</v>
      </c>
      <c r="C153">
        <v>6426</v>
      </c>
      <c r="D153">
        <v>25666</v>
      </c>
      <c r="F153">
        <f t="shared" si="14"/>
        <v>419</v>
      </c>
      <c r="G153" s="20">
        <f t="shared" si="20"/>
        <v>148</v>
      </c>
      <c r="H153" s="21">
        <v>88819020320</v>
      </c>
      <c r="I153" s="22" t="s">
        <v>313</v>
      </c>
      <c r="J153" s="23"/>
      <c r="K153" s="24">
        <v>31673</v>
      </c>
      <c r="L153" s="23">
        <f t="shared" si="15"/>
        <v>419</v>
      </c>
      <c r="M153" s="24">
        <v>6327</v>
      </c>
      <c r="N153" s="25">
        <f t="shared" si="16"/>
        <v>99</v>
      </c>
      <c r="O153" s="24">
        <v>25346</v>
      </c>
      <c r="P153" s="23">
        <f t="shared" si="17"/>
        <v>320</v>
      </c>
      <c r="Q153" s="26"/>
      <c r="R153" s="23">
        <f t="shared" si="18"/>
        <v>0</v>
      </c>
      <c r="S153" s="27" t="s">
        <v>19</v>
      </c>
      <c r="T153" s="19" t="s">
        <v>312</v>
      </c>
    </row>
    <row r="154" spans="1:20" ht="37.5" customHeight="1" x14ac:dyDescent="0.25">
      <c r="A154" s="19" t="s">
        <v>314</v>
      </c>
      <c r="B154">
        <f t="shared" si="19"/>
        <v>36968</v>
      </c>
      <c r="C154">
        <v>7054</v>
      </c>
      <c r="D154">
        <v>29914</v>
      </c>
      <c r="F154">
        <f t="shared" si="14"/>
        <v>199</v>
      </c>
      <c r="G154" s="20">
        <f t="shared" si="20"/>
        <v>149</v>
      </c>
      <c r="H154" s="21">
        <v>66616020141</v>
      </c>
      <c r="I154" s="22" t="s">
        <v>315</v>
      </c>
      <c r="J154" s="23"/>
      <c r="K154" s="24">
        <v>36769</v>
      </c>
      <c r="L154" s="23">
        <f t="shared" si="15"/>
        <v>199</v>
      </c>
      <c r="M154" s="24">
        <v>7004</v>
      </c>
      <c r="N154" s="25">
        <f t="shared" si="16"/>
        <v>50</v>
      </c>
      <c r="O154" s="24">
        <v>29765</v>
      </c>
      <c r="P154" s="23">
        <f t="shared" si="17"/>
        <v>149</v>
      </c>
      <c r="Q154" s="26"/>
      <c r="R154" s="23">
        <f t="shared" si="18"/>
        <v>0</v>
      </c>
      <c r="S154" s="27" t="s">
        <v>316</v>
      </c>
      <c r="T154" s="19" t="s">
        <v>314</v>
      </c>
    </row>
    <row r="155" spans="1:20" ht="37.5" customHeight="1" x14ac:dyDescent="0.25">
      <c r="A155" s="19" t="s">
        <v>317</v>
      </c>
      <c r="B155">
        <f t="shared" si="19"/>
        <v>28702</v>
      </c>
      <c r="C155">
        <v>2490</v>
      </c>
      <c r="D155">
        <v>26212</v>
      </c>
      <c r="F155">
        <f t="shared" si="14"/>
        <v>169</v>
      </c>
      <c r="G155" s="20">
        <f t="shared" si="20"/>
        <v>150</v>
      </c>
      <c r="H155" s="21">
        <v>66617010184</v>
      </c>
      <c r="I155" s="22" t="s">
        <v>318</v>
      </c>
      <c r="J155" s="23"/>
      <c r="K155" s="24">
        <v>28533</v>
      </c>
      <c r="L155" s="23">
        <f t="shared" si="15"/>
        <v>169</v>
      </c>
      <c r="M155" s="24">
        <v>2427</v>
      </c>
      <c r="N155" s="25">
        <f t="shared" si="16"/>
        <v>63</v>
      </c>
      <c r="O155" s="24">
        <v>26106</v>
      </c>
      <c r="P155" s="23">
        <f t="shared" si="17"/>
        <v>106</v>
      </c>
      <c r="Q155" s="26"/>
      <c r="R155" s="23">
        <f t="shared" si="18"/>
        <v>0</v>
      </c>
      <c r="S155" s="27" t="s">
        <v>316</v>
      </c>
      <c r="T155" s="19" t="s">
        <v>317</v>
      </c>
    </row>
    <row r="156" spans="1:20" ht="37.5" customHeight="1" x14ac:dyDescent="0.25">
      <c r="A156" s="19" t="s">
        <v>319</v>
      </c>
      <c r="B156">
        <v>35226</v>
      </c>
      <c r="C156">
        <v>9519</v>
      </c>
      <c r="D156">
        <v>25630</v>
      </c>
      <c r="F156">
        <f t="shared" si="14"/>
        <v>0</v>
      </c>
      <c r="G156" s="20">
        <f t="shared" si="20"/>
        <v>151</v>
      </c>
      <c r="H156" s="21">
        <v>23014060639</v>
      </c>
      <c r="I156" s="22" t="s">
        <v>320</v>
      </c>
      <c r="J156" s="23"/>
      <c r="K156" s="24">
        <v>35226</v>
      </c>
      <c r="L156" s="23">
        <f t="shared" si="15"/>
        <v>0</v>
      </c>
      <c r="M156" s="24"/>
      <c r="N156" s="25">
        <f t="shared" si="16"/>
        <v>9519</v>
      </c>
      <c r="O156" s="24"/>
      <c r="P156" s="23">
        <f t="shared" si="17"/>
        <v>25630</v>
      </c>
      <c r="Q156" s="26"/>
      <c r="R156" s="23">
        <f t="shared" si="18"/>
        <v>0</v>
      </c>
      <c r="S156" s="27" t="s">
        <v>316</v>
      </c>
      <c r="T156" s="19" t="s">
        <v>319</v>
      </c>
    </row>
    <row r="157" spans="1:20" ht="37.5" customHeight="1" x14ac:dyDescent="0.25">
      <c r="A157" s="19" t="s">
        <v>321</v>
      </c>
      <c r="B157">
        <f t="shared" si="19"/>
        <v>151</v>
      </c>
      <c r="C157">
        <v>26</v>
      </c>
      <c r="D157">
        <v>125</v>
      </c>
      <c r="F157">
        <f t="shared" si="14"/>
        <v>0</v>
      </c>
      <c r="G157" s="20">
        <f t="shared" si="20"/>
        <v>152</v>
      </c>
      <c r="H157" s="21">
        <v>66621100172</v>
      </c>
      <c r="I157" s="22" t="s">
        <v>322</v>
      </c>
      <c r="J157" s="23"/>
      <c r="K157" s="24">
        <v>151</v>
      </c>
      <c r="L157" s="23">
        <f t="shared" si="15"/>
        <v>0</v>
      </c>
      <c r="M157" s="24">
        <v>26</v>
      </c>
      <c r="N157" s="25">
        <f t="shared" si="16"/>
        <v>0</v>
      </c>
      <c r="O157" s="24">
        <v>125</v>
      </c>
      <c r="P157" s="23">
        <f t="shared" si="17"/>
        <v>0</v>
      </c>
      <c r="Q157" s="26"/>
      <c r="R157" s="23">
        <f t="shared" si="18"/>
        <v>0</v>
      </c>
      <c r="S157" s="27" t="s">
        <v>316</v>
      </c>
      <c r="T157" s="19" t="s">
        <v>321</v>
      </c>
    </row>
    <row r="158" spans="1:20" ht="37.5" customHeight="1" x14ac:dyDescent="0.25">
      <c r="A158" s="19" t="s">
        <v>323</v>
      </c>
      <c r="B158">
        <f t="shared" si="19"/>
        <v>8005</v>
      </c>
      <c r="C158">
        <v>2777</v>
      </c>
      <c r="D158">
        <v>5228</v>
      </c>
      <c r="F158">
        <f t="shared" si="14"/>
        <v>37</v>
      </c>
      <c r="G158" s="20">
        <f t="shared" si="20"/>
        <v>153</v>
      </c>
      <c r="H158" s="21">
        <v>66621070415</v>
      </c>
      <c r="I158" s="22" t="s">
        <v>324</v>
      </c>
      <c r="J158" s="23"/>
      <c r="K158" s="24">
        <v>7968</v>
      </c>
      <c r="L158" s="23">
        <f t="shared" si="15"/>
        <v>37</v>
      </c>
      <c r="M158" s="24">
        <v>2758</v>
      </c>
      <c r="N158" s="25">
        <f t="shared" si="16"/>
        <v>19</v>
      </c>
      <c r="O158" s="24">
        <v>5210</v>
      </c>
      <c r="P158" s="23">
        <f t="shared" si="17"/>
        <v>18</v>
      </c>
      <c r="Q158" s="26"/>
      <c r="R158" s="23">
        <f t="shared" si="18"/>
        <v>0</v>
      </c>
      <c r="S158" s="27" t="s">
        <v>316</v>
      </c>
      <c r="T158" s="19" t="s">
        <v>323</v>
      </c>
    </row>
    <row r="159" spans="1:20" ht="37.5" customHeight="1" x14ac:dyDescent="0.25">
      <c r="A159" s="19" t="s">
        <v>325</v>
      </c>
      <c r="B159">
        <f t="shared" si="19"/>
        <v>5194</v>
      </c>
      <c r="C159">
        <v>1010</v>
      </c>
      <c r="D159">
        <v>4184</v>
      </c>
      <c r="F159">
        <f t="shared" si="14"/>
        <v>40</v>
      </c>
      <c r="G159" s="20">
        <f t="shared" si="20"/>
        <v>154</v>
      </c>
      <c r="H159" s="21">
        <v>88820020162</v>
      </c>
      <c r="I159" s="22" t="s">
        <v>326</v>
      </c>
      <c r="J159" s="23"/>
      <c r="K159" s="24">
        <v>5154</v>
      </c>
      <c r="L159" s="23">
        <f t="shared" si="15"/>
        <v>40</v>
      </c>
      <c r="M159" s="24">
        <v>1007</v>
      </c>
      <c r="N159" s="25">
        <f t="shared" si="16"/>
        <v>3</v>
      </c>
      <c r="O159" s="24">
        <v>4147</v>
      </c>
      <c r="P159" s="23">
        <f t="shared" si="17"/>
        <v>37</v>
      </c>
      <c r="Q159" s="26"/>
      <c r="R159" s="23">
        <f t="shared" si="18"/>
        <v>0</v>
      </c>
      <c r="S159" s="27" t="s">
        <v>316</v>
      </c>
      <c r="T159" s="19" t="s">
        <v>325</v>
      </c>
    </row>
    <row r="160" spans="1:20" ht="37.5" customHeight="1" x14ac:dyDescent="0.25">
      <c r="A160" s="19" t="s">
        <v>327</v>
      </c>
      <c r="B160">
        <f t="shared" si="19"/>
        <v>9785</v>
      </c>
      <c r="C160">
        <v>2944</v>
      </c>
      <c r="D160">
        <v>6841</v>
      </c>
      <c r="F160">
        <f t="shared" si="14"/>
        <v>350</v>
      </c>
      <c r="G160" s="20">
        <f t="shared" si="20"/>
        <v>155</v>
      </c>
      <c r="H160" s="21">
        <v>88819020172</v>
      </c>
      <c r="I160" s="22" t="s">
        <v>328</v>
      </c>
      <c r="J160" s="23"/>
      <c r="K160" s="24">
        <v>9435</v>
      </c>
      <c r="L160" s="23">
        <f t="shared" si="15"/>
        <v>350</v>
      </c>
      <c r="M160" s="24">
        <v>2852</v>
      </c>
      <c r="N160" s="25">
        <f t="shared" si="16"/>
        <v>92</v>
      </c>
      <c r="O160" s="24">
        <v>6583</v>
      </c>
      <c r="P160" s="23">
        <f t="shared" si="17"/>
        <v>258</v>
      </c>
      <c r="Q160" s="26"/>
      <c r="R160" s="23">
        <f t="shared" si="18"/>
        <v>0</v>
      </c>
      <c r="S160" s="27" t="s">
        <v>316</v>
      </c>
      <c r="T160" s="19" t="s">
        <v>327</v>
      </c>
    </row>
    <row r="161" spans="1:20" ht="37.5" customHeight="1" x14ac:dyDescent="0.25">
      <c r="A161" s="19" t="s">
        <v>329</v>
      </c>
      <c r="B161">
        <f t="shared" si="19"/>
        <v>9881</v>
      </c>
      <c r="C161">
        <v>2016</v>
      </c>
      <c r="D161">
        <v>7865</v>
      </c>
      <c r="F161">
        <f t="shared" si="14"/>
        <v>683</v>
      </c>
      <c r="G161" s="20">
        <f t="shared" si="20"/>
        <v>156</v>
      </c>
      <c r="H161" s="21">
        <v>66619040470</v>
      </c>
      <c r="I161" s="22" t="s">
        <v>330</v>
      </c>
      <c r="J161" s="23"/>
      <c r="K161" s="24">
        <v>9198</v>
      </c>
      <c r="L161" s="23">
        <f t="shared" si="15"/>
        <v>683</v>
      </c>
      <c r="M161" s="24">
        <v>1899</v>
      </c>
      <c r="N161" s="25">
        <f t="shared" si="16"/>
        <v>117</v>
      </c>
      <c r="O161" s="24">
        <v>7299</v>
      </c>
      <c r="P161" s="23">
        <f t="shared" si="17"/>
        <v>566</v>
      </c>
      <c r="Q161" s="26"/>
      <c r="R161" s="23">
        <f t="shared" si="18"/>
        <v>0</v>
      </c>
      <c r="S161" s="27" t="s">
        <v>316</v>
      </c>
      <c r="T161" s="19" t="s">
        <v>329</v>
      </c>
    </row>
    <row r="162" spans="1:20" ht="37.5" customHeight="1" x14ac:dyDescent="0.25">
      <c r="A162" s="19" t="s">
        <v>331</v>
      </c>
      <c r="B162">
        <f t="shared" si="19"/>
        <v>42837</v>
      </c>
      <c r="C162">
        <v>6221</v>
      </c>
      <c r="D162">
        <v>36616</v>
      </c>
      <c r="F162">
        <f t="shared" si="14"/>
        <v>1137</v>
      </c>
      <c r="G162" s="20">
        <f t="shared" si="20"/>
        <v>157</v>
      </c>
      <c r="H162" s="21">
        <v>88820030215</v>
      </c>
      <c r="I162" s="22" t="s">
        <v>332</v>
      </c>
      <c r="J162" s="23"/>
      <c r="K162" s="24">
        <v>41700</v>
      </c>
      <c r="L162" s="23">
        <f t="shared" si="15"/>
        <v>1137</v>
      </c>
      <c r="M162" s="24">
        <v>6066</v>
      </c>
      <c r="N162" s="25">
        <f t="shared" si="16"/>
        <v>155</v>
      </c>
      <c r="O162" s="24">
        <v>35634</v>
      </c>
      <c r="P162" s="23">
        <f t="shared" si="17"/>
        <v>982</v>
      </c>
      <c r="Q162" s="26"/>
      <c r="R162" s="23">
        <f t="shared" si="18"/>
        <v>0</v>
      </c>
      <c r="S162" s="27" t="s">
        <v>316</v>
      </c>
      <c r="T162" s="19" t="s">
        <v>331</v>
      </c>
    </row>
    <row r="163" spans="1:20" ht="37.5" customHeight="1" x14ac:dyDescent="0.25">
      <c r="A163" s="19" t="s">
        <v>333</v>
      </c>
      <c r="B163">
        <f t="shared" si="19"/>
        <v>21410</v>
      </c>
      <c r="C163">
        <v>4354</v>
      </c>
      <c r="D163">
        <v>17056</v>
      </c>
      <c r="F163">
        <f t="shared" si="14"/>
        <v>40</v>
      </c>
      <c r="G163" s="20">
        <f t="shared" si="20"/>
        <v>158</v>
      </c>
      <c r="H163" s="21">
        <v>88818020039</v>
      </c>
      <c r="I163" s="22" t="s">
        <v>334</v>
      </c>
      <c r="J163" s="23"/>
      <c r="K163" s="24">
        <v>21370</v>
      </c>
      <c r="L163" s="23">
        <f t="shared" si="15"/>
        <v>40</v>
      </c>
      <c r="M163" s="24">
        <v>4337</v>
      </c>
      <c r="N163" s="25">
        <f t="shared" si="16"/>
        <v>17</v>
      </c>
      <c r="O163" s="24">
        <v>17033</v>
      </c>
      <c r="P163" s="23">
        <f t="shared" si="17"/>
        <v>23</v>
      </c>
      <c r="Q163" s="26"/>
      <c r="R163" s="23">
        <f t="shared" si="18"/>
        <v>0</v>
      </c>
      <c r="S163" s="27" t="s">
        <v>316</v>
      </c>
      <c r="T163" s="19" t="s">
        <v>333</v>
      </c>
    </row>
    <row r="164" spans="1:20" ht="37.5" customHeight="1" x14ac:dyDescent="0.25">
      <c r="A164" s="19" t="s">
        <v>335</v>
      </c>
      <c r="B164">
        <f t="shared" si="19"/>
        <v>52340</v>
      </c>
      <c r="C164">
        <v>11827</v>
      </c>
      <c r="D164">
        <v>40513</v>
      </c>
      <c r="F164">
        <f t="shared" si="14"/>
        <v>764</v>
      </c>
      <c r="G164" s="20">
        <f t="shared" si="20"/>
        <v>159</v>
      </c>
      <c r="H164" s="21">
        <v>23015100408</v>
      </c>
      <c r="I164" s="22" t="s">
        <v>336</v>
      </c>
      <c r="J164" s="23"/>
      <c r="K164" s="24">
        <v>51576</v>
      </c>
      <c r="L164" s="23">
        <f t="shared" si="15"/>
        <v>764</v>
      </c>
      <c r="M164" s="24">
        <v>11682</v>
      </c>
      <c r="N164" s="25">
        <f t="shared" si="16"/>
        <v>145</v>
      </c>
      <c r="O164" s="24">
        <v>39894</v>
      </c>
      <c r="P164" s="23">
        <f t="shared" si="17"/>
        <v>619</v>
      </c>
      <c r="Q164" s="26"/>
      <c r="R164" s="23">
        <f t="shared" si="18"/>
        <v>0</v>
      </c>
      <c r="S164" s="27" t="s">
        <v>316</v>
      </c>
      <c r="T164" s="19" t="s">
        <v>335</v>
      </c>
    </row>
    <row r="165" spans="1:20" ht="37.5" customHeight="1" x14ac:dyDescent="0.25">
      <c r="A165" s="19" t="s">
        <v>337</v>
      </c>
      <c r="B165">
        <f t="shared" si="19"/>
        <v>50831</v>
      </c>
      <c r="C165">
        <v>7968</v>
      </c>
      <c r="D165">
        <v>42863</v>
      </c>
      <c r="F165">
        <f t="shared" si="14"/>
        <v>55</v>
      </c>
      <c r="G165" s="20">
        <f t="shared" si="20"/>
        <v>160</v>
      </c>
      <c r="H165" s="21">
        <v>66617031063</v>
      </c>
      <c r="I165" s="22" t="s">
        <v>338</v>
      </c>
      <c r="J165" s="23"/>
      <c r="K165" s="24">
        <v>50776</v>
      </c>
      <c r="L165" s="23">
        <f t="shared" si="15"/>
        <v>55</v>
      </c>
      <c r="M165" s="24">
        <v>7958</v>
      </c>
      <c r="N165" s="25">
        <f t="shared" si="16"/>
        <v>10</v>
      </c>
      <c r="O165" s="24">
        <v>42818</v>
      </c>
      <c r="P165" s="23">
        <f t="shared" si="17"/>
        <v>45</v>
      </c>
      <c r="Q165" s="26"/>
      <c r="R165" s="23">
        <f t="shared" si="18"/>
        <v>0</v>
      </c>
      <c r="S165" s="27" t="s">
        <v>316</v>
      </c>
      <c r="T165" s="19" t="s">
        <v>337</v>
      </c>
    </row>
    <row r="166" spans="1:20" ht="37.5" customHeight="1" x14ac:dyDescent="0.25">
      <c r="A166" s="19" t="s">
        <v>339</v>
      </c>
      <c r="B166">
        <f t="shared" si="19"/>
        <v>645</v>
      </c>
      <c r="C166">
        <v>101</v>
      </c>
      <c r="D166">
        <v>544</v>
      </c>
      <c r="F166">
        <f t="shared" si="14"/>
        <v>3</v>
      </c>
      <c r="G166" s="20">
        <f t="shared" si="20"/>
        <v>161</v>
      </c>
      <c r="H166" s="21">
        <v>66623030488</v>
      </c>
      <c r="I166" s="22" t="s">
        <v>340</v>
      </c>
      <c r="J166" s="23"/>
      <c r="K166" s="24">
        <v>642</v>
      </c>
      <c r="L166" s="23">
        <f t="shared" si="15"/>
        <v>3</v>
      </c>
      <c r="M166" s="24">
        <v>100</v>
      </c>
      <c r="N166" s="25">
        <f t="shared" si="16"/>
        <v>1</v>
      </c>
      <c r="O166" s="24">
        <v>542</v>
      </c>
      <c r="P166" s="23">
        <f t="shared" si="17"/>
        <v>2</v>
      </c>
      <c r="Q166" s="26"/>
      <c r="R166" s="23">
        <f t="shared" si="18"/>
        <v>0</v>
      </c>
      <c r="S166" s="27" t="s">
        <v>316</v>
      </c>
      <c r="T166" s="19" t="s">
        <v>339</v>
      </c>
    </row>
    <row r="167" spans="1:20" ht="37.5" customHeight="1" x14ac:dyDescent="0.25">
      <c r="A167" s="19" t="s">
        <v>341</v>
      </c>
      <c r="B167">
        <v>53815</v>
      </c>
      <c r="F167">
        <f t="shared" si="14"/>
        <v>70</v>
      </c>
      <c r="G167" s="20">
        <f t="shared" si="20"/>
        <v>162</v>
      </c>
      <c r="H167" s="21">
        <v>94</v>
      </c>
      <c r="I167" s="22" t="s">
        <v>342</v>
      </c>
      <c r="J167" s="23"/>
      <c r="K167" s="24">
        <v>53745</v>
      </c>
      <c r="L167" s="23">
        <f t="shared" si="15"/>
        <v>70</v>
      </c>
      <c r="M167" s="24"/>
      <c r="N167" s="25">
        <f t="shared" si="16"/>
        <v>0</v>
      </c>
      <c r="O167" s="24"/>
      <c r="P167" s="23">
        <f t="shared" si="17"/>
        <v>0</v>
      </c>
      <c r="Q167" s="26"/>
      <c r="R167" s="23">
        <f t="shared" si="18"/>
        <v>0</v>
      </c>
      <c r="S167" s="27" t="s">
        <v>343</v>
      </c>
      <c r="T167" s="19" t="s">
        <v>341</v>
      </c>
    </row>
    <row r="168" spans="1:20" ht="37.5" customHeight="1" x14ac:dyDescent="0.25">
      <c r="A168" s="19" t="s">
        <v>344</v>
      </c>
      <c r="B168">
        <f t="shared" si="19"/>
        <v>18163</v>
      </c>
      <c r="C168">
        <v>4373</v>
      </c>
      <c r="D168">
        <v>13790</v>
      </c>
      <c r="F168">
        <f t="shared" si="14"/>
        <v>1674</v>
      </c>
      <c r="G168" s="20">
        <f t="shared" si="20"/>
        <v>163</v>
      </c>
      <c r="H168" s="21">
        <v>66622030106</v>
      </c>
      <c r="I168" s="22" t="s">
        <v>345</v>
      </c>
      <c r="J168" s="23"/>
      <c r="K168" s="24">
        <v>16489</v>
      </c>
      <c r="L168" s="23">
        <f t="shared" si="15"/>
        <v>1674</v>
      </c>
      <c r="M168" s="24">
        <v>3878</v>
      </c>
      <c r="N168" s="25">
        <f t="shared" si="16"/>
        <v>495</v>
      </c>
      <c r="O168" s="24">
        <v>12611</v>
      </c>
      <c r="P168" s="23">
        <f t="shared" si="17"/>
        <v>1179</v>
      </c>
      <c r="Q168" s="26"/>
      <c r="R168" s="23">
        <f t="shared" si="18"/>
        <v>0</v>
      </c>
      <c r="S168" s="27" t="s">
        <v>343</v>
      </c>
      <c r="T168" s="19" t="s">
        <v>344</v>
      </c>
    </row>
    <row r="169" spans="1:20" ht="37.5" customHeight="1" x14ac:dyDescent="0.25">
      <c r="A169" s="19" t="s">
        <v>346</v>
      </c>
      <c r="B169">
        <f t="shared" si="19"/>
        <v>81733</v>
      </c>
      <c r="C169">
        <v>16615</v>
      </c>
      <c r="D169">
        <v>65118</v>
      </c>
      <c r="F169">
        <f t="shared" si="14"/>
        <v>76</v>
      </c>
      <c r="G169" s="20">
        <v>1</v>
      </c>
      <c r="H169" s="21">
        <v>23014040398</v>
      </c>
      <c r="I169" s="22" t="s">
        <v>347</v>
      </c>
      <c r="J169" s="23"/>
      <c r="K169" s="24">
        <v>81657</v>
      </c>
      <c r="L169" s="23">
        <f t="shared" si="15"/>
        <v>76</v>
      </c>
      <c r="M169" s="24">
        <v>16602</v>
      </c>
      <c r="N169" s="25">
        <f t="shared" si="16"/>
        <v>13</v>
      </c>
      <c r="O169" s="24">
        <v>65055</v>
      </c>
      <c r="P169" s="23">
        <f t="shared" si="17"/>
        <v>63</v>
      </c>
      <c r="Q169" s="26"/>
      <c r="R169" s="23">
        <f t="shared" si="18"/>
        <v>0</v>
      </c>
      <c r="S169" s="27" t="s">
        <v>316</v>
      </c>
      <c r="T169" s="19" t="s">
        <v>346</v>
      </c>
    </row>
    <row r="170" spans="1:20" ht="37.5" customHeight="1" x14ac:dyDescent="0.25">
      <c r="A170" s="19" t="s">
        <v>348</v>
      </c>
      <c r="B170">
        <f t="shared" si="19"/>
        <v>18789</v>
      </c>
      <c r="C170">
        <v>3193</v>
      </c>
      <c r="D170">
        <v>15596</v>
      </c>
      <c r="F170">
        <f t="shared" si="14"/>
        <v>206</v>
      </c>
      <c r="G170" s="20">
        <f>G169+1</f>
        <v>2</v>
      </c>
      <c r="H170" s="21">
        <v>88820020332</v>
      </c>
      <c r="I170" s="22" t="s">
        <v>349</v>
      </c>
      <c r="J170" s="23"/>
      <c r="K170" s="24">
        <v>18583</v>
      </c>
      <c r="L170" s="23">
        <f t="shared" si="15"/>
        <v>206</v>
      </c>
      <c r="M170" s="24">
        <v>3175</v>
      </c>
      <c r="N170" s="25">
        <f t="shared" si="16"/>
        <v>18</v>
      </c>
      <c r="O170" s="24">
        <v>15408</v>
      </c>
      <c r="P170" s="23">
        <f t="shared" si="17"/>
        <v>188</v>
      </c>
      <c r="Q170" s="26"/>
      <c r="R170" s="23">
        <f t="shared" si="18"/>
        <v>0</v>
      </c>
      <c r="S170" s="27" t="s">
        <v>316</v>
      </c>
      <c r="T170" s="19" t="s">
        <v>348</v>
      </c>
    </row>
    <row r="171" spans="1:20" ht="37.5" customHeight="1" x14ac:dyDescent="0.25">
      <c r="A171" s="19" t="s">
        <v>350</v>
      </c>
      <c r="B171">
        <f t="shared" si="19"/>
        <v>14161</v>
      </c>
      <c r="C171">
        <v>3000</v>
      </c>
      <c r="D171">
        <v>11161</v>
      </c>
      <c r="F171">
        <f t="shared" si="14"/>
        <v>82</v>
      </c>
      <c r="G171" s="20">
        <f t="shared" ref="G171:G185" si="21">G170+1</f>
        <v>3</v>
      </c>
      <c r="H171" s="21">
        <v>66622060601</v>
      </c>
      <c r="I171" s="22" t="s">
        <v>351</v>
      </c>
      <c r="J171" s="23"/>
      <c r="K171" s="24">
        <v>14079</v>
      </c>
      <c r="L171" s="23">
        <f t="shared" si="15"/>
        <v>82</v>
      </c>
      <c r="M171" s="24"/>
      <c r="N171" s="25">
        <f t="shared" si="16"/>
        <v>3000</v>
      </c>
      <c r="O171" s="24"/>
      <c r="P171" s="23">
        <f t="shared" si="17"/>
        <v>11161</v>
      </c>
      <c r="Q171" s="26"/>
      <c r="R171" s="23">
        <f t="shared" si="18"/>
        <v>0</v>
      </c>
      <c r="S171" s="27" t="s">
        <v>316</v>
      </c>
      <c r="T171" s="19" t="s">
        <v>350</v>
      </c>
    </row>
    <row r="172" spans="1:20" ht="37.5" customHeight="1" x14ac:dyDescent="0.25">
      <c r="A172" s="19" t="s">
        <v>352</v>
      </c>
      <c r="B172">
        <f t="shared" si="19"/>
        <v>1566</v>
      </c>
      <c r="C172">
        <v>155</v>
      </c>
      <c r="D172">
        <v>1411</v>
      </c>
      <c r="F172">
        <f t="shared" si="14"/>
        <v>132</v>
      </c>
      <c r="G172" s="20">
        <f t="shared" si="21"/>
        <v>4</v>
      </c>
      <c r="H172" s="21">
        <v>66623030522</v>
      </c>
      <c r="I172" s="22" t="s">
        <v>353</v>
      </c>
      <c r="J172" s="23"/>
      <c r="K172" s="24">
        <v>1434</v>
      </c>
      <c r="L172" s="23">
        <f t="shared" si="15"/>
        <v>132</v>
      </c>
      <c r="M172" s="24">
        <v>137</v>
      </c>
      <c r="N172" s="25">
        <f t="shared" si="16"/>
        <v>18</v>
      </c>
      <c r="O172" s="24">
        <v>1297</v>
      </c>
      <c r="P172" s="23">
        <f t="shared" si="17"/>
        <v>114</v>
      </c>
      <c r="Q172" s="26"/>
      <c r="R172" s="23">
        <f t="shared" si="18"/>
        <v>0</v>
      </c>
      <c r="S172" s="27" t="s">
        <v>316</v>
      </c>
      <c r="T172" s="19" t="s">
        <v>352</v>
      </c>
    </row>
    <row r="173" spans="1:20" ht="37.5" customHeight="1" x14ac:dyDescent="0.25">
      <c r="A173" s="19" t="s">
        <v>354</v>
      </c>
      <c r="B173">
        <f t="shared" si="19"/>
        <v>8640</v>
      </c>
      <c r="C173">
        <v>1197</v>
      </c>
      <c r="D173">
        <v>7443</v>
      </c>
      <c r="F173">
        <f t="shared" si="14"/>
        <v>345</v>
      </c>
      <c r="G173" s="20">
        <f t="shared" si="21"/>
        <v>5</v>
      </c>
      <c r="H173" s="21">
        <v>66622030230</v>
      </c>
      <c r="I173" s="22" t="s">
        <v>355</v>
      </c>
      <c r="J173" s="23"/>
      <c r="K173" s="24">
        <v>8295</v>
      </c>
      <c r="L173" s="23">
        <f t="shared" si="15"/>
        <v>345</v>
      </c>
      <c r="M173" s="24">
        <v>1136</v>
      </c>
      <c r="N173" s="25">
        <f t="shared" si="16"/>
        <v>61</v>
      </c>
      <c r="O173" s="24">
        <v>7159</v>
      </c>
      <c r="P173" s="23">
        <f t="shared" si="17"/>
        <v>284</v>
      </c>
      <c r="Q173" s="26"/>
      <c r="R173" s="23">
        <f t="shared" si="18"/>
        <v>0</v>
      </c>
      <c r="S173" s="27" t="s">
        <v>316</v>
      </c>
      <c r="T173" s="19" t="s">
        <v>354</v>
      </c>
    </row>
    <row r="174" spans="1:20" ht="37.5" customHeight="1" x14ac:dyDescent="0.25">
      <c r="A174" s="19" t="s">
        <v>356</v>
      </c>
      <c r="B174">
        <f t="shared" si="19"/>
        <v>38312</v>
      </c>
      <c r="C174">
        <v>6334</v>
      </c>
      <c r="D174">
        <v>31978</v>
      </c>
      <c r="F174">
        <f t="shared" si="14"/>
        <v>1</v>
      </c>
      <c r="G174" s="20">
        <f t="shared" si="21"/>
        <v>6</v>
      </c>
      <c r="H174" s="21">
        <v>66622010281</v>
      </c>
      <c r="I174" s="22" t="s">
        <v>357</v>
      </c>
      <c r="J174" s="23"/>
      <c r="K174" s="24">
        <v>38311</v>
      </c>
      <c r="L174" s="23">
        <f t="shared" si="15"/>
        <v>1</v>
      </c>
      <c r="M174" s="24"/>
      <c r="N174" s="25">
        <f t="shared" si="16"/>
        <v>6334</v>
      </c>
      <c r="O174" s="24"/>
      <c r="P174" s="23">
        <f t="shared" si="17"/>
        <v>31978</v>
      </c>
      <c r="Q174" s="26"/>
      <c r="R174" s="23">
        <f t="shared" si="18"/>
        <v>0</v>
      </c>
      <c r="S174" s="27" t="s">
        <v>316</v>
      </c>
      <c r="T174" s="19" t="s">
        <v>356</v>
      </c>
    </row>
    <row r="175" spans="1:20" ht="37.5" customHeight="1" x14ac:dyDescent="0.25">
      <c r="A175" s="19" t="s">
        <v>358</v>
      </c>
      <c r="B175">
        <f t="shared" si="19"/>
        <v>32695</v>
      </c>
      <c r="C175">
        <v>5745</v>
      </c>
      <c r="D175">
        <v>26950</v>
      </c>
      <c r="F175">
        <f t="shared" si="14"/>
        <v>114</v>
      </c>
      <c r="G175" s="20">
        <f t="shared" si="21"/>
        <v>7</v>
      </c>
      <c r="H175" s="21">
        <v>88818010289</v>
      </c>
      <c r="I175" s="22" t="s">
        <v>359</v>
      </c>
      <c r="J175" s="23"/>
      <c r="K175" s="24">
        <v>32581</v>
      </c>
      <c r="L175" s="23">
        <f t="shared" si="15"/>
        <v>114</v>
      </c>
      <c r="M175" s="24">
        <v>5730</v>
      </c>
      <c r="N175" s="25">
        <f t="shared" si="16"/>
        <v>15</v>
      </c>
      <c r="O175" s="24">
        <v>26851</v>
      </c>
      <c r="P175" s="23">
        <f t="shared" si="17"/>
        <v>99</v>
      </c>
      <c r="Q175" s="26"/>
      <c r="R175" s="23">
        <f t="shared" si="18"/>
        <v>0</v>
      </c>
      <c r="S175" s="27" t="s">
        <v>316</v>
      </c>
      <c r="T175" s="19" t="s">
        <v>358</v>
      </c>
    </row>
    <row r="176" spans="1:20" ht="37.5" customHeight="1" x14ac:dyDescent="0.25">
      <c r="A176" s="19" t="s">
        <v>360</v>
      </c>
      <c r="B176">
        <f>1077+K176</f>
        <v>10858</v>
      </c>
      <c r="F176">
        <f t="shared" si="14"/>
        <v>1077</v>
      </c>
      <c r="G176" s="20">
        <f t="shared" si="21"/>
        <v>8</v>
      </c>
      <c r="H176" s="21">
        <v>66623011416</v>
      </c>
      <c r="I176" s="22" t="s">
        <v>361</v>
      </c>
      <c r="J176" s="23"/>
      <c r="K176" s="24">
        <v>9781</v>
      </c>
      <c r="L176" s="23">
        <f t="shared" si="15"/>
        <v>1077</v>
      </c>
      <c r="M176" s="24">
        <v>1447</v>
      </c>
      <c r="N176" s="25">
        <f t="shared" si="16"/>
        <v>-1447</v>
      </c>
      <c r="O176" s="24">
        <v>8334</v>
      </c>
      <c r="P176" s="23">
        <f t="shared" si="17"/>
        <v>-8334</v>
      </c>
      <c r="Q176" s="26"/>
      <c r="R176" s="23">
        <f t="shared" si="18"/>
        <v>0</v>
      </c>
      <c r="S176" s="27" t="s">
        <v>316</v>
      </c>
      <c r="T176" s="19" t="s">
        <v>360</v>
      </c>
    </row>
    <row r="177" spans="1:20" ht="37.5" customHeight="1" x14ac:dyDescent="0.25">
      <c r="A177" s="19" t="s">
        <v>362</v>
      </c>
      <c r="B177">
        <f t="shared" si="19"/>
        <v>14559</v>
      </c>
      <c r="C177">
        <v>2427</v>
      </c>
      <c r="D177">
        <v>12132</v>
      </c>
      <c r="F177">
        <f t="shared" si="14"/>
        <v>331</v>
      </c>
      <c r="G177" s="20">
        <f t="shared" si="21"/>
        <v>9</v>
      </c>
      <c r="H177" s="21">
        <v>66622030069</v>
      </c>
      <c r="I177" s="22" t="s">
        <v>363</v>
      </c>
      <c r="J177" s="23"/>
      <c r="K177" s="24">
        <v>14228</v>
      </c>
      <c r="L177" s="23">
        <f t="shared" si="15"/>
        <v>331</v>
      </c>
      <c r="M177" s="24">
        <v>2389</v>
      </c>
      <c r="N177" s="25">
        <f t="shared" si="16"/>
        <v>38</v>
      </c>
      <c r="O177" s="24">
        <v>11839</v>
      </c>
      <c r="P177" s="23">
        <f t="shared" si="17"/>
        <v>293</v>
      </c>
      <c r="Q177" s="26"/>
      <c r="R177" s="23">
        <f t="shared" si="18"/>
        <v>0</v>
      </c>
      <c r="S177" s="27" t="s">
        <v>316</v>
      </c>
      <c r="T177" s="19" t="s">
        <v>362</v>
      </c>
    </row>
    <row r="178" spans="1:20" ht="37.5" customHeight="1" x14ac:dyDescent="0.25">
      <c r="A178" s="19" t="s">
        <v>364</v>
      </c>
      <c r="B178">
        <f t="shared" si="19"/>
        <v>133</v>
      </c>
      <c r="C178">
        <v>13</v>
      </c>
      <c r="D178">
        <v>120</v>
      </c>
      <c r="F178">
        <f t="shared" si="14"/>
        <v>32</v>
      </c>
      <c r="G178" s="20">
        <f t="shared" si="21"/>
        <v>10</v>
      </c>
      <c r="H178" s="21">
        <v>66624030173</v>
      </c>
      <c r="I178" s="22" t="s">
        <v>365</v>
      </c>
      <c r="J178" s="23"/>
      <c r="K178" s="24">
        <v>101</v>
      </c>
      <c r="L178" s="23">
        <f t="shared" si="15"/>
        <v>32</v>
      </c>
      <c r="M178" s="24">
        <v>11</v>
      </c>
      <c r="N178" s="25">
        <f t="shared" si="16"/>
        <v>2</v>
      </c>
      <c r="O178" s="24">
        <v>90</v>
      </c>
      <c r="P178" s="23">
        <f t="shared" si="17"/>
        <v>30</v>
      </c>
      <c r="Q178" s="26"/>
      <c r="R178" s="23">
        <f t="shared" si="18"/>
        <v>0</v>
      </c>
      <c r="S178" s="27" t="s">
        <v>316</v>
      </c>
      <c r="T178" s="19" t="s">
        <v>364</v>
      </c>
    </row>
    <row r="179" spans="1:20" ht="37.5" customHeight="1" x14ac:dyDescent="0.25">
      <c r="A179" s="19" t="s">
        <v>366</v>
      </c>
      <c r="B179">
        <f t="shared" si="19"/>
        <v>2689</v>
      </c>
      <c r="C179">
        <v>369</v>
      </c>
      <c r="D179">
        <v>2320</v>
      </c>
      <c r="F179">
        <f t="shared" si="14"/>
        <v>95</v>
      </c>
      <c r="G179" s="20">
        <f t="shared" si="21"/>
        <v>11</v>
      </c>
      <c r="H179" s="21">
        <v>66622020395</v>
      </c>
      <c r="I179" s="22" t="s">
        <v>367</v>
      </c>
      <c r="J179" s="23"/>
      <c r="K179" s="24">
        <v>2594</v>
      </c>
      <c r="L179" s="23">
        <f t="shared" si="15"/>
        <v>95</v>
      </c>
      <c r="M179" s="24">
        <v>355</v>
      </c>
      <c r="N179" s="25">
        <f t="shared" si="16"/>
        <v>14</v>
      </c>
      <c r="O179" s="24">
        <v>2239</v>
      </c>
      <c r="P179" s="23">
        <f t="shared" si="17"/>
        <v>81</v>
      </c>
      <c r="Q179" s="26"/>
      <c r="R179" s="23">
        <f t="shared" si="18"/>
        <v>0</v>
      </c>
      <c r="S179" s="27" t="s">
        <v>316</v>
      </c>
      <c r="T179" s="19" t="s">
        <v>366</v>
      </c>
    </row>
    <row r="180" spans="1:20" ht="37.5" customHeight="1" x14ac:dyDescent="0.25">
      <c r="A180" s="19" t="s">
        <v>368</v>
      </c>
      <c r="F180">
        <f t="shared" si="14"/>
        <v>-4018</v>
      </c>
      <c r="G180" s="20">
        <f t="shared" si="21"/>
        <v>12</v>
      </c>
      <c r="H180" s="21">
        <v>66623011201</v>
      </c>
      <c r="I180" s="22" t="s">
        <v>369</v>
      </c>
      <c r="J180" s="23"/>
      <c r="K180" s="24">
        <v>4018</v>
      </c>
      <c r="L180" s="23">
        <f t="shared" si="15"/>
        <v>-4018</v>
      </c>
      <c r="M180" s="24">
        <v>516</v>
      </c>
      <c r="N180" s="25">
        <f t="shared" si="16"/>
        <v>-516</v>
      </c>
      <c r="O180" s="24">
        <v>3502</v>
      </c>
      <c r="P180" s="23">
        <f t="shared" si="17"/>
        <v>-3502</v>
      </c>
      <c r="Q180" s="26"/>
      <c r="R180" s="23">
        <f t="shared" si="18"/>
        <v>0</v>
      </c>
      <c r="S180" s="27" t="s">
        <v>316</v>
      </c>
      <c r="T180" s="19" t="s">
        <v>368</v>
      </c>
    </row>
    <row r="181" spans="1:20" ht="37.5" customHeight="1" x14ac:dyDescent="0.25">
      <c r="A181" s="19" t="s">
        <v>370</v>
      </c>
      <c r="B181">
        <f t="shared" si="19"/>
        <v>12327</v>
      </c>
      <c r="C181">
        <v>2733</v>
      </c>
      <c r="D181">
        <v>9594</v>
      </c>
      <c r="F181">
        <f t="shared" si="14"/>
        <v>67</v>
      </c>
      <c r="G181" s="20">
        <f t="shared" si="21"/>
        <v>13</v>
      </c>
      <c r="H181" s="21">
        <v>88819010301</v>
      </c>
      <c r="I181" s="22" t="s">
        <v>371</v>
      </c>
      <c r="J181" s="23"/>
      <c r="K181" s="24">
        <v>12260</v>
      </c>
      <c r="L181" s="23">
        <f t="shared" si="15"/>
        <v>67</v>
      </c>
      <c r="M181" s="24">
        <v>2727</v>
      </c>
      <c r="N181" s="25">
        <f t="shared" si="16"/>
        <v>6</v>
      </c>
      <c r="O181" s="24">
        <v>9533</v>
      </c>
      <c r="P181" s="23">
        <f t="shared" si="17"/>
        <v>61</v>
      </c>
      <c r="Q181" s="26"/>
      <c r="R181" s="23">
        <f t="shared" si="18"/>
        <v>0</v>
      </c>
      <c r="S181" s="27" t="s">
        <v>316</v>
      </c>
      <c r="T181" s="19" t="s">
        <v>370</v>
      </c>
    </row>
    <row r="182" spans="1:20" ht="37.5" customHeight="1" x14ac:dyDescent="0.25">
      <c r="A182" s="19" t="s">
        <v>372</v>
      </c>
      <c r="F182">
        <f t="shared" si="14"/>
        <v>-28830</v>
      </c>
      <c r="G182" s="20">
        <f t="shared" si="21"/>
        <v>14</v>
      </c>
      <c r="H182" s="21">
        <v>66621040336</v>
      </c>
      <c r="I182" s="22" t="s">
        <v>373</v>
      </c>
      <c r="J182" s="23"/>
      <c r="K182" s="24">
        <v>28830</v>
      </c>
      <c r="L182" s="23">
        <f t="shared" si="15"/>
        <v>-28830</v>
      </c>
      <c r="M182" s="24">
        <v>4190</v>
      </c>
      <c r="N182" s="25">
        <f t="shared" si="16"/>
        <v>-4190</v>
      </c>
      <c r="O182" s="24">
        <v>24640</v>
      </c>
      <c r="P182" s="23">
        <f t="shared" si="17"/>
        <v>-24640</v>
      </c>
      <c r="Q182" s="26"/>
      <c r="R182" s="23">
        <f t="shared" si="18"/>
        <v>0</v>
      </c>
      <c r="S182" s="27" t="s">
        <v>316</v>
      </c>
      <c r="T182" s="19" t="s">
        <v>372</v>
      </c>
    </row>
    <row r="183" spans="1:20" ht="37.5" customHeight="1" x14ac:dyDescent="0.25">
      <c r="A183" s="19" t="s">
        <v>374</v>
      </c>
      <c r="B183">
        <f t="shared" si="19"/>
        <v>62157</v>
      </c>
      <c r="C183">
        <v>11979</v>
      </c>
      <c r="D183">
        <v>50178</v>
      </c>
      <c r="F183">
        <f t="shared" si="14"/>
        <v>51</v>
      </c>
      <c r="G183" s="20">
        <f t="shared" si="21"/>
        <v>15</v>
      </c>
      <c r="H183" s="21">
        <v>66617020230</v>
      </c>
      <c r="I183" s="22" t="s">
        <v>375</v>
      </c>
      <c r="J183" s="23"/>
      <c r="K183" s="24">
        <v>62106</v>
      </c>
      <c r="L183" s="23">
        <f t="shared" si="15"/>
        <v>51</v>
      </c>
      <c r="M183" s="24">
        <v>11974</v>
      </c>
      <c r="N183" s="25">
        <f t="shared" si="16"/>
        <v>5</v>
      </c>
      <c r="O183" s="24">
        <v>0</v>
      </c>
      <c r="P183" s="23">
        <f t="shared" si="17"/>
        <v>50178</v>
      </c>
      <c r="Q183" s="26"/>
      <c r="R183" s="23">
        <f t="shared" si="18"/>
        <v>0</v>
      </c>
      <c r="S183" s="27" t="s">
        <v>316</v>
      </c>
      <c r="T183" s="19" t="s">
        <v>374</v>
      </c>
    </row>
    <row r="184" spans="1:20" ht="37.5" customHeight="1" x14ac:dyDescent="0.25">
      <c r="A184" s="19" t="s">
        <v>376</v>
      </c>
      <c r="B184">
        <f t="shared" si="19"/>
        <v>24395</v>
      </c>
      <c r="C184">
        <v>5038</v>
      </c>
      <c r="D184">
        <v>19357</v>
      </c>
      <c r="F184">
        <f t="shared" si="14"/>
        <v>1065</v>
      </c>
      <c r="G184" s="20">
        <f t="shared" si="21"/>
        <v>16</v>
      </c>
      <c r="H184" s="21">
        <v>88820020073</v>
      </c>
      <c r="I184" s="22" t="s">
        <v>377</v>
      </c>
      <c r="J184" s="23"/>
      <c r="K184" s="24">
        <v>23330</v>
      </c>
      <c r="L184" s="23">
        <f t="shared" si="15"/>
        <v>1065</v>
      </c>
      <c r="M184" s="24">
        <v>4713</v>
      </c>
      <c r="N184" s="25">
        <f t="shared" si="16"/>
        <v>325</v>
      </c>
      <c r="O184" s="24">
        <v>18617</v>
      </c>
      <c r="P184" s="23">
        <f t="shared" si="17"/>
        <v>740</v>
      </c>
      <c r="Q184" s="26"/>
      <c r="R184" s="23">
        <f t="shared" si="18"/>
        <v>0</v>
      </c>
      <c r="S184" s="27" t="s">
        <v>343</v>
      </c>
      <c r="T184" s="19" t="s">
        <v>376</v>
      </c>
    </row>
    <row r="185" spans="1:20" ht="37.5" customHeight="1" x14ac:dyDescent="0.25">
      <c r="A185" s="19" t="s">
        <v>378</v>
      </c>
      <c r="B185">
        <f t="shared" si="19"/>
        <v>49639</v>
      </c>
      <c r="C185">
        <v>18888</v>
      </c>
      <c r="D185">
        <v>30751</v>
      </c>
      <c r="F185">
        <f t="shared" si="14"/>
        <v>224</v>
      </c>
      <c r="G185" s="20">
        <f t="shared" si="21"/>
        <v>17</v>
      </c>
      <c r="H185" s="21">
        <v>23011100027</v>
      </c>
      <c r="I185" s="22" t="s">
        <v>379</v>
      </c>
      <c r="J185" s="23"/>
      <c r="K185" s="24">
        <v>49415</v>
      </c>
      <c r="L185" s="23">
        <f t="shared" si="15"/>
        <v>224</v>
      </c>
      <c r="M185" s="24">
        <v>18888</v>
      </c>
      <c r="N185" s="25">
        <f t="shared" si="16"/>
        <v>0</v>
      </c>
      <c r="O185" s="24">
        <v>30527</v>
      </c>
      <c r="P185" s="23">
        <f t="shared" si="17"/>
        <v>224</v>
      </c>
      <c r="Q185" s="26"/>
      <c r="R185" s="23">
        <f t="shared" si="18"/>
        <v>0</v>
      </c>
      <c r="S185" s="27" t="s">
        <v>343</v>
      </c>
      <c r="T185" s="19" t="s">
        <v>378</v>
      </c>
    </row>
    <row r="186" spans="1:20" ht="37.5" customHeight="1" x14ac:dyDescent="0.25">
      <c r="A186" s="19"/>
      <c r="G186" s="20"/>
      <c r="H186" s="21"/>
      <c r="I186" s="22"/>
      <c r="J186" s="23"/>
      <c r="K186" s="26"/>
      <c r="L186" s="23"/>
      <c r="M186" s="26"/>
      <c r="N186" s="28"/>
      <c r="O186" s="26"/>
      <c r="P186" s="23"/>
      <c r="Q186" s="29"/>
      <c r="R186" s="30"/>
      <c r="S186" s="27"/>
      <c r="T186" s="19"/>
    </row>
    <row r="187" spans="1:20" ht="37.5" customHeight="1" x14ac:dyDescent="0.25">
      <c r="A187" s="19"/>
      <c r="G187" s="20"/>
      <c r="H187" s="21"/>
      <c r="I187" s="22"/>
      <c r="J187" s="23"/>
      <c r="K187" s="26"/>
      <c r="L187" s="23"/>
      <c r="M187" s="26"/>
      <c r="N187" s="28"/>
      <c r="O187" s="26"/>
      <c r="P187" s="23"/>
      <c r="Q187" s="29"/>
      <c r="R187" s="30"/>
      <c r="S187" s="27"/>
      <c r="T187" s="19"/>
    </row>
    <row r="188" spans="1:20" ht="37.5" customHeight="1" x14ac:dyDescent="0.25">
      <c r="A188" s="19"/>
      <c r="G188" s="20"/>
      <c r="H188" s="21"/>
      <c r="I188" s="22"/>
      <c r="J188" s="23"/>
      <c r="K188" s="26"/>
      <c r="L188" s="23"/>
      <c r="M188" s="26"/>
      <c r="N188" s="28"/>
      <c r="O188" s="26"/>
      <c r="P188" s="23"/>
      <c r="Q188" s="29"/>
      <c r="R188" s="30"/>
      <c r="S188" s="27"/>
      <c r="T188" s="19"/>
    </row>
    <row r="189" spans="1:20" ht="37.5" customHeight="1" x14ac:dyDescent="0.25">
      <c r="A189" s="19"/>
      <c r="G189" s="20"/>
      <c r="H189" s="21"/>
      <c r="I189" s="22"/>
      <c r="J189" s="23"/>
      <c r="K189" s="26"/>
      <c r="L189" s="23"/>
      <c r="M189" s="26"/>
      <c r="N189" s="28"/>
      <c r="O189" s="26"/>
      <c r="P189" s="23"/>
      <c r="Q189" s="29"/>
      <c r="R189" s="30"/>
      <c r="S189" s="27"/>
      <c r="T189" s="19"/>
    </row>
    <row r="190" spans="1:20" ht="37.5" customHeight="1" x14ac:dyDescent="0.25">
      <c r="A190" s="19"/>
      <c r="G190" s="20"/>
      <c r="H190" s="21"/>
      <c r="I190" s="22"/>
      <c r="J190" s="23"/>
      <c r="K190" s="26"/>
      <c r="L190" s="23"/>
      <c r="M190" s="26"/>
      <c r="N190" s="28"/>
      <c r="O190" s="26"/>
      <c r="P190" s="23"/>
      <c r="Q190" s="29"/>
      <c r="R190" s="30"/>
      <c r="S190" s="27"/>
      <c r="T190" s="19"/>
    </row>
    <row r="191" spans="1:20" ht="37.5" customHeight="1" x14ac:dyDescent="0.25">
      <c r="A191" s="19"/>
      <c r="G191" s="20"/>
      <c r="H191" s="21"/>
      <c r="I191" s="22"/>
      <c r="J191" s="23"/>
      <c r="K191" s="26"/>
      <c r="L191" s="23"/>
      <c r="M191" s="26"/>
      <c r="N191" s="28"/>
      <c r="O191" s="26"/>
      <c r="P191" s="23"/>
      <c r="Q191" s="29"/>
      <c r="R191" s="30"/>
      <c r="S191" s="27"/>
      <c r="T191" s="19"/>
    </row>
    <row r="192" spans="1:20" ht="37.5" customHeight="1" x14ac:dyDescent="0.25">
      <c r="A192" s="19"/>
      <c r="G192" s="20"/>
      <c r="H192" s="21"/>
      <c r="I192" s="22"/>
      <c r="J192" s="23"/>
      <c r="K192" s="26"/>
      <c r="L192" s="23"/>
      <c r="M192" s="26"/>
      <c r="N192" s="28"/>
      <c r="O192" s="26"/>
      <c r="P192" s="23"/>
      <c r="Q192" s="29"/>
      <c r="R192" s="30"/>
      <c r="S192" s="27"/>
      <c r="T192" s="19"/>
    </row>
    <row r="193" spans="1:20" ht="37.5" customHeight="1" x14ac:dyDescent="0.25">
      <c r="A193" s="19"/>
      <c r="G193" s="20"/>
      <c r="H193" s="21"/>
      <c r="I193" s="22"/>
      <c r="J193" s="23"/>
      <c r="K193" s="26"/>
      <c r="L193" s="23"/>
      <c r="M193" s="26"/>
      <c r="N193" s="28"/>
      <c r="O193" s="26"/>
      <c r="P193" s="23"/>
      <c r="Q193" s="29"/>
      <c r="R193" s="30"/>
      <c r="S193" s="27"/>
      <c r="T193" s="19"/>
    </row>
    <row r="194" spans="1:20" ht="37.5" customHeight="1" x14ac:dyDescent="0.25">
      <c r="A194" s="19"/>
      <c r="G194" s="20"/>
      <c r="H194" s="21"/>
      <c r="I194" s="22"/>
      <c r="J194" s="23"/>
      <c r="K194" s="26"/>
      <c r="L194" s="23"/>
      <c r="M194" s="26"/>
      <c r="N194" s="28"/>
      <c r="O194" s="26"/>
      <c r="P194" s="23"/>
      <c r="Q194" s="29"/>
      <c r="R194" s="30"/>
      <c r="S194" s="27"/>
      <c r="T194" s="19"/>
    </row>
    <row r="195" spans="1:20" ht="37.5" customHeight="1" x14ac:dyDescent="0.25">
      <c r="A195" s="19"/>
      <c r="G195" s="20"/>
      <c r="H195" s="21"/>
      <c r="I195" s="22"/>
      <c r="J195" s="23"/>
      <c r="K195" s="26"/>
      <c r="L195" s="23"/>
      <c r="M195" s="26"/>
      <c r="N195" s="28"/>
      <c r="O195" s="26"/>
      <c r="P195" s="23"/>
      <c r="Q195" s="29"/>
      <c r="R195" s="30"/>
      <c r="S195" s="27"/>
      <c r="T195" s="19"/>
    </row>
    <row r="196" spans="1:20" ht="37.5" customHeight="1" x14ac:dyDescent="0.25">
      <c r="A196" s="19"/>
      <c r="G196" s="20"/>
      <c r="H196" s="21"/>
      <c r="I196" s="22"/>
      <c r="J196" s="23"/>
      <c r="K196" s="26"/>
      <c r="L196" s="23"/>
      <c r="M196" s="26"/>
      <c r="N196" s="28"/>
      <c r="O196" s="26"/>
      <c r="P196" s="23"/>
      <c r="Q196" s="29"/>
      <c r="R196" s="30"/>
      <c r="S196" s="27"/>
      <c r="T196" s="19"/>
    </row>
    <row r="197" spans="1:20" ht="37.5" customHeight="1" x14ac:dyDescent="0.25">
      <c r="A197" s="19"/>
      <c r="G197" s="20"/>
      <c r="H197" s="21"/>
      <c r="I197" s="22"/>
      <c r="J197" s="23"/>
      <c r="K197" s="26"/>
      <c r="L197" s="23"/>
      <c r="M197" s="26"/>
      <c r="N197" s="28"/>
      <c r="O197" s="26"/>
      <c r="P197" s="23"/>
      <c r="Q197" s="29"/>
      <c r="R197" s="30"/>
      <c r="S197" s="27"/>
      <c r="T197" s="19"/>
    </row>
    <row r="198" spans="1:20" ht="37.5" customHeight="1" x14ac:dyDescent="0.25">
      <c r="A198" s="19"/>
      <c r="G198" s="20"/>
      <c r="H198" s="21"/>
      <c r="I198" s="22"/>
      <c r="J198" s="23"/>
      <c r="K198" s="26"/>
      <c r="L198" s="23"/>
      <c r="M198" s="26"/>
      <c r="N198" s="28"/>
      <c r="O198" s="26"/>
      <c r="P198" s="23"/>
      <c r="Q198" s="29"/>
      <c r="R198" s="30"/>
      <c r="S198" s="27"/>
      <c r="T198" s="19"/>
    </row>
    <row r="199" spans="1:20" ht="37.5" customHeight="1" x14ac:dyDescent="0.25">
      <c r="A199" s="19"/>
      <c r="G199" s="20"/>
      <c r="H199" s="21"/>
      <c r="I199" s="22"/>
      <c r="J199" s="23"/>
      <c r="K199" s="26"/>
      <c r="L199" s="23"/>
      <c r="M199" s="26"/>
      <c r="N199" s="28"/>
      <c r="O199" s="26"/>
      <c r="P199" s="23"/>
      <c r="Q199" s="29"/>
      <c r="R199" s="30"/>
      <c r="S199" s="27"/>
      <c r="T199" s="19"/>
    </row>
    <row r="200" spans="1:20" ht="37.5" customHeight="1" x14ac:dyDescent="0.25">
      <c r="A200" s="19"/>
      <c r="G200" s="20"/>
      <c r="H200" s="21"/>
      <c r="I200" s="22"/>
      <c r="J200" s="23"/>
      <c r="K200" s="26"/>
      <c r="L200" s="23"/>
      <c r="M200" s="26"/>
      <c r="N200" s="28"/>
      <c r="O200" s="26"/>
      <c r="P200" s="23"/>
      <c r="Q200" s="29"/>
      <c r="R200" s="30"/>
      <c r="S200" s="27"/>
      <c r="T200" s="19"/>
    </row>
    <row r="201" spans="1:20" ht="37.5" customHeight="1" x14ac:dyDescent="0.25">
      <c r="A201" s="19"/>
      <c r="G201" s="20"/>
      <c r="H201" s="21"/>
      <c r="I201" s="22"/>
      <c r="J201" s="23"/>
      <c r="K201" s="26"/>
      <c r="L201" s="23"/>
      <c r="M201" s="26"/>
      <c r="N201" s="28"/>
      <c r="O201" s="26"/>
      <c r="P201" s="23"/>
      <c r="Q201" s="29"/>
      <c r="R201" s="30"/>
      <c r="S201" s="27"/>
      <c r="T201" s="19"/>
    </row>
    <row r="202" spans="1:20" ht="37.5" customHeight="1" x14ac:dyDescent="0.25">
      <c r="A202" s="19"/>
      <c r="G202" s="20"/>
      <c r="H202" s="21"/>
      <c r="I202" s="22"/>
      <c r="J202" s="23"/>
      <c r="K202" s="26"/>
      <c r="L202" s="23"/>
      <c r="M202" s="26"/>
      <c r="N202" s="28"/>
      <c r="O202" s="26"/>
      <c r="P202" s="23"/>
      <c r="Q202" s="29"/>
      <c r="R202" s="30"/>
      <c r="S202" s="27"/>
      <c r="T202" s="19"/>
    </row>
    <row r="203" spans="1:20" ht="37.5" customHeight="1" x14ac:dyDescent="0.25">
      <c r="A203" s="19"/>
      <c r="G203" s="20"/>
      <c r="H203" s="21"/>
      <c r="I203" s="22"/>
      <c r="J203" s="23"/>
      <c r="K203" s="26"/>
      <c r="L203" s="23"/>
      <c r="M203" s="26"/>
      <c r="N203" s="28"/>
      <c r="O203" s="26"/>
      <c r="P203" s="23"/>
      <c r="Q203" s="29"/>
      <c r="R203" s="30"/>
      <c r="S203" s="27"/>
      <c r="T203" s="19"/>
    </row>
    <row r="204" spans="1:20" ht="37.5" customHeight="1" x14ac:dyDescent="0.25">
      <c r="A204" s="19"/>
      <c r="G204" s="20"/>
      <c r="H204" s="21"/>
      <c r="I204" s="22"/>
      <c r="J204" s="23"/>
      <c r="K204" s="26"/>
      <c r="L204" s="23"/>
      <c r="M204" s="26"/>
      <c r="N204" s="28"/>
      <c r="O204" s="26"/>
      <c r="P204" s="23"/>
      <c r="Q204" s="29"/>
      <c r="R204" s="30"/>
      <c r="S204" s="27"/>
      <c r="T204" s="19"/>
    </row>
    <row r="205" spans="1:20" ht="37.5" customHeight="1" x14ac:dyDescent="0.25">
      <c r="A205" s="19"/>
      <c r="G205" s="20"/>
      <c r="H205" s="21"/>
      <c r="I205" s="22"/>
      <c r="J205" s="23"/>
      <c r="K205" s="26"/>
      <c r="L205" s="23"/>
      <c r="M205" s="26"/>
      <c r="N205" s="28"/>
      <c r="O205" s="26"/>
      <c r="P205" s="23"/>
      <c r="Q205" s="29"/>
      <c r="R205" s="30"/>
      <c r="S205" s="27"/>
      <c r="T205" s="19"/>
    </row>
    <row r="206" spans="1:20" ht="37.5" customHeight="1" x14ac:dyDescent="0.25">
      <c r="A206" s="19"/>
      <c r="G206" s="20"/>
      <c r="H206" s="21"/>
      <c r="I206" s="22"/>
      <c r="J206" s="23"/>
      <c r="K206" s="26"/>
      <c r="L206" s="23"/>
      <c r="M206" s="26"/>
      <c r="N206" s="28"/>
      <c r="O206" s="26"/>
      <c r="P206" s="23"/>
      <c r="Q206" s="29"/>
      <c r="R206" s="30"/>
      <c r="S206" s="27"/>
      <c r="T206" s="19"/>
    </row>
    <row r="207" spans="1:20" ht="33.75" customHeight="1" x14ac:dyDescent="0.25"/>
    <row r="208" spans="1:20" ht="33.75" customHeight="1" x14ac:dyDescent="0.25"/>
    <row r="209" ht="33.75" customHeight="1" x14ac:dyDescent="0.25"/>
    <row r="210" ht="33.75" customHeight="1" x14ac:dyDescent="0.25"/>
    <row r="211" ht="33.75" customHeight="1" x14ac:dyDescent="0.25"/>
    <row r="212" ht="33.75" customHeight="1" x14ac:dyDescent="0.25"/>
    <row r="213" ht="33.75" customHeight="1" x14ac:dyDescent="0.25"/>
    <row r="214" ht="33.75" customHeight="1" x14ac:dyDescent="0.25"/>
    <row r="215" ht="33.75" customHeight="1" x14ac:dyDescent="0.25"/>
    <row r="216" ht="33.75" customHeight="1" x14ac:dyDescent="0.25"/>
    <row r="217" ht="33.75" customHeight="1" x14ac:dyDescent="0.25"/>
    <row r="218" ht="33.75" customHeight="1" x14ac:dyDescent="0.25"/>
    <row r="219" ht="33.75" customHeight="1" x14ac:dyDescent="0.25"/>
    <row r="220" ht="33.75" customHeight="1" x14ac:dyDescent="0.25"/>
    <row r="221" ht="33.75" customHeight="1" x14ac:dyDescent="0.25"/>
    <row r="222" ht="33.75" customHeight="1" x14ac:dyDescent="0.25"/>
    <row r="223" ht="33.75" customHeight="1" x14ac:dyDescent="0.25"/>
    <row r="224" ht="33.75" customHeight="1" x14ac:dyDescent="0.25"/>
    <row r="225" ht="33.75" customHeight="1" x14ac:dyDescent="0.25"/>
    <row r="226" ht="33.75" customHeight="1" x14ac:dyDescent="0.25"/>
    <row r="227" ht="33.75" customHeight="1" x14ac:dyDescent="0.25"/>
    <row r="228" ht="33.75" customHeight="1" x14ac:dyDescent="0.25"/>
    <row r="229" ht="33.75" customHeight="1" x14ac:dyDescent="0.25"/>
    <row r="230" ht="33.75" customHeight="1" x14ac:dyDescent="0.25"/>
    <row r="231" ht="33.75" customHeight="1" x14ac:dyDescent="0.25"/>
    <row r="232" ht="33.75" customHeight="1" x14ac:dyDescent="0.25"/>
    <row r="233" ht="33.75" customHeight="1" x14ac:dyDescent="0.25"/>
    <row r="234" ht="33.75" customHeight="1" x14ac:dyDescent="0.25"/>
    <row r="235" ht="33.75" customHeight="1" x14ac:dyDescent="0.25"/>
    <row r="236" ht="33.75" customHeight="1" x14ac:dyDescent="0.25"/>
    <row r="237" ht="33.75" customHeight="1" x14ac:dyDescent="0.25"/>
    <row r="238" ht="33.75" customHeight="1" x14ac:dyDescent="0.25"/>
    <row r="239" ht="33.75" customHeight="1" x14ac:dyDescent="0.25"/>
    <row r="240" ht="33.75" customHeight="1" x14ac:dyDescent="0.25"/>
    <row r="241" ht="33.75" customHeight="1" x14ac:dyDescent="0.25"/>
    <row r="242" ht="33.75" customHeight="1" x14ac:dyDescent="0.25"/>
    <row r="243" ht="33.75" customHeight="1" x14ac:dyDescent="0.25"/>
    <row r="244" ht="33.75" customHeight="1" x14ac:dyDescent="0.25"/>
    <row r="245" ht="33.75" customHeight="1" x14ac:dyDescent="0.25"/>
    <row r="246" ht="33.75" customHeight="1" x14ac:dyDescent="0.25"/>
    <row r="247" ht="33.75" customHeight="1" x14ac:dyDescent="0.25"/>
    <row r="248" ht="33.75" customHeight="1" x14ac:dyDescent="0.25"/>
    <row r="249" ht="33.75" customHeight="1" x14ac:dyDescent="0.25"/>
    <row r="250" ht="33.75" customHeight="1" x14ac:dyDescent="0.25"/>
    <row r="251" ht="33.75" customHeight="1" x14ac:dyDescent="0.25"/>
    <row r="252" ht="33.75" customHeight="1" x14ac:dyDescent="0.25"/>
    <row r="253" ht="33.75" customHeight="1" x14ac:dyDescent="0.25"/>
    <row r="254" ht="33.75" customHeight="1" x14ac:dyDescent="0.25"/>
    <row r="255" ht="33.75" customHeight="1" x14ac:dyDescent="0.25"/>
    <row r="256" ht="33.75" customHeight="1" x14ac:dyDescent="0.25"/>
    <row r="257" ht="33.75" customHeight="1" x14ac:dyDescent="0.25"/>
    <row r="258" ht="33.75" customHeight="1" x14ac:dyDescent="0.25"/>
    <row r="259" ht="33.75" customHeight="1" x14ac:dyDescent="0.25"/>
    <row r="260" ht="33.75" customHeight="1" x14ac:dyDescent="0.25"/>
    <row r="261" ht="33.75" customHeight="1" x14ac:dyDescent="0.25"/>
    <row r="262" ht="33.75" customHeight="1" x14ac:dyDescent="0.25"/>
    <row r="263" ht="33.75" customHeight="1" x14ac:dyDescent="0.25"/>
    <row r="264" ht="33.75" customHeight="1" x14ac:dyDescent="0.25"/>
    <row r="265" ht="33.75" customHeight="1" x14ac:dyDescent="0.25"/>
    <row r="266" ht="33.75" customHeight="1" x14ac:dyDescent="0.25"/>
    <row r="267" ht="33.75" customHeight="1" x14ac:dyDescent="0.25"/>
    <row r="268" ht="33.75" customHeight="1" x14ac:dyDescent="0.25"/>
    <row r="269" ht="33.75" customHeight="1" x14ac:dyDescent="0.25"/>
    <row r="270" ht="33.75" customHeight="1" x14ac:dyDescent="0.25"/>
    <row r="271" ht="33.75" customHeight="1" x14ac:dyDescent="0.25"/>
    <row r="272" ht="33.75" customHeight="1" x14ac:dyDescent="0.25"/>
    <row r="273" ht="33.75" customHeight="1" x14ac:dyDescent="0.25"/>
    <row r="274" ht="33.75" customHeight="1" x14ac:dyDescent="0.25"/>
    <row r="275" ht="33.75" customHeight="1" x14ac:dyDescent="0.25"/>
    <row r="276" ht="33.75" customHeight="1" x14ac:dyDescent="0.25"/>
    <row r="277" ht="33.75" customHeight="1" x14ac:dyDescent="0.25"/>
    <row r="278" ht="33.75" customHeight="1" x14ac:dyDescent="0.25"/>
    <row r="279" ht="33.75" customHeight="1" x14ac:dyDescent="0.25"/>
    <row r="280" ht="33.75" customHeight="1" x14ac:dyDescent="0.25"/>
    <row r="281" ht="33.75" customHeight="1" x14ac:dyDescent="0.25"/>
    <row r="282" ht="33.75" customHeight="1" x14ac:dyDescent="0.25"/>
    <row r="283" ht="33.75" customHeight="1" x14ac:dyDescent="0.25"/>
    <row r="284" ht="33.75" customHeight="1" x14ac:dyDescent="0.25"/>
    <row r="285" ht="33.75" customHeight="1" x14ac:dyDescent="0.25"/>
    <row r="286" ht="33.75" customHeight="1" x14ac:dyDescent="0.25"/>
    <row r="287" ht="33.75" customHeight="1" x14ac:dyDescent="0.25"/>
    <row r="288" ht="33.75" customHeight="1" x14ac:dyDescent="0.25"/>
    <row r="289" ht="33.75" customHeight="1" x14ac:dyDescent="0.25"/>
    <row r="290" ht="33.75" customHeight="1" x14ac:dyDescent="0.25"/>
    <row r="291" ht="33.75" customHeight="1" x14ac:dyDescent="0.25"/>
    <row r="292" ht="33.75" customHeight="1" x14ac:dyDescent="0.25"/>
    <row r="293" ht="33.75" customHeight="1" x14ac:dyDescent="0.25"/>
    <row r="294" ht="33.75" customHeight="1" x14ac:dyDescent="0.25"/>
    <row r="295" ht="33.75" customHeight="1" x14ac:dyDescent="0.25"/>
    <row r="296" ht="33.75" customHeight="1" x14ac:dyDescent="0.25"/>
    <row r="297" ht="33.75" customHeight="1" x14ac:dyDescent="0.25"/>
    <row r="298" ht="33.75" customHeight="1" x14ac:dyDescent="0.25"/>
    <row r="299" ht="33.75" customHeight="1" x14ac:dyDescent="0.25"/>
    <row r="300" ht="33.75" customHeight="1" x14ac:dyDescent="0.25"/>
    <row r="301" ht="33.75" customHeight="1" x14ac:dyDescent="0.25"/>
    <row r="302" ht="33.75" customHeight="1" x14ac:dyDescent="0.25"/>
    <row r="303" ht="33.75" customHeight="1" x14ac:dyDescent="0.25"/>
    <row r="304" ht="33.75" customHeight="1" x14ac:dyDescent="0.25"/>
    <row r="305" ht="33.75" customHeight="1" x14ac:dyDescent="0.25"/>
    <row r="306" ht="33.75" customHeight="1" x14ac:dyDescent="0.25"/>
    <row r="307" ht="33.75" customHeight="1" x14ac:dyDescent="0.25"/>
    <row r="308" ht="33.75" customHeight="1" x14ac:dyDescent="0.25"/>
    <row r="309" ht="33.75" customHeight="1" x14ac:dyDescent="0.25"/>
    <row r="310" ht="33.75" customHeight="1" x14ac:dyDescent="0.25"/>
    <row r="311" ht="33.75" customHeight="1" x14ac:dyDescent="0.25"/>
    <row r="312" ht="33.75" customHeight="1" x14ac:dyDescent="0.25"/>
    <row r="313" ht="33.75" customHeight="1" x14ac:dyDescent="0.25"/>
    <row r="314" ht="33.75" customHeight="1" x14ac:dyDescent="0.25"/>
    <row r="315" ht="33.75" customHeight="1" x14ac:dyDescent="0.25"/>
    <row r="316" ht="33.75" customHeight="1" x14ac:dyDescent="0.25"/>
    <row r="317" ht="33.75" customHeight="1" x14ac:dyDescent="0.25"/>
    <row r="318" ht="33.75" customHeight="1" x14ac:dyDescent="0.25"/>
    <row r="319" ht="33.75" customHeight="1" x14ac:dyDescent="0.25"/>
    <row r="320" ht="33.75" customHeight="1" x14ac:dyDescent="0.25"/>
    <row r="321" ht="33.75" customHeight="1" x14ac:dyDescent="0.25"/>
    <row r="322" ht="33.75" customHeight="1" x14ac:dyDescent="0.25"/>
    <row r="323" ht="33.75" customHeight="1" x14ac:dyDescent="0.25"/>
    <row r="324" ht="33.75" customHeight="1" x14ac:dyDescent="0.25"/>
    <row r="325" ht="33.75" customHeight="1" x14ac:dyDescent="0.25"/>
    <row r="326" ht="33.75" customHeight="1" x14ac:dyDescent="0.25"/>
    <row r="327" ht="33.75" customHeight="1" x14ac:dyDescent="0.25"/>
    <row r="328" ht="33.75" customHeight="1" x14ac:dyDescent="0.25"/>
    <row r="329" ht="33.75" customHeight="1" x14ac:dyDescent="0.25"/>
    <row r="330" ht="33.75" customHeight="1" x14ac:dyDescent="0.25"/>
    <row r="331" ht="33.75" customHeight="1" x14ac:dyDescent="0.25"/>
    <row r="332" ht="33.75" customHeight="1" x14ac:dyDescent="0.25"/>
    <row r="333" ht="33.75" customHeight="1" x14ac:dyDescent="0.25"/>
    <row r="334" ht="33.75" customHeight="1" x14ac:dyDescent="0.25"/>
    <row r="335" ht="33.75" customHeight="1" x14ac:dyDescent="0.25"/>
    <row r="336" ht="33.75" customHeight="1" x14ac:dyDescent="0.25"/>
    <row r="337" ht="33.75" customHeight="1" x14ac:dyDescent="0.25"/>
    <row r="338" ht="33.75" customHeight="1" x14ac:dyDescent="0.25"/>
    <row r="339" ht="33.75" customHeight="1" x14ac:dyDescent="0.25"/>
    <row r="340" ht="33.75" customHeight="1" x14ac:dyDescent="0.25"/>
    <row r="341" ht="33.75" customHeight="1" x14ac:dyDescent="0.25"/>
    <row r="342" ht="33.75" customHeight="1" x14ac:dyDescent="0.25"/>
    <row r="343" ht="33.75" customHeight="1" x14ac:dyDescent="0.25"/>
    <row r="344" ht="33.75" customHeight="1" x14ac:dyDescent="0.25"/>
    <row r="345" ht="33.75" customHeight="1" x14ac:dyDescent="0.25"/>
    <row r="346" ht="33.75" customHeight="1" x14ac:dyDescent="0.25"/>
    <row r="347" ht="33.75" customHeight="1" x14ac:dyDescent="0.25"/>
    <row r="348" ht="33.75" customHeight="1" x14ac:dyDescent="0.25"/>
    <row r="349" ht="33.75" customHeight="1" x14ac:dyDescent="0.25"/>
    <row r="350" ht="33.75" customHeight="1" x14ac:dyDescent="0.25"/>
    <row r="351" ht="33.75" customHeight="1" x14ac:dyDescent="0.25"/>
    <row r="352" ht="33.75" customHeight="1" x14ac:dyDescent="0.25"/>
    <row r="353" ht="33.75" customHeight="1" x14ac:dyDescent="0.25"/>
    <row r="354" ht="33.75" customHeight="1" x14ac:dyDescent="0.25"/>
    <row r="355" ht="33.75" customHeight="1" x14ac:dyDescent="0.25"/>
    <row r="356" ht="33.75" customHeight="1" x14ac:dyDescent="0.25"/>
    <row r="357" ht="33.75" customHeight="1" x14ac:dyDescent="0.25"/>
    <row r="358" ht="33.75" customHeight="1" x14ac:dyDescent="0.25"/>
    <row r="359" ht="33.75" customHeight="1" x14ac:dyDescent="0.25"/>
    <row r="360" ht="33.75" customHeight="1" x14ac:dyDescent="0.25"/>
    <row r="361" ht="33.75" customHeight="1" x14ac:dyDescent="0.25"/>
    <row r="362" ht="33.75" customHeight="1" x14ac:dyDescent="0.25"/>
    <row r="363" ht="33.75" customHeight="1" x14ac:dyDescent="0.25"/>
    <row r="364" ht="33.75" customHeight="1" x14ac:dyDescent="0.25"/>
    <row r="365" ht="33.75" customHeight="1" x14ac:dyDescent="0.25"/>
    <row r="366" ht="33.75" customHeight="1" x14ac:dyDescent="0.25"/>
    <row r="367" ht="33.75" customHeight="1" x14ac:dyDescent="0.25"/>
    <row r="368" ht="33.75" customHeight="1" x14ac:dyDescent="0.25"/>
    <row r="369" ht="33.75" customHeight="1" x14ac:dyDescent="0.25"/>
    <row r="370" ht="33.75" customHeight="1" x14ac:dyDescent="0.25"/>
    <row r="371" ht="33.75" customHeight="1" x14ac:dyDescent="0.25"/>
    <row r="372" ht="33.75" customHeight="1" x14ac:dyDescent="0.25"/>
    <row r="373" ht="33.75" customHeight="1" x14ac:dyDescent="0.25"/>
    <row r="374" ht="33.75" customHeight="1" x14ac:dyDescent="0.25"/>
    <row r="375" ht="33.75" customHeight="1" x14ac:dyDescent="0.25"/>
    <row r="376" ht="33.75" customHeight="1" x14ac:dyDescent="0.25"/>
    <row r="377" ht="33.75" customHeight="1" x14ac:dyDescent="0.25"/>
    <row r="378" ht="33.75" customHeight="1" x14ac:dyDescent="0.25"/>
    <row r="379" ht="33.75" customHeight="1" x14ac:dyDescent="0.25"/>
    <row r="380" ht="33.75" customHeight="1" x14ac:dyDescent="0.25"/>
    <row r="381" ht="33.75" customHeight="1" x14ac:dyDescent="0.25"/>
    <row r="382" ht="33.75" customHeight="1" x14ac:dyDescent="0.25"/>
    <row r="383" ht="33.75" customHeight="1" x14ac:dyDescent="0.25"/>
    <row r="384" ht="33.75" customHeight="1" x14ac:dyDescent="0.25"/>
    <row r="385" ht="33.75" customHeight="1" x14ac:dyDescent="0.25"/>
    <row r="386" ht="33.75" customHeight="1" x14ac:dyDescent="0.25"/>
    <row r="387" ht="33.75" customHeight="1" x14ac:dyDescent="0.25"/>
    <row r="388" ht="33.75" customHeight="1" x14ac:dyDescent="0.25"/>
    <row r="389" ht="33.75" customHeight="1" x14ac:dyDescent="0.25"/>
    <row r="390" ht="33.75" customHeight="1" x14ac:dyDescent="0.25"/>
    <row r="391" ht="33.75" customHeight="1" x14ac:dyDescent="0.25"/>
    <row r="392" ht="33.75" customHeight="1" x14ac:dyDescent="0.25"/>
    <row r="393" ht="33.75" customHeight="1" x14ac:dyDescent="0.25"/>
    <row r="394" ht="33.75" customHeight="1" x14ac:dyDescent="0.25"/>
    <row r="395" ht="33.75" customHeight="1" x14ac:dyDescent="0.25"/>
    <row r="396" ht="33.75" customHeight="1" x14ac:dyDescent="0.25"/>
    <row r="397" ht="33.75" customHeight="1" x14ac:dyDescent="0.25"/>
    <row r="398" ht="33.75" customHeight="1" x14ac:dyDescent="0.25"/>
    <row r="399" ht="33.75" customHeight="1" x14ac:dyDescent="0.25"/>
    <row r="400" ht="33.75" customHeight="1" x14ac:dyDescent="0.25"/>
    <row r="401" ht="33.75" customHeight="1" x14ac:dyDescent="0.25"/>
    <row r="402" ht="33.75" customHeight="1" x14ac:dyDescent="0.25"/>
    <row r="403" ht="33.75" customHeight="1" x14ac:dyDescent="0.25"/>
    <row r="404" ht="33.75" customHeight="1" x14ac:dyDescent="0.25"/>
    <row r="405" ht="33.75" customHeight="1" x14ac:dyDescent="0.25"/>
    <row r="406" ht="33.75" customHeight="1" x14ac:dyDescent="0.25"/>
    <row r="407" ht="33.75" customHeight="1" x14ac:dyDescent="0.25"/>
    <row r="408" ht="33.75" customHeight="1" x14ac:dyDescent="0.25"/>
    <row r="409" ht="33.75" customHeight="1" x14ac:dyDescent="0.25"/>
    <row r="410" ht="33.75" customHeight="1" x14ac:dyDescent="0.25"/>
    <row r="411" ht="33.75" customHeight="1" x14ac:dyDescent="0.25"/>
    <row r="412" ht="33.75" customHeight="1" x14ac:dyDescent="0.25"/>
    <row r="413" ht="33.75" customHeight="1" x14ac:dyDescent="0.25"/>
    <row r="414" ht="33.75" customHeight="1" x14ac:dyDescent="0.25"/>
    <row r="415" ht="33.75" customHeight="1" x14ac:dyDescent="0.25"/>
    <row r="416" ht="33.75" customHeight="1" x14ac:dyDescent="0.25"/>
    <row r="417" ht="33.75" customHeight="1" x14ac:dyDescent="0.25"/>
    <row r="418" ht="33.75" customHeight="1" x14ac:dyDescent="0.25"/>
    <row r="419" ht="33.75" customHeight="1" x14ac:dyDescent="0.25"/>
    <row r="420" ht="33.75" customHeight="1" x14ac:dyDescent="0.25"/>
    <row r="421" ht="33.75" customHeight="1" x14ac:dyDescent="0.25"/>
    <row r="422" ht="33.75" customHeight="1" x14ac:dyDescent="0.25"/>
    <row r="423" ht="33.75" customHeight="1" x14ac:dyDescent="0.25"/>
    <row r="424" ht="33.75" customHeight="1" x14ac:dyDescent="0.25"/>
    <row r="425" ht="33.75" customHeight="1" x14ac:dyDescent="0.25"/>
    <row r="426" ht="33.75" customHeight="1" x14ac:dyDescent="0.25"/>
    <row r="427" ht="33.75" customHeight="1" x14ac:dyDescent="0.25"/>
    <row r="428" ht="33.75" customHeight="1" x14ac:dyDescent="0.25"/>
    <row r="429" ht="33.75" customHeight="1" x14ac:dyDescent="0.25"/>
    <row r="430" ht="33.75" customHeight="1" x14ac:dyDescent="0.25"/>
    <row r="431" ht="33.75" customHeight="1" x14ac:dyDescent="0.25"/>
    <row r="432" ht="33.75" customHeight="1" x14ac:dyDescent="0.25"/>
    <row r="433" ht="33.75" customHeight="1" x14ac:dyDescent="0.25"/>
    <row r="434" ht="33.75" customHeight="1" x14ac:dyDescent="0.25"/>
    <row r="435" ht="33.75" customHeight="1" x14ac:dyDescent="0.25"/>
    <row r="436" ht="33.75" customHeight="1" x14ac:dyDescent="0.25"/>
    <row r="437" ht="33.75" customHeight="1" x14ac:dyDescent="0.25"/>
    <row r="438" ht="33.75" customHeight="1" x14ac:dyDescent="0.25"/>
    <row r="439" ht="33.75" customHeight="1" x14ac:dyDescent="0.25"/>
    <row r="440" ht="33.75" customHeight="1" x14ac:dyDescent="0.25"/>
    <row r="441" ht="33.75" customHeight="1" x14ac:dyDescent="0.25"/>
    <row r="442" ht="33.75" customHeight="1" x14ac:dyDescent="0.25"/>
    <row r="443" ht="33.75" customHeight="1" x14ac:dyDescent="0.25"/>
    <row r="444" ht="33.75" customHeight="1" x14ac:dyDescent="0.25"/>
    <row r="445" ht="33.75" customHeight="1" x14ac:dyDescent="0.25"/>
    <row r="446" ht="33.75" customHeight="1" x14ac:dyDescent="0.25"/>
    <row r="447" ht="33.75" customHeight="1" x14ac:dyDescent="0.25"/>
    <row r="448" ht="33.75" customHeight="1" x14ac:dyDescent="0.25"/>
    <row r="449" ht="33.75" customHeight="1" x14ac:dyDescent="0.25"/>
    <row r="450" ht="33.75" customHeight="1" x14ac:dyDescent="0.25"/>
    <row r="451" ht="33.75" customHeight="1" x14ac:dyDescent="0.25"/>
    <row r="452" ht="33.75" customHeight="1" x14ac:dyDescent="0.25"/>
    <row r="453" ht="33.75" customHeight="1" x14ac:dyDescent="0.25"/>
    <row r="454" ht="33.75" customHeight="1" x14ac:dyDescent="0.25"/>
    <row r="455" ht="33.75" customHeight="1" x14ac:dyDescent="0.25"/>
    <row r="456" ht="33.75" customHeight="1" x14ac:dyDescent="0.25"/>
    <row r="457" ht="33.75" customHeight="1" x14ac:dyDescent="0.25"/>
    <row r="458" ht="33.75" customHeight="1" x14ac:dyDescent="0.25"/>
    <row r="459" ht="33.75" customHeight="1" x14ac:dyDescent="0.25"/>
    <row r="460" ht="33.75" customHeight="1" x14ac:dyDescent="0.25"/>
    <row r="461" ht="33.75" customHeight="1" x14ac:dyDescent="0.25"/>
    <row r="462" ht="33.75" customHeight="1" x14ac:dyDescent="0.25"/>
    <row r="463" ht="33.75" customHeight="1" x14ac:dyDescent="0.25"/>
    <row r="464" ht="33.75" customHeight="1" x14ac:dyDescent="0.25"/>
    <row r="465" ht="33.75" customHeight="1" x14ac:dyDescent="0.25"/>
    <row r="466" ht="33.75" customHeight="1" x14ac:dyDescent="0.25"/>
    <row r="467" ht="33.75" customHeight="1" x14ac:dyDescent="0.25"/>
    <row r="468" ht="33.75" customHeight="1" x14ac:dyDescent="0.25"/>
    <row r="469" ht="33.75" customHeight="1" x14ac:dyDescent="0.25"/>
    <row r="470" ht="33.75" customHeight="1" x14ac:dyDescent="0.25"/>
    <row r="471" ht="33.75" customHeight="1" x14ac:dyDescent="0.25"/>
    <row r="472" ht="33.75" customHeight="1" x14ac:dyDescent="0.25"/>
    <row r="473" ht="33.75" customHeight="1" x14ac:dyDescent="0.25"/>
    <row r="474" ht="33.75" customHeight="1" x14ac:dyDescent="0.25"/>
    <row r="475" ht="33.75" customHeight="1" x14ac:dyDescent="0.25"/>
    <row r="476" ht="33.75" customHeight="1" x14ac:dyDescent="0.25"/>
    <row r="477" ht="33.75" customHeight="1" x14ac:dyDescent="0.25"/>
    <row r="478" ht="33.75" customHeight="1" x14ac:dyDescent="0.25"/>
    <row r="479" ht="33.75" customHeight="1" x14ac:dyDescent="0.25"/>
    <row r="480" ht="33.75" customHeight="1" x14ac:dyDescent="0.25"/>
    <row r="481" ht="33.75" customHeight="1" x14ac:dyDescent="0.25"/>
    <row r="482" ht="33.75" customHeight="1" x14ac:dyDescent="0.25"/>
    <row r="483" ht="33.75" customHeight="1" x14ac:dyDescent="0.25"/>
    <row r="484" ht="33.75" customHeight="1" x14ac:dyDescent="0.25"/>
    <row r="485" ht="33.75" customHeight="1" x14ac:dyDescent="0.25"/>
    <row r="486" ht="33.75" customHeight="1" x14ac:dyDescent="0.25"/>
    <row r="487" ht="33.75" customHeight="1" x14ac:dyDescent="0.25"/>
    <row r="488" ht="33.75" customHeight="1" x14ac:dyDescent="0.25"/>
    <row r="489" ht="33.75" customHeight="1" x14ac:dyDescent="0.25"/>
    <row r="490" ht="33.75" customHeight="1" x14ac:dyDescent="0.25"/>
    <row r="491" ht="33.75" customHeight="1" x14ac:dyDescent="0.25"/>
    <row r="492" ht="33.75" customHeight="1" x14ac:dyDescent="0.25"/>
    <row r="493" ht="33.75" customHeight="1" x14ac:dyDescent="0.25"/>
    <row r="494" ht="33.75" customHeight="1" x14ac:dyDescent="0.25"/>
    <row r="495" ht="33.75" customHeight="1" x14ac:dyDescent="0.25"/>
    <row r="496" ht="33.75" customHeight="1" x14ac:dyDescent="0.25"/>
    <row r="497" ht="33.75" customHeight="1" x14ac:dyDescent="0.25"/>
    <row r="498" ht="33.75" customHeight="1" x14ac:dyDescent="0.25"/>
    <row r="499" ht="33.75" customHeight="1" x14ac:dyDescent="0.25"/>
    <row r="500" ht="33.75" customHeight="1" x14ac:dyDescent="0.25"/>
    <row r="501" ht="33.75" customHeight="1" x14ac:dyDescent="0.25"/>
    <row r="502" ht="33.75" customHeight="1" x14ac:dyDescent="0.25"/>
    <row r="503" ht="33.75" customHeight="1" x14ac:dyDescent="0.25"/>
    <row r="504" ht="33.75" customHeight="1" x14ac:dyDescent="0.25"/>
    <row r="505" ht="33.75" customHeight="1" x14ac:dyDescent="0.25"/>
    <row r="506" ht="33.75" customHeight="1" x14ac:dyDescent="0.25"/>
    <row r="507" ht="33.75" customHeight="1" x14ac:dyDescent="0.25"/>
    <row r="508" ht="33.75" customHeight="1" x14ac:dyDescent="0.25"/>
    <row r="509" ht="33.75" customHeight="1" x14ac:dyDescent="0.25"/>
    <row r="510" ht="33.75" customHeight="1" x14ac:dyDescent="0.25"/>
    <row r="511" ht="33.75" customHeight="1" x14ac:dyDescent="0.25"/>
    <row r="512" ht="33.75" customHeight="1" x14ac:dyDescent="0.25"/>
    <row r="513" ht="33.75" customHeight="1" x14ac:dyDescent="0.25"/>
    <row r="514" ht="33.75" customHeight="1" x14ac:dyDescent="0.25"/>
    <row r="515" ht="33.75" customHeight="1" x14ac:dyDescent="0.25"/>
    <row r="516" ht="33.75" customHeight="1" x14ac:dyDescent="0.25"/>
    <row r="517" ht="33.75" customHeight="1" x14ac:dyDescent="0.25"/>
    <row r="518" ht="33.75" customHeight="1" x14ac:dyDescent="0.25"/>
    <row r="519" ht="33.75" customHeight="1" x14ac:dyDescent="0.25"/>
    <row r="520" ht="33.75" customHeight="1" x14ac:dyDescent="0.25"/>
    <row r="521" ht="33.75" customHeight="1" x14ac:dyDescent="0.25"/>
    <row r="522" ht="33.75" customHeight="1" x14ac:dyDescent="0.25"/>
    <row r="523" ht="33.75" customHeight="1" x14ac:dyDescent="0.25"/>
    <row r="524" ht="33.75" customHeight="1" x14ac:dyDescent="0.25"/>
    <row r="525" ht="33.75" customHeight="1" x14ac:dyDescent="0.25"/>
    <row r="526" ht="33.75" customHeight="1" x14ac:dyDescent="0.25"/>
    <row r="527" ht="33.75" customHeight="1" x14ac:dyDescent="0.25"/>
    <row r="528" ht="33.75" customHeight="1" x14ac:dyDescent="0.25"/>
    <row r="529" ht="33.75" customHeight="1" x14ac:dyDescent="0.25"/>
    <row r="530" ht="33.75" customHeight="1" x14ac:dyDescent="0.25"/>
    <row r="531" ht="33.75" customHeight="1" x14ac:dyDescent="0.25"/>
    <row r="532" ht="33.75" customHeight="1" x14ac:dyDescent="0.25"/>
    <row r="533" ht="33.75" customHeight="1" x14ac:dyDescent="0.25"/>
    <row r="534" ht="33.75" customHeight="1" x14ac:dyDescent="0.25"/>
    <row r="535" ht="33.75" customHeight="1" x14ac:dyDescent="0.25"/>
    <row r="536" ht="33.75" customHeight="1" x14ac:dyDescent="0.25"/>
    <row r="537" ht="33.75" customHeight="1" x14ac:dyDescent="0.25"/>
    <row r="538" ht="33.75" customHeight="1" x14ac:dyDescent="0.25"/>
    <row r="539" ht="33.75" customHeight="1" x14ac:dyDescent="0.25"/>
    <row r="540" ht="33.75" customHeight="1" x14ac:dyDescent="0.25"/>
    <row r="541" ht="33.75" customHeight="1" x14ac:dyDescent="0.25"/>
    <row r="542" ht="33.75" customHeight="1" x14ac:dyDescent="0.25"/>
    <row r="543" ht="33.75" customHeight="1" x14ac:dyDescent="0.25"/>
    <row r="544" ht="33.75" customHeight="1" x14ac:dyDescent="0.25"/>
    <row r="545" ht="33.75" customHeight="1" x14ac:dyDescent="0.25"/>
    <row r="546" ht="33.75" customHeight="1" x14ac:dyDescent="0.25"/>
    <row r="547" ht="33.75" customHeight="1" x14ac:dyDescent="0.25"/>
    <row r="548" ht="33.75" customHeight="1" x14ac:dyDescent="0.25"/>
    <row r="549" ht="33.75" customHeight="1" x14ac:dyDescent="0.25"/>
    <row r="550" ht="33.75" customHeight="1" x14ac:dyDescent="0.25"/>
    <row r="551" ht="33.75" customHeight="1" x14ac:dyDescent="0.25"/>
    <row r="552" ht="33.75" customHeight="1" x14ac:dyDescent="0.25"/>
    <row r="553" ht="33.75" customHeight="1" x14ac:dyDescent="0.25"/>
    <row r="554" ht="33.75" customHeight="1" x14ac:dyDescent="0.25"/>
    <row r="555" ht="33.75" customHeight="1" x14ac:dyDescent="0.25"/>
    <row r="556" ht="33.75" customHeight="1" x14ac:dyDescent="0.25"/>
    <row r="557" ht="33.75" customHeight="1" x14ac:dyDescent="0.25"/>
    <row r="558" ht="33.75" customHeight="1" x14ac:dyDescent="0.25"/>
    <row r="559" ht="33.75" customHeight="1" x14ac:dyDescent="0.25"/>
    <row r="560" ht="33.75" customHeight="1" x14ac:dyDescent="0.25"/>
    <row r="561" ht="33.75" customHeight="1" x14ac:dyDescent="0.25"/>
    <row r="562" ht="33.75" customHeight="1" x14ac:dyDescent="0.25"/>
    <row r="563" ht="33.75" customHeight="1" x14ac:dyDescent="0.25"/>
    <row r="564" ht="33.75" customHeight="1" x14ac:dyDescent="0.25"/>
    <row r="565" ht="33.75" customHeight="1" x14ac:dyDescent="0.25"/>
    <row r="566" ht="33.75" customHeight="1" x14ac:dyDescent="0.25"/>
    <row r="567" ht="33.75" customHeight="1" x14ac:dyDescent="0.25"/>
    <row r="568" ht="33.75" customHeight="1" x14ac:dyDescent="0.25"/>
    <row r="569" ht="33.75" customHeight="1" x14ac:dyDescent="0.25"/>
    <row r="570" ht="33.75" customHeight="1" x14ac:dyDescent="0.25"/>
    <row r="571" ht="33.75" customHeight="1" x14ac:dyDescent="0.25"/>
    <row r="572" ht="33.75" customHeight="1" x14ac:dyDescent="0.25"/>
    <row r="573" ht="33.75" customHeight="1" x14ac:dyDescent="0.25"/>
    <row r="574" ht="33.75" customHeight="1" x14ac:dyDescent="0.25"/>
    <row r="575" ht="33.75" customHeight="1" x14ac:dyDescent="0.25"/>
    <row r="576" ht="33.75" customHeight="1" x14ac:dyDescent="0.25"/>
    <row r="577" ht="33.75" customHeight="1" x14ac:dyDescent="0.25"/>
    <row r="578" ht="33.75" customHeight="1" x14ac:dyDescent="0.25"/>
    <row r="579" ht="33.75" customHeight="1" x14ac:dyDescent="0.25"/>
    <row r="580" ht="33.75" customHeight="1" x14ac:dyDescent="0.25"/>
    <row r="581" ht="33.75" customHeight="1" x14ac:dyDescent="0.25"/>
    <row r="582" ht="33.75" customHeight="1" x14ac:dyDescent="0.25"/>
    <row r="583" ht="33.75" customHeight="1" x14ac:dyDescent="0.25"/>
    <row r="584" ht="33.75" customHeight="1" x14ac:dyDescent="0.25"/>
    <row r="585" ht="33.75" customHeight="1" x14ac:dyDescent="0.25"/>
    <row r="586" ht="33.75" customHeight="1" x14ac:dyDescent="0.25"/>
    <row r="587" ht="33.75" customHeight="1" x14ac:dyDescent="0.25"/>
    <row r="588" ht="33.75" customHeight="1" x14ac:dyDescent="0.25"/>
    <row r="589" ht="33.75" customHeight="1" x14ac:dyDescent="0.25"/>
    <row r="590" ht="33.75" customHeight="1" x14ac:dyDescent="0.25"/>
    <row r="591" ht="33.75" customHeight="1" x14ac:dyDescent="0.25"/>
    <row r="592" ht="33.75" customHeight="1" x14ac:dyDescent="0.25"/>
    <row r="593" ht="33.75" customHeight="1" x14ac:dyDescent="0.25"/>
    <row r="594" ht="33.75" customHeight="1" x14ac:dyDescent="0.25"/>
    <row r="595" ht="33.75" customHeight="1" x14ac:dyDescent="0.25"/>
    <row r="596" ht="33.75" customHeight="1" x14ac:dyDescent="0.25"/>
    <row r="597" ht="33.75" customHeight="1" x14ac:dyDescent="0.25"/>
    <row r="598" ht="33.75" customHeight="1" x14ac:dyDescent="0.25"/>
    <row r="599" ht="33.75" customHeight="1" x14ac:dyDescent="0.25"/>
    <row r="600" ht="33.75" customHeight="1" x14ac:dyDescent="0.25"/>
    <row r="601" ht="33.75" customHeight="1" x14ac:dyDescent="0.25"/>
    <row r="602" ht="33.75" customHeight="1" x14ac:dyDescent="0.25"/>
    <row r="603" ht="33.75" customHeight="1" x14ac:dyDescent="0.25"/>
    <row r="604" ht="33.75" customHeight="1" x14ac:dyDescent="0.25"/>
    <row r="605" ht="33.75" customHeight="1" x14ac:dyDescent="0.25"/>
    <row r="606" ht="33.75" customHeight="1" x14ac:dyDescent="0.25"/>
    <row r="607" ht="33.75" customHeight="1" x14ac:dyDescent="0.25"/>
    <row r="608" ht="33.75" customHeight="1" x14ac:dyDescent="0.25"/>
    <row r="609" ht="33.75" customHeight="1" x14ac:dyDescent="0.25"/>
    <row r="610" ht="33.75" customHeight="1" x14ac:dyDescent="0.25"/>
    <row r="611" ht="33.75" customHeight="1" x14ac:dyDescent="0.25"/>
    <row r="612" ht="33.75" customHeight="1" x14ac:dyDescent="0.25"/>
    <row r="613" ht="33.75" customHeight="1" x14ac:dyDescent="0.25"/>
    <row r="614" ht="33.75" customHeight="1" x14ac:dyDescent="0.25"/>
    <row r="615" ht="33.75" customHeight="1" x14ac:dyDescent="0.25"/>
    <row r="616" ht="33.75" customHeight="1" x14ac:dyDescent="0.25"/>
    <row r="617" ht="33.75" customHeight="1" x14ac:dyDescent="0.25"/>
    <row r="618" ht="33.75" customHeight="1" x14ac:dyDescent="0.25"/>
    <row r="619" ht="33.75" customHeight="1" x14ac:dyDescent="0.25"/>
    <row r="620" ht="33.75" customHeight="1" x14ac:dyDescent="0.25"/>
    <row r="621" ht="33.75" customHeight="1" x14ac:dyDescent="0.25"/>
    <row r="622" ht="33.75" customHeight="1" x14ac:dyDescent="0.25"/>
    <row r="623" ht="33.75" customHeight="1" x14ac:dyDescent="0.25"/>
    <row r="624" ht="33.75" customHeight="1" x14ac:dyDescent="0.25"/>
    <row r="625" ht="33.75" customHeight="1" x14ac:dyDescent="0.25"/>
    <row r="626" ht="33.75" customHeight="1" x14ac:dyDescent="0.25"/>
    <row r="627" ht="33.75" customHeight="1" x14ac:dyDescent="0.25"/>
    <row r="628" ht="33.75" customHeight="1" x14ac:dyDescent="0.25"/>
    <row r="629" ht="33.75" customHeight="1" x14ac:dyDescent="0.25"/>
    <row r="630" ht="33.75" customHeight="1" x14ac:dyDescent="0.25"/>
    <row r="631" ht="33.75" customHeight="1" x14ac:dyDescent="0.25"/>
    <row r="632" ht="33.75" customHeight="1" x14ac:dyDescent="0.25"/>
    <row r="633" ht="33.75" customHeight="1" x14ac:dyDescent="0.25"/>
    <row r="634" ht="33.75" customHeight="1" x14ac:dyDescent="0.25"/>
    <row r="635" ht="33.75" customHeight="1" x14ac:dyDescent="0.25"/>
    <row r="636" ht="33.75" customHeight="1" x14ac:dyDescent="0.25"/>
    <row r="637" ht="33.75" customHeight="1" x14ac:dyDescent="0.25"/>
    <row r="638" ht="33.75" customHeight="1" x14ac:dyDescent="0.25"/>
    <row r="639" ht="33.75" customHeight="1" x14ac:dyDescent="0.25"/>
    <row r="640" ht="33.75" customHeight="1" x14ac:dyDescent="0.25"/>
    <row r="641" ht="33.75" customHeight="1" x14ac:dyDescent="0.25"/>
    <row r="642" ht="33.75" customHeight="1" x14ac:dyDescent="0.25"/>
    <row r="643" ht="33.75" customHeight="1" x14ac:dyDescent="0.25"/>
    <row r="644" ht="33.75" customHeight="1" x14ac:dyDescent="0.25"/>
    <row r="645" ht="33.75" customHeight="1" x14ac:dyDescent="0.25"/>
    <row r="646" ht="33.75" customHeight="1" x14ac:dyDescent="0.25"/>
    <row r="647" ht="33.75" customHeight="1" x14ac:dyDescent="0.25"/>
    <row r="648" ht="33.75" customHeight="1" x14ac:dyDescent="0.25"/>
    <row r="649" ht="33.75" customHeight="1" x14ac:dyDescent="0.25"/>
    <row r="650" ht="33.75" customHeight="1" x14ac:dyDescent="0.25"/>
    <row r="651" ht="33.75" customHeight="1" x14ac:dyDescent="0.25"/>
    <row r="652" ht="33.75" customHeight="1" x14ac:dyDescent="0.25"/>
    <row r="653" ht="33.75" customHeight="1" x14ac:dyDescent="0.25"/>
    <row r="654" ht="33.75" customHeight="1" x14ac:dyDescent="0.25"/>
    <row r="655" ht="33.75" customHeight="1" x14ac:dyDescent="0.25"/>
    <row r="656" ht="33.75" customHeight="1" x14ac:dyDescent="0.25"/>
    <row r="657" ht="33.75" customHeight="1" x14ac:dyDescent="0.25"/>
    <row r="658" ht="33.75" customHeight="1" x14ac:dyDescent="0.25"/>
    <row r="659" ht="33.75" customHeight="1" x14ac:dyDescent="0.25"/>
    <row r="660" ht="33.75" customHeight="1" x14ac:dyDescent="0.25"/>
    <row r="661" ht="33.75" customHeight="1" x14ac:dyDescent="0.25"/>
    <row r="662" ht="33.75" customHeight="1" x14ac:dyDescent="0.25"/>
    <row r="663" ht="33.75" customHeight="1" x14ac:dyDescent="0.25"/>
    <row r="664" ht="33.75" customHeight="1" x14ac:dyDescent="0.25"/>
    <row r="665" ht="33.75" customHeight="1" x14ac:dyDescent="0.25"/>
    <row r="666" ht="33.75" customHeight="1" x14ac:dyDescent="0.25"/>
    <row r="667" ht="33.75" customHeight="1" x14ac:dyDescent="0.25"/>
    <row r="668" ht="33.75" customHeight="1" x14ac:dyDescent="0.25"/>
    <row r="669" ht="33.75" customHeight="1" x14ac:dyDescent="0.25"/>
    <row r="670" ht="33.75" customHeight="1" x14ac:dyDescent="0.25"/>
    <row r="671" ht="33.75" customHeight="1" x14ac:dyDescent="0.25"/>
    <row r="672" ht="33.75" customHeight="1" x14ac:dyDescent="0.25"/>
    <row r="673" ht="33.75" customHeight="1" x14ac:dyDescent="0.25"/>
    <row r="674" ht="33.75" customHeight="1" x14ac:dyDescent="0.25"/>
    <row r="675" ht="33.75" customHeight="1" x14ac:dyDescent="0.25"/>
    <row r="676" ht="33.75" customHeight="1" x14ac:dyDescent="0.25"/>
    <row r="677" ht="33.75" customHeight="1" x14ac:dyDescent="0.25"/>
    <row r="678" ht="33.75" customHeight="1" x14ac:dyDescent="0.25"/>
    <row r="679" ht="33.75" customHeight="1" x14ac:dyDescent="0.25"/>
    <row r="680" ht="33.75" customHeight="1" x14ac:dyDescent="0.25"/>
    <row r="681" ht="33.75" customHeight="1" x14ac:dyDescent="0.25"/>
    <row r="682" ht="33.75" customHeight="1" x14ac:dyDescent="0.25"/>
    <row r="683" ht="33.75" customHeight="1" x14ac:dyDescent="0.25"/>
    <row r="684" ht="33.75" customHeight="1" x14ac:dyDescent="0.25"/>
    <row r="685" ht="33.75" customHeight="1" x14ac:dyDescent="0.25"/>
    <row r="686" ht="33.75" customHeight="1" x14ac:dyDescent="0.25"/>
    <row r="687" ht="33.75" customHeight="1" x14ac:dyDescent="0.25"/>
    <row r="688" ht="33.75" customHeight="1" x14ac:dyDescent="0.25"/>
    <row r="689" ht="33.75" customHeight="1" x14ac:dyDescent="0.25"/>
    <row r="690" ht="33.75" customHeight="1" x14ac:dyDescent="0.25"/>
    <row r="691" ht="33.75" customHeight="1" x14ac:dyDescent="0.25"/>
    <row r="692" ht="33.75" customHeight="1" x14ac:dyDescent="0.25"/>
    <row r="693" ht="33.75" customHeight="1" x14ac:dyDescent="0.25"/>
    <row r="694" ht="33.75" customHeight="1" x14ac:dyDescent="0.25"/>
    <row r="695" ht="33.75" customHeight="1" x14ac:dyDescent="0.25"/>
    <row r="696" ht="33.75" customHeight="1" x14ac:dyDescent="0.25"/>
    <row r="697" ht="33.75" customHeight="1" x14ac:dyDescent="0.25"/>
    <row r="698" ht="33.75" customHeight="1" x14ac:dyDescent="0.25"/>
    <row r="699" ht="33.75" customHeight="1" x14ac:dyDescent="0.25"/>
    <row r="700" ht="33.75" customHeight="1" x14ac:dyDescent="0.25"/>
    <row r="701" ht="33.75" customHeight="1" x14ac:dyDescent="0.25"/>
    <row r="702" ht="33.75" customHeight="1" x14ac:dyDescent="0.25"/>
    <row r="703" ht="33.75" customHeight="1" x14ac:dyDescent="0.25"/>
    <row r="704" ht="33.75" customHeight="1" x14ac:dyDescent="0.25"/>
    <row r="705" ht="33.75" customHeight="1" x14ac:dyDescent="0.25"/>
    <row r="706" ht="33.75" customHeight="1" x14ac:dyDescent="0.25"/>
    <row r="707" ht="33.75" customHeight="1" x14ac:dyDescent="0.25"/>
    <row r="708" ht="33.75" customHeight="1" x14ac:dyDescent="0.25"/>
    <row r="709" ht="33.75" customHeight="1" x14ac:dyDescent="0.25"/>
    <row r="710" ht="33.75" customHeight="1" x14ac:dyDescent="0.25"/>
    <row r="711" ht="33.75" customHeight="1" x14ac:dyDescent="0.25"/>
    <row r="712" ht="33.75" customHeight="1" x14ac:dyDescent="0.25"/>
    <row r="713" ht="33.75" customHeight="1" x14ac:dyDescent="0.25"/>
    <row r="714" ht="33.75" customHeight="1" x14ac:dyDescent="0.25"/>
    <row r="715" ht="33.75" customHeight="1" x14ac:dyDescent="0.25"/>
    <row r="716" ht="33.75" customHeight="1" x14ac:dyDescent="0.25"/>
    <row r="717" ht="33.75" customHeight="1" x14ac:dyDescent="0.25"/>
    <row r="718" ht="33.75" customHeight="1" x14ac:dyDescent="0.25"/>
    <row r="719" ht="33.75" customHeight="1" x14ac:dyDescent="0.25"/>
    <row r="720" ht="33.75" customHeight="1" x14ac:dyDescent="0.25"/>
    <row r="721" ht="33.75" customHeight="1" x14ac:dyDescent="0.25"/>
    <row r="722" ht="33.75" customHeight="1" x14ac:dyDescent="0.25"/>
    <row r="723" ht="33.75" customHeight="1" x14ac:dyDescent="0.25"/>
    <row r="724" ht="33.75" customHeight="1" x14ac:dyDescent="0.25"/>
    <row r="725" ht="33.75" customHeight="1" x14ac:dyDescent="0.25"/>
    <row r="726" ht="33.75" customHeight="1" x14ac:dyDescent="0.25"/>
    <row r="727" ht="33.75" customHeight="1" x14ac:dyDescent="0.25"/>
    <row r="728" ht="33.75" customHeight="1" x14ac:dyDescent="0.25"/>
    <row r="729" ht="33.75" customHeight="1" x14ac:dyDescent="0.25"/>
    <row r="730" ht="33.75" customHeight="1" x14ac:dyDescent="0.25"/>
    <row r="731" ht="33.75" customHeight="1" x14ac:dyDescent="0.25"/>
    <row r="732" ht="33.75" customHeight="1" x14ac:dyDescent="0.25"/>
    <row r="733" ht="33.75" customHeight="1" x14ac:dyDescent="0.25"/>
    <row r="734" ht="33.75" customHeight="1" x14ac:dyDescent="0.25"/>
    <row r="735" ht="33.75" customHeight="1" x14ac:dyDescent="0.25"/>
    <row r="736" ht="33.75" customHeight="1" x14ac:dyDescent="0.25"/>
    <row r="737" ht="33.75" customHeight="1" x14ac:dyDescent="0.25"/>
    <row r="738" ht="33.75" customHeight="1" x14ac:dyDescent="0.25"/>
    <row r="739" ht="33.75" customHeight="1" x14ac:dyDescent="0.25"/>
    <row r="740" ht="33.75" customHeight="1" x14ac:dyDescent="0.25"/>
    <row r="741" ht="33.75" customHeight="1" x14ac:dyDescent="0.25"/>
    <row r="742" ht="33.75" customHeight="1" x14ac:dyDescent="0.25"/>
    <row r="743" ht="33.75" customHeight="1" x14ac:dyDescent="0.25"/>
    <row r="744" ht="33.75" customHeight="1" x14ac:dyDescent="0.25"/>
    <row r="745" ht="33.75" customHeight="1" x14ac:dyDescent="0.25"/>
    <row r="746" ht="33.75" customHeight="1" x14ac:dyDescent="0.25"/>
    <row r="747" ht="33.75" customHeight="1" x14ac:dyDescent="0.25"/>
    <row r="748" ht="33.75" customHeight="1" x14ac:dyDescent="0.25"/>
    <row r="749" ht="33.75" customHeight="1" x14ac:dyDescent="0.25"/>
    <row r="750" ht="33.75" customHeight="1" x14ac:dyDescent="0.25"/>
    <row r="751" ht="33.75" customHeight="1" x14ac:dyDescent="0.25"/>
    <row r="752" ht="33.75" customHeight="1" x14ac:dyDescent="0.25"/>
    <row r="753" ht="33.75" customHeight="1" x14ac:dyDescent="0.25"/>
    <row r="754" ht="33.75" customHeight="1" x14ac:dyDescent="0.25"/>
    <row r="755" ht="33.75" customHeight="1" x14ac:dyDescent="0.25"/>
    <row r="756" ht="33.75" customHeight="1" x14ac:dyDescent="0.25"/>
    <row r="757" ht="33.75" customHeight="1" x14ac:dyDescent="0.25"/>
    <row r="758" ht="33.75" customHeight="1" x14ac:dyDescent="0.25"/>
    <row r="759" ht="33.75" customHeight="1" x14ac:dyDescent="0.25"/>
    <row r="760" ht="33.75" customHeight="1" x14ac:dyDescent="0.25"/>
    <row r="761" ht="33.75" customHeight="1" x14ac:dyDescent="0.25"/>
    <row r="762" ht="33.75" customHeight="1" x14ac:dyDescent="0.25"/>
    <row r="763" ht="33.75" customHeight="1" x14ac:dyDescent="0.25"/>
    <row r="764" ht="33.75" customHeight="1" x14ac:dyDescent="0.25"/>
    <row r="765" ht="33.75" customHeight="1" x14ac:dyDescent="0.25"/>
    <row r="766" ht="33.75" customHeight="1" x14ac:dyDescent="0.25"/>
    <row r="767" ht="33.75" customHeight="1" x14ac:dyDescent="0.25"/>
    <row r="768" ht="33.75" customHeight="1" x14ac:dyDescent="0.25"/>
    <row r="769" ht="33.75" customHeight="1" x14ac:dyDescent="0.25"/>
    <row r="770" ht="33.75" customHeight="1" x14ac:dyDescent="0.25"/>
    <row r="771" ht="33.75" customHeight="1" x14ac:dyDescent="0.25"/>
    <row r="772" ht="33.75" customHeight="1" x14ac:dyDescent="0.25"/>
    <row r="773" ht="33.75" customHeight="1" x14ac:dyDescent="0.25"/>
    <row r="774" ht="33.75" customHeight="1" x14ac:dyDescent="0.25"/>
    <row r="775" ht="33.75" customHeight="1" x14ac:dyDescent="0.25"/>
    <row r="776" ht="33.75" customHeight="1" x14ac:dyDescent="0.25"/>
    <row r="777" ht="33.75" customHeight="1" x14ac:dyDescent="0.25"/>
    <row r="778" ht="33.75" customHeight="1" x14ac:dyDescent="0.25"/>
    <row r="779" ht="33.75" customHeight="1" x14ac:dyDescent="0.25"/>
    <row r="780" ht="33.75" customHeight="1" x14ac:dyDescent="0.25"/>
    <row r="781" ht="33.75" customHeight="1" x14ac:dyDescent="0.25"/>
    <row r="782" ht="33.75" customHeight="1" x14ac:dyDescent="0.25"/>
    <row r="783" ht="33.75" customHeight="1" x14ac:dyDescent="0.25"/>
    <row r="784" ht="33.75" customHeight="1" x14ac:dyDescent="0.25"/>
    <row r="785" ht="33.75" customHeight="1" x14ac:dyDescent="0.25"/>
    <row r="786" ht="33.75" customHeight="1" x14ac:dyDescent="0.25"/>
    <row r="787" ht="33.75" customHeight="1" x14ac:dyDescent="0.25"/>
    <row r="788" ht="33.75" customHeight="1" x14ac:dyDescent="0.25"/>
    <row r="789" ht="33.75" customHeight="1" x14ac:dyDescent="0.25"/>
    <row r="790" ht="33.75" customHeight="1" x14ac:dyDescent="0.25"/>
    <row r="791" ht="33.75" customHeight="1" x14ac:dyDescent="0.25"/>
    <row r="792" ht="33.75" customHeight="1" x14ac:dyDescent="0.25"/>
    <row r="793" ht="33.75" customHeight="1" x14ac:dyDescent="0.25"/>
    <row r="794" ht="33.75" customHeight="1" x14ac:dyDescent="0.25"/>
    <row r="795" ht="33.75" customHeight="1" x14ac:dyDescent="0.25"/>
    <row r="796" ht="33.75" customHeight="1" x14ac:dyDescent="0.25"/>
    <row r="797" ht="33.75" customHeight="1" x14ac:dyDescent="0.25"/>
    <row r="798" ht="33.75" customHeight="1" x14ac:dyDescent="0.25"/>
    <row r="799" ht="33.75" customHeight="1" x14ac:dyDescent="0.25"/>
    <row r="800" ht="33.75" customHeight="1" x14ac:dyDescent="0.25"/>
    <row r="801" ht="33.75" customHeight="1" x14ac:dyDescent="0.25"/>
    <row r="802" ht="33.75" customHeight="1" x14ac:dyDescent="0.25"/>
    <row r="803" ht="33.75" customHeight="1" x14ac:dyDescent="0.25"/>
    <row r="804" ht="33.75" customHeight="1" x14ac:dyDescent="0.25"/>
    <row r="805" ht="33.75" customHeight="1" x14ac:dyDescent="0.25"/>
    <row r="806" ht="33.75" customHeight="1" x14ac:dyDescent="0.25"/>
    <row r="807" ht="33.75" customHeight="1" x14ac:dyDescent="0.25"/>
    <row r="808" ht="33.75" customHeight="1" x14ac:dyDescent="0.25"/>
    <row r="809" ht="33.75" customHeight="1" x14ac:dyDescent="0.25"/>
    <row r="810" ht="33.75" customHeight="1" x14ac:dyDescent="0.25"/>
    <row r="811" ht="33.75" customHeight="1" x14ac:dyDescent="0.25"/>
    <row r="812" ht="33.75" customHeight="1" x14ac:dyDescent="0.25"/>
    <row r="813" ht="33.75" customHeight="1" x14ac:dyDescent="0.25"/>
    <row r="814" ht="33.75" customHeight="1" x14ac:dyDescent="0.25"/>
    <row r="815" ht="33.75" customHeight="1" x14ac:dyDescent="0.25"/>
    <row r="816" ht="33.75" customHeight="1" x14ac:dyDescent="0.25"/>
    <row r="817" ht="33.75" customHeight="1" x14ac:dyDescent="0.25"/>
    <row r="818" ht="33.75" customHeight="1" x14ac:dyDescent="0.25"/>
    <row r="819" ht="33.75" customHeight="1" x14ac:dyDescent="0.25"/>
    <row r="820" ht="33.75" customHeight="1" x14ac:dyDescent="0.25"/>
    <row r="821" ht="33.75" customHeight="1" x14ac:dyDescent="0.25"/>
    <row r="822" ht="33.75" customHeight="1" x14ac:dyDescent="0.25"/>
    <row r="823" ht="33.75" customHeight="1" x14ac:dyDescent="0.25"/>
    <row r="824" ht="33.75" customHeight="1" x14ac:dyDescent="0.25"/>
    <row r="825" ht="33.75" customHeight="1" x14ac:dyDescent="0.25"/>
    <row r="826" ht="33.75" customHeight="1" x14ac:dyDescent="0.25"/>
    <row r="827" ht="33.75" customHeight="1" x14ac:dyDescent="0.25"/>
    <row r="828" ht="33.75" customHeight="1" x14ac:dyDescent="0.25"/>
    <row r="829" ht="33.75" customHeight="1" x14ac:dyDescent="0.25"/>
    <row r="830" ht="33.75" customHeight="1" x14ac:dyDescent="0.25"/>
    <row r="831" ht="33.75" customHeight="1" x14ac:dyDescent="0.25"/>
    <row r="832" ht="33.75" customHeight="1" x14ac:dyDescent="0.25"/>
    <row r="833" ht="33.75" customHeight="1" x14ac:dyDescent="0.25"/>
    <row r="834" ht="33.75" customHeight="1" x14ac:dyDescent="0.25"/>
    <row r="835" ht="33.75" customHeight="1" x14ac:dyDescent="0.25"/>
    <row r="836" ht="33.75" customHeight="1" x14ac:dyDescent="0.25"/>
    <row r="837" ht="33.75" customHeight="1" x14ac:dyDescent="0.25"/>
    <row r="838" ht="33.75" customHeight="1" x14ac:dyDescent="0.25"/>
    <row r="839" ht="33.75" customHeight="1" x14ac:dyDescent="0.25"/>
    <row r="840" ht="33.75" customHeight="1" x14ac:dyDescent="0.25"/>
    <row r="841" ht="33.75" customHeight="1" x14ac:dyDescent="0.25"/>
    <row r="842" ht="33.75" customHeight="1" x14ac:dyDescent="0.25"/>
    <row r="843" ht="33.75" customHeight="1" x14ac:dyDescent="0.25"/>
    <row r="844" ht="33.75" customHeight="1" x14ac:dyDescent="0.25"/>
    <row r="845" ht="33.75" customHeight="1" x14ac:dyDescent="0.25"/>
    <row r="846" ht="33.75" customHeight="1" x14ac:dyDescent="0.25"/>
    <row r="847" ht="33.75" customHeight="1" x14ac:dyDescent="0.25"/>
    <row r="848" ht="33.75" customHeight="1" x14ac:dyDescent="0.25"/>
    <row r="849" ht="33.75" customHeight="1" x14ac:dyDescent="0.25"/>
    <row r="850" ht="33.75" customHeight="1" x14ac:dyDescent="0.25"/>
    <row r="851" ht="33.75" customHeight="1" x14ac:dyDescent="0.25"/>
    <row r="852" ht="33.75" customHeight="1" x14ac:dyDescent="0.25"/>
    <row r="853" ht="33.75" customHeight="1" x14ac:dyDescent="0.25"/>
    <row r="854" ht="33.75" customHeight="1" x14ac:dyDescent="0.25"/>
    <row r="855" ht="33.75" customHeight="1" x14ac:dyDescent="0.25"/>
    <row r="856" ht="33.75" customHeight="1" x14ac:dyDescent="0.25"/>
    <row r="857" ht="33.75" customHeight="1" x14ac:dyDescent="0.25"/>
    <row r="858" ht="33.75" customHeight="1" x14ac:dyDescent="0.25"/>
    <row r="859" ht="33.75" customHeight="1" x14ac:dyDescent="0.25"/>
    <row r="860" ht="33.75" customHeight="1" x14ac:dyDescent="0.25"/>
    <row r="861" ht="33.75" customHeight="1" x14ac:dyDescent="0.25"/>
    <row r="862" ht="33.75" customHeight="1" x14ac:dyDescent="0.25"/>
    <row r="863" ht="33.75" customHeight="1" x14ac:dyDescent="0.25"/>
    <row r="864" ht="33.75" customHeight="1" x14ac:dyDescent="0.25"/>
    <row r="865" ht="33.75" customHeight="1" x14ac:dyDescent="0.25"/>
    <row r="866" ht="33.75" customHeight="1" x14ac:dyDescent="0.25"/>
    <row r="867" ht="33.75" customHeight="1" x14ac:dyDescent="0.25"/>
    <row r="868" ht="33.75" customHeight="1" x14ac:dyDescent="0.25"/>
    <row r="869" ht="33.75" customHeight="1" x14ac:dyDescent="0.25"/>
    <row r="870" ht="33.75" customHeight="1" x14ac:dyDescent="0.25"/>
    <row r="871" ht="33.75" customHeight="1" x14ac:dyDescent="0.25"/>
    <row r="872" ht="33.75" customHeight="1" x14ac:dyDescent="0.25"/>
    <row r="873" ht="33.75" customHeight="1" x14ac:dyDescent="0.25"/>
    <row r="874" ht="33.75" customHeight="1" x14ac:dyDescent="0.25"/>
    <row r="875" ht="33.75" customHeight="1" x14ac:dyDescent="0.25"/>
    <row r="876" ht="33.75" customHeight="1" x14ac:dyDescent="0.25"/>
    <row r="877" ht="33.75" customHeight="1" x14ac:dyDescent="0.25"/>
    <row r="878" ht="33.75" customHeight="1" x14ac:dyDescent="0.25"/>
    <row r="879" ht="33.75" customHeight="1" x14ac:dyDescent="0.25"/>
    <row r="880" ht="33.75" customHeight="1" x14ac:dyDescent="0.25"/>
    <row r="881" ht="33.75" customHeight="1" x14ac:dyDescent="0.25"/>
    <row r="882" ht="33.75" customHeight="1" x14ac:dyDescent="0.25"/>
    <row r="883" ht="33.75" customHeight="1" x14ac:dyDescent="0.25"/>
    <row r="884" ht="33.75" customHeight="1" x14ac:dyDescent="0.25"/>
    <row r="885" ht="33.75" customHeight="1" x14ac:dyDescent="0.25"/>
    <row r="886" ht="33.75" customHeight="1" x14ac:dyDescent="0.25"/>
    <row r="887" ht="33.75" customHeight="1" x14ac:dyDescent="0.25"/>
    <row r="888" ht="33.75" customHeight="1" x14ac:dyDescent="0.25"/>
    <row r="889" ht="33.75" customHeight="1" x14ac:dyDescent="0.25"/>
    <row r="890" ht="33.75" customHeight="1" x14ac:dyDescent="0.25"/>
    <row r="891" ht="33.75" customHeight="1" x14ac:dyDescent="0.25"/>
    <row r="892" ht="33.75" customHeight="1" x14ac:dyDescent="0.25"/>
    <row r="893" ht="33.75" customHeight="1" x14ac:dyDescent="0.25"/>
    <row r="894" ht="33.75" customHeight="1" x14ac:dyDescent="0.25"/>
    <row r="895" ht="33.75" customHeight="1" x14ac:dyDescent="0.25"/>
    <row r="896" ht="33.75" customHeight="1" x14ac:dyDescent="0.25"/>
    <row r="897" ht="33.75" customHeight="1" x14ac:dyDescent="0.25"/>
    <row r="898" ht="33.75" customHeight="1" x14ac:dyDescent="0.25"/>
    <row r="899" ht="33.75" customHeight="1" x14ac:dyDescent="0.25"/>
    <row r="900" ht="33.75" customHeight="1" x14ac:dyDescent="0.25"/>
    <row r="901" ht="33.75" customHeight="1" x14ac:dyDescent="0.25"/>
    <row r="902" ht="33.75" customHeight="1" x14ac:dyDescent="0.25"/>
    <row r="903" ht="33.75" customHeight="1" x14ac:dyDescent="0.25"/>
    <row r="904" ht="33.75" customHeight="1" x14ac:dyDescent="0.25"/>
    <row r="905" ht="33.75" customHeight="1" x14ac:dyDescent="0.25"/>
    <row r="906" ht="33.75" customHeight="1" x14ac:dyDescent="0.25"/>
    <row r="907" ht="33.75" customHeight="1" x14ac:dyDescent="0.25"/>
    <row r="908" ht="33.75" customHeight="1" x14ac:dyDescent="0.25"/>
    <row r="909" ht="33.75" customHeight="1" x14ac:dyDescent="0.25"/>
    <row r="910" ht="33.75" customHeight="1" x14ac:dyDescent="0.25"/>
    <row r="911" ht="33.75" customHeight="1" x14ac:dyDescent="0.25"/>
    <row r="912" ht="33.75" customHeight="1" x14ac:dyDescent="0.25"/>
    <row r="913" ht="33.75" customHeight="1" x14ac:dyDescent="0.25"/>
    <row r="914" ht="33.75" customHeight="1" x14ac:dyDescent="0.25"/>
    <row r="915" ht="33.75" customHeight="1" x14ac:dyDescent="0.25"/>
    <row r="916" ht="33.75" customHeight="1" x14ac:dyDescent="0.25"/>
    <row r="917" ht="33.75" customHeight="1" x14ac:dyDescent="0.25"/>
    <row r="918" ht="33.75" customHeight="1" x14ac:dyDescent="0.25"/>
    <row r="919" ht="33.75" customHeight="1" x14ac:dyDescent="0.25"/>
    <row r="920" ht="33.75" customHeight="1" x14ac:dyDescent="0.25"/>
    <row r="921" ht="33.75" customHeight="1" x14ac:dyDescent="0.25"/>
    <row r="922" ht="33.75" customHeight="1" x14ac:dyDescent="0.25"/>
    <row r="923" ht="33.75" customHeight="1" x14ac:dyDescent="0.25"/>
    <row r="924" ht="33.75" customHeight="1" x14ac:dyDescent="0.25"/>
    <row r="925" ht="33.75" customHeight="1" x14ac:dyDescent="0.25"/>
    <row r="926" ht="33.75" customHeight="1" x14ac:dyDescent="0.25"/>
    <row r="927" ht="33.75" customHeight="1" x14ac:dyDescent="0.25"/>
    <row r="928" ht="33.75" customHeight="1" x14ac:dyDescent="0.25"/>
    <row r="929" ht="33.75" customHeight="1" x14ac:dyDescent="0.25"/>
    <row r="930" ht="33.75" customHeight="1" x14ac:dyDescent="0.25"/>
    <row r="931" ht="33.75" customHeight="1" x14ac:dyDescent="0.25"/>
    <row r="932" ht="33.75" customHeight="1" x14ac:dyDescent="0.25"/>
    <row r="933" ht="33.75" customHeight="1" x14ac:dyDescent="0.25"/>
    <row r="934" ht="33.75" customHeight="1" x14ac:dyDescent="0.25"/>
    <row r="935" ht="33.75" customHeight="1" x14ac:dyDescent="0.25"/>
    <row r="936" ht="33.75" customHeight="1" x14ac:dyDescent="0.25"/>
    <row r="937" ht="33.75" customHeight="1" x14ac:dyDescent="0.25"/>
    <row r="938" ht="33.75" customHeight="1" x14ac:dyDescent="0.25"/>
    <row r="939" ht="33.75" customHeight="1" x14ac:dyDescent="0.25"/>
    <row r="940" ht="33.75" customHeight="1" x14ac:dyDescent="0.25"/>
    <row r="941" ht="33.75" customHeight="1" x14ac:dyDescent="0.25"/>
    <row r="942" ht="33.75" customHeight="1" x14ac:dyDescent="0.25"/>
    <row r="943" ht="33.75" customHeight="1" x14ac:dyDescent="0.25"/>
    <row r="944" ht="33.75" customHeight="1" x14ac:dyDescent="0.25"/>
    <row r="945" ht="33.75" customHeight="1" x14ac:dyDescent="0.25"/>
    <row r="946" ht="33.75" customHeight="1" x14ac:dyDescent="0.25"/>
    <row r="947" ht="33.75" customHeight="1" x14ac:dyDescent="0.25"/>
    <row r="948" ht="33.75" customHeight="1" x14ac:dyDescent="0.25"/>
    <row r="949" ht="33.75" customHeight="1" x14ac:dyDescent="0.25"/>
    <row r="950" ht="33.75" customHeight="1" x14ac:dyDescent="0.25"/>
    <row r="951" ht="33.75" customHeight="1" x14ac:dyDescent="0.25"/>
    <row r="952" ht="33.75" customHeight="1" x14ac:dyDescent="0.25"/>
    <row r="953" ht="33.75" customHeight="1" x14ac:dyDescent="0.25"/>
    <row r="954" ht="33.75" customHeight="1" x14ac:dyDescent="0.25"/>
    <row r="955" ht="33.75" customHeight="1" x14ac:dyDescent="0.25"/>
    <row r="956" ht="33.75" customHeight="1" x14ac:dyDescent="0.25"/>
    <row r="957" ht="33.75" customHeight="1" x14ac:dyDescent="0.25"/>
    <row r="958" ht="33.75" customHeight="1" x14ac:dyDescent="0.25"/>
    <row r="959" ht="33.75" customHeight="1" x14ac:dyDescent="0.25"/>
    <row r="960" ht="33.75" customHeight="1" x14ac:dyDescent="0.25"/>
    <row r="961" ht="33.75" customHeight="1" x14ac:dyDescent="0.25"/>
    <row r="962" ht="33.75" customHeight="1" x14ac:dyDescent="0.25"/>
    <row r="963" ht="33.75" customHeight="1" x14ac:dyDescent="0.25"/>
    <row r="964" ht="33.75" customHeight="1" x14ac:dyDescent="0.25"/>
    <row r="965" ht="33.75" customHeight="1" x14ac:dyDescent="0.25"/>
    <row r="966" ht="33.75" customHeight="1" x14ac:dyDescent="0.25"/>
    <row r="967" ht="33.75" customHeight="1" x14ac:dyDescent="0.25"/>
    <row r="968" ht="33.75" customHeight="1" x14ac:dyDescent="0.25"/>
    <row r="969" ht="33.75" customHeight="1" x14ac:dyDescent="0.25"/>
    <row r="970" ht="33.75" customHeight="1" x14ac:dyDescent="0.25"/>
    <row r="971" ht="33.75" customHeight="1" x14ac:dyDescent="0.25"/>
    <row r="972" ht="33.75" customHeight="1" x14ac:dyDescent="0.25"/>
    <row r="973" ht="33.75" customHeight="1" x14ac:dyDescent="0.25"/>
    <row r="974" ht="33.75" customHeight="1" x14ac:dyDescent="0.25"/>
    <row r="975" ht="33.75" customHeight="1" x14ac:dyDescent="0.25"/>
    <row r="976" ht="33.75" customHeight="1" x14ac:dyDescent="0.25"/>
    <row r="977" ht="33.75" customHeight="1" x14ac:dyDescent="0.25"/>
    <row r="978" ht="33.75" customHeight="1" x14ac:dyDescent="0.25"/>
    <row r="979" ht="33.75" customHeight="1" x14ac:dyDescent="0.25"/>
    <row r="980" ht="33.75" customHeight="1" x14ac:dyDescent="0.25"/>
    <row r="981" ht="33.75" customHeight="1" x14ac:dyDescent="0.25"/>
    <row r="982" ht="33.75" customHeight="1" x14ac:dyDescent="0.25"/>
    <row r="983" ht="33.75" customHeight="1" x14ac:dyDescent="0.25"/>
    <row r="984" ht="33.75" customHeight="1" x14ac:dyDescent="0.25"/>
    <row r="985" ht="33.75" customHeight="1" x14ac:dyDescent="0.25"/>
    <row r="986" ht="33.75" customHeight="1" x14ac:dyDescent="0.25"/>
    <row r="987" ht="33.75" customHeight="1" x14ac:dyDescent="0.25"/>
    <row r="988" ht="33.75" customHeight="1" x14ac:dyDescent="0.25"/>
    <row r="989" ht="33.75" customHeight="1" x14ac:dyDescent="0.25"/>
    <row r="990" ht="33.75" customHeight="1" x14ac:dyDescent="0.25"/>
    <row r="991" ht="33.75" customHeight="1" x14ac:dyDescent="0.25"/>
    <row r="992" ht="33.75" customHeight="1" x14ac:dyDescent="0.25"/>
    <row r="993" ht="33.75" customHeight="1" x14ac:dyDescent="0.25"/>
    <row r="994" ht="33.75" customHeight="1" x14ac:dyDescent="0.25"/>
    <row r="995" ht="33.75" customHeight="1" x14ac:dyDescent="0.25"/>
    <row r="996" ht="33.75" customHeight="1" x14ac:dyDescent="0.25"/>
    <row r="997" ht="33.75" customHeight="1" x14ac:dyDescent="0.25"/>
    <row r="998" ht="33.75" customHeight="1" x14ac:dyDescent="0.25"/>
    <row r="999" ht="33.75" customHeight="1" x14ac:dyDescent="0.25"/>
    <row r="1000" ht="33.75" customHeight="1" x14ac:dyDescent="0.25"/>
    <row r="1001" ht="33.75" customHeight="1" x14ac:dyDescent="0.25"/>
    <row r="1002" ht="33.75" customHeight="1" x14ac:dyDescent="0.25"/>
    <row r="1003" ht="33.75" customHeight="1" x14ac:dyDescent="0.25"/>
    <row r="1004" ht="33.75" customHeight="1" x14ac:dyDescent="0.25"/>
    <row r="1005" ht="33.75" customHeight="1" x14ac:dyDescent="0.25"/>
    <row r="1006" ht="33.75" customHeight="1" x14ac:dyDescent="0.25"/>
    <row r="1007" ht="33.75" customHeight="1" x14ac:dyDescent="0.25"/>
    <row r="1008" ht="33.75" customHeight="1" x14ac:dyDescent="0.25"/>
    <row r="1009" ht="33.75" customHeight="1" x14ac:dyDescent="0.25"/>
    <row r="1010" ht="33.75" customHeight="1" x14ac:dyDescent="0.25"/>
    <row r="1011" ht="33.75" customHeight="1" x14ac:dyDescent="0.25"/>
    <row r="1012" ht="33.75" customHeight="1" x14ac:dyDescent="0.25"/>
    <row r="1013" ht="33.75" customHeight="1" x14ac:dyDescent="0.25"/>
    <row r="1014" ht="33.75" customHeight="1" x14ac:dyDescent="0.25"/>
    <row r="1015" ht="33.75" customHeight="1" x14ac:dyDescent="0.25"/>
    <row r="1016" ht="33.75" customHeight="1" x14ac:dyDescent="0.25"/>
    <row r="1017" ht="33.75" customHeight="1" x14ac:dyDescent="0.25"/>
    <row r="1018" ht="33.75" customHeight="1" x14ac:dyDescent="0.25"/>
    <row r="1019" ht="33.75" customHeight="1" x14ac:dyDescent="0.25"/>
    <row r="1020" ht="33.75" customHeight="1" x14ac:dyDescent="0.25"/>
    <row r="1021" ht="33.75" customHeight="1" x14ac:dyDescent="0.25"/>
    <row r="1022" ht="33.75" customHeight="1" x14ac:dyDescent="0.25"/>
    <row r="1023" ht="33.75" customHeight="1" x14ac:dyDescent="0.25"/>
    <row r="1024" ht="33.75" customHeight="1" x14ac:dyDescent="0.25"/>
    <row r="1025" ht="33.75" customHeight="1" x14ac:dyDescent="0.25"/>
    <row r="1026" ht="33.75" customHeight="1" x14ac:dyDescent="0.25"/>
    <row r="1027" ht="33.75" customHeight="1" x14ac:dyDescent="0.25"/>
    <row r="1028" ht="33.75" customHeight="1" x14ac:dyDescent="0.25"/>
    <row r="1029" ht="33.75" customHeight="1" x14ac:dyDescent="0.25"/>
    <row r="1030" ht="33.75" customHeight="1" x14ac:dyDescent="0.25"/>
    <row r="1031" ht="33.75" customHeight="1" x14ac:dyDescent="0.25"/>
    <row r="1032" ht="33.75" customHeight="1" x14ac:dyDescent="0.25"/>
    <row r="1033" ht="33.75" customHeight="1" x14ac:dyDescent="0.25"/>
    <row r="1034" ht="33.75" customHeight="1" x14ac:dyDescent="0.25"/>
    <row r="1035" ht="33.75" customHeight="1" x14ac:dyDescent="0.25"/>
    <row r="1036" ht="33.75" customHeight="1" x14ac:dyDescent="0.25"/>
    <row r="1037" ht="33.75" customHeight="1" x14ac:dyDescent="0.25"/>
    <row r="1038" ht="33.75" customHeight="1" x14ac:dyDescent="0.25"/>
    <row r="1039" ht="33.75" customHeight="1" x14ac:dyDescent="0.25"/>
    <row r="1040" ht="33.75" customHeight="1" x14ac:dyDescent="0.25"/>
    <row r="1041" ht="33.75" customHeight="1" x14ac:dyDescent="0.25"/>
    <row r="1042" ht="33.75" customHeight="1" x14ac:dyDescent="0.25"/>
    <row r="1043" ht="33.75" customHeight="1" x14ac:dyDescent="0.25"/>
    <row r="1044" ht="33.75" customHeight="1" x14ac:dyDescent="0.25"/>
    <row r="1045" ht="33.75" customHeight="1" x14ac:dyDescent="0.25"/>
    <row r="1046" ht="33.75" customHeight="1" x14ac:dyDescent="0.25"/>
    <row r="1047" ht="33.75" customHeight="1" x14ac:dyDescent="0.25"/>
    <row r="1048" ht="33.75" customHeight="1" x14ac:dyDescent="0.25"/>
    <row r="1049" ht="33.75" customHeight="1" x14ac:dyDescent="0.25"/>
    <row r="1050" ht="33.75" customHeight="1" x14ac:dyDescent="0.25"/>
    <row r="1051" ht="33.75" customHeight="1" x14ac:dyDescent="0.25"/>
    <row r="1052" ht="33.75" customHeight="1" x14ac:dyDescent="0.25"/>
    <row r="1053" ht="33.75" customHeight="1" x14ac:dyDescent="0.25"/>
    <row r="1054" ht="33.75" customHeight="1" x14ac:dyDescent="0.25"/>
    <row r="1055" ht="33.75" customHeight="1" x14ac:dyDescent="0.25"/>
    <row r="1056" ht="33.75" customHeight="1" x14ac:dyDescent="0.25"/>
    <row r="1057" ht="33.75" customHeight="1" x14ac:dyDescent="0.25"/>
    <row r="1058" ht="33.75" customHeight="1" x14ac:dyDescent="0.25"/>
    <row r="1059" ht="33.75" customHeight="1" x14ac:dyDescent="0.25"/>
    <row r="1060" ht="33.75" customHeight="1" x14ac:dyDescent="0.25"/>
    <row r="1061" ht="33.75" customHeight="1" x14ac:dyDescent="0.25"/>
    <row r="1062" ht="33.75" customHeight="1" x14ac:dyDescent="0.25"/>
    <row r="1063" ht="33.75" customHeight="1" x14ac:dyDescent="0.25"/>
    <row r="1064" ht="33.75" customHeight="1" x14ac:dyDescent="0.25"/>
    <row r="1065" ht="33.75" customHeight="1" x14ac:dyDescent="0.25"/>
    <row r="1066" ht="33.75" customHeight="1" x14ac:dyDescent="0.25"/>
    <row r="1067" ht="33.75" customHeight="1" x14ac:dyDescent="0.25"/>
    <row r="1068" ht="33.75" customHeight="1" x14ac:dyDescent="0.25"/>
    <row r="1069" ht="33.75" customHeight="1" x14ac:dyDescent="0.25"/>
    <row r="1070" ht="33.75" customHeight="1" x14ac:dyDescent="0.25"/>
    <row r="1071" ht="33.75" customHeight="1" x14ac:dyDescent="0.25"/>
    <row r="1072" ht="33.75" customHeight="1" x14ac:dyDescent="0.25"/>
    <row r="1073" ht="33.75" customHeight="1" x14ac:dyDescent="0.25"/>
    <row r="1074" ht="33.75" customHeight="1" x14ac:dyDescent="0.25"/>
    <row r="1075" ht="33.75" customHeight="1" x14ac:dyDescent="0.25"/>
    <row r="1076" ht="33.75" customHeight="1" x14ac:dyDescent="0.25"/>
    <row r="1077" ht="33.75" customHeight="1" x14ac:dyDescent="0.25"/>
    <row r="1078" ht="33.75" customHeight="1" x14ac:dyDescent="0.25"/>
    <row r="1079" ht="33.75" customHeight="1" x14ac:dyDescent="0.25"/>
    <row r="1080" ht="33.75" customHeight="1" x14ac:dyDescent="0.25"/>
    <row r="1081" ht="33.75" customHeight="1" x14ac:dyDescent="0.25"/>
    <row r="1082" ht="33.75" customHeight="1" x14ac:dyDescent="0.25"/>
    <row r="1083" ht="33.75" customHeight="1" x14ac:dyDescent="0.25"/>
    <row r="1084" ht="33.75" customHeight="1" x14ac:dyDescent="0.25"/>
    <row r="1085" ht="33.75" customHeight="1" x14ac:dyDescent="0.25"/>
    <row r="1086" ht="33.75" customHeight="1" x14ac:dyDescent="0.25"/>
    <row r="1087" ht="33.75" customHeight="1" x14ac:dyDescent="0.25"/>
    <row r="1088" ht="33.75" customHeight="1" x14ac:dyDescent="0.25"/>
    <row r="1089" spans="25:26" ht="33.75" customHeight="1" x14ac:dyDescent="0.25"/>
    <row r="1090" spans="25:26" ht="33.75" customHeight="1" x14ac:dyDescent="0.25"/>
    <row r="1091" spans="25:26" ht="33.75" customHeight="1" x14ac:dyDescent="0.25"/>
    <row r="1092" spans="25:26" ht="33.75" customHeight="1" x14ac:dyDescent="0.25"/>
    <row r="1093" spans="25:26" ht="33.75" customHeight="1" x14ac:dyDescent="0.25"/>
    <row r="1094" spans="25:26" ht="33.75" customHeight="1" x14ac:dyDescent="0.25"/>
    <row r="1095" spans="25:26" ht="33.75" customHeight="1" x14ac:dyDescent="0.25"/>
    <row r="1096" spans="25:26" ht="33.75" customHeight="1" x14ac:dyDescent="0.25"/>
    <row r="1097" spans="25:26" ht="33.75" customHeight="1" x14ac:dyDescent="0.25"/>
    <row r="1098" spans="25:26" ht="33.75" customHeight="1" x14ac:dyDescent="0.25"/>
    <row r="1099" spans="25:26" ht="33.75" customHeight="1" x14ac:dyDescent="0.25"/>
    <row r="1100" spans="25:26" ht="33.75" customHeight="1" x14ac:dyDescent="0.25">
      <c r="Y1100" s="33"/>
      <c r="Z1100" s="34"/>
    </row>
    <row r="1101" spans="25:26" ht="33.75" customHeight="1" x14ac:dyDescent="0.25"/>
    <row r="1102" spans="25:26" ht="33.75" customHeight="1" x14ac:dyDescent="0.25"/>
    <row r="1103" spans="25:26" ht="33.75" customHeight="1" x14ac:dyDescent="0.25"/>
    <row r="1104" spans="25:26" ht="33.75" customHeight="1" x14ac:dyDescent="0.25"/>
    <row r="1105" ht="33.75" customHeight="1" x14ac:dyDescent="0.25"/>
    <row r="1106" ht="33.75" customHeight="1" x14ac:dyDescent="0.25"/>
    <row r="1107" ht="33.75" customHeight="1" x14ac:dyDescent="0.25"/>
    <row r="1108" ht="33.75" customHeight="1" x14ac:dyDescent="0.25"/>
    <row r="1109" ht="33.75" customHeight="1" x14ac:dyDescent="0.25"/>
    <row r="1110" ht="33.75" customHeight="1" x14ac:dyDescent="0.25"/>
    <row r="1111" ht="33.75" customHeight="1" x14ac:dyDescent="0.25"/>
    <row r="1112" ht="33.75" customHeight="1" x14ac:dyDescent="0.25"/>
    <row r="1113" ht="33.75" customHeight="1" x14ac:dyDescent="0.25"/>
    <row r="1114" ht="33.75" customHeight="1" x14ac:dyDescent="0.25"/>
    <row r="1115" ht="33.75" customHeight="1" x14ac:dyDescent="0.25"/>
    <row r="1116" ht="33.75" customHeight="1" x14ac:dyDescent="0.25"/>
    <row r="1117" ht="33.75" customHeight="1" x14ac:dyDescent="0.25"/>
    <row r="1118" ht="33.75" customHeight="1" x14ac:dyDescent="0.25"/>
    <row r="1119" ht="33.75" customHeight="1" x14ac:dyDescent="0.25"/>
    <row r="1120" ht="33.75" customHeight="1" x14ac:dyDescent="0.25"/>
    <row r="1121" ht="33.75" customHeight="1" x14ac:dyDescent="0.25"/>
    <row r="1122" ht="33.75" customHeight="1" x14ac:dyDescent="0.25"/>
    <row r="1123" ht="33.75" customHeight="1" x14ac:dyDescent="0.25"/>
    <row r="1124" ht="33.75" customHeight="1" x14ac:dyDescent="0.25"/>
    <row r="1125" ht="33.75" customHeight="1" x14ac:dyDescent="0.25"/>
    <row r="1126" ht="33.75" customHeight="1" x14ac:dyDescent="0.25"/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H6 H8:H168">
    <cfRule type="beginsWith" dxfId="21" priority="38" operator="beginsWith" text="99">
      <formula>LEFT(H6,LEN("99"))="99"</formula>
    </cfRule>
  </conditionalFormatting>
  <conditionalFormatting sqref="H6 H8:H168">
    <cfRule type="beginsWith" dxfId="20" priority="39" operator="beginsWith" text="99">
      <formula>LEFT(H6,2)="99"</formula>
    </cfRule>
    <cfRule type="containsText" dxfId="19" priority="40" operator="containsText" text="rem">
      <formula>NOT(ISERROR(SEARCH("rem",H6)))</formula>
    </cfRule>
    <cfRule type="duplicateValues" dxfId="18" priority="41"/>
  </conditionalFormatting>
  <conditionalFormatting sqref="T6 T8:T168">
    <cfRule type="duplicateValues" dxfId="17" priority="42"/>
  </conditionalFormatting>
  <conditionalFormatting sqref="H169:H185">
    <cfRule type="beginsWith" dxfId="16" priority="33" operator="beginsWith" text="99">
      <formula>LEFT(H169,LEN("99"))="99"</formula>
    </cfRule>
  </conditionalFormatting>
  <conditionalFormatting sqref="H169:H185">
    <cfRule type="beginsWith" dxfId="15" priority="34" operator="beginsWith" text="99">
      <formula>LEFT(H169,2)="99"</formula>
    </cfRule>
    <cfRule type="containsText" dxfId="14" priority="35" operator="containsText" text="rem">
      <formula>NOT(ISERROR(SEARCH("rem",H169)))</formula>
    </cfRule>
    <cfRule type="duplicateValues" dxfId="13" priority="36"/>
  </conditionalFormatting>
  <conditionalFormatting sqref="T169:T185">
    <cfRule type="duplicateValues" dxfId="12" priority="37"/>
  </conditionalFormatting>
  <conditionalFormatting sqref="A6 A8:A168">
    <cfRule type="duplicateValues" dxfId="11" priority="32"/>
  </conditionalFormatting>
  <conditionalFormatting sqref="A169:A185">
    <cfRule type="duplicateValues" dxfId="10" priority="31"/>
  </conditionalFormatting>
  <conditionalFormatting sqref="H7">
    <cfRule type="beginsWith" dxfId="9" priority="26" operator="beginsWith" text="99">
      <formula>LEFT(H7,LEN("99"))="99"</formula>
    </cfRule>
  </conditionalFormatting>
  <conditionalFormatting sqref="H7">
    <cfRule type="beginsWith" dxfId="8" priority="27" operator="beginsWith" text="99">
      <formula>LEFT(H7,2)="99"</formula>
    </cfRule>
    <cfRule type="containsText" dxfId="7" priority="28" operator="containsText" text="rem">
      <formula>NOT(ISERROR(SEARCH("rem",H7)))</formula>
    </cfRule>
    <cfRule type="duplicateValues" dxfId="6" priority="29"/>
  </conditionalFormatting>
  <conditionalFormatting sqref="T7">
    <cfRule type="duplicateValues" dxfId="5" priority="30"/>
  </conditionalFormatting>
  <conditionalFormatting sqref="A7">
    <cfRule type="duplicateValues" dxfId="4" priority="25"/>
  </conditionalFormatting>
  <conditionalFormatting sqref="L6:L185 N6:N185 P6:P185 R6:R185">
    <cfRule type="cellIs" dxfId="3" priority="24" operator="lessThan">
      <formula>0</formula>
    </cfRule>
  </conditionalFormatting>
  <conditionalFormatting sqref="L6:L185 R6:R185">
    <cfRule type="cellIs" dxfId="2" priority="23" operator="greaterThan">
      <formula>2000</formula>
    </cfRule>
  </conditionalFormatting>
  <conditionalFormatting sqref="F6:F185">
    <cfRule type="cellIs" dxfId="1" priority="4" operator="lessThan">
      <formula>0</formula>
    </cfRule>
    <cfRule type="cellIs" dxfId="0" priority="5" operator="greaterThan">
      <formula>2000</formula>
    </cfRule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Awais Qarni</vt:lpstr>
      <vt:lpstr>'Awais Qarni'!Print_Area</vt:lpstr>
      <vt:lpstr>'Awais Qarni'!Print_Titles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dcterms:created xsi:type="dcterms:W3CDTF">2025-04-22T04:42:52Z</dcterms:created>
  <dcterms:modified xsi:type="dcterms:W3CDTF">2025-04-23T05:46:07Z</dcterms:modified>
</cp:coreProperties>
</file>