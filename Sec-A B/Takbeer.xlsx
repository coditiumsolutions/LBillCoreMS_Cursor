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mad\Desktop\Import Reading\02-Checked\"/>
    </mc:Choice>
  </mc:AlternateContent>
  <bookViews>
    <workbookView xWindow="0" yWindow="0" windowWidth="24000" windowHeight="9735"/>
  </bookViews>
  <sheets>
    <sheet name="Takbeer" sheetId="1" r:id="rId1"/>
  </sheets>
  <definedNames>
    <definedName name="_xlnm.Print_Area" localSheetId="0">Takbeer!$A$1:$T$314</definedName>
    <definedName name="_xlnm.Print_Titles" localSheetId="0">Takbeer!$4:$5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R314" i="1"/>
  <c r="P314" i="1"/>
  <c r="N314" i="1"/>
  <c r="L314" i="1"/>
  <c r="F314" i="1" s="1"/>
  <c r="R313" i="1"/>
  <c r="P313" i="1"/>
  <c r="N313" i="1"/>
  <c r="L313" i="1"/>
  <c r="F313" i="1" s="1"/>
  <c r="R312" i="1"/>
  <c r="P312" i="1"/>
  <c r="N312" i="1"/>
  <c r="F312" i="1"/>
  <c r="B312" i="1"/>
  <c r="L312" i="1" s="1"/>
  <c r="R311" i="1"/>
  <c r="P311" i="1"/>
  <c r="N311" i="1"/>
  <c r="L311" i="1"/>
  <c r="F311" i="1" s="1"/>
  <c r="R310" i="1"/>
  <c r="P310" i="1"/>
  <c r="N310" i="1"/>
  <c r="B310" i="1"/>
  <c r="L310" i="1" s="1"/>
  <c r="F310" i="1" s="1"/>
  <c r="R309" i="1"/>
  <c r="P309" i="1"/>
  <c r="N309" i="1"/>
  <c r="B309" i="1"/>
  <c r="L309" i="1" s="1"/>
  <c r="F309" i="1" s="1"/>
  <c r="R308" i="1"/>
  <c r="P308" i="1"/>
  <c r="N308" i="1"/>
  <c r="L308" i="1"/>
  <c r="F308" i="1" s="1"/>
  <c r="R307" i="1"/>
  <c r="P307" i="1"/>
  <c r="N307" i="1"/>
  <c r="B307" i="1"/>
  <c r="L307" i="1" s="1"/>
  <c r="F307" i="1" s="1"/>
  <c r="R306" i="1"/>
  <c r="P306" i="1"/>
  <c r="N306" i="1"/>
  <c r="L306" i="1"/>
  <c r="F306" i="1" s="1"/>
  <c r="B306" i="1"/>
  <c r="R305" i="1"/>
  <c r="P305" i="1"/>
  <c r="N305" i="1"/>
  <c r="B305" i="1"/>
  <c r="L305" i="1" s="1"/>
  <c r="F305" i="1" s="1"/>
  <c r="R304" i="1"/>
  <c r="P304" i="1"/>
  <c r="N304" i="1"/>
  <c r="B304" i="1"/>
  <c r="L304" i="1" s="1"/>
  <c r="F304" i="1" s="1"/>
  <c r="R303" i="1"/>
  <c r="P303" i="1"/>
  <c r="N303" i="1"/>
  <c r="B303" i="1"/>
  <c r="L303" i="1" s="1"/>
  <c r="F303" i="1" s="1"/>
  <c r="R302" i="1"/>
  <c r="P302" i="1"/>
  <c r="N302" i="1"/>
  <c r="B302" i="1"/>
  <c r="L302" i="1" s="1"/>
  <c r="F302" i="1" s="1"/>
  <c r="R301" i="1"/>
  <c r="P301" i="1"/>
  <c r="N301" i="1"/>
  <c r="B301" i="1"/>
  <c r="L301" i="1" s="1"/>
  <c r="F301" i="1" s="1"/>
  <c r="R300" i="1"/>
  <c r="P300" i="1"/>
  <c r="N300" i="1"/>
  <c r="K300" i="1"/>
  <c r="B300" i="1"/>
  <c r="R299" i="1"/>
  <c r="P299" i="1"/>
  <c r="N299" i="1"/>
  <c r="K299" i="1"/>
  <c r="R298" i="1"/>
  <c r="P298" i="1"/>
  <c r="N298" i="1"/>
  <c r="K298" i="1"/>
  <c r="B298" i="1"/>
  <c r="R297" i="1"/>
  <c r="P297" i="1"/>
  <c r="N297" i="1"/>
  <c r="L297" i="1"/>
  <c r="F297" i="1" s="1"/>
  <c r="R296" i="1"/>
  <c r="P296" i="1"/>
  <c r="N296" i="1"/>
  <c r="B296" i="1"/>
  <c r="L296" i="1" s="1"/>
  <c r="F296" i="1" s="1"/>
  <c r="R295" i="1"/>
  <c r="P295" i="1"/>
  <c r="N295" i="1"/>
  <c r="B295" i="1"/>
  <c r="L295" i="1" s="1"/>
  <c r="F295" i="1" s="1"/>
  <c r="R294" i="1"/>
  <c r="P294" i="1"/>
  <c r="N294" i="1"/>
  <c r="B294" i="1"/>
  <c r="L294" i="1" s="1"/>
  <c r="F294" i="1" s="1"/>
  <c r="R293" i="1"/>
  <c r="P293" i="1"/>
  <c r="N293" i="1"/>
  <c r="B293" i="1"/>
  <c r="L293" i="1" s="1"/>
  <c r="F293" i="1" s="1"/>
  <c r="R292" i="1"/>
  <c r="P292" i="1"/>
  <c r="N292" i="1"/>
  <c r="B292" i="1"/>
  <c r="L292" i="1" s="1"/>
  <c r="F292" i="1" s="1"/>
  <c r="R291" i="1"/>
  <c r="P291" i="1"/>
  <c r="N291" i="1"/>
  <c r="L291" i="1"/>
  <c r="F291" i="1" s="1"/>
  <c r="R290" i="1"/>
  <c r="P290" i="1"/>
  <c r="N290" i="1"/>
  <c r="L290" i="1"/>
  <c r="F290" i="1" s="1"/>
  <c r="R289" i="1"/>
  <c r="P289" i="1"/>
  <c r="N289" i="1"/>
  <c r="L289" i="1"/>
  <c r="F289" i="1" s="1"/>
  <c r="R288" i="1"/>
  <c r="P288" i="1"/>
  <c r="N288" i="1"/>
  <c r="L288" i="1"/>
  <c r="F288" i="1" s="1"/>
  <c r="R287" i="1"/>
  <c r="P287" i="1"/>
  <c r="N287" i="1"/>
  <c r="L287" i="1"/>
  <c r="F287" i="1" s="1"/>
  <c r="R286" i="1"/>
  <c r="P286" i="1"/>
  <c r="N286" i="1"/>
  <c r="L286" i="1"/>
  <c r="F286" i="1" s="1"/>
  <c r="R285" i="1"/>
  <c r="P285" i="1"/>
  <c r="N285" i="1"/>
  <c r="F285" i="1"/>
  <c r="L285" i="1"/>
  <c r="R284" i="1"/>
  <c r="P284" i="1"/>
  <c r="N284" i="1"/>
  <c r="L284" i="1"/>
  <c r="F284" i="1" s="1"/>
  <c r="R283" i="1"/>
  <c r="P283" i="1"/>
  <c r="N283" i="1"/>
  <c r="L283" i="1"/>
  <c r="F283" i="1" s="1"/>
  <c r="R282" i="1"/>
  <c r="P282" i="1"/>
  <c r="N282" i="1"/>
  <c r="L282" i="1"/>
  <c r="F282" i="1" s="1"/>
  <c r="R281" i="1"/>
  <c r="P281" i="1"/>
  <c r="N281" i="1"/>
  <c r="L281" i="1"/>
  <c r="F281" i="1" s="1"/>
  <c r="R280" i="1"/>
  <c r="P280" i="1"/>
  <c r="N280" i="1"/>
  <c r="L280" i="1"/>
  <c r="F280" i="1" s="1"/>
  <c r="R279" i="1"/>
  <c r="P279" i="1"/>
  <c r="N279" i="1"/>
  <c r="L279" i="1"/>
  <c r="F279" i="1" s="1"/>
  <c r="R278" i="1"/>
  <c r="P278" i="1"/>
  <c r="N278" i="1"/>
  <c r="K278" i="1"/>
  <c r="B278" i="1"/>
  <c r="R277" i="1"/>
  <c r="P277" i="1"/>
  <c r="N277" i="1"/>
  <c r="B277" i="1"/>
  <c r="L277" i="1" s="1"/>
  <c r="F277" i="1" s="1"/>
  <c r="R276" i="1"/>
  <c r="P276" i="1"/>
  <c r="N276" i="1"/>
  <c r="K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B274" i="1"/>
  <c r="L274" i="1" s="1"/>
  <c r="F274" i="1" s="1"/>
  <c r="R273" i="1"/>
  <c r="P273" i="1"/>
  <c r="N273" i="1"/>
  <c r="B273" i="1"/>
  <c r="L273" i="1" s="1"/>
  <c r="F273" i="1" s="1"/>
  <c r="R272" i="1"/>
  <c r="P272" i="1"/>
  <c r="N272" i="1"/>
  <c r="K272" i="1"/>
  <c r="B272" i="1"/>
  <c r="R271" i="1"/>
  <c r="P271" i="1"/>
  <c r="N271" i="1"/>
  <c r="K271" i="1"/>
  <c r="B271" i="1"/>
  <c r="L271" i="1" s="1"/>
  <c r="F271" i="1" s="1"/>
  <c r="R270" i="1"/>
  <c r="P270" i="1"/>
  <c r="N270" i="1"/>
  <c r="B270" i="1"/>
  <c r="L270" i="1" s="1"/>
  <c r="F270" i="1" s="1"/>
  <c r="R269" i="1"/>
  <c r="P269" i="1"/>
  <c r="N269" i="1"/>
  <c r="B269" i="1"/>
  <c r="L269" i="1" s="1"/>
  <c r="F269" i="1" s="1"/>
  <c r="R268" i="1"/>
  <c r="P268" i="1"/>
  <c r="N268" i="1"/>
  <c r="B268" i="1"/>
  <c r="L268" i="1" s="1"/>
  <c r="F268" i="1" s="1"/>
  <c r="R267" i="1"/>
  <c r="P267" i="1"/>
  <c r="N267" i="1"/>
  <c r="B267" i="1"/>
  <c r="L267" i="1" s="1"/>
  <c r="F267" i="1" s="1"/>
  <c r="R266" i="1"/>
  <c r="P266" i="1"/>
  <c r="N266" i="1"/>
  <c r="K266" i="1"/>
  <c r="B266" i="1"/>
  <c r="R265" i="1"/>
  <c r="P265" i="1"/>
  <c r="N265" i="1"/>
  <c r="K265" i="1"/>
  <c r="B265" i="1"/>
  <c r="L265" i="1" s="1"/>
  <c r="F265" i="1" s="1"/>
  <c r="R264" i="1"/>
  <c r="P264" i="1"/>
  <c r="N264" i="1"/>
  <c r="K264" i="1"/>
  <c r="B264" i="1"/>
  <c r="L264" i="1" s="1"/>
  <c r="F264" i="1" s="1"/>
  <c r="R263" i="1"/>
  <c r="P263" i="1"/>
  <c r="N263" i="1"/>
  <c r="B263" i="1"/>
  <c r="L263" i="1" s="1"/>
  <c r="F263" i="1" s="1"/>
  <c r="R262" i="1"/>
  <c r="P262" i="1"/>
  <c r="N262" i="1"/>
  <c r="K262" i="1"/>
  <c r="B262" i="1"/>
  <c r="R261" i="1"/>
  <c r="P261" i="1"/>
  <c r="N261" i="1"/>
  <c r="B261" i="1"/>
  <c r="L261" i="1" s="1"/>
  <c r="F261" i="1" s="1"/>
  <c r="R260" i="1"/>
  <c r="P260" i="1"/>
  <c r="N260" i="1"/>
  <c r="B260" i="1"/>
  <c r="L260" i="1" s="1"/>
  <c r="F260" i="1" s="1"/>
  <c r="R259" i="1"/>
  <c r="P259" i="1"/>
  <c r="N259" i="1"/>
  <c r="L259" i="1"/>
  <c r="F259" i="1" s="1"/>
  <c r="R258" i="1"/>
  <c r="P258" i="1"/>
  <c r="N258" i="1"/>
  <c r="L258" i="1"/>
  <c r="F258" i="1" s="1"/>
  <c r="B258" i="1"/>
  <c r="R257" i="1"/>
  <c r="P257" i="1"/>
  <c r="N257" i="1"/>
  <c r="B257" i="1"/>
  <c r="L257" i="1" s="1"/>
  <c r="F257" i="1" s="1"/>
  <c r="R256" i="1"/>
  <c r="P256" i="1"/>
  <c r="N256" i="1"/>
  <c r="K256" i="1"/>
  <c r="B256" i="1"/>
  <c r="L256" i="1" s="1"/>
  <c r="F256" i="1" s="1"/>
  <c r="R255" i="1"/>
  <c r="P255" i="1"/>
  <c r="N255" i="1"/>
  <c r="K255" i="1"/>
  <c r="B255" i="1"/>
  <c r="L255" i="1" s="1"/>
  <c r="F255" i="1" s="1"/>
  <c r="R254" i="1"/>
  <c r="P254" i="1"/>
  <c r="N254" i="1"/>
  <c r="K254" i="1"/>
  <c r="B254" i="1"/>
  <c r="R253" i="1"/>
  <c r="P253" i="1"/>
  <c r="N253" i="1"/>
  <c r="B253" i="1"/>
  <c r="L253" i="1" s="1"/>
  <c r="F253" i="1" s="1"/>
  <c r="R252" i="1"/>
  <c r="P252" i="1"/>
  <c r="N252" i="1"/>
  <c r="L252" i="1"/>
  <c r="F252" i="1" s="1"/>
  <c r="R251" i="1"/>
  <c r="P251" i="1"/>
  <c r="N251" i="1"/>
  <c r="L251" i="1"/>
  <c r="F251" i="1" s="1"/>
  <c r="B251" i="1"/>
  <c r="R250" i="1"/>
  <c r="P250" i="1"/>
  <c r="N250" i="1"/>
  <c r="B250" i="1"/>
  <c r="L250" i="1" s="1"/>
  <c r="F250" i="1" s="1"/>
  <c r="R249" i="1"/>
  <c r="P249" i="1"/>
  <c r="N249" i="1"/>
  <c r="B249" i="1"/>
  <c r="L249" i="1" s="1"/>
  <c r="F249" i="1" s="1"/>
  <c r="R248" i="1"/>
  <c r="P248" i="1"/>
  <c r="N248" i="1"/>
  <c r="K248" i="1"/>
  <c r="B248" i="1"/>
  <c r="R247" i="1"/>
  <c r="P247" i="1"/>
  <c r="N247" i="1"/>
  <c r="B247" i="1"/>
  <c r="L247" i="1" s="1"/>
  <c r="F247" i="1" s="1"/>
  <c r="R246" i="1"/>
  <c r="P246" i="1"/>
  <c r="N246" i="1"/>
  <c r="K246" i="1"/>
  <c r="B246" i="1"/>
  <c r="L246" i="1" s="1"/>
  <c r="F246" i="1" s="1"/>
  <c r="R245" i="1"/>
  <c r="P245" i="1"/>
  <c r="N245" i="1"/>
  <c r="B245" i="1"/>
  <c r="L245" i="1" s="1"/>
  <c r="F245" i="1" s="1"/>
  <c r="R244" i="1"/>
  <c r="P244" i="1"/>
  <c r="N244" i="1"/>
  <c r="B244" i="1"/>
  <c r="L244" i="1" s="1"/>
  <c r="F244" i="1" s="1"/>
  <c r="R243" i="1"/>
  <c r="P243" i="1"/>
  <c r="N243" i="1"/>
  <c r="B243" i="1"/>
  <c r="L243" i="1" s="1"/>
  <c r="F243" i="1" s="1"/>
  <c r="R242" i="1"/>
  <c r="P242" i="1"/>
  <c r="N242" i="1"/>
  <c r="K242" i="1"/>
  <c r="B242" i="1"/>
  <c r="R241" i="1"/>
  <c r="P241" i="1"/>
  <c r="N241" i="1"/>
  <c r="K241" i="1"/>
  <c r="B241" i="1"/>
  <c r="L241" i="1" s="1"/>
  <c r="F241" i="1" s="1"/>
  <c r="R240" i="1"/>
  <c r="P240" i="1"/>
  <c r="N240" i="1"/>
  <c r="B240" i="1"/>
  <c r="L240" i="1" s="1"/>
  <c r="F240" i="1" s="1"/>
  <c r="R239" i="1"/>
  <c r="P239" i="1"/>
  <c r="N239" i="1"/>
  <c r="L239" i="1"/>
  <c r="F239" i="1" s="1"/>
  <c r="B239" i="1"/>
  <c r="R238" i="1"/>
  <c r="P238" i="1"/>
  <c r="N238" i="1"/>
  <c r="K238" i="1"/>
  <c r="B238" i="1"/>
  <c r="L238" i="1" s="1"/>
  <c r="F238" i="1" s="1"/>
  <c r="R237" i="1"/>
  <c r="P237" i="1"/>
  <c r="N237" i="1"/>
  <c r="B237" i="1"/>
  <c r="L237" i="1" s="1"/>
  <c r="F237" i="1" s="1"/>
  <c r="R236" i="1"/>
  <c r="P236" i="1"/>
  <c r="N236" i="1"/>
  <c r="B236" i="1"/>
  <c r="L236" i="1" s="1"/>
  <c r="F236" i="1" s="1"/>
  <c r="R235" i="1"/>
  <c r="P235" i="1"/>
  <c r="N235" i="1"/>
  <c r="B235" i="1"/>
  <c r="L235" i="1" s="1"/>
  <c r="F235" i="1" s="1"/>
  <c r="R234" i="1"/>
  <c r="P234" i="1"/>
  <c r="N234" i="1"/>
  <c r="L234" i="1"/>
  <c r="F234" i="1" s="1"/>
  <c r="B234" i="1"/>
  <c r="R233" i="1"/>
  <c r="P233" i="1"/>
  <c r="N233" i="1"/>
  <c r="B233" i="1"/>
  <c r="L233" i="1" s="1"/>
  <c r="F233" i="1" s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B230" i="1"/>
  <c r="L230" i="1" s="1"/>
  <c r="F230" i="1" s="1"/>
  <c r="R229" i="1"/>
  <c r="P229" i="1"/>
  <c r="N229" i="1"/>
  <c r="B229" i="1"/>
  <c r="L229" i="1" s="1"/>
  <c r="F229" i="1" s="1"/>
  <c r="R228" i="1"/>
  <c r="P228" i="1"/>
  <c r="N228" i="1"/>
  <c r="K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K225" i="1"/>
  <c r="B225" i="1"/>
  <c r="R224" i="1"/>
  <c r="P224" i="1"/>
  <c r="N224" i="1"/>
  <c r="L224" i="1"/>
  <c r="F224" i="1" s="1"/>
  <c r="R223" i="1"/>
  <c r="P223" i="1"/>
  <c r="N223" i="1"/>
  <c r="B223" i="1"/>
  <c r="L223" i="1" s="1"/>
  <c r="F223" i="1" s="1"/>
  <c r="R222" i="1"/>
  <c r="P222" i="1"/>
  <c r="N222" i="1"/>
  <c r="K222" i="1"/>
  <c r="B222" i="1"/>
  <c r="L222" i="1" s="1"/>
  <c r="F222" i="1" s="1"/>
  <c r="R221" i="1"/>
  <c r="P221" i="1"/>
  <c r="N221" i="1"/>
  <c r="B221" i="1"/>
  <c r="L221" i="1" s="1"/>
  <c r="F221" i="1" s="1"/>
  <c r="R220" i="1"/>
  <c r="P220" i="1"/>
  <c r="N220" i="1"/>
  <c r="B220" i="1"/>
  <c r="L220" i="1" s="1"/>
  <c r="F220" i="1" s="1"/>
  <c r="R219" i="1"/>
  <c r="P219" i="1"/>
  <c r="N219" i="1"/>
  <c r="L219" i="1"/>
  <c r="F219" i="1" s="1"/>
  <c r="B219" i="1"/>
  <c r="R218" i="1"/>
  <c r="P218" i="1"/>
  <c r="N218" i="1"/>
  <c r="B218" i="1"/>
  <c r="L218" i="1" s="1"/>
  <c r="F218" i="1" s="1"/>
  <c r="R217" i="1"/>
  <c r="P217" i="1"/>
  <c r="N217" i="1"/>
  <c r="K217" i="1"/>
  <c r="B217" i="1"/>
  <c r="L217" i="1" s="1"/>
  <c r="F217" i="1" s="1"/>
  <c r="R216" i="1"/>
  <c r="P216" i="1"/>
  <c r="N216" i="1"/>
  <c r="K216" i="1"/>
  <c r="B216" i="1"/>
  <c r="R215" i="1"/>
  <c r="P215" i="1"/>
  <c r="N215" i="1"/>
  <c r="K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B213" i="1"/>
  <c r="L213" i="1" s="1"/>
  <c r="F213" i="1" s="1"/>
  <c r="R212" i="1"/>
  <c r="P212" i="1"/>
  <c r="N212" i="1"/>
  <c r="L212" i="1"/>
  <c r="F212" i="1" s="1"/>
  <c r="B212" i="1"/>
  <c r="R211" i="1"/>
  <c r="P211" i="1"/>
  <c r="N211" i="1"/>
  <c r="B211" i="1"/>
  <c r="L211" i="1" s="1"/>
  <c r="F211" i="1" s="1"/>
  <c r="R210" i="1"/>
  <c r="P210" i="1"/>
  <c r="N210" i="1"/>
  <c r="K210" i="1"/>
  <c r="B210" i="1"/>
  <c r="L210" i="1" s="1"/>
  <c r="F210" i="1" s="1"/>
  <c r="R209" i="1"/>
  <c r="P209" i="1"/>
  <c r="N209" i="1"/>
  <c r="B209" i="1"/>
  <c r="L209" i="1" s="1"/>
  <c r="F209" i="1" s="1"/>
  <c r="R208" i="1"/>
  <c r="P208" i="1"/>
  <c r="N208" i="1"/>
  <c r="K208" i="1"/>
  <c r="B208" i="1"/>
  <c r="R207" i="1"/>
  <c r="P207" i="1"/>
  <c r="N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B205" i="1"/>
  <c r="L205" i="1" s="1"/>
  <c r="F205" i="1" s="1"/>
  <c r="R204" i="1"/>
  <c r="P204" i="1"/>
  <c r="N204" i="1"/>
  <c r="K204" i="1"/>
  <c r="B204" i="1"/>
  <c r="L204" i="1" s="1"/>
  <c r="F204" i="1" s="1"/>
  <c r="R203" i="1"/>
  <c r="P203" i="1"/>
  <c r="N203" i="1"/>
  <c r="L203" i="1"/>
  <c r="F203" i="1" s="1"/>
  <c r="B203" i="1"/>
  <c r="R202" i="1"/>
  <c r="P202" i="1"/>
  <c r="N202" i="1"/>
  <c r="K202" i="1"/>
  <c r="B202" i="1"/>
  <c r="L202" i="1" s="1"/>
  <c r="F202" i="1" s="1"/>
  <c r="R201" i="1"/>
  <c r="P201" i="1"/>
  <c r="N201" i="1"/>
  <c r="B201" i="1"/>
  <c r="L201" i="1" s="1"/>
  <c r="F201" i="1" s="1"/>
  <c r="R200" i="1"/>
  <c r="P200" i="1"/>
  <c r="N200" i="1"/>
  <c r="B200" i="1"/>
  <c r="L200" i="1" s="1"/>
  <c r="F200" i="1" s="1"/>
  <c r="R199" i="1"/>
  <c r="P199" i="1"/>
  <c r="N199" i="1"/>
  <c r="B199" i="1"/>
  <c r="L199" i="1" s="1"/>
  <c r="F199" i="1" s="1"/>
  <c r="R198" i="1"/>
  <c r="P198" i="1"/>
  <c r="N198" i="1"/>
  <c r="L198" i="1"/>
  <c r="F198" i="1" s="1"/>
  <c r="B198" i="1"/>
  <c r="R197" i="1"/>
  <c r="P197" i="1"/>
  <c r="N197" i="1"/>
  <c r="K197" i="1"/>
  <c r="B197" i="1"/>
  <c r="R196" i="1"/>
  <c r="P196" i="1"/>
  <c r="N196" i="1"/>
  <c r="K196" i="1"/>
  <c r="B196" i="1"/>
  <c r="R195" i="1"/>
  <c r="P195" i="1"/>
  <c r="N195" i="1"/>
  <c r="K195" i="1"/>
  <c r="B195" i="1"/>
  <c r="L195" i="1" s="1"/>
  <c r="F195" i="1" s="1"/>
  <c r="R194" i="1"/>
  <c r="P194" i="1"/>
  <c r="N194" i="1"/>
  <c r="B194" i="1"/>
  <c r="L194" i="1" s="1"/>
  <c r="F194" i="1" s="1"/>
  <c r="R193" i="1"/>
  <c r="P193" i="1"/>
  <c r="N193" i="1"/>
  <c r="L193" i="1"/>
  <c r="F193" i="1" s="1"/>
  <c r="B193" i="1"/>
  <c r="R192" i="1"/>
  <c r="P192" i="1"/>
  <c r="N192" i="1"/>
  <c r="B192" i="1"/>
  <c r="L192" i="1" s="1"/>
  <c r="F192" i="1" s="1"/>
  <c r="R191" i="1"/>
  <c r="P191" i="1"/>
  <c r="N191" i="1"/>
  <c r="B191" i="1"/>
  <c r="L191" i="1" s="1"/>
  <c r="F191" i="1" s="1"/>
  <c r="R190" i="1"/>
  <c r="P190" i="1"/>
  <c r="N190" i="1"/>
  <c r="K190" i="1"/>
  <c r="B190" i="1"/>
  <c r="L190" i="1" s="1"/>
  <c r="F190" i="1" s="1"/>
  <c r="R189" i="1"/>
  <c r="P189" i="1"/>
  <c r="N189" i="1"/>
  <c r="K189" i="1"/>
  <c r="B189" i="1"/>
  <c r="R188" i="1"/>
  <c r="P188" i="1"/>
  <c r="N188" i="1"/>
  <c r="B188" i="1"/>
  <c r="L188" i="1" s="1"/>
  <c r="F188" i="1" s="1"/>
  <c r="R187" i="1"/>
  <c r="P187" i="1"/>
  <c r="N187" i="1"/>
  <c r="B187" i="1"/>
  <c r="L187" i="1" s="1"/>
  <c r="F187" i="1" s="1"/>
  <c r="R186" i="1"/>
  <c r="P186" i="1"/>
  <c r="N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B184" i="1"/>
  <c r="L184" i="1" s="1"/>
  <c r="F184" i="1" s="1"/>
  <c r="R183" i="1"/>
  <c r="P183" i="1"/>
  <c r="N183" i="1"/>
  <c r="L183" i="1"/>
  <c r="F183" i="1" s="1"/>
  <c r="B183" i="1"/>
  <c r="R182" i="1"/>
  <c r="P182" i="1"/>
  <c r="N182" i="1"/>
  <c r="B182" i="1"/>
  <c r="L182" i="1" s="1"/>
  <c r="F182" i="1" s="1"/>
  <c r="R181" i="1"/>
  <c r="P181" i="1"/>
  <c r="N181" i="1"/>
  <c r="B181" i="1"/>
  <c r="L181" i="1" s="1"/>
  <c r="F181" i="1" s="1"/>
  <c r="R180" i="1"/>
  <c r="P180" i="1"/>
  <c r="N180" i="1"/>
  <c r="B180" i="1"/>
  <c r="L180" i="1" s="1"/>
  <c r="F180" i="1" s="1"/>
  <c r="R179" i="1"/>
  <c r="P179" i="1"/>
  <c r="N179" i="1"/>
  <c r="B179" i="1"/>
  <c r="L179" i="1" s="1"/>
  <c r="F179" i="1" s="1"/>
  <c r="R178" i="1"/>
  <c r="P178" i="1"/>
  <c r="N178" i="1"/>
  <c r="K178" i="1"/>
  <c r="B178" i="1"/>
  <c r="R177" i="1"/>
  <c r="P177" i="1"/>
  <c r="N177" i="1"/>
  <c r="B177" i="1"/>
  <c r="L177" i="1" s="1"/>
  <c r="F177" i="1" s="1"/>
  <c r="R176" i="1"/>
  <c r="P176" i="1"/>
  <c r="N176" i="1"/>
  <c r="B176" i="1"/>
  <c r="L176" i="1" s="1"/>
  <c r="F176" i="1" s="1"/>
  <c r="R175" i="1"/>
  <c r="P175" i="1"/>
  <c r="N175" i="1"/>
  <c r="B175" i="1"/>
  <c r="L175" i="1" s="1"/>
  <c r="F175" i="1" s="1"/>
  <c r="R174" i="1"/>
  <c r="P174" i="1"/>
  <c r="N174" i="1"/>
  <c r="L174" i="1"/>
  <c r="F174" i="1" s="1"/>
  <c r="B174" i="1"/>
  <c r="R173" i="1"/>
  <c r="P173" i="1"/>
  <c r="N173" i="1"/>
  <c r="B173" i="1"/>
  <c r="L173" i="1" s="1"/>
  <c r="F173" i="1" s="1"/>
  <c r="R172" i="1"/>
  <c r="P172" i="1"/>
  <c r="N172" i="1"/>
  <c r="B172" i="1"/>
  <c r="L172" i="1" s="1"/>
  <c r="F172" i="1" s="1"/>
  <c r="R171" i="1"/>
  <c r="P171" i="1"/>
  <c r="N171" i="1"/>
  <c r="B171" i="1"/>
  <c r="L171" i="1" s="1"/>
  <c r="F171" i="1" s="1"/>
  <c r="R170" i="1"/>
  <c r="P170" i="1"/>
  <c r="N170" i="1"/>
  <c r="L170" i="1"/>
  <c r="F170" i="1" s="1"/>
  <c r="B170" i="1"/>
  <c r="R169" i="1"/>
  <c r="P169" i="1"/>
  <c r="N169" i="1"/>
  <c r="B169" i="1"/>
  <c r="L169" i="1" s="1"/>
  <c r="F169" i="1" s="1"/>
  <c r="R168" i="1"/>
  <c r="P168" i="1"/>
  <c r="N168" i="1"/>
  <c r="B168" i="1"/>
  <c r="L168" i="1" s="1"/>
  <c r="F168" i="1" s="1"/>
  <c r="R167" i="1"/>
  <c r="P167" i="1"/>
  <c r="N167" i="1"/>
  <c r="B167" i="1"/>
  <c r="L167" i="1" s="1"/>
  <c r="F167" i="1" s="1"/>
  <c r="R166" i="1"/>
  <c r="P166" i="1"/>
  <c r="N166" i="1"/>
  <c r="K166" i="1"/>
  <c r="B166" i="1"/>
  <c r="R165" i="1"/>
  <c r="P165" i="1"/>
  <c r="N165" i="1"/>
  <c r="K165" i="1"/>
  <c r="B165" i="1"/>
  <c r="L165" i="1" s="1"/>
  <c r="F165" i="1" s="1"/>
  <c r="R164" i="1"/>
  <c r="P164" i="1"/>
  <c r="N164" i="1"/>
  <c r="L164" i="1"/>
  <c r="F164" i="1" s="1"/>
  <c r="B164" i="1"/>
  <c r="R163" i="1"/>
  <c r="P163" i="1"/>
  <c r="N163" i="1"/>
  <c r="B163" i="1"/>
  <c r="L163" i="1" s="1"/>
  <c r="F163" i="1" s="1"/>
  <c r="R162" i="1"/>
  <c r="P162" i="1"/>
  <c r="N162" i="1"/>
  <c r="K162" i="1"/>
  <c r="B162" i="1"/>
  <c r="L162" i="1" s="1"/>
  <c r="F162" i="1" s="1"/>
  <c r="R161" i="1"/>
  <c r="P161" i="1"/>
  <c r="N161" i="1"/>
  <c r="B161" i="1"/>
  <c r="L161" i="1" s="1"/>
  <c r="F161" i="1" s="1"/>
  <c r="R160" i="1"/>
  <c r="P160" i="1"/>
  <c r="N160" i="1"/>
  <c r="B160" i="1"/>
  <c r="L160" i="1" s="1"/>
  <c r="F160" i="1" s="1"/>
  <c r="R159" i="1"/>
  <c r="P159" i="1"/>
  <c r="N159" i="1"/>
  <c r="B159" i="1"/>
  <c r="L159" i="1" s="1"/>
  <c r="F159" i="1" s="1"/>
  <c r="R158" i="1"/>
  <c r="P158" i="1"/>
  <c r="N158" i="1"/>
  <c r="B158" i="1"/>
  <c r="L158" i="1" s="1"/>
  <c r="F158" i="1" s="1"/>
  <c r="R157" i="1"/>
  <c r="P157" i="1"/>
  <c r="N157" i="1"/>
  <c r="L157" i="1"/>
  <c r="F157" i="1" s="1"/>
  <c r="B157" i="1"/>
  <c r="R156" i="1"/>
  <c r="P156" i="1"/>
  <c r="N156" i="1"/>
  <c r="K156" i="1"/>
  <c r="B156" i="1"/>
  <c r="L156" i="1" s="1"/>
  <c r="F156" i="1" s="1"/>
  <c r="R155" i="1"/>
  <c r="P155" i="1"/>
  <c r="N155" i="1"/>
  <c r="B155" i="1"/>
  <c r="L155" i="1" s="1"/>
  <c r="F155" i="1" s="1"/>
  <c r="R154" i="1"/>
  <c r="P154" i="1"/>
  <c r="N154" i="1"/>
  <c r="L154" i="1"/>
  <c r="F154" i="1" s="1"/>
  <c r="B154" i="1"/>
  <c r="R153" i="1"/>
  <c r="P153" i="1"/>
  <c r="N153" i="1"/>
  <c r="B153" i="1"/>
  <c r="L153" i="1" s="1"/>
  <c r="F153" i="1" s="1"/>
  <c r="R152" i="1"/>
  <c r="P152" i="1"/>
  <c r="N152" i="1"/>
  <c r="B152" i="1"/>
  <c r="L152" i="1" s="1"/>
  <c r="F152" i="1" s="1"/>
  <c r="R151" i="1"/>
  <c r="P151" i="1"/>
  <c r="N151" i="1"/>
  <c r="B151" i="1"/>
  <c r="L151" i="1" s="1"/>
  <c r="F151" i="1" s="1"/>
  <c r="R150" i="1"/>
  <c r="P150" i="1"/>
  <c r="N150" i="1"/>
  <c r="K150" i="1"/>
  <c r="B150" i="1"/>
  <c r="R149" i="1"/>
  <c r="P149" i="1"/>
  <c r="N149" i="1"/>
  <c r="B149" i="1"/>
  <c r="L149" i="1" s="1"/>
  <c r="F149" i="1" s="1"/>
  <c r="R148" i="1"/>
  <c r="P148" i="1"/>
  <c r="N148" i="1"/>
  <c r="B148" i="1"/>
  <c r="L148" i="1" s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B144" i="1"/>
  <c r="L144" i="1" s="1"/>
  <c r="F144" i="1" s="1"/>
  <c r="R143" i="1"/>
  <c r="P143" i="1"/>
  <c r="N143" i="1"/>
  <c r="B143" i="1"/>
  <c r="L143" i="1" s="1"/>
  <c r="F143" i="1" s="1"/>
  <c r="R142" i="1"/>
  <c r="P142" i="1"/>
  <c r="N142" i="1"/>
  <c r="B142" i="1"/>
  <c r="L142" i="1" s="1"/>
  <c r="F142" i="1" s="1"/>
  <c r="R141" i="1"/>
  <c r="P141" i="1"/>
  <c r="N141" i="1"/>
  <c r="L141" i="1"/>
  <c r="F141" i="1" s="1"/>
  <c r="B141" i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B138" i="1"/>
  <c r="L138" i="1" s="1"/>
  <c r="F138" i="1" s="1"/>
  <c r="R137" i="1"/>
  <c r="P137" i="1"/>
  <c r="N137" i="1"/>
  <c r="L137" i="1"/>
  <c r="F137" i="1" s="1"/>
  <c r="K137" i="1"/>
  <c r="B137" i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L130" i="1"/>
  <c r="F130" i="1" s="1"/>
  <c r="B130" i="1"/>
  <c r="R129" i="1"/>
  <c r="P129" i="1"/>
  <c r="N129" i="1"/>
  <c r="B129" i="1"/>
  <c r="L129" i="1" s="1"/>
  <c r="F129" i="1" s="1"/>
  <c r="R128" i="1"/>
  <c r="P128" i="1"/>
  <c r="N128" i="1"/>
  <c r="B128" i="1"/>
  <c r="L128" i="1" s="1"/>
  <c r="F128" i="1" s="1"/>
  <c r="R127" i="1"/>
  <c r="P127" i="1"/>
  <c r="N127" i="1"/>
  <c r="B127" i="1"/>
  <c r="L127" i="1" s="1"/>
  <c r="F127" i="1" s="1"/>
  <c r="R126" i="1"/>
  <c r="P126" i="1"/>
  <c r="N126" i="1"/>
  <c r="B126" i="1"/>
  <c r="L126" i="1" s="1"/>
  <c r="F126" i="1" s="1"/>
  <c r="R125" i="1"/>
  <c r="P125" i="1"/>
  <c r="N125" i="1"/>
  <c r="B125" i="1"/>
  <c r="L125" i="1" s="1"/>
  <c r="F125" i="1" s="1"/>
  <c r="R124" i="1"/>
  <c r="P124" i="1"/>
  <c r="N124" i="1"/>
  <c r="K124" i="1"/>
  <c r="B124" i="1"/>
  <c r="L124" i="1" s="1"/>
  <c r="F124" i="1" s="1"/>
  <c r="R123" i="1"/>
  <c r="P123" i="1"/>
  <c r="N123" i="1"/>
  <c r="B123" i="1"/>
  <c r="L123" i="1" s="1"/>
  <c r="F123" i="1" s="1"/>
  <c r="R122" i="1"/>
  <c r="P122" i="1"/>
  <c r="N122" i="1"/>
  <c r="K122" i="1"/>
  <c r="B122" i="1"/>
  <c r="R121" i="1"/>
  <c r="P121" i="1"/>
  <c r="N121" i="1"/>
  <c r="B121" i="1"/>
  <c r="L121" i="1" s="1"/>
  <c r="F121" i="1" s="1"/>
  <c r="R120" i="1"/>
  <c r="P120" i="1"/>
  <c r="N120" i="1"/>
  <c r="B120" i="1"/>
  <c r="L120" i="1" s="1"/>
  <c r="F120" i="1" s="1"/>
  <c r="R119" i="1"/>
  <c r="P119" i="1"/>
  <c r="N119" i="1"/>
  <c r="B119" i="1"/>
  <c r="L119" i="1" s="1"/>
  <c r="F119" i="1" s="1"/>
  <c r="R118" i="1"/>
  <c r="P118" i="1"/>
  <c r="N118" i="1"/>
  <c r="F118" i="1"/>
  <c r="B118" i="1"/>
  <c r="L118" i="1" s="1"/>
  <c r="R117" i="1"/>
  <c r="P117" i="1"/>
  <c r="N117" i="1"/>
  <c r="B117" i="1"/>
  <c r="L117" i="1" s="1"/>
  <c r="F117" i="1" s="1"/>
  <c r="R116" i="1"/>
  <c r="P116" i="1"/>
  <c r="N116" i="1"/>
  <c r="K116" i="1"/>
  <c r="B116" i="1"/>
  <c r="R115" i="1"/>
  <c r="P115" i="1"/>
  <c r="N115" i="1"/>
  <c r="B115" i="1"/>
  <c r="L115" i="1" s="1"/>
  <c r="F115" i="1" s="1"/>
  <c r="R114" i="1"/>
  <c r="P114" i="1"/>
  <c r="N114" i="1"/>
  <c r="L114" i="1"/>
  <c r="F114" i="1" s="1"/>
  <c r="B114" i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B110" i="1"/>
  <c r="L110" i="1" s="1"/>
  <c r="F110" i="1" s="1"/>
  <c r="R109" i="1"/>
  <c r="P109" i="1"/>
  <c r="N109" i="1"/>
  <c r="F109" i="1"/>
  <c r="B109" i="1"/>
  <c r="L109" i="1" s="1"/>
  <c r="R108" i="1"/>
  <c r="P108" i="1"/>
  <c r="N108" i="1"/>
  <c r="B108" i="1"/>
  <c r="L108" i="1" s="1"/>
  <c r="F108" i="1" s="1"/>
  <c r="R107" i="1"/>
  <c r="P107" i="1"/>
  <c r="N107" i="1"/>
  <c r="K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K105" i="1"/>
  <c r="B105" i="1"/>
  <c r="R104" i="1"/>
  <c r="P104" i="1"/>
  <c r="N104" i="1"/>
  <c r="K104" i="1"/>
  <c r="B104" i="1"/>
  <c r="L104" i="1" s="1"/>
  <c r="F104" i="1" s="1"/>
  <c r="R103" i="1"/>
  <c r="P103" i="1"/>
  <c r="N103" i="1"/>
  <c r="K103" i="1"/>
  <c r="B103" i="1"/>
  <c r="R102" i="1"/>
  <c r="P102" i="1"/>
  <c r="N102" i="1"/>
  <c r="K102" i="1"/>
  <c r="B102" i="1"/>
  <c r="L102" i="1" s="1"/>
  <c r="F102" i="1" s="1"/>
  <c r="R101" i="1"/>
  <c r="P101" i="1"/>
  <c r="N101" i="1"/>
  <c r="K101" i="1"/>
  <c r="B101" i="1"/>
  <c r="R100" i="1"/>
  <c r="P100" i="1"/>
  <c r="N100" i="1"/>
  <c r="K100" i="1"/>
  <c r="B100" i="1"/>
  <c r="L100" i="1" s="1"/>
  <c r="F100" i="1" s="1"/>
  <c r="R99" i="1"/>
  <c r="P99" i="1"/>
  <c r="N99" i="1"/>
  <c r="K99" i="1"/>
  <c r="B99" i="1"/>
  <c r="R98" i="1"/>
  <c r="P98" i="1"/>
  <c r="N98" i="1"/>
  <c r="K98" i="1"/>
  <c r="B98" i="1"/>
  <c r="L98" i="1" s="1"/>
  <c r="F98" i="1" s="1"/>
  <c r="R97" i="1"/>
  <c r="P97" i="1"/>
  <c r="N97" i="1"/>
  <c r="L97" i="1"/>
  <c r="F97" i="1" s="1"/>
  <c r="B97" i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B93" i="1"/>
  <c r="L93" i="1" s="1"/>
  <c r="F93" i="1" s="1"/>
  <c r="R92" i="1"/>
  <c r="P92" i="1"/>
  <c r="N92" i="1"/>
  <c r="F92" i="1"/>
  <c r="B92" i="1"/>
  <c r="L92" i="1" s="1"/>
  <c r="R91" i="1"/>
  <c r="P91" i="1"/>
  <c r="N91" i="1"/>
  <c r="B91" i="1"/>
  <c r="L91" i="1" s="1"/>
  <c r="F91" i="1" s="1"/>
  <c r="R90" i="1"/>
  <c r="P90" i="1"/>
  <c r="N90" i="1"/>
  <c r="B90" i="1"/>
  <c r="L90" i="1" s="1"/>
  <c r="F90" i="1" s="1"/>
  <c r="R89" i="1"/>
  <c r="P89" i="1"/>
  <c r="N89" i="1"/>
  <c r="B89" i="1"/>
  <c r="L89" i="1" s="1"/>
  <c r="F89" i="1" s="1"/>
  <c r="R88" i="1"/>
  <c r="P88" i="1"/>
  <c r="N88" i="1"/>
  <c r="B88" i="1"/>
  <c r="L88" i="1" s="1"/>
  <c r="F88" i="1" s="1"/>
  <c r="R87" i="1"/>
  <c r="P87" i="1"/>
  <c r="N87" i="1"/>
  <c r="K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L85" i="1"/>
  <c r="F85" i="1" s="1"/>
  <c r="B85" i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L82" i="1"/>
  <c r="F82" i="1" s="1"/>
  <c r="B82" i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K78" i="1"/>
  <c r="L78" i="1" s="1"/>
  <c r="F78" i="1" s="1"/>
  <c r="B78" i="1"/>
  <c r="R77" i="1"/>
  <c r="P77" i="1"/>
  <c r="N77" i="1"/>
  <c r="K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B75" i="1"/>
  <c r="L75" i="1" s="1"/>
  <c r="F75" i="1" s="1"/>
  <c r="R74" i="1"/>
  <c r="P74" i="1"/>
  <c r="N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L71" i="1"/>
  <c r="F71" i="1" s="1"/>
  <c r="B71" i="1"/>
  <c r="R70" i="1"/>
  <c r="P70" i="1"/>
  <c r="N70" i="1"/>
  <c r="K70" i="1"/>
  <c r="B70" i="1"/>
  <c r="R69" i="1"/>
  <c r="P69" i="1"/>
  <c r="N69" i="1"/>
  <c r="B69" i="1"/>
  <c r="L69" i="1" s="1"/>
  <c r="F69" i="1" s="1"/>
  <c r="R68" i="1"/>
  <c r="P68" i="1"/>
  <c r="N68" i="1"/>
  <c r="B68" i="1"/>
  <c r="L68" i="1" s="1"/>
  <c r="F68" i="1" s="1"/>
  <c r="R67" i="1"/>
  <c r="P67" i="1"/>
  <c r="N67" i="1"/>
  <c r="B67" i="1"/>
  <c r="L67" i="1" s="1"/>
  <c r="F67" i="1" s="1"/>
  <c r="R66" i="1"/>
  <c r="P66" i="1"/>
  <c r="N66" i="1"/>
  <c r="K66" i="1"/>
  <c r="B66" i="1"/>
  <c r="L66" i="1" s="1"/>
  <c r="F66" i="1" s="1"/>
  <c r="R65" i="1"/>
  <c r="P65" i="1"/>
  <c r="N65" i="1"/>
  <c r="B65" i="1"/>
  <c r="L65" i="1" s="1"/>
  <c r="F65" i="1" s="1"/>
  <c r="R64" i="1"/>
  <c r="P64" i="1"/>
  <c r="N64" i="1"/>
  <c r="F64" i="1"/>
  <c r="B64" i="1"/>
  <c r="L64" i="1" s="1"/>
  <c r="R63" i="1"/>
  <c r="P63" i="1"/>
  <c r="N63" i="1"/>
  <c r="K63" i="1"/>
  <c r="B63" i="1"/>
  <c r="L63" i="1" s="1"/>
  <c r="F63" i="1" s="1"/>
  <c r="R62" i="1"/>
  <c r="P62" i="1"/>
  <c r="N62" i="1"/>
  <c r="L62" i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K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B53" i="1"/>
  <c r="L53" i="1" s="1"/>
  <c r="F53" i="1" s="1"/>
  <c r="R52" i="1"/>
  <c r="P52" i="1"/>
  <c r="N52" i="1"/>
  <c r="B52" i="1"/>
  <c r="L52" i="1" s="1"/>
  <c r="F52" i="1" s="1"/>
  <c r="R51" i="1"/>
  <c r="P51" i="1"/>
  <c r="N51" i="1"/>
  <c r="L51" i="1"/>
  <c r="F51" i="1" s="1"/>
  <c r="B51" i="1"/>
  <c r="R50" i="1"/>
  <c r="P50" i="1"/>
  <c r="N50" i="1"/>
  <c r="B50" i="1"/>
  <c r="L50" i="1" s="1"/>
  <c r="F50" i="1" s="1"/>
  <c r="R49" i="1"/>
  <c r="P49" i="1"/>
  <c r="N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L47" i="1"/>
  <c r="F47" i="1" s="1"/>
  <c r="B47" i="1"/>
  <c r="R46" i="1"/>
  <c r="P46" i="1"/>
  <c r="N46" i="1"/>
  <c r="B46" i="1"/>
  <c r="L46" i="1" s="1"/>
  <c r="F46" i="1" s="1"/>
  <c r="R45" i="1"/>
  <c r="P45" i="1"/>
  <c r="N45" i="1"/>
  <c r="B45" i="1"/>
  <c r="L45" i="1" s="1"/>
  <c r="F45" i="1" s="1"/>
  <c r="R44" i="1"/>
  <c r="P44" i="1"/>
  <c r="N44" i="1"/>
  <c r="B44" i="1"/>
  <c r="L44" i="1" s="1"/>
  <c r="F44" i="1" s="1"/>
  <c r="R43" i="1"/>
  <c r="P43" i="1"/>
  <c r="N43" i="1"/>
  <c r="L43" i="1"/>
  <c r="F43" i="1" s="1"/>
  <c r="B43" i="1"/>
  <c r="R42" i="1"/>
  <c r="P42" i="1"/>
  <c r="N42" i="1"/>
  <c r="B42" i="1"/>
  <c r="L42" i="1" s="1"/>
  <c r="F42" i="1" s="1"/>
  <c r="R41" i="1"/>
  <c r="P41" i="1"/>
  <c r="N41" i="1"/>
  <c r="B41" i="1"/>
  <c r="L41" i="1" s="1"/>
  <c r="F41" i="1" s="1"/>
  <c r="R40" i="1"/>
  <c r="P40" i="1"/>
  <c r="N40" i="1"/>
  <c r="B40" i="1"/>
  <c r="L40" i="1" s="1"/>
  <c r="F40" i="1" s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L35" i="1"/>
  <c r="F35" i="1" s="1"/>
  <c r="B35" i="1"/>
  <c r="R34" i="1"/>
  <c r="P34" i="1"/>
  <c r="N34" i="1"/>
  <c r="K34" i="1"/>
  <c r="B34" i="1"/>
  <c r="R33" i="1"/>
  <c r="P33" i="1"/>
  <c r="N33" i="1"/>
  <c r="K33" i="1"/>
  <c r="B33" i="1"/>
  <c r="R32" i="1"/>
  <c r="P32" i="1"/>
  <c r="N32" i="1"/>
  <c r="K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L30" i="1"/>
  <c r="F30" i="1" s="1"/>
  <c r="B30" i="1"/>
  <c r="R29" i="1"/>
  <c r="P29" i="1"/>
  <c r="N29" i="1"/>
  <c r="B29" i="1"/>
  <c r="L29" i="1" s="1"/>
  <c r="F29" i="1" s="1"/>
  <c r="R28" i="1"/>
  <c r="P28" i="1"/>
  <c r="N28" i="1"/>
  <c r="L28" i="1"/>
  <c r="F28" i="1" s="1"/>
  <c r="R27" i="1"/>
  <c r="P27" i="1"/>
  <c r="N27" i="1"/>
  <c r="B27" i="1"/>
  <c r="L27" i="1" s="1"/>
  <c r="F27" i="1" s="1"/>
  <c r="R26" i="1"/>
  <c r="P26" i="1"/>
  <c r="N26" i="1"/>
  <c r="L26" i="1"/>
  <c r="F26" i="1" s="1"/>
  <c r="R25" i="1"/>
  <c r="P25" i="1"/>
  <c r="N25" i="1"/>
  <c r="B25" i="1"/>
  <c r="L25" i="1" s="1"/>
  <c r="F25" i="1" s="1"/>
  <c r="R24" i="1"/>
  <c r="P24" i="1"/>
  <c r="N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K22" i="1"/>
  <c r="B22" i="1"/>
  <c r="R21" i="1"/>
  <c r="P21" i="1"/>
  <c r="N21" i="1"/>
  <c r="K21" i="1"/>
  <c r="B21" i="1"/>
  <c r="L21" i="1" s="1"/>
  <c r="F21" i="1" s="1"/>
  <c r="R20" i="1"/>
  <c r="P20" i="1"/>
  <c r="N20" i="1"/>
  <c r="L20" i="1"/>
  <c r="F20" i="1" s="1"/>
  <c r="B20" i="1"/>
  <c r="R19" i="1"/>
  <c r="P19" i="1"/>
  <c r="N19" i="1"/>
  <c r="B19" i="1"/>
  <c r="L19" i="1" s="1"/>
  <c r="F19" i="1" s="1"/>
  <c r="R18" i="1"/>
  <c r="P18" i="1"/>
  <c r="N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K16" i="1"/>
  <c r="B16" i="1"/>
  <c r="R15" i="1"/>
  <c r="P15" i="1"/>
  <c r="N15" i="1"/>
  <c r="K15" i="1"/>
  <c r="B15" i="1"/>
  <c r="R14" i="1"/>
  <c r="P14" i="1"/>
  <c r="N14" i="1"/>
  <c r="B14" i="1"/>
  <c r="L14" i="1" s="1"/>
  <c r="F14" i="1" s="1"/>
  <c r="R13" i="1"/>
  <c r="P13" i="1"/>
  <c r="N13" i="1"/>
  <c r="B13" i="1"/>
  <c r="L13" i="1" s="1"/>
  <c r="F13" i="1" s="1"/>
  <c r="R12" i="1"/>
  <c r="P12" i="1"/>
  <c r="N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K10" i="1"/>
  <c r="B10" i="1"/>
  <c r="R9" i="1"/>
  <c r="P9" i="1"/>
  <c r="N9" i="1"/>
  <c r="B9" i="1"/>
  <c r="L9" i="1" s="1"/>
  <c r="F9" i="1" s="1"/>
  <c r="R8" i="1"/>
  <c r="P8" i="1"/>
  <c r="N8" i="1"/>
  <c r="K8" i="1"/>
  <c r="B8" i="1"/>
  <c r="L8" i="1" s="1"/>
  <c r="F8" i="1" s="1"/>
  <c r="R7" i="1"/>
  <c r="P7" i="1"/>
  <c r="N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B7" i="1"/>
  <c r="L7" i="1" s="1"/>
  <c r="F7" i="1" s="1"/>
  <c r="R6" i="1"/>
  <c r="P6" i="1"/>
  <c r="N6" i="1"/>
  <c r="K6" i="1"/>
  <c r="B6" i="1"/>
  <c r="L6" i="1" s="1"/>
  <c r="F6" i="1" s="1"/>
  <c r="L10" i="1" l="1"/>
  <c r="F10" i="1" s="1"/>
  <c r="L33" i="1"/>
  <c r="F33" i="1" s="1"/>
  <c r="L116" i="1"/>
  <c r="F116" i="1" s="1"/>
  <c r="L166" i="1"/>
  <c r="F166" i="1" s="1"/>
  <c r="L216" i="1"/>
  <c r="F216" i="1" s="1"/>
  <c r="L225" i="1"/>
  <c r="F225" i="1" s="1"/>
  <c r="L248" i="1"/>
  <c r="F248" i="1" s="1"/>
  <c r="L298" i="1"/>
  <c r="F298" i="1" s="1"/>
  <c r="L15" i="1"/>
  <c r="F15" i="1" s="1"/>
  <c r="L150" i="1"/>
  <c r="F150" i="1" s="1"/>
  <c r="L178" i="1"/>
  <c r="F178" i="1" s="1"/>
  <c r="L278" i="1"/>
  <c r="F278" i="1" s="1"/>
  <c r="L299" i="1"/>
  <c r="F299" i="1" s="1"/>
  <c r="L16" i="1"/>
  <c r="F16" i="1" s="1"/>
  <c r="L22" i="1"/>
  <c r="F22" i="1" s="1"/>
  <c r="L122" i="1"/>
  <c r="F122" i="1" s="1"/>
  <c r="L208" i="1"/>
  <c r="F208" i="1" s="1"/>
  <c r="L242" i="1"/>
  <c r="F242" i="1" s="1"/>
  <c r="L254" i="1"/>
  <c r="F254" i="1" s="1"/>
  <c r="L266" i="1"/>
  <c r="F266" i="1" s="1"/>
  <c r="L272" i="1"/>
  <c r="F272" i="1" s="1"/>
  <c r="L300" i="1"/>
  <c r="F300" i="1" s="1"/>
  <c r="L34" i="1"/>
  <c r="F34" i="1" s="1"/>
  <c r="L99" i="1"/>
  <c r="F99" i="1" s="1"/>
  <c r="L103" i="1"/>
  <c r="F103" i="1" s="1"/>
  <c r="L70" i="1"/>
  <c r="F70" i="1" s="1"/>
  <c r="L101" i="1"/>
  <c r="F101" i="1" s="1"/>
  <c r="L105" i="1"/>
  <c r="F105" i="1" s="1"/>
  <c r="L196" i="1"/>
  <c r="F196" i="1" s="1"/>
  <c r="L189" i="1"/>
  <c r="F189" i="1" s="1"/>
  <c r="L197" i="1"/>
  <c r="F197" i="1" s="1"/>
  <c r="L262" i="1"/>
  <c r="F262" i="1" s="1"/>
</calcChain>
</file>

<file path=xl/sharedStrings.xml><?xml version="1.0" encoding="utf-8"?>
<sst xmlns="http://schemas.openxmlformats.org/spreadsheetml/2006/main" count="1018" uniqueCount="394">
  <si>
    <t>Bahria Town (Pvt) Ltd. Lahore</t>
  </si>
  <si>
    <t>Electricity Meter Reading Sheet April-2025</t>
  </si>
  <si>
    <t>Takbeer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</si>
  <si>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</si>
  <si>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</si>
  <si>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</si>
  <si>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</si>
  <si>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</si>
  <si>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</si>
  <si>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</si>
  <si>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</si>
  <si>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</si>
  <si>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</si>
  <si>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</si>
  <si>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</si>
  <si>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</si>
  <si>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</si>
  <si>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BTL-17695</t>
  </si>
  <si>
    <t>Residential</t>
  </si>
  <si>
    <t>BTL-20167</t>
  </si>
  <si>
    <t>BTL-11196</t>
  </si>
  <si>
    <t>BTL-13189</t>
  </si>
  <si>
    <t>8-A</t>
  </si>
  <si>
    <t>BTL-11197</t>
  </si>
  <si>
    <t>8-B</t>
  </si>
  <si>
    <t>BTL-11198</t>
  </si>
  <si>
    <t>BTL-14360</t>
  </si>
  <si>
    <t>BTL-23890</t>
  </si>
  <si>
    <t>BTL-33069</t>
  </si>
  <si>
    <t>BTL-21469</t>
  </si>
  <si>
    <t>BTL-12714</t>
  </si>
  <si>
    <t>BTL-11199</t>
  </si>
  <si>
    <t>BTL-30606</t>
  </si>
  <si>
    <t>22 (2nd Meter)</t>
  </si>
  <si>
    <t>BTL-19031</t>
  </si>
  <si>
    <t>BTL-23082</t>
  </si>
  <si>
    <t>BTL-19204</t>
  </si>
  <si>
    <t>BTL-11200</t>
  </si>
  <si>
    <t>BTL-21627</t>
  </si>
  <si>
    <t>BTL-16637</t>
  </si>
  <si>
    <t>BTL-22067</t>
  </si>
  <si>
    <t>BTL-21115</t>
  </si>
  <si>
    <t>31-B</t>
  </si>
  <si>
    <t>BTL-30605</t>
  </si>
  <si>
    <t>31-C</t>
  </si>
  <si>
    <t>BTL-12675</t>
  </si>
  <si>
    <t>31-D</t>
  </si>
  <si>
    <t>BTL-18786</t>
  </si>
  <si>
    <t>31-D (2ND METER)</t>
  </si>
  <si>
    <t>BTL-11907</t>
  </si>
  <si>
    <t>31-E</t>
  </si>
  <si>
    <t>BTL-28012</t>
  </si>
  <si>
    <t>31 (2ND METER)</t>
  </si>
  <si>
    <t>BTL-11508</t>
  </si>
  <si>
    <t>31-A</t>
  </si>
  <si>
    <t>BTL-13974</t>
  </si>
  <si>
    <t>BTL-20937</t>
  </si>
  <si>
    <t>BTL-20279</t>
  </si>
  <si>
    <t>BTL-23893</t>
  </si>
  <si>
    <t>35 (2nd METER)</t>
  </si>
  <si>
    <t>BTL-16031</t>
  </si>
  <si>
    <t>BTL-33070</t>
  </si>
  <si>
    <t>BTL-10960</t>
  </si>
  <si>
    <t>BTL-32107</t>
  </si>
  <si>
    <t>BTL-10961</t>
  </si>
  <si>
    <t>BTL-13923</t>
  </si>
  <si>
    <t>BTL-11201</t>
  </si>
  <si>
    <t>BTL-10962</t>
  </si>
  <si>
    <t>BTL-11718</t>
  </si>
  <si>
    <t>BTL-25489</t>
  </si>
  <si>
    <t>BTL-32366</t>
  </si>
  <si>
    <t>BTL-11202</t>
  </si>
  <si>
    <t>BTL-11382</t>
  </si>
  <si>
    <t>BTL-15554</t>
  </si>
  <si>
    <t>BTL-11203</t>
  </si>
  <si>
    <t>BTL-10963</t>
  </si>
  <si>
    <t>BTL-16738</t>
  </si>
  <si>
    <t>BTL-12174</t>
  </si>
  <si>
    <t>BTL-18388</t>
  </si>
  <si>
    <t>BTL-29970</t>
  </si>
  <si>
    <t>BTL-10964</t>
  </si>
  <si>
    <t>BTL-11303</t>
  </si>
  <si>
    <t>BTL-20261</t>
  </si>
  <si>
    <t>BTL-11327</t>
  </si>
  <si>
    <t>BTL-15596</t>
  </si>
  <si>
    <t>BTL-10965</t>
  </si>
  <si>
    <t>BTL-11328</t>
  </si>
  <si>
    <t>BTL-16850</t>
  </si>
  <si>
    <t>BTL-10966</t>
  </si>
  <si>
    <t>BTL-18525</t>
  </si>
  <si>
    <t>BTL-11383</t>
  </si>
  <si>
    <t>BTL-26296</t>
  </si>
  <si>
    <t>BTL-10967</t>
  </si>
  <si>
    <t>BTL-13040</t>
  </si>
  <si>
    <t>BTL-10968</t>
  </si>
  <si>
    <t>BTL-11440</t>
  </si>
  <si>
    <t>BTL-11908</t>
  </si>
  <si>
    <t>BTL-10969</t>
  </si>
  <si>
    <t>BTL-15749</t>
  </si>
  <si>
    <t>BTL-11204</t>
  </si>
  <si>
    <t>BTL-24610</t>
  </si>
  <si>
    <t>BTL-14920</t>
  </si>
  <si>
    <t>BTL-26844</t>
  </si>
  <si>
    <t>BTL-15798</t>
  </si>
  <si>
    <t>BTL-14288</t>
  </si>
  <si>
    <t>BTL-28885</t>
  </si>
  <si>
    <t>BTL-19839</t>
  </si>
  <si>
    <t>BTL-14036</t>
  </si>
  <si>
    <t>BTL-13123</t>
  </si>
  <si>
    <t>BTL-13643</t>
  </si>
  <si>
    <t>BTL-12551</t>
  </si>
  <si>
    <t>BTL-25852</t>
  </si>
  <si>
    <t>BTL-21332</t>
  </si>
  <si>
    <t>112-C</t>
  </si>
  <si>
    <t>BTL-20161</t>
  </si>
  <si>
    <t>112-D</t>
  </si>
  <si>
    <t>BTL-21107</t>
  </si>
  <si>
    <t>112-E</t>
  </si>
  <si>
    <t>BTL-21108</t>
  </si>
  <si>
    <t>112-G</t>
  </si>
  <si>
    <t>BTL-13535</t>
  </si>
  <si>
    <t>112-I</t>
  </si>
  <si>
    <t>BTL-24272</t>
  </si>
  <si>
    <t>112-J</t>
  </si>
  <si>
    <t>BTL-18180</t>
  </si>
  <si>
    <t>112-K</t>
  </si>
  <si>
    <t>BTL-18978</t>
  </si>
  <si>
    <t>112-N</t>
  </si>
  <si>
    <t>BTL-13539</t>
  </si>
  <si>
    <t>112-O</t>
  </si>
  <si>
    <t>BTL-15623</t>
  </si>
  <si>
    <t>112-A</t>
  </si>
  <si>
    <t>BTL-15625</t>
  </si>
  <si>
    <t>112-B</t>
  </si>
  <si>
    <t>BTL-19676</t>
  </si>
  <si>
    <t>112-F</t>
  </si>
  <si>
    <t>BTL-16750</t>
  </si>
  <si>
    <t>112-M</t>
  </si>
  <si>
    <t>BTL-15643</t>
  </si>
  <si>
    <t>112-P</t>
  </si>
  <si>
    <t>BTL-15606</t>
  </si>
  <si>
    <t>112-Q</t>
  </si>
  <si>
    <t>BTL-14851</t>
  </si>
  <si>
    <t>112-R</t>
  </si>
  <si>
    <t>BTL-20168</t>
  </si>
  <si>
    <t>112-S</t>
  </si>
  <si>
    <t>BTL-20681</t>
  </si>
  <si>
    <t>BTL-14822</t>
  </si>
  <si>
    <t>BTL-20536</t>
  </si>
  <si>
    <t>BTL-12552</t>
  </si>
  <si>
    <t>BTL-19293</t>
  </si>
  <si>
    <t>BTL-11384</t>
  </si>
  <si>
    <t>BTL-11205</t>
  </si>
  <si>
    <t>BTL-27456</t>
  </si>
  <si>
    <t>BTL-15833</t>
  </si>
  <si>
    <t>BTL-27419</t>
  </si>
  <si>
    <t>BTL-17697</t>
  </si>
  <si>
    <t>BTL-14563</t>
  </si>
  <si>
    <t>BTL-11206</t>
  </si>
  <si>
    <t>BTL-16467</t>
  </si>
  <si>
    <t>BTL-12784</t>
  </si>
  <si>
    <t>BTL-11909</t>
  </si>
  <si>
    <t>BTL-22932</t>
  </si>
  <si>
    <t>BTL-26600</t>
  </si>
  <si>
    <t>BTL-11493</t>
  </si>
  <si>
    <t>BTL-15989</t>
  </si>
  <si>
    <t>BTL-19069</t>
  </si>
  <si>
    <t>BTL-27493</t>
  </si>
  <si>
    <t>BTL-10970</t>
  </si>
  <si>
    <t>BTL-13658</t>
  </si>
  <si>
    <t>BTL-11207</t>
  </si>
  <si>
    <t>BTL-11683</t>
  </si>
  <si>
    <t>BTL-25636</t>
  </si>
  <si>
    <t>BTL-12406</t>
  </si>
  <si>
    <t>BTL-11783</t>
  </si>
  <si>
    <t>BTL-11329</t>
  </si>
  <si>
    <t>BTL-12676</t>
  </si>
  <si>
    <t>BTL-25018</t>
  </si>
  <si>
    <t>BTL-10971</t>
  </si>
  <si>
    <t>BTL-17251</t>
  </si>
  <si>
    <t>BTL-11208</t>
  </si>
  <si>
    <t>BTL-18940</t>
  </si>
  <si>
    <t>BTL-10972</t>
  </si>
  <si>
    <t>BTL-10973</t>
  </si>
  <si>
    <t>BTL-11209</t>
  </si>
  <si>
    <t>BTL-11210</t>
  </si>
  <si>
    <t>BTL-11385</t>
  </si>
  <si>
    <t>BTL-12971</t>
  </si>
  <si>
    <t>BTL-12677</t>
  </si>
  <si>
    <t>BTL-25578</t>
  </si>
  <si>
    <t>BTL-12678</t>
  </si>
  <si>
    <t>BTL-14956</t>
  </si>
  <si>
    <t>BTL-11770</t>
  </si>
  <si>
    <t>BTL-17586</t>
  </si>
  <si>
    <t>BTL-28683</t>
  </si>
  <si>
    <t>BTL-14689</t>
  </si>
  <si>
    <t>BTL-11211</t>
  </si>
  <si>
    <t>BTL-12553</t>
  </si>
  <si>
    <t>BTL-18354</t>
  </si>
  <si>
    <t>BTL-12600</t>
  </si>
  <si>
    <t>BTL-24368</t>
  </si>
  <si>
    <t>BTL-13571</t>
  </si>
  <si>
    <t>BTL-12115</t>
  </si>
  <si>
    <t>BTL-14705</t>
  </si>
  <si>
    <t>BTL-11212</t>
  </si>
  <si>
    <t>BTL-10974</t>
  </si>
  <si>
    <t>BTL-24086</t>
  </si>
  <si>
    <t>BTL-20153</t>
  </si>
  <si>
    <t>BTL-12554</t>
  </si>
  <si>
    <t>BTL-10975</t>
  </si>
  <si>
    <t>BTL-11213</t>
  </si>
  <si>
    <t>BTL-23672</t>
  </si>
  <si>
    <t>BTL-12091</t>
  </si>
  <si>
    <t>BTL-11252</t>
  </si>
  <si>
    <t>BTL-27135</t>
  </si>
  <si>
    <t>BTL-18331</t>
  </si>
  <si>
    <t>BTL-20309</t>
  </si>
  <si>
    <t>BTL-13874</t>
  </si>
  <si>
    <t>BTL-14361</t>
  </si>
  <si>
    <t>BTL-11214</t>
  </si>
  <si>
    <t>BTL-18547</t>
  </si>
  <si>
    <t>BTL-11215</t>
  </si>
  <si>
    <t>BTL-26954</t>
  </si>
  <si>
    <t>BTL-21518</t>
  </si>
  <si>
    <t>BTL-11216</t>
  </si>
  <si>
    <t>BTL-11553</t>
  </si>
  <si>
    <t>BTL-18178</t>
  </si>
  <si>
    <t>BTL-17387</t>
  </si>
  <si>
    <t>BTL-11441</t>
  </si>
  <si>
    <t>BTL-14055</t>
  </si>
  <si>
    <t>BTL-12175</t>
  </si>
  <si>
    <t>BTL-10976</t>
  </si>
  <si>
    <t>BTL-16147</t>
  </si>
  <si>
    <t>BTL-26087</t>
  </si>
  <si>
    <t>BTL-18436</t>
  </si>
  <si>
    <t>BTL-21664</t>
  </si>
  <si>
    <t>BTL-13508</t>
  </si>
  <si>
    <t>BTL-10977</t>
  </si>
  <si>
    <t>BTL-16543</t>
  </si>
  <si>
    <t>BTL-27692</t>
  </si>
  <si>
    <t>BTL-11217</t>
  </si>
  <si>
    <t>BTL-13431</t>
  </si>
  <si>
    <t>BTL-31161</t>
  </si>
  <si>
    <t>BTL-33485</t>
  </si>
  <si>
    <t>BTL-16015</t>
  </si>
  <si>
    <t>BTL-23134</t>
  </si>
  <si>
    <t>BTL-19243</t>
  </si>
  <si>
    <t>BTL-18179</t>
  </si>
  <si>
    <t>BTL-21731</t>
  </si>
  <si>
    <t>BTL-14891</t>
  </si>
  <si>
    <t>BTL-20050</t>
  </si>
  <si>
    <t>BTL-12601</t>
  </si>
  <si>
    <t>BTL-12407</t>
  </si>
  <si>
    <t>BTL-12785</t>
  </si>
  <si>
    <t>BTL-18665</t>
  </si>
  <si>
    <t>BTL-11784</t>
  </si>
  <si>
    <t>BTL-15103</t>
  </si>
  <si>
    <t>BTL-10978</t>
  </si>
  <si>
    <t>BTL-10979</t>
  </si>
  <si>
    <t>BTL-11218</t>
  </si>
  <si>
    <t>BTL-23495</t>
  </si>
  <si>
    <t>BTL-11219</t>
  </si>
  <si>
    <t>BTL-24317</t>
  </si>
  <si>
    <t>BTL-11741</t>
  </si>
  <si>
    <t>BTL-13786</t>
  </si>
  <si>
    <t>BTL-11220</t>
  </si>
  <si>
    <t>BTL-13814</t>
  </si>
  <si>
    <t>BTL-11304</t>
  </si>
  <si>
    <t>BTL-19584</t>
  </si>
  <si>
    <t>BTL-13722</t>
  </si>
  <si>
    <t>BTL-20740</t>
  </si>
  <si>
    <t>BTL-23543</t>
  </si>
  <si>
    <t>BTL-13432</t>
  </si>
  <si>
    <t>BTL-10980</t>
  </si>
  <si>
    <t>BTL-12786</t>
  </si>
  <si>
    <t>BTL-12478</t>
  </si>
  <si>
    <t>BTL-11256</t>
  </si>
  <si>
    <t>BTL-11221</t>
  </si>
  <si>
    <t>BTL-23822</t>
  </si>
  <si>
    <t>BTL-12602</t>
  </si>
  <si>
    <t>BTL-12479</t>
  </si>
  <si>
    <t>BTL-15577</t>
  </si>
  <si>
    <t>BTL-11386</t>
  </si>
  <si>
    <t>BTL-28422</t>
  </si>
  <si>
    <t>BTL-18177</t>
  </si>
  <si>
    <t>BTL-13041</t>
  </si>
  <si>
    <t>BTL-23907</t>
  </si>
  <si>
    <t>BTL-15034</t>
  </si>
  <si>
    <t>BTL-22590</t>
  </si>
  <si>
    <t>BTL-13509</t>
  </si>
  <si>
    <t>BTL-12603</t>
  </si>
  <si>
    <t>BTL-31689</t>
  </si>
  <si>
    <t>BTL-10981</t>
  </si>
  <si>
    <t>BTL-11222</t>
  </si>
  <si>
    <t>BTL-14422</t>
  </si>
  <si>
    <t>BTL-28466</t>
  </si>
  <si>
    <t>BTL-17826</t>
  </si>
  <si>
    <t>BTL-19301</t>
  </si>
  <si>
    <t>BTL-11187</t>
  </si>
  <si>
    <t>BTL-14281</t>
  </si>
  <si>
    <t>BTL-11223</t>
  </si>
  <si>
    <t>BTL-11769</t>
  </si>
  <si>
    <t>BTL-12116</t>
  </si>
  <si>
    <t>BTL-14762</t>
  </si>
  <si>
    <t>BTL-20229</t>
  </si>
  <si>
    <t>BTL-10982</t>
  </si>
  <si>
    <t>BTL-17696</t>
  </si>
  <si>
    <t>BTL-16014</t>
  </si>
  <si>
    <t>BTL-19994</t>
  </si>
  <si>
    <t>BTL-13810</t>
  </si>
  <si>
    <t>BTL-12408</t>
  </si>
  <si>
    <t>BTL-18109</t>
  </si>
  <si>
    <t>BTL-11224</t>
  </si>
  <si>
    <t>BTL-12787</t>
  </si>
  <si>
    <t>BTL-11587</t>
  </si>
  <si>
    <t>BTL-12281</t>
  </si>
  <si>
    <t>BTL-21303</t>
  </si>
  <si>
    <t>BTL-11910</t>
  </si>
  <si>
    <t>BTL-19675</t>
  </si>
  <si>
    <t>BTL-11159</t>
  </si>
  <si>
    <t>01-02-SHOP</t>
  </si>
  <si>
    <t>Commercial</t>
  </si>
  <si>
    <t>BTL-11160</t>
  </si>
  <si>
    <t>03-SHOP</t>
  </si>
  <si>
    <t>BTL-11161</t>
  </si>
  <si>
    <t>04-SHOP</t>
  </si>
  <si>
    <t>BTL-14097</t>
  </si>
  <si>
    <t>05-SHOP</t>
  </si>
  <si>
    <t>BTL-11162</t>
  </si>
  <si>
    <t>06-SHOP</t>
  </si>
  <si>
    <t>BTL-11163</t>
  </si>
  <si>
    <t>07,08-SHOP</t>
  </si>
  <si>
    <t>BTL-11164</t>
  </si>
  <si>
    <t>09-SHOP</t>
  </si>
  <si>
    <t>BTL-11165</t>
  </si>
  <si>
    <t>10-SHOP</t>
  </si>
  <si>
    <t>BTL-11166</t>
  </si>
  <si>
    <t>11-SHOP</t>
  </si>
  <si>
    <t>BTL-33522</t>
  </si>
  <si>
    <t>BAHRIA CINE CINEMA (NEAR H-180)</t>
  </si>
  <si>
    <t>BTL-33521</t>
  </si>
  <si>
    <t>BAHRIA HOSPITAL (NEAR TAKBEER GATE)</t>
  </si>
  <si>
    <t>BTL-33690</t>
  </si>
  <si>
    <t>FR00</t>
  </si>
  <si>
    <t>BILL OF 250 BOOSTER (SAFARI NORTH GATE)</t>
  </si>
  <si>
    <t>BTL-33520</t>
  </si>
  <si>
    <t>HOSPITAL ROUND ABOUT (NEAR HOUSE-3)</t>
  </si>
  <si>
    <t>BTL-31716</t>
  </si>
  <si>
    <t>HOSPITAL SITE</t>
  </si>
  <si>
    <t>BTL-14569</t>
  </si>
  <si>
    <t>HOSPITAL (New Builiding)</t>
  </si>
  <si>
    <t>BTL-20097</t>
  </si>
  <si>
    <t>HOSPITAL (New Builiding) 2NDMETER</t>
  </si>
  <si>
    <t>BTL-11155</t>
  </si>
  <si>
    <t>PTCL EXCHANGE</t>
  </si>
  <si>
    <t>BTL-23843</t>
  </si>
  <si>
    <t>TELENOR TOWER</t>
  </si>
  <si>
    <t>BTL-13894</t>
  </si>
  <si>
    <t>ZONG TOWER</t>
  </si>
  <si>
    <t>BTL-12670</t>
  </si>
  <si>
    <t>HOSPITAL</t>
  </si>
  <si>
    <t>BTL-21942</t>
  </si>
  <si>
    <t>NURSING SCHOO</t>
  </si>
  <si>
    <t>BTL-18582</t>
  </si>
  <si>
    <t>PARKING PLAZA</t>
  </si>
  <si>
    <t>BTL-21391</t>
  </si>
  <si>
    <t>100' LIGHT NEAR H-02</t>
  </si>
  <si>
    <t>Bahria Self Consumption</t>
  </si>
  <si>
    <t>BTL-21388</t>
  </si>
  <si>
    <t>ACCOMODATION NEAR -193</t>
  </si>
  <si>
    <t>BTL-13312</t>
  </si>
  <si>
    <t>DISPOSAL NR 112-I</t>
  </si>
  <si>
    <t>BTL-13206</t>
  </si>
  <si>
    <t>MAIN STORE NR 164</t>
  </si>
  <si>
    <t>BTL-13518</t>
  </si>
  <si>
    <t>PARK NR 248</t>
  </si>
  <si>
    <t>BTL-13617</t>
  </si>
  <si>
    <t>PARK NR (H-113)</t>
  </si>
  <si>
    <t>BTL-30186</t>
  </si>
  <si>
    <t>RAIN DISPOSAL NR PTCL</t>
  </si>
  <si>
    <t>BTL-23989</t>
  </si>
  <si>
    <t>SECURITY CHECK POST (H-218)</t>
  </si>
  <si>
    <t>BTL-13252</t>
  </si>
  <si>
    <t>SLP NR (H-233)</t>
  </si>
  <si>
    <t>BTL-13253</t>
  </si>
  <si>
    <t>SLP NR (H-323)</t>
  </si>
  <si>
    <t>BTL-13251</t>
  </si>
  <si>
    <t>SLP NR (H-85)</t>
  </si>
  <si>
    <t>BTL-17503</t>
  </si>
  <si>
    <t>SLP NR (HOSPITAL)</t>
  </si>
  <si>
    <t>BTL-21422</t>
  </si>
  <si>
    <t>SPRINKLER NR (H-33)</t>
  </si>
  <si>
    <t>BTL-13311</t>
  </si>
  <si>
    <t>WATER TANK NR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</si>
</sst>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9" fillId="5" borderId="0" xfId="0" applyFont="1" applyFill="1"/>
    <xf numFmtId="0" fontId="9" fillId="0" borderId="0" xfId="0" applyFont="1"/>
    <xf numFmtId="0" fontId="19" fillId="4" borderId="0" xfId="0" applyFont="1" applyFill="1" applyAlignment="1">
      <alignment horizontal="left" wrapText="1"/>
    </xf>
    <xf numFmtId="0" fontId="0" fillId="8" borderId="0" xfId="0" applyFill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317"/>
  <sheetViews>
    <sheetView tabSelected="1" view="pageBreakPreview" topLeftCell="A55" zoomScaleSheetLayoutView="100" workbookViewId="0">
      <selection activeCell="B63" sqref="B63"/>
    </sheetView>
  </sheetViews>
  <sheetFormatPr defaultRowHeight="15.75" x14ac:dyDescent="0.25"/>
  <cols>
    <col min="1" max="1" width="11.28515625" style="28" customWidth="1"/>
    <col min="7" max="7" width="4.28515625" style="29" customWidth="1"/>
    <col min="8" max="8" width="14.85546875" style="30" bestFit="1" customWidth="1"/>
    <col min="9" max="9" width="14.7109375" style="31" customWidth="1"/>
    <col min="10" max="10" width="8.5703125" customWidth="1"/>
    <col min="11" max="11" width="7.7109375" style="32" customWidth="1"/>
    <col min="12" max="12" width="13" customWidth="1"/>
    <col min="13" max="13" width="7.7109375" style="33" customWidth="1"/>
    <col min="14" max="14" width="13" customWidth="1"/>
    <col min="15" max="15" width="7.7109375" style="33" customWidth="1"/>
    <col min="16" max="16" width="13" customWidth="1"/>
    <col min="17" max="17" width="7.7109375" style="34" customWidth="1"/>
    <col min="18" max="18" width="13" customWidth="1"/>
    <col min="19" max="19" width="14.140625" style="35" customWidth="1"/>
    <col min="20" max="20" width="11.28515625" style="28" customWidth="1"/>
  </cols>
  <sheetData>
    <row r="1" spans="1:20" ht="31.5" customHeight="1" x14ac:dyDescent="0.25">
      <c r="A1"/>
      <c r="G1" s="39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9.25" customHeight="1" thickBot="1" x14ac:dyDescent="0.3">
      <c r="A2"/>
      <c r="G2" s="40" t="s">
        <v>1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1" t="s">
        <v>4</v>
      </c>
      <c r="H4" s="43" t="s">
        <v>5</v>
      </c>
      <c r="I4" s="45" t="s">
        <v>6</v>
      </c>
      <c r="J4" s="47" t="s">
        <v>7</v>
      </c>
      <c r="K4" s="49" t="s">
        <v>8</v>
      </c>
      <c r="L4" s="50"/>
      <c r="M4" s="51" t="s">
        <v>9</v>
      </c>
      <c r="N4" s="49"/>
      <c r="O4" s="52" t="s">
        <v>10</v>
      </c>
      <c r="P4" s="53"/>
      <c r="Q4" s="52" t="s">
        <v>11</v>
      </c>
      <c r="R4" s="54"/>
      <c r="S4" s="37" t="s">
        <v>12</v>
      </c>
      <c r="T4" s="38"/>
    </row>
    <row r="5" spans="1:20" ht="31.5" customHeight="1" thickBot="1" x14ac:dyDescent="0.3">
      <c r="A5" s="13" t="s">
        <v>13</v>
      </c>
      <c r="G5" s="42"/>
      <c r="H5" s="44" t="s">
        <v>5</v>
      </c>
      <c r="I5" s="46" t="s">
        <v>6</v>
      </c>
      <c r="J5" s="48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24432</v>
      </c>
      <c r="C6">
        <v>5114</v>
      </c>
      <c r="D6">
        <v>19318</v>
      </c>
      <c r="E6">
        <v>11770</v>
      </c>
      <c r="F6">
        <f>L6</f>
        <v>1112</v>
      </c>
      <c r="G6" s="20">
        <v>1</v>
      </c>
      <c r="H6" s="21">
        <v>99723060130</v>
      </c>
      <c r="I6" s="22">
        <v>5</v>
      </c>
      <c r="J6" s="23"/>
      <c r="K6" s="24">
        <f>M6+O6</f>
        <v>23320</v>
      </c>
      <c r="L6" s="23">
        <f t="shared" ref="L6:L69" si="0">B6-K6</f>
        <v>1112</v>
      </c>
      <c r="M6" s="24">
        <v>4874</v>
      </c>
      <c r="N6" s="25">
        <f t="shared" ref="N6:N69" si="1">C6-M6</f>
        <v>240</v>
      </c>
      <c r="O6" s="24">
        <v>18446</v>
      </c>
      <c r="P6" s="23">
        <f t="shared" ref="P6:P69" si="2">D6-O6</f>
        <v>872</v>
      </c>
      <c r="Q6" s="26">
        <v>10981</v>
      </c>
      <c r="R6" s="23">
        <f t="shared" ref="R6:R69" si="3">E6-Q6</f>
        <v>789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ref="B7:B70" si="4">C7+D7</f>
        <v>3189</v>
      </c>
      <c r="C7">
        <v>500</v>
      </c>
      <c r="D7">
        <v>2689</v>
      </c>
      <c r="F7">
        <f t="shared" ref="F7:F70" si="5">L7</f>
        <v>5</v>
      </c>
      <c r="G7" s="20">
        <f>G6+1</f>
        <v>2</v>
      </c>
      <c r="H7" s="21">
        <v>66616031412</v>
      </c>
      <c r="I7" s="22">
        <v>6</v>
      </c>
      <c r="J7" s="23"/>
      <c r="K7" s="24">
        <v>3184</v>
      </c>
      <c r="L7" s="23">
        <f t="shared" si="0"/>
        <v>5</v>
      </c>
      <c r="M7" s="24">
        <v>499</v>
      </c>
      <c r="N7" s="25">
        <f t="shared" si="1"/>
        <v>1</v>
      </c>
      <c r="O7" s="24">
        <v>2685</v>
      </c>
      <c r="P7" s="23">
        <f t="shared" si="2"/>
        <v>4</v>
      </c>
      <c r="Q7" s="26"/>
      <c r="R7" s="23">
        <f t="shared" si="3"/>
        <v>0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si="4"/>
        <v>24852</v>
      </c>
      <c r="C8">
        <v>6165</v>
      </c>
      <c r="D8">
        <v>18687</v>
      </c>
      <c r="E8">
        <v>21507</v>
      </c>
      <c r="F8">
        <f t="shared" si="5"/>
        <v>568</v>
      </c>
      <c r="G8" s="20">
        <f t="shared" ref="G8:G71" si="6">G7+1</f>
        <v>3</v>
      </c>
      <c r="H8" s="21">
        <v>99722030003</v>
      </c>
      <c r="I8" s="22">
        <v>7</v>
      </c>
      <c r="J8" s="23"/>
      <c r="K8" s="24">
        <f>M8+O8</f>
        <v>24284</v>
      </c>
      <c r="L8" s="23">
        <f t="shared" si="0"/>
        <v>568</v>
      </c>
      <c r="M8" s="24">
        <v>6000</v>
      </c>
      <c r="N8" s="25">
        <f t="shared" si="1"/>
        <v>165</v>
      </c>
      <c r="O8" s="24">
        <v>18284</v>
      </c>
      <c r="P8" s="23">
        <f t="shared" si="2"/>
        <v>403</v>
      </c>
      <c r="Q8" s="26">
        <v>20514</v>
      </c>
      <c r="R8" s="23">
        <f t="shared" si="3"/>
        <v>993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4"/>
        <v>31736</v>
      </c>
      <c r="C9">
        <v>5223</v>
      </c>
      <c r="D9">
        <v>26513</v>
      </c>
      <c r="F9">
        <f t="shared" si="5"/>
        <v>840</v>
      </c>
      <c r="G9" s="20">
        <f t="shared" si="6"/>
        <v>4</v>
      </c>
      <c r="H9" s="21">
        <v>88821020026</v>
      </c>
      <c r="I9" s="22" t="s">
        <v>22</v>
      </c>
      <c r="J9" s="23"/>
      <c r="K9" s="24">
        <v>30896</v>
      </c>
      <c r="L9" s="23">
        <f t="shared" si="0"/>
        <v>840</v>
      </c>
      <c r="M9" s="24">
        <v>5093</v>
      </c>
      <c r="N9" s="25">
        <f t="shared" si="1"/>
        <v>130</v>
      </c>
      <c r="O9" s="24">
        <v>25803</v>
      </c>
      <c r="P9" s="23">
        <f t="shared" si="2"/>
        <v>710</v>
      </c>
      <c r="Q9" s="26"/>
      <c r="R9" s="23">
        <f t="shared" si="3"/>
        <v>0</v>
      </c>
      <c r="S9" s="27" t="s">
        <v>18</v>
      </c>
      <c r="T9" s="19" t="s">
        <v>21</v>
      </c>
    </row>
    <row r="10" spans="1:20" ht="37.5" customHeight="1" x14ac:dyDescent="0.25">
      <c r="A10" s="19" t="s">
        <v>23</v>
      </c>
      <c r="B10">
        <f t="shared" si="4"/>
        <v>3049</v>
      </c>
      <c r="C10">
        <v>736</v>
      </c>
      <c r="D10">
        <v>2313</v>
      </c>
      <c r="E10">
        <v>4288</v>
      </c>
      <c r="F10">
        <f t="shared" si="5"/>
        <v>603</v>
      </c>
      <c r="G10" s="20">
        <f t="shared" si="6"/>
        <v>5</v>
      </c>
      <c r="H10" s="21">
        <v>99624040296</v>
      </c>
      <c r="I10" s="22" t="s">
        <v>24</v>
      </c>
      <c r="J10" s="23"/>
      <c r="K10" s="24">
        <f>M10+O10</f>
        <v>2446</v>
      </c>
      <c r="L10" s="23">
        <f t="shared" si="0"/>
        <v>603</v>
      </c>
      <c r="M10" s="24">
        <v>575</v>
      </c>
      <c r="N10" s="25">
        <f t="shared" si="1"/>
        <v>161</v>
      </c>
      <c r="O10" s="24">
        <v>1871</v>
      </c>
      <c r="P10" s="23">
        <f t="shared" si="2"/>
        <v>442</v>
      </c>
      <c r="Q10" s="26">
        <v>3318</v>
      </c>
      <c r="R10" s="23">
        <f t="shared" si="3"/>
        <v>970</v>
      </c>
      <c r="S10" s="27" t="s">
        <v>18</v>
      </c>
      <c r="T10" s="19" t="s">
        <v>23</v>
      </c>
    </row>
    <row r="11" spans="1:20" ht="37.5" customHeight="1" x14ac:dyDescent="0.25">
      <c r="A11" s="19" t="s">
        <v>25</v>
      </c>
      <c r="B11">
        <f t="shared" si="4"/>
        <v>55238</v>
      </c>
      <c r="C11">
        <v>9368</v>
      </c>
      <c r="D11">
        <v>45870</v>
      </c>
      <c r="F11">
        <f t="shared" si="5"/>
        <v>690</v>
      </c>
      <c r="G11" s="20">
        <f t="shared" si="6"/>
        <v>6</v>
      </c>
      <c r="H11" s="21">
        <v>66621010139</v>
      </c>
      <c r="I11" s="22">
        <v>12</v>
      </c>
      <c r="J11" s="23"/>
      <c r="K11" s="24">
        <v>54548</v>
      </c>
      <c r="L11" s="23">
        <f t="shared" si="0"/>
        <v>690</v>
      </c>
      <c r="M11" s="24">
        <v>9261</v>
      </c>
      <c r="N11" s="25">
        <f t="shared" si="1"/>
        <v>107</v>
      </c>
      <c r="O11" s="24">
        <v>45287</v>
      </c>
      <c r="P11" s="23">
        <f t="shared" si="2"/>
        <v>583</v>
      </c>
      <c r="Q11" s="26"/>
      <c r="R11" s="23">
        <f t="shared" si="3"/>
        <v>0</v>
      </c>
      <c r="S11" s="27" t="s">
        <v>18</v>
      </c>
      <c r="T11" s="19" t="s">
        <v>25</v>
      </c>
    </row>
    <row r="12" spans="1:20" ht="37.5" customHeight="1" x14ac:dyDescent="0.25">
      <c r="A12" s="19" t="s">
        <v>26</v>
      </c>
      <c r="B12">
        <f t="shared" si="4"/>
        <v>36622</v>
      </c>
      <c r="C12">
        <v>7256</v>
      </c>
      <c r="D12">
        <v>29366</v>
      </c>
      <c r="F12">
        <f t="shared" si="5"/>
        <v>648</v>
      </c>
      <c r="G12" s="20">
        <f t="shared" si="6"/>
        <v>7</v>
      </c>
      <c r="H12" s="21">
        <v>88821080316</v>
      </c>
      <c r="I12" s="22">
        <v>13</v>
      </c>
      <c r="J12" s="23"/>
      <c r="K12" s="24">
        <v>35974</v>
      </c>
      <c r="L12" s="23">
        <f t="shared" si="0"/>
        <v>648</v>
      </c>
      <c r="M12" s="24">
        <v>7133</v>
      </c>
      <c r="N12" s="25">
        <f t="shared" si="1"/>
        <v>123</v>
      </c>
      <c r="O12" s="24">
        <v>28841</v>
      </c>
      <c r="P12" s="23">
        <f t="shared" si="2"/>
        <v>525</v>
      </c>
      <c r="Q12" s="26"/>
      <c r="R12" s="23">
        <f t="shared" si="3"/>
        <v>0</v>
      </c>
      <c r="S12" s="27" t="s">
        <v>18</v>
      </c>
      <c r="T12" s="19" t="s">
        <v>26</v>
      </c>
    </row>
    <row r="13" spans="1:20" ht="37.5" customHeight="1" x14ac:dyDescent="0.25">
      <c r="A13" s="19" t="s">
        <v>27</v>
      </c>
      <c r="B13">
        <f t="shared" si="4"/>
        <v>40007</v>
      </c>
      <c r="C13">
        <v>7264</v>
      </c>
      <c r="D13">
        <v>32743</v>
      </c>
      <c r="F13">
        <f t="shared" si="5"/>
        <v>244</v>
      </c>
      <c r="G13" s="20">
        <f t="shared" si="6"/>
        <v>8</v>
      </c>
      <c r="H13" s="21">
        <v>88819050189</v>
      </c>
      <c r="I13" s="22">
        <v>15</v>
      </c>
      <c r="J13" s="23"/>
      <c r="K13" s="24">
        <v>39763</v>
      </c>
      <c r="L13" s="23">
        <f t="shared" si="0"/>
        <v>244</v>
      </c>
      <c r="M13" s="24">
        <v>6947</v>
      </c>
      <c r="N13" s="25">
        <f t="shared" si="1"/>
        <v>317</v>
      </c>
      <c r="O13" s="24">
        <v>31277</v>
      </c>
      <c r="P13" s="23">
        <f t="shared" si="2"/>
        <v>1466</v>
      </c>
      <c r="Q13" s="26"/>
      <c r="R13" s="23">
        <f t="shared" si="3"/>
        <v>0</v>
      </c>
      <c r="S13" s="27" t="s">
        <v>18</v>
      </c>
      <c r="T13" s="19" t="s">
        <v>27</v>
      </c>
    </row>
    <row r="14" spans="1:20" ht="37.5" customHeight="1" x14ac:dyDescent="0.25">
      <c r="A14" s="19" t="s">
        <v>28</v>
      </c>
      <c r="B14">
        <f t="shared" si="4"/>
        <v>26766</v>
      </c>
      <c r="C14">
        <v>3737</v>
      </c>
      <c r="D14">
        <v>23029</v>
      </c>
      <c r="F14">
        <f t="shared" si="5"/>
        <v>169</v>
      </c>
      <c r="G14" s="20">
        <f t="shared" si="6"/>
        <v>9</v>
      </c>
      <c r="H14" s="21">
        <v>88819020232</v>
      </c>
      <c r="I14" s="22">
        <v>16</v>
      </c>
      <c r="J14" s="23"/>
      <c r="K14" s="24">
        <v>26597</v>
      </c>
      <c r="L14" s="23">
        <f t="shared" si="0"/>
        <v>169</v>
      </c>
      <c r="M14" s="24">
        <v>3702</v>
      </c>
      <c r="N14" s="25">
        <f t="shared" si="1"/>
        <v>35</v>
      </c>
      <c r="O14" s="24">
        <v>22895</v>
      </c>
      <c r="P14" s="23">
        <f t="shared" si="2"/>
        <v>134</v>
      </c>
      <c r="Q14" s="26"/>
      <c r="R14" s="23">
        <f t="shared" si="3"/>
        <v>0</v>
      </c>
      <c r="S14" s="27" t="s">
        <v>18</v>
      </c>
      <c r="T14" s="19" t="s">
        <v>28</v>
      </c>
    </row>
    <row r="15" spans="1:20" ht="37.5" customHeight="1" x14ac:dyDescent="0.25">
      <c r="A15" s="19" t="s">
        <v>29</v>
      </c>
      <c r="B15">
        <f t="shared" si="4"/>
        <v>6619</v>
      </c>
      <c r="C15">
        <v>1917</v>
      </c>
      <c r="D15">
        <v>4702</v>
      </c>
      <c r="E15">
        <v>4319</v>
      </c>
      <c r="F15">
        <f t="shared" si="5"/>
        <v>1224</v>
      </c>
      <c r="G15" s="20">
        <f t="shared" si="6"/>
        <v>10</v>
      </c>
      <c r="H15" s="21">
        <v>99624040063</v>
      </c>
      <c r="I15" s="22">
        <v>18</v>
      </c>
      <c r="J15" s="23"/>
      <c r="K15" s="24">
        <f>M15+O15</f>
        <v>5395</v>
      </c>
      <c r="L15" s="23">
        <f t="shared" si="0"/>
        <v>1224</v>
      </c>
      <c r="M15" s="24">
        <v>1567</v>
      </c>
      <c r="N15" s="25">
        <f t="shared" si="1"/>
        <v>350</v>
      </c>
      <c r="O15" s="24">
        <v>3828</v>
      </c>
      <c r="P15" s="23">
        <f t="shared" si="2"/>
        <v>874</v>
      </c>
      <c r="Q15" s="26">
        <v>3374</v>
      </c>
      <c r="R15" s="23">
        <f t="shared" si="3"/>
        <v>945</v>
      </c>
      <c r="S15" s="27" t="s">
        <v>18</v>
      </c>
      <c r="T15" s="19" t="s">
        <v>29</v>
      </c>
    </row>
    <row r="16" spans="1:20" ht="37.5" customHeight="1" x14ac:dyDescent="0.25">
      <c r="A16" s="19" t="s">
        <v>30</v>
      </c>
      <c r="B16">
        <f t="shared" si="4"/>
        <v>20366</v>
      </c>
      <c r="C16">
        <v>5196</v>
      </c>
      <c r="D16">
        <v>15170</v>
      </c>
      <c r="E16">
        <v>20211</v>
      </c>
      <c r="F16">
        <f t="shared" si="5"/>
        <v>1024</v>
      </c>
      <c r="G16" s="20">
        <f t="shared" si="6"/>
        <v>11</v>
      </c>
      <c r="H16" s="21">
        <v>99723060167</v>
      </c>
      <c r="I16" s="22">
        <v>20</v>
      </c>
      <c r="J16" s="23"/>
      <c r="K16" s="24">
        <f>M16+O16</f>
        <v>19342</v>
      </c>
      <c r="L16" s="23">
        <f t="shared" si="0"/>
        <v>1024</v>
      </c>
      <c r="M16" s="24">
        <v>4964</v>
      </c>
      <c r="N16" s="25">
        <f t="shared" si="1"/>
        <v>232</v>
      </c>
      <c r="O16" s="24">
        <v>14378</v>
      </c>
      <c r="P16" s="23">
        <f t="shared" si="2"/>
        <v>792</v>
      </c>
      <c r="Q16" s="26">
        <v>18504</v>
      </c>
      <c r="R16" s="23">
        <f t="shared" si="3"/>
        <v>1707</v>
      </c>
      <c r="S16" s="27" t="s">
        <v>18</v>
      </c>
      <c r="T16" s="19" t="s">
        <v>30</v>
      </c>
    </row>
    <row r="17" spans="1:20" ht="37.5" customHeight="1" x14ac:dyDescent="0.25">
      <c r="A17" s="19" t="s">
        <v>31</v>
      </c>
      <c r="B17">
        <f t="shared" si="4"/>
        <v>6108</v>
      </c>
      <c r="C17">
        <v>962</v>
      </c>
      <c r="D17">
        <v>5146</v>
      </c>
      <c r="F17">
        <f t="shared" si="5"/>
        <v>0</v>
      </c>
      <c r="G17" s="20">
        <f t="shared" si="6"/>
        <v>12</v>
      </c>
      <c r="H17" s="21">
        <v>88820060158</v>
      </c>
      <c r="I17" s="22">
        <v>22</v>
      </c>
      <c r="J17" s="23"/>
      <c r="K17" s="24">
        <v>6108</v>
      </c>
      <c r="L17" s="23">
        <f t="shared" si="0"/>
        <v>0</v>
      </c>
      <c r="M17" s="24">
        <v>962</v>
      </c>
      <c r="N17" s="25">
        <f t="shared" si="1"/>
        <v>0</v>
      </c>
      <c r="O17" s="24">
        <v>5146</v>
      </c>
      <c r="P17" s="23">
        <f t="shared" si="2"/>
        <v>0</v>
      </c>
      <c r="Q17" s="26"/>
      <c r="R17" s="23">
        <f t="shared" si="3"/>
        <v>0</v>
      </c>
      <c r="S17" s="27" t="s">
        <v>18</v>
      </c>
      <c r="T17" s="19" t="s">
        <v>31</v>
      </c>
    </row>
    <row r="18" spans="1:20" ht="37.5" customHeight="1" x14ac:dyDescent="0.25">
      <c r="A18" s="19" t="s">
        <v>32</v>
      </c>
      <c r="B18">
        <f t="shared" si="4"/>
        <v>5982</v>
      </c>
      <c r="C18">
        <v>1233</v>
      </c>
      <c r="D18">
        <v>4749</v>
      </c>
      <c r="F18">
        <f t="shared" si="5"/>
        <v>214</v>
      </c>
      <c r="G18" s="20">
        <f t="shared" si="6"/>
        <v>13</v>
      </c>
      <c r="H18" s="21">
        <v>66623010399</v>
      </c>
      <c r="I18" s="22" t="s">
        <v>33</v>
      </c>
      <c r="J18" s="23"/>
      <c r="K18" s="24">
        <v>5768</v>
      </c>
      <c r="L18" s="23">
        <f t="shared" si="0"/>
        <v>214</v>
      </c>
      <c r="M18" s="24">
        <v>1190</v>
      </c>
      <c r="N18" s="25">
        <f t="shared" si="1"/>
        <v>43</v>
      </c>
      <c r="O18" s="24">
        <v>4578</v>
      </c>
      <c r="P18" s="23">
        <f t="shared" si="2"/>
        <v>171</v>
      </c>
      <c r="Q18" s="26"/>
      <c r="R18" s="23">
        <f t="shared" si="3"/>
        <v>0</v>
      </c>
      <c r="S18" s="27" t="s">
        <v>18</v>
      </c>
      <c r="T18" s="19" t="s">
        <v>32</v>
      </c>
    </row>
    <row r="19" spans="1:20" ht="37.5" customHeight="1" x14ac:dyDescent="0.25">
      <c r="A19" s="19" t="s">
        <v>34</v>
      </c>
      <c r="B19">
        <f t="shared" si="4"/>
        <v>27295</v>
      </c>
      <c r="C19">
        <v>7130</v>
      </c>
      <c r="D19">
        <v>20165</v>
      </c>
      <c r="F19">
        <f t="shared" si="5"/>
        <v>1141</v>
      </c>
      <c r="G19" s="20">
        <f t="shared" si="6"/>
        <v>14</v>
      </c>
      <c r="H19" s="21">
        <v>66623011423</v>
      </c>
      <c r="I19" s="22">
        <v>23</v>
      </c>
      <c r="J19" s="23"/>
      <c r="K19" s="24">
        <v>26154</v>
      </c>
      <c r="L19" s="23">
        <f t="shared" si="0"/>
        <v>1141</v>
      </c>
      <c r="M19" s="24">
        <v>6896</v>
      </c>
      <c r="N19" s="25">
        <f t="shared" si="1"/>
        <v>234</v>
      </c>
      <c r="O19" s="24">
        <v>19258</v>
      </c>
      <c r="P19" s="23">
        <f t="shared" si="2"/>
        <v>907</v>
      </c>
      <c r="Q19" s="26"/>
      <c r="R19" s="23">
        <f t="shared" si="3"/>
        <v>0</v>
      </c>
      <c r="S19" s="27" t="s">
        <v>18</v>
      </c>
      <c r="T19" s="19" t="s">
        <v>34</v>
      </c>
    </row>
    <row r="20" spans="1:20" ht="37.5" customHeight="1" x14ac:dyDescent="0.25">
      <c r="A20" s="19" t="s">
        <v>35</v>
      </c>
      <c r="B20">
        <f t="shared" si="4"/>
        <v>61478</v>
      </c>
      <c r="C20">
        <v>12202</v>
      </c>
      <c r="D20">
        <v>49276</v>
      </c>
      <c r="F20">
        <f t="shared" si="5"/>
        <v>1988</v>
      </c>
      <c r="G20" s="20">
        <f t="shared" si="6"/>
        <v>15</v>
      </c>
      <c r="H20" s="21">
        <v>88819020144</v>
      </c>
      <c r="I20" s="22">
        <v>24</v>
      </c>
      <c r="J20" s="23"/>
      <c r="K20" s="24">
        <v>59490</v>
      </c>
      <c r="L20" s="23">
        <f t="shared" si="0"/>
        <v>1988</v>
      </c>
      <c r="M20" s="24">
        <v>11932</v>
      </c>
      <c r="N20" s="25">
        <f t="shared" si="1"/>
        <v>270</v>
      </c>
      <c r="O20" s="24">
        <v>47558</v>
      </c>
      <c r="P20" s="23">
        <f t="shared" si="2"/>
        <v>1718</v>
      </c>
      <c r="Q20" s="26"/>
      <c r="R20" s="23">
        <f t="shared" si="3"/>
        <v>0</v>
      </c>
      <c r="S20" s="27" t="s">
        <v>18</v>
      </c>
      <c r="T20" s="19" t="s">
        <v>35</v>
      </c>
    </row>
    <row r="21" spans="1:20" ht="37.5" customHeight="1" x14ac:dyDescent="0.25">
      <c r="A21" s="19" t="s">
        <v>36</v>
      </c>
      <c r="B21">
        <f t="shared" si="4"/>
        <v>12519</v>
      </c>
      <c r="C21">
        <v>2578</v>
      </c>
      <c r="D21">
        <v>9941</v>
      </c>
      <c r="E21">
        <v>12578</v>
      </c>
      <c r="F21">
        <f t="shared" si="5"/>
        <v>837</v>
      </c>
      <c r="G21" s="20">
        <f t="shared" si="6"/>
        <v>16</v>
      </c>
      <c r="H21" s="21">
        <v>99624010040</v>
      </c>
      <c r="I21" s="22">
        <v>25</v>
      </c>
      <c r="J21" s="23"/>
      <c r="K21" s="24">
        <f>M21+O21</f>
        <v>11682</v>
      </c>
      <c r="L21" s="23">
        <f t="shared" si="0"/>
        <v>837</v>
      </c>
      <c r="M21" s="24">
        <v>2390</v>
      </c>
      <c r="N21" s="25">
        <f t="shared" si="1"/>
        <v>188</v>
      </c>
      <c r="O21" s="24">
        <v>9292</v>
      </c>
      <c r="P21" s="23">
        <f t="shared" si="2"/>
        <v>649</v>
      </c>
      <c r="Q21" s="26">
        <v>11337</v>
      </c>
      <c r="R21" s="23">
        <f t="shared" si="3"/>
        <v>1241</v>
      </c>
      <c r="S21" s="27" t="s">
        <v>18</v>
      </c>
      <c r="T21" s="19" t="s">
        <v>36</v>
      </c>
    </row>
    <row r="22" spans="1:20" ht="37.5" customHeight="1" x14ac:dyDescent="0.25">
      <c r="A22" s="19" t="s">
        <v>37</v>
      </c>
      <c r="B22">
        <f t="shared" si="4"/>
        <v>12245</v>
      </c>
      <c r="C22">
        <v>2735</v>
      </c>
      <c r="D22">
        <v>9510</v>
      </c>
      <c r="E22">
        <v>12878</v>
      </c>
      <c r="F22">
        <f t="shared" si="5"/>
        <v>490</v>
      </c>
      <c r="G22" s="20">
        <f t="shared" si="6"/>
        <v>17</v>
      </c>
      <c r="H22" s="21">
        <v>99423020044</v>
      </c>
      <c r="I22" s="22">
        <v>26</v>
      </c>
      <c r="J22" s="23"/>
      <c r="K22" s="24">
        <f>M22+O22</f>
        <v>11755</v>
      </c>
      <c r="L22" s="23">
        <f t="shared" si="0"/>
        <v>490</v>
      </c>
      <c r="M22" s="24">
        <v>2619</v>
      </c>
      <c r="N22" s="25">
        <f t="shared" si="1"/>
        <v>116</v>
      </c>
      <c r="O22" s="24">
        <v>9136</v>
      </c>
      <c r="P22" s="23">
        <f t="shared" si="2"/>
        <v>374</v>
      </c>
      <c r="Q22" s="26">
        <v>12059</v>
      </c>
      <c r="R22" s="23">
        <f t="shared" si="3"/>
        <v>819</v>
      </c>
      <c r="S22" s="27" t="s">
        <v>18</v>
      </c>
      <c r="T22" s="19" t="s">
        <v>37</v>
      </c>
    </row>
    <row r="23" spans="1:20" ht="37.5" customHeight="1" x14ac:dyDescent="0.25">
      <c r="A23" s="19" t="s">
        <v>38</v>
      </c>
      <c r="B23">
        <f t="shared" si="4"/>
        <v>18272</v>
      </c>
      <c r="C23">
        <v>2951</v>
      </c>
      <c r="D23">
        <v>15321</v>
      </c>
      <c r="F23">
        <f t="shared" si="5"/>
        <v>335</v>
      </c>
      <c r="G23" s="20">
        <f t="shared" si="6"/>
        <v>18</v>
      </c>
      <c r="H23" s="21">
        <v>88818010035</v>
      </c>
      <c r="I23" s="22">
        <v>27</v>
      </c>
      <c r="J23" s="23"/>
      <c r="K23" s="24">
        <v>17937</v>
      </c>
      <c r="L23" s="23">
        <f t="shared" si="0"/>
        <v>335</v>
      </c>
      <c r="M23" s="24">
        <v>2899</v>
      </c>
      <c r="N23" s="25">
        <f t="shared" si="1"/>
        <v>52</v>
      </c>
      <c r="O23" s="24">
        <v>15038</v>
      </c>
      <c r="P23" s="23">
        <f t="shared" si="2"/>
        <v>283</v>
      </c>
      <c r="Q23" s="26"/>
      <c r="R23" s="23">
        <f t="shared" si="3"/>
        <v>0</v>
      </c>
      <c r="S23" s="27" t="s">
        <v>18</v>
      </c>
      <c r="T23" s="19" t="s">
        <v>38</v>
      </c>
    </row>
    <row r="24" spans="1:20" ht="37.5" customHeight="1" x14ac:dyDescent="0.25">
      <c r="A24" s="19" t="s">
        <v>39</v>
      </c>
      <c r="B24">
        <f t="shared" si="4"/>
        <v>38111</v>
      </c>
      <c r="C24">
        <v>6088</v>
      </c>
      <c r="D24">
        <v>32023</v>
      </c>
      <c r="F24">
        <f t="shared" si="5"/>
        <v>535</v>
      </c>
      <c r="G24" s="20">
        <f t="shared" si="6"/>
        <v>19</v>
      </c>
      <c r="H24" s="21">
        <v>23014060171</v>
      </c>
      <c r="I24" s="22">
        <v>28</v>
      </c>
      <c r="J24" s="23"/>
      <c r="K24" s="24">
        <v>37576</v>
      </c>
      <c r="L24" s="23">
        <f t="shared" si="0"/>
        <v>535</v>
      </c>
      <c r="M24" s="24">
        <v>6006</v>
      </c>
      <c r="N24" s="25">
        <f t="shared" si="1"/>
        <v>82</v>
      </c>
      <c r="O24" s="24">
        <v>31570</v>
      </c>
      <c r="P24" s="23">
        <f t="shared" si="2"/>
        <v>453</v>
      </c>
      <c r="Q24" s="26"/>
      <c r="R24" s="23">
        <f t="shared" si="3"/>
        <v>0</v>
      </c>
      <c r="S24" s="27" t="s">
        <v>18</v>
      </c>
      <c r="T24" s="19" t="s">
        <v>39</v>
      </c>
    </row>
    <row r="25" spans="1:20" ht="37.5" customHeight="1" x14ac:dyDescent="0.25">
      <c r="A25" s="19" t="s">
        <v>40</v>
      </c>
      <c r="B25">
        <f t="shared" si="4"/>
        <v>25890</v>
      </c>
      <c r="C25">
        <v>4934</v>
      </c>
      <c r="D25">
        <v>20956</v>
      </c>
      <c r="F25">
        <f t="shared" si="5"/>
        <v>390</v>
      </c>
      <c r="G25" s="20">
        <f t="shared" si="6"/>
        <v>20</v>
      </c>
      <c r="H25" s="21">
        <v>88818020105</v>
      </c>
      <c r="I25" s="22">
        <v>31</v>
      </c>
      <c r="J25" s="23"/>
      <c r="K25" s="24">
        <v>25500</v>
      </c>
      <c r="L25" s="23">
        <f t="shared" si="0"/>
        <v>390</v>
      </c>
      <c r="M25" s="24">
        <v>4850</v>
      </c>
      <c r="N25" s="25">
        <f t="shared" si="1"/>
        <v>84</v>
      </c>
      <c r="O25" s="24">
        <v>20650</v>
      </c>
      <c r="P25" s="23">
        <f t="shared" si="2"/>
        <v>306</v>
      </c>
      <c r="Q25" s="26"/>
      <c r="R25" s="23">
        <f t="shared" si="3"/>
        <v>0</v>
      </c>
      <c r="S25" s="27" t="s">
        <v>18</v>
      </c>
      <c r="T25" s="19" t="s">
        <v>40</v>
      </c>
    </row>
    <row r="26" spans="1:20" ht="37.5" customHeight="1" x14ac:dyDescent="0.25">
      <c r="A26" s="19" t="s">
        <v>41</v>
      </c>
      <c r="F26">
        <f t="shared" si="5"/>
        <v>-8765</v>
      </c>
      <c r="G26" s="20">
        <f t="shared" si="6"/>
        <v>21</v>
      </c>
      <c r="H26" s="21">
        <v>66617020136</v>
      </c>
      <c r="I26" s="22" t="s">
        <v>42</v>
      </c>
      <c r="J26" s="23"/>
      <c r="K26" s="24">
        <v>8765</v>
      </c>
      <c r="L26" s="23">
        <f t="shared" si="0"/>
        <v>-8765</v>
      </c>
      <c r="M26" s="24">
        <v>1359</v>
      </c>
      <c r="N26" s="25">
        <f t="shared" si="1"/>
        <v>-1359</v>
      </c>
      <c r="O26" s="24">
        <v>7406</v>
      </c>
      <c r="P26" s="23">
        <f t="shared" si="2"/>
        <v>-7406</v>
      </c>
      <c r="Q26" s="26"/>
      <c r="R26" s="23">
        <f t="shared" si="3"/>
        <v>0</v>
      </c>
      <c r="S26" s="27" t="s">
        <v>18</v>
      </c>
      <c r="T26" s="19" t="s">
        <v>41</v>
      </c>
    </row>
    <row r="27" spans="1:20" ht="37.5" customHeight="1" x14ac:dyDescent="0.25">
      <c r="A27" s="19" t="s">
        <v>43</v>
      </c>
      <c r="B27">
        <f t="shared" si="4"/>
        <v>3652</v>
      </c>
      <c r="C27">
        <v>616</v>
      </c>
      <c r="D27">
        <v>3036</v>
      </c>
      <c r="F27">
        <f t="shared" si="5"/>
        <v>88</v>
      </c>
      <c r="G27" s="20">
        <f t="shared" si="6"/>
        <v>22</v>
      </c>
      <c r="H27" s="21">
        <v>66623010381</v>
      </c>
      <c r="I27" s="22" t="s">
        <v>44</v>
      </c>
      <c r="J27" s="23"/>
      <c r="K27" s="24">
        <v>3564</v>
      </c>
      <c r="L27" s="23">
        <f t="shared" si="0"/>
        <v>88</v>
      </c>
      <c r="M27" s="24">
        <v>594</v>
      </c>
      <c r="N27" s="25">
        <f t="shared" si="1"/>
        <v>22</v>
      </c>
      <c r="O27" s="24">
        <v>2970</v>
      </c>
      <c r="P27" s="23">
        <f t="shared" si="2"/>
        <v>66</v>
      </c>
      <c r="Q27" s="26"/>
      <c r="R27" s="23">
        <f t="shared" si="3"/>
        <v>0</v>
      </c>
      <c r="S27" s="27" t="s">
        <v>18</v>
      </c>
      <c r="T27" s="19" t="s">
        <v>43</v>
      </c>
    </row>
    <row r="28" spans="1:20" ht="37.5" customHeight="1" x14ac:dyDescent="0.25">
      <c r="A28" s="19" t="s">
        <v>45</v>
      </c>
      <c r="B28">
        <f>4+K28</f>
        <v>50110</v>
      </c>
      <c r="F28">
        <f t="shared" si="5"/>
        <v>4</v>
      </c>
      <c r="G28" s="20">
        <f t="shared" si="6"/>
        <v>23</v>
      </c>
      <c r="H28" s="21">
        <v>23012010051</v>
      </c>
      <c r="I28" s="22" t="s">
        <v>46</v>
      </c>
      <c r="J28" s="23"/>
      <c r="K28" s="24">
        <v>50106</v>
      </c>
      <c r="L28" s="23">
        <f t="shared" si="0"/>
        <v>4</v>
      </c>
      <c r="M28" s="24">
        <v>10190</v>
      </c>
      <c r="N28" s="25">
        <f t="shared" si="1"/>
        <v>-10190</v>
      </c>
      <c r="O28" s="24">
        <v>39916</v>
      </c>
      <c r="P28" s="23">
        <f t="shared" si="2"/>
        <v>-39916</v>
      </c>
      <c r="Q28" s="26"/>
      <c r="R28" s="23">
        <f t="shared" si="3"/>
        <v>0</v>
      </c>
      <c r="S28" s="27" t="s">
        <v>18</v>
      </c>
      <c r="T28" s="19" t="s">
        <v>45</v>
      </c>
    </row>
    <row r="29" spans="1:20" ht="37.5" customHeight="1" x14ac:dyDescent="0.25">
      <c r="A29" s="19" t="s">
        <v>47</v>
      </c>
      <c r="B29">
        <f t="shared" si="4"/>
        <v>13683</v>
      </c>
      <c r="C29">
        <v>2622</v>
      </c>
      <c r="D29">
        <v>11061</v>
      </c>
      <c r="F29">
        <f t="shared" si="5"/>
        <v>24</v>
      </c>
      <c r="G29" s="20">
        <f t="shared" si="6"/>
        <v>24</v>
      </c>
      <c r="H29" s="21">
        <v>23015010632</v>
      </c>
      <c r="I29" s="22" t="s">
        <v>48</v>
      </c>
      <c r="J29" s="23"/>
      <c r="K29" s="24">
        <v>13659</v>
      </c>
      <c r="L29" s="23">
        <f t="shared" si="0"/>
        <v>24</v>
      </c>
      <c r="M29" s="24">
        <v>2621</v>
      </c>
      <c r="N29" s="25">
        <f t="shared" si="1"/>
        <v>1</v>
      </c>
      <c r="O29" s="24">
        <v>11038</v>
      </c>
      <c r="P29" s="23">
        <f t="shared" si="2"/>
        <v>23</v>
      </c>
      <c r="Q29" s="26"/>
      <c r="R29" s="23">
        <f t="shared" si="3"/>
        <v>0</v>
      </c>
      <c r="S29" s="27" t="s">
        <v>18</v>
      </c>
      <c r="T29" s="19" t="s">
        <v>47</v>
      </c>
    </row>
    <row r="30" spans="1:20" ht="37.5" customHeight="1" x14ac:dyDescent="0.25">
      <c r="A30" s="19" t="s">
        <v>49</v>
      </c>
      <c r="B30">
        <f t="shared" si="4"/>
        <v>141383</v>
      </c>
      <c r="C30">
        <v>30092</v>
      </c>
      <c r="D30">
        <v>111291</v>
      </c>
      <c r="F30">
        <f t="shared" si="5"/>
        <v>112</v>
      </c>
      <c r="G30" s="20">
        <f t="shared" si="6"/>
        <v>25</v>
      </c>
      <c r="H30" s="21">
        <v>23010090001</v>
      </c>
      <c r="I30" s="22" t="s">
        <v>50</v>
      </c>
      <c r="J30" s="23"/>
      <c r="K30" s="24">
        <v>141271</v>
      </c>
      <c r="L30" s="23">
        <f t="shared" si="0"/>
        <v>112</v>
      </c>
      <c r="M30" s="24">
        <v>30074</v>
      </c>
      <c r="N30" s="25">
        <f t="shared" si="1"/>
        <v>18</v>
      </c>
      <c r="O30" s="24">
        <v>111197</v>
      </c>
      <c r="P30" s="23">
        <f t="shared" si="2"/>
        <v>94</v>
      </c>
      <c r="Q30" s="26"/>
      <c r="R30" s="23">
        <f t="shared" si="3"/>
        <v>0</v>
      </c>
      <c r="S30" s="27" t="s">
        <v>18</v>
      </c>
      <c r="T30" s="19" t="s">
        <v>49</v>
      </c>
    </row>
    <row r="31" spans="1:20" ht="37.5" customHeight="1" x14ac:dyDescent="0.25">
      <c r="A31" s="19" t="s">
        <v>51</v>
      </c>
      <c r="B31">
        <f t="shared" si="4"/>
        <v>4249</v>
      </c>
      <c r="C31">
        <v>892</v>
      </c>
      <c r="D31">
        <v>3357</v>
      </c>
      <c r="F31">
        <f t="shared" si="5"/>
        <v>26</v>
      </c>
      <c r="G31" s="20">
        <f t="shared" si="6"/>
        <v>26</v>
      </c>
      <c r="H31" s="21">
        <v>66621100468</v>
      </c>
      <c r="I31" s="22" t="s">
        <v>52</v>
      </c>
      <c r="J31" s="23"/>
      <c r="K31" s="24">
        <v>4223</v>
      </c>
      <c r="L31" s="23">
        <f t="shared" si="0"/>
        <v>26</v>
      </c>
      <c r="M31" s="24">
        <v>891</v>
      </c>
      <c r="N31" s="25">
        <f t="shared" si="1"/>
        <v>1</v>
      </c>
      <c r="O31" s="24">
        <v>3332</v>
      </c>
      <c r="P31" s="23">
        <f t="shared" si="2"/>
        <v>25</v>
      </c>
      <c r="Q31" s="26"/>
      <c r="R31" s="23">
        <f t="shared" si="3"/>
        <v>0</v>
      </c>
      <c r="S31" s="27" t="s">
        <v>18</v>
      </c>
      <c r="T31" s="19" t="s">
        <v>51</v>
      </c>
    </row>
    <row r="32" spans="1:20" ht="37.5" customHeight="1" x14ac:dyDescent="0.25">
      <c r="A32" s="19" t="s">
        <v>53</v>
      </c>
      <c r="B32">
        <f t="shared" si="4"/>
        <v>6536</v>
      </c>
      <c r="C32">
        <v>1657</v>
      </c>
      <c r="D32">
        <v>4879</v>
      </c>
      <c r="E32">
        <v>10174</v>
      </c>
      <c r="F32">
        <f t="shared" si="5"/>
        <v>284</v>
      </c>
      <c r="G32" s="20">
        <f t="shared" si="6"/>
        <v>27</v>
      </c>
      <c r="H32" s="21">
        <v>99624010106</v>
      </c>
      <c r="I32" s="22" t="s">
        <v>54</v>
      </c>
      <c r="J32" s="23"/>
      <c r="K32" s="24">
        <f>M32+O32</f>
        <v>6252</v>
      </c>
      <c r="L32" s="23">
        <f t="shared" si="0"/>
        <v>284</v>
      </c>
      <c r="M32" s="24">
        <v>1568</v>
      </c>
      <c r="N32" s="25">
        <f t="shared" si="1"/>
        <v>89</v>
      </c>
      <c r="O32" s="24">
        <v>4684</v>
      </c>
      <c r="P32" s="23">
        <f t="shared" si="2"/>
        <v>195</v>
      </c>
      <c r="Q32" s="26">
        <v>8945</v>
      </c>
      <c r="R32" s="23">
        <f t="shared" si="3"/>
        <v>1229</v>
      </c>
      <c r="S32" s="27" t="s">
        <v>18</v>
      </c>
      <c r="T32" s="19" t="s">
        <v>53</v>
      </c>
    </row>
    <row r="33" spans="1:20" ht="37.5" customHeight="1" x14ac:dyDescent="0.25">
      <c r="A33" s="19" t="s">
        <v>55</v>
      </c>
      <c r="B33">
        <f t="shared" si="4"/>
        <v>13675</v>
      </c>
      <c r="C33">
        <v>2659</v>
      </c>
      <c r="D33">
        <v>11016</v>
      </c>
      <c r="E33">
        <v>34602</v>
      </c>
      <c r="F33">
        <f t="shared" si="5"/>
        <v>495</v>
      </c>
      <c r="G33" s="20">
        <f t="shared" si="6"/>
        <v>28</v>
      </c>
      <c r="H33" s="21">
        <v>99622010005</v>
      </c>
      <c r="I33" s="22">
        <v>32</v>
      </c>
      <c r="J33" s="23"/>
      <c r="K33" s="24">
        <f>M33+O33</f>
        <v>13180</v>
      </c>
      <c r="L33" s="23">
        <f t="shared" si="0"/>
        <v>495</v>
      </c>
      <c r="M33" s="24">
        <v>2523</v>
      </c>
      <c r="N33" s="25">
        <f t="shared" si="1"/>
        <v>136</v>
      </c>
      <c r="O33" s="24">
        <v>10657</v>
      </c>
      <c r="P33" s="23">
        <f t="shared" si="2"/>
        <v>359</v>
      </c>
      <c r="Q33" s="26">
        <v>33127</v>
      </c>
      <c r="R33" s="23">
        <f t="shared" si="3"/>
        <v>1475</v>
      </c>
      <c r="S33" s="27" t="s">
        <v>18</v>
      </c>
      <c r="T33" s="19" t="s">
        <v>55</v>
      </c>
    </row>
    <row r="34" spans="1:20" ht="37.5" customHeight="1" x14ac:dyDescent="0.25">
      <c r="A34" s="19" t="s">
        <v>56</v>
      </c>
      <c r="B34">
        <f t="shared" si="4"/>
        <v>32944</v>
      </c>
      <c r="C34">
        <v>8507</v>
      </c>
      <c r="D34">
        <v>24437</v>
      </c>
      <c r="E34">
        <v>22994</v>
      </c>
      <c r="F34">
        <f t="shared" si="5"/>
        <v>830</v>
      </c>
      <c r="G34" s="20">
        <f t="shared" si="6"/>
        <v>29</v>
      </c>
      <c r="H34" s="21">
        <v>99722008217</v>
      </c>
      <c r="I34" s="22">
        <v>33</v>
      </c>
      <c r="J34" s="23"/>
      <c r="K34" s="24">
        <f>M34+O34</f>
        <v>32114</v>
      </c>
      <c r="L34" s="23">
        <f t="shared" si="0"/>
        <v>830</v>
      </c>
      <c r="M34" s="24">
        <v>8274</v>
      </c>
      <c r="N34" s="25">
        <f t="shared" si="1"/>
        <v>233</v>
      </c>
      <c r="O34" s="24">
        <v>23840</v>
      </c>
      <c r="P34" s="23">
        <f t="shared" si="2"/>
        <v>597</v>
      </c>
      <c r="Q34" s="26">
        <v>21847</v>
      </c>
      <c r="R34" s="23">
        <f t="shared" si="3"/>
        <v>1147</v>
      </c>
      <c r="S34" s="27" t="s">
        <v>18</v>
      </c>
      <c r="T34" s="19" t="s">
        <v>56</v>
      </c>
    </row>
    <row r="35" spans="1:20" ht="37.5" customHeight="1" x14ac:dyDescent="0.25">
      <c r="A35" s="19" t="s">
        <v>57</v>
      </c>
      <c r="B35">
        <f t="shared" si="4"/>
        <v>36603</v>
      </c>
      <c r="C35">
        <v>6219</v>
      </c>
      <c r="D35">
        <v>30384</v>
      </c>
      <c r="F35">
        <f t="shared" si="5"/>
        <v>919</v>
      </c>
      <c r="G35" s="20">
        <f t="shared" si="6"/>
        <v>30</v>
      </c>
      <c r="H35" s="21">
        <v>23015101015</v>
      </c>
      <c r="I35" s="22">
        <v>35</v>
      </c>
      <c r="J35" s="23"/>
      <c r="K35" s="24">
        <v>35684</v>
      </c>
      <c r="L35" s="23">
        <f t="shared" si="0"/>
        <v>919</v>
      </c>
      <c r="M35" s="24">
        <v>6059</v>
      </c>
      <c r="N35" s="25">
        <f t="shared" si="1"/>
        <v>160</v>
      </c>
      <c r="O35" s="24">
        <v>29625</v>
      </c>
      <c r="P35" s="23">
        <f t="shared" si="2"/>
        <v>759</v>
      </c>
      <c r="Q35" s="26"/>
      <c r="R35" s="23">
        <f t="shared" si="3"/>
        <v>0</v>
      </c>
      <c r="S35" s="27" t="s">
        <v>18</v>
      </c>
      <c r="T35" s="19" t="s">
        <v>57</v>
      </c>
    </row>
    <row r="36" spans="1:20" ht="37.5" customHeight="1" x14ac:dyDescent="0.25">
      <c r="A36" s="19" t="s">
        <v>58</v>
      </c>
      <c r="B36">
        <f t="shared" si="4"/>
        <v>40192</v>
      </c>
      <c r="C36">
        <v>9253</v>
      </c>
      <c r="D36">
        <v>30939</v>
      </c>
      <c r="F36">
        <f t="shared" si="5"/>
        <v>518</v>
      </c>
      <c r="G36" s="20">
        <f t="shared" si="6"/>
        <v>31</v>
      </c>
      <c r="H36" s="21">
        <v>88819050174</v>
      </c>
      <c r="I36" s="22" t="s">
        <v>59</v>
      </c>
      <c r="J36" s="23"/>
      <c r="K36" s="24">
        <v>39674</v>
      </c>
      <c r="L36" s="23">
        <f t="shared" si="0"/>
        <v>518</v>
      </c>
      <c r="M36" s="24">
        <v>9124</v>
      </c>
      <c r="N36" s="25">
        <f t="shared" si="1"/>
        <v>129</v>
      </c>
      <c r="O36" s="24">
        <v>30550</v>
      </c>
      <c r="P36" s="23">
        <f t="shared" si="2"/>
        <v>389</v>
      </c>
      <c r="Q36" s="26"/>
      <c r="R36" s="23">
        <f t="shared" si="3"/>
        <v>0</v>
      </c>
      <c r="S36" s="27" t="s">
        <v>18</v>
      </c>
      <c r="T36" s="19" t="s">
        <v>58</v>
      </c>
    </row>
    <row r="37" spans="1:20" ht="37.5" customHeight="1" x14ac:dyDescent="0.25">
      <c r="A37" s="19" t="s">
        <v>60</v>
      </c>
      <c r="B37">
        <f t="shared" si="4"/>
        <v>115655</v>
      </c>
      <c r="C37">
        <v>20901</v>
      </c>
      <c r="D37">
        <v>94754</v>
      </c>
      <c r="F37">
        <f t="shared" si="5"/>
        <v>1238</v>
      </c>
      <c r="G37" s="20">
        <f t="shared" si="6"/>
        <v>32</v>
      </c>
      <c r="H37" s="21">
        <v>66616031449</v>
      </c>
      <c r="I37" s="22">
        <v>37</v>
      </c>
      <c r="J37" s="23"/>
      <c r="K37" s="24">
        <v>114417</v>
      </c>
      <c r="L37" s="23">
        <f t="shared" si="0"/>
        <v>1238</v>
      </c>
      <c r="M37" s="24">
        <v>20731</v>
      </c>
      <c r="N37" s="25">
        <f t="shared" si="1"/>
        <v>170</v>
      </c>
      <c r="O37" s="24">
        <v>93686</v>
      </c>
      <c r="P37" s="23">
        <f t="shared" si="2"/>
        <v>1068</v>
      </c>
      <c r="Q37" s="26"/>
      <c r="R37" s="23">
        <f t="shared" si="3"/>
        <v>0</v>
      </c>
      <c r="S37" s="27" t="s">
        <v>18</v>
      </c>
      <c r="T37" s="19" t="s">
        <v>60</v>
      </c>
    </row>
    <row r="38" spans="1:20" ht="37.5" customHeight="1" x14ac:dyDescent="0.25">
      <c r="A38" s="19" t="s">
        <v>61</v>
      </c>
      <c r="B38">
        <f t="shared" si="4"/>
        <v>23606</v>
      </c>
      <c r="C38">
        <v>4549</v>
      </c>
      <c r="D38">
        <v>19057</v>
      </c>
      <c r="F38">
        <f t="shared" si="5"/>
        <v>9</v>
      </c>
      <c r="G38" s="20">
        <f t="shared" si="6"/>
        <v>33</v>
      </c>
      <c r="H38" s="21">
        <v>88820050481</v>
      </c>
      <c r="I38" s="22">
        <v>40</v>
      </c>
      <c r="J38" s="23"/>
      <c r="K38" s="24">
        <v>23597</v>
      </c>
      <c r="L38" s="23">
        <f t="shared" si="0"/>
        <v>9</v>
      </c>
      <c r="M38" s="24">
        <v>4549</v>
      </c>
      <c r="N38" s="25">
        <f t="shared" si="1"/>
        <v>0</v>
      </c>
      <c r="O38" s="24">
        <v>19048</v>
      </c>
      <c r="P38" s="23">
        <f t="shared" si="2"/>
        <v>9</v>
      </c>
      <c r="Q38" s="26"/>
      <c r="R38" s="23">
        <f t="shared" si="3"/>
        <v>0</v>
      </c>
      <c r="S38" s="27" t="s">
        <v>18</v>
      </c>
      <c r="T38" s="19" t="s">
        <v>61</v>
      </c>
    </row>
    <row r="39" spans="1:20" ht="37.5" customHeight="1" x14ac:dyDescent="0.25">
      <c r="A39" s="19" t="s">
        <v>62</v>
      </c>
      <c r="B39">
        <f t="shared" si="4"/>
        <v>66808</v>
      </c>
      <c r="C39">
        <v>12668</v>
      </c>
      <c r="D39">
        <v>54140</v>
      </c>
      <c r="F39">
        <f t="shared" si="5"/>
        <v>35</v>
      </c>
      <c r="G39" s="20">
        <f t="shared" si="6"/>
        <v>34</v>
      </c>
      <c r="H39" s="21">
        <v>88819010021</v>
      </c>
      <c r="I39" s="22">
        <v>41</v>
      </c>
      <c r="J39" s="23"/>
      <c r="K39" s="24">
        <v>66773</v>
      </c>
      <c r="L39" s="23">
        <f t="shared" si="0"/>
        <v>35</v>
      </c>
      <c r="M39" s="24">
        <v>12662</v>
      </c>
      <c r="N39" s="25">
        <f t="shared" si="1"/>
        <v>6</v>
      </c>
      <c r="O39" s="24">
        <v>54111</v>
      </c>
      <c r="P39" s="23">
        <f t="shared" si="2"/>
        <v>29</v>
      </c>
      <c r="Q39" s="26"/>
      <c r="R39" s="23">
        <f t="shared" si="3"/>
        <v>0</v>
      </c>
      <c r="S39" s="27" t="s">
        <v>18</v>
      </c>
      <c r="T39" s="19" t="s">
        <v>62</v>
      </c>
    </row>
    <row r="40" spans="1:20" ht="37.5" customHeight="1" x14ac:dyDescent="0.25">
      <c r="A40" s="19" t="s">
        <v>63</v>
      </c>
      <c r="B40">
        <f t="shared" si="4"/>
        <v>736</v>
      </c>
      <c r="C40">
        <v>112</v>
      </c>
      <c r="D40">
        <v>624</v>
      </c>
      <c r="F40">
        <f t="shared" si="5"/>
        <v>25</v>
      </c>
      <c r="G40" s="20">
        <f t="shared" si="6"/>
        <v>35</v>
      </c>
      <c r="H40" s="21">
        <v>66623030530</v>
      </c>
      <c r="I40" s="22">
        <v>42</v>
      </c>
      <c r="J40" s="23"/>
      <c r="K40" s="24">
        <v>711</v>
      </c>
      <c r="L40" s="23">
        <f t="shared" si="0"/>
        <v>25</v>
      </c>
      <c r="M40" s="24">
        <v>110</v>
      </c>
      <c r="N40" s="25">
        <f t="shared" si="1"/>
        <v>2</v>
      </c>
      <c r="O40" s="24">
        <v>601</v>
      </c>
      <c r="P40" s="23">
        <f t="shared" si="2"/>
        <v>23</v>
      </c>
      <c r="Q40" s="26"/>
      <c r="R40" s="23">
        <f t="shared" si="3"/>
        <v>0</v>
      </c>
      <c r="S40" s="27" t="s">
        <v>18</v>
      </c>
      <c r="T40" s="19" t="s">
        <v>63</v>
      </c>
    </row>
    <row r="41" spans="1:20" ht="37.5" customHeight="1" x14ac:dyDescent="0.25">
      <c r="A41" s="19" t="s">
        <v>64</v>
      </c>
      <c r="B41">
        <f t="shared" si="4"/>
        <v>15087</v>
      </c>
      <c r="C41">
        <v>2803</v>
      </c>
      <c r="D41">
        <v>12284</v>
      </c>
      <c r="F41">
        <f t="shared" si="5"/>
        <v>408</v>
      </c>
      <c r="G41" s="20">
        <f t="shared" si="6"/>
        <v>36</v>
      </c>
      <c r="H41" s="21">
        <v>66621060181</v>
      </c>
      <c r="I41" s="22">
        <v>43</v>
      </c>
      <c r="J41" s="23"/>
      <c r="K41" s="24">
        <v>14679</v>
      </c>
      <c r="L41" s="23">
        <f t="shared" si="0"/>
        <v>408</v>
      </c>
      <c r="M41" s="24">
        <v>2732</v>
      </c>
      <c r="N41" s="25">
        <f t="shared" si="1"/>
        <v>71</v>
      </c>
      <c r="O41" s="24">
        <v>11947</v>
      </c>
      <c r="P41" s="23">
        <f t="shared" si="2"/>
        <v>337</v>
      </c>
      <c r="Q41" s="26"/>
      <c r="R41" s="23">
        <f t="shared" si="3"/>
        <v>0</v>
      </c>
      <c r="S41" s="27" t="s">
        <v>18</v>
      </c>
      <c r="T41" s="19" t="s">
        <v>64</v>
      </c>
    </row>
    <row r="42" spans="1:20" ht="37.5" customHeight="1" x14ac:dyDescent="0.25">
      <c r="A42" s="19" t="s">
        <v>65</v>
      </c>
      <c r="B42">
        <f t="shared" si="4"/>
        <v>27757</v>
      </c>
      <c r="C42">
        <v>5509</v>
      </c>
      <c r="D42">
        <v>22248</v>
      </c>
      <c r="F42">
        <f t="shared" si="5"/>
        <v>385</v>
      </c>
      <c r="G42" s="20">
        <f t="shared" si="6"/>
        <v>37</v>
      </c>
      <c r="H42" s="21">
        <v>88820030445</v>
      </c>
      <c r="I42" s="22">
        <v>44</v>
      </c>
      <c r="J42" s="23"/>
      <c r="K42" s="24">
        <v>27372</v>
      </c>
      <c r="L42" s="23">
        <f t="shared" si="0"/>
        <v>385</v>
      </c>
      <c r="M42" s="24">
        <v>5440</v>
      </c>
      <c r="N42" s="25">
        <f t="shared" si="1"/>
        <v>69</v>
      </c>
      <c r="O42" s="24">
        <v>21932</v>
      </c>
      <c r="P42" s="23">
        <f t="shared" si="2"/>
        <v>316</v>
      </c>
      <c r="Q42" s="26"/>
      <c r="R42" s="23">
        <f t="shared" si="3"/>
        <v>0</v>
      </c>
      <c r="S42" s="27" t="s">
        <v>18</v>
      </c>
      <c r="T42" s="19" t="s">
        <v>65</v>
      </c>
    </row>
    <row r="43" spans="1:20" ht="37.5" customHeight="1" x14ac:dyDescent="0.25">
      <c r="A43" s="19" t="s">
        <v>66</v>
      </c>
      <c r="B43">
        <f t="shared" si="4"/>
        <v>62318</v>
      </c>
      <c r="C43">
        <v>8821</v>
      </c>
      <c r="D43">
        <v>53497</v>
      </c>
      <c r="F43">
        <f t="shared" si="5"/>
        <v>537</v>
      </c>
      <c r="G43" s="20">
        <f t="shared" si="6"/>
        <v>38</v>
      </c>
      <c r="H43" s="21">
        <v>23014060416</v>
      </c>
      <c r="I43" s="22">
        <v>49</v>
      </c>
      <c r="J43" s="23"/>
      <c r="K43" s="24">
        <v>61781</v>
      </c>
      <c r="L43" s="23">
        <f t="shared" si="0"/>
        <v>537</v>
      </c>
      <c r="M43" s="24">
        <v>8742</v>
      </c>
      <c r="N43" s="25">
        <f t="shared" si="1"/>
        <v>79</v>
      </c>
      <c r="O43" s="24">
        <v>53039</v>
      </c>
      <c r="P43" s="23">
        <f t="shared" si="2"/>
        <v>458</v>
      </c>
      <c r="Q43" s="26"/>
      <c r="R43" s="23">
        <f t="shared" si="3"/>
        <v>0</v>
      </c>
      <c r="S43" s="27" t="s">
        <v>18</v>
      </c>
      <c r="T43" s="19" t="s">
        <v>66</v>
      </c>
    </row>
    <row r="44" spans="1:20" ht="37.5" customHeight="1" x14ac:dyDescent="0.25">
      <c r="A44" s="19" t="s">
        <v>67</v>
      </c>
      <c r="B44">
        <f t="shared" si="4"/>
        <v>74499</v>
      </c>
      <c r="C44">
        <v>12274</v>
      </c>
      <c r="D44">
        <v>62225</v>
      </c>
      <c r="F44">
        <f t="shared" si="5"/>
        <v>706</v>
      </c>
      <c r="G44" s="20">
        <f t="shared" si="6"/>
        <v>39</v>
      </c>
      <c r="H44" s="21">
        <v>66616020392</v>
      </c>
      <c r="I44" s="22">
        <v>50</v>
      </c>
      <c r="J44" s="23"/>
      <c r="K44" s="24">
        <v>73793</v>
      </c>
      <c r="L44" s="23">
        <f t="shared" si="0"/>
        <v>706</v>
      </c>
      <c r="M44" s="24">
        <v>12067</v>
      </c>
      <c r="N44" s="25">
        <f t="shared" si="1"/>
        <v>207</v>
      </c>
      <c r="O44" s="24">
        <v>61418</v>
      </c>
      <c r="P44" s="23">
        <f t="shared" si="2"/>
        <v>807</v>
      </c>
      <c r="Q44" s="26"/>
      <c r="R44" s="23">
        <f t="shared" si="3"/>
        <v>0</v>
      </c>
      <c r="S44" s="27" t="s">
        <v>18</v>
      </c>
      <c r="T44" s="19" t="s">
        <v>67</v>
      </c>
    </row>
    <row r="45" spans="1:20" ht="37.5" customHeight="1" x14ac:dyDescent="0.25">
      <c r="A45" s="19" t="s">
        <v>68</v>
      </c>
      <c r="B45">
        <f t="shared" si="4"/>
        <v>65775</v>
      </c>
      <c r="C45">
        <v>9804</v>
      </c>
      <c r="D45">
        <v>55971</v>
      </c>
      <c r="F45">
        <f t="shared" si="5"/>
        <v>488</v>
      </c>
      <c r="G45" s="20">
        <f t="shared" si="6"/>
        <v>40</v>
      </c>
      <c r="H45" s="21">
        <v>23013010326</v>
      </c>
      <c r="I45" s="22">
        <v>52</v>
      </c>
      <c r="J45" s="23"/>
      <c r="K45" s="24">
        <v>65287</v>
      </c>
      <c r="L45" s="23">
        <f t="shared" si="0"/>
        <v>488</v>
      </c>
      <c r="M45" s="24">
        <v>9726</v>
      </c>
      <c r="N45" s="25">
        <f t="shared" si="1"/>
        <v>78</v>
      </c>
      <c r="O45" s="24">
        <v>55561</v>
      </c>
      <c r="P45" s="23">
        <f t="shared" si="2"/>
        <v>410</v>
      </c>
      <c r="Q45" s="26"/>
      <c r="R45" s="23">
        <f t="shared" si="3"/>
        <v>0</v>
      </c>
      <c r="S45" s="27" t="s">
        <v>18</v>
      </c>
      <c r="T45" s="19" t="s">
        <v>68</v>
      </c>
    </row>
    <row r="46" spans="1:20" ht="37.5" customHeight="1" x14ac:dyDescent="0.25">
      <c r="A46" s="19" t="s">
        <v>69</v>
      </c>
      <c r="B46">
        <f t="shared" si="4"/>
        <v>36859</v>
      </c>
      <c r="C46">
        <v>6935</v>
      </c>
      <c r="D46">
        <v>29924</v>
      </c>
      <c r="F46">
        <f t="shared" si="5"/>
        <v>936</v>
      </c>
      <c r="G46" s="20">
        <f t="shared" si="6"/>
        <v>41</v>
      </c>
      <c r="H46" s="21">
        <v>66621090066</v>
      </c>
      <c r="I46" s="22">
        <v>53</v>
      </c>
      <c r="J46" s="23"/>
      <c r="K46" s="24">
        <v>35923</v>
      </c>
      <c r="L46" s="23">
        <f t="shared" si="0"/>
        <v>936</v>
      </c>
      <c r="M46" s="24">
        <v>6739</v>
      </c>
      <c r="N46" s="25">
        <f t="shared" si="1"/>
        <v>196</v>
      </c>
      <c r="O46" s="24">
        <v>29184</v>
      </c>
      <c r="P46" s="23">
        <f t="shared" si="2"/>
        <v>740</v>
      </c>
      <c r="Q46" s="26"/>
      <c r="R46" s="23">
        <f t="shared" si="3"/>
        <v>0</v>
      </c>
      <c r="S46" s="27" t="s">
        <v>18</v>
      </c>
      <c r="T46" s="19" t="s">
        <v>69</v>
      </c>
    </row>
    <row r="47" spans="1:20" ht="37.5" customHeight="1" x14ac:dyDescent="0.25">
      <c r="A47" s="19" t="s">
        <v>70</v>
      </c>
      <c r="B47">
        <f t="shared" si="4"/>
        <v>66680</v>
      </c>
      <c r="C47">
        <v>11712</v>
      </c>
      <c r="D47">
        <v>54968</v>
      </c>
      <c r="F47">
        <f t="shared" si="5"/>
        <v>99</v>
      </c>
      <c r="G47" s="20">
        <f t="shared" si="6"/>
        <v>42</v>
      </c>
      <c r="H47" s="21">
        <v>66617010264</v>
      </c>
      <c r="I47" s="22">
        <v>54</v>
      </c>
      <c r="J47" s="23"/>
      <c r="K47" s="24">
        <v>66581</v>
      </c>
      <c r="L47" s="23">
        <f t="shared" si="0"/>
        <v>99</v>
      </c>
      <c r="M47" s="24">
        <v>11703</v>
      </c>
      <c r="N47" s="25">
        <f t="shared" si="1"/>
        <v>9</v>
      </c>
      <c r="O47" s="24">
        <v>54878</v>
      </c>
      <c r="P47" s="23">
        <f t="shared" si="2"/>
        <v>90</v>
      </c>
      <c r="Q47" s="26"/>
      <c r="R47" s="23">
        <f t="shared" si="3"/>
        <v>0</v>
      </c>
      <c r="S47" s="27" t="s">
        <v>18</v>
      </c>
      <c r="T47" s="19" t="s">
        <v>70</v>
      </c>
    </row>
    <row r="48" spans="1:20" ht="37.5" customHeight="1" x14ac:dyDescent="0.25">
      <c r="A48" s="19" t="s">
        <v>71</v>
      </c>
      <c r="B48">
        <f t="shared" si="4"/>
        <v>6410</v>
      </c>
      <c r="C48">
        <v>1259</v>
      </c>
      <c r="D48">
        <v>5151</v>
      </c>
      <c r="F48">
        <f t="shared" si="5"/>
        <v>231</v>
      </c>
      <c r="G48" s="20">
        <f t="shared" si="6"/>
        <v>43</v>
      </c>
      <c r="H48" s="21">
        <v>66622060403</v>
      </c>
      <c r="I48" s="22">
        <v>55</v>
      </c>
      <c r="J48" s="23"/>
      <c r="K48" s="24">
        <v>6179</v>
      </c>
      <c r="L48" s="23">
        <f t="shared" si="0"/>
        <v>231</v>
      </c>
      <c r="M48" s="24">
        <v>1217</v>
      </c>
      <c r="N48" s="25">
        <f t="shared" si="1"/>
        <v>42</v>
      </c>
      <c r="O48" s="24">
        <v>4962</v>
      </c>
      <c r="P48" s="23">
        <f t="shared" si="2"/>
        <v>189</v>
      </c>
      <c r="Q48" s="26"/>
      <c r="R48" s="23">
        <f t="shared" si="3"/>
        <v>0</v>
      </c>
      <c r="S48" s="27" t="s">
        <v>18</v>
      </c>
      <c r="T48" s="19" t="s">
        <v>71</v>
      </c>
    </row>
    <row r="49" spans="1:20" ht="37.5" customHeight="1" x14ac:dyDescent="0.25">
      <c r="A49" s="19" t="s">
        <v>72</v>
      </c>
      <c r="B49">
        <f t="shared" si="4"/>
        <v>19791</v>
      </c>
      <c r="C49">
        <v>3635</v>
      </c>
      <c r="D49">
        <v>16156</v>
      </c>
      <c r="F49">
        <f t="shared" si="5"/>
        <v>237</v>
      </c>
      <c r="G49" s="20">
        <f t="shared" si="6"/>
        <v>44</v>
      </c>
      <c r="H49" s="21">
        <v>88821080268</v>
      </c>
      <c r="I49" s="22">
        <v>56</v>
      </c>
      <c r="J49" s="23"/>
      <c r="K49" s="24">
        <v>19554</v>
      </c>
      <c r="L49" s="23">
        <f t="shared" si="0"/>
        <v>237</v>
      </c>
      <c r="M49" s="24">
        <v>3591</v>
      </c>
      <c r="N49" s="25">
        <f t="shared" si="1"/>
        <v>44</v>
      </c>
      <c r="O49" s="24">
        <v>15963</v>
      </c>
      <c r="P49" s="23">
        <f t="shared" si="2"/>
        <v>193</v>
      </c>
      <c r="Q49" s="26"/>
      <c r="R49" s="23">
        <f t="shared" si="3"/>
        <v>0</v>
      </c>
      <c r="S49" s="27" t="s">
        <v>18</v>
      </c>
      <c r="T49" s="19" t="s">
        <v>72</v>
      </c>
    </row>
    <row r="50" spans="1:20" ht="37.5" customHeight="1" x14ac:dyDescent="0.25">
      <c r="A50" s="19" t="s">
        <v>73</v>
      </c>
      <c r="B50">
        <f t="shared" si="4"/>
        <v>35094</v>
      </c>
      <c r="C50">
        <v>5647</v>
      </c>
      <c r="D50">
        <v>29447</v>
      </c>
      <c r="F50">
        <f t="shared" si="5"/>
        <v>389</v>
      </c>
      <c r="G50" s="20">
        <f t="shared" si="6"/>
        <v>45</v>
      </c>
      <c r="H50" s="21">
        <v>23014010027</v>
      </c>
      <c r="I50" s="22">
        <v>57</v>
      </c>
      <c r="J50" s="23"/>
      <c r="K50" s="24">
        <v>34705</v>
      </c>
      <c r="L50" s="23">
        <f t="shared" si="0"/>
        <v>389</v>
      </c>
      <c r="M50" s="24">
        <v>5590</v>
      </c>
      <c r="N50" s="25">
        <f t="shared" si="1"/>
        <v>57</v>
      </c>
      <c r="O50" s="24">
        <v>29115</v>
      </c>
      <c r="P50" s="23">
        <f t="shared" si="2"/>
        <v>332</v>
      </c>
      <c r="Q50" s="26"/>
      <c r="R50" s="23">
        <f t="shared" si="3"/>
        <v>0</v>
      </c>
      <c r="S50" s="27" t="s">
        <v>18</v>
      </c>
      <c r="T50" s="19" t="s">
        <v>73</v>
      </c>
    </row>
    <row r="51" spans="1:20" ht="37.5" customHeight="1" x14ac:dyDescent="0.25">
      <c r="A51" s="19" t="s">
        <v>74</v>
      </c>
      <c r="B51">
        <f t="shared" si="4"/>
        <v>111922</v>
      </c>
      <c r="C51">
        <v>18539</v>
      </c>
      <c r="D51">
        <v>93383</v>
      </c>
      <c r="F51">
        <f t="shared" si="5"/>
        <v>627</v>
      </c>
      <c r="G51" s="20">
        <f t="shared" si="6"/>
        <v>46</v>
      </c>
      <c r="H51" s="21">
        <v>66618010383</v>
      </c>
      <c r="I51" s="22">
        <v>58</v>
      </c>
      <c r="J51" s="23"/>
      <c r="K51" s="24">
        <v>111295</v>
      </c>
      <c r="L51" s="23">
        <f t="shared" si="0"/>
        <v>627</v>
      </c>
      <c r="M51" s="24">
        <v>18425</v>
      </c>
      <c r="N51" s="25">
        <f t="shared" si="1"/>
        <v>114</v>
      </c>
      <c r="O51" s="24">
        <v>92870</v>
      </c>
      <c r="P51" s="23">
        <f t="shared" si="2"/>
        <v>513</v>
      </c>
      <c r="Q51" s="26"/>
      <c r="R51" s="23">
        <f t="shared" si="3"/>
        <v>0</v>
      </c>
      <c r="S51" s="27" t="s">
        <v>18</v>
      </c>
      <c r="T51" s="19" t="s">
        <v>74</v>
      </c>
    </row>
    <row r="52" spans="1:20" ht="37.5" customHeight="1" x14ac:dyDescent="0.25">
      <c r="A52" s="19" t="s">
        <v>75</v>
      </c>
      <c r="B52">
        <f t="shared" si="4"/>
        <v>32011</v>
      </c>
      <c r="C52">
        <v>4305</v>
      </c>
      <c r="D52">
        <v>27706</v>
      </c>
      <c r="F52">
        <f t="shared" si="5"/>
        <v>187</v>
      </c>
      <c r="G52" s="20">
        <f t="shared" si="6"/>
        <v>47</v>
      </c>
      <c r="H52" s="21">
        <v>23008030046</v>
      </c>
      <c r="I52" s="22">
        <v>59</v>
      </c>
      <c r="J52" s="23"/>
      <c r="K52" s="24">
        <v>31824</v>
      </c>
      <c r="L52" s="23">
        <f t="shared" si="0"/>
        <v>187</v>
      </c>
      <c r="M52" s="24">
        <v>4339</v>
      </c>
      <c r="N52" s="25">
        <f t="shared" si="1"/>
        <v>-34</v>
      </c>
      <c r="O52" s="24">
        <v>27485</v>
      </c>
      <c r="P52" s="23">
        <f t="shared" si="2"/>
        <v>221</v>
      </c>
      <c r="Q52" s="26"/>
      <c r="R52" s="23">
        <f t="shared" si="3"/>
        <v>0</v>
      </c>
      <c r="S52" s="27" t="s">
        <v>18</v>
      </c>
      <c r="T52" s="19" t="s">
        <v>75</v>
      </c>
    </row>
    <row r="53" spans="1:20" ht="37.5" customHeight="1" x14ac:dyDescent="0.25">
      <c r="A53" s="19" t="s">
        <v>76</v>
      </c>
      <c r="B53">
        <f t="shared" si="4"/>
        <v>10774</v>
      </c>
      <c r="C53">
        <v>1707</v>
      </c>
      <c r="D53">
        <v>9067</v>
      </c>
      <c r="F53">
        <f t="shared" si="5"/>
        <v>439</v>
      </c>
      <c r="G53" s="20">
        <f t="shared" si="6"/>
        <v>48</v>
      </c>
      <c r="H53" s="21">
        <v>23014060301</v>
      </c>
      <c r="I53" s="22">
        <v>60</v>
      </c>
      <c r="J53" s="23"/>
      <c r="K53" s="24">
        <v>10335</v>
      </c>
      <c r="L53" s="23">
        <f t="shared" si="0"/>
        <v>439</v>
      </c>
      <c r="M53" s="24">
        <v>1707</v>
      </c>
      <c r="N53" s="25">
        <f t="shared" si="1"/>
        <v>0</v>
      </c>
      <c r="O53" s="24">
        <v>8628</v>
      </c>
      <c r="P53" s="23">
        <f t="shared" si="2"/>
        <v>439</v>
      </c>
      <c r="Q53" s="26"/>
      <c r="R53" s="23">
        <f t="shared" si="3"/>
        <v>0</v>
      </c>
      <c r="S53" s="27" t="s">
        <v>18</v>
      </c>
      <c r="T53" s="19" t="s">
        <v>76</v>
      </c>
    </row>
    <row r="54" spans="1:20" ht="37.5" customHeight="1" x14ac:dyDescent="0.25">
      <c r="A54" s="19" t="s">
        <v>77</v>
      </c>
      <c r="B54">
        <f t="shared" si="4"/>
        <v>38479</v>
      </c>
      <c r="C54">
        <v>8704</v>
      </c>
      <c r="D54">
        <v>29775</v>
      </c>
      <c r="F54">
        <f t="shared" si="5"/>
        <v>286</v>
      </c>
      <c r="G54" s="20">
        <f t="shared" si="6"/>
        <v>49</v>
      </c>
      <c r="H54" s="21">
        <v>88819030294</v>
      </c>
      <c r="I54" s="22">
        <v>61</v>
      </c>
      <c r="J54" s="23"/>
      <c r="K54" s="24">
        <v>38193</v>
      </c>
      <c r="L54" s="23">
        <f t="shared" si="0"/>
        <v>286</v>
      </c>
      <c r="M54" s="24">
        <v>8622</v>
      </c>
      <c r="N54" s="25">
        <f t="shared" si="1"/>
        <v>82</v>
      </c>
      <c r="O54" s="24">
        <v>29571</v>
      </c>
      <c r="P54" s="23">
        <f t="shared" si="2"/>
        <v>204</v>
      </c>
      <c r="Q54" s="26"/>
      <c r="R54" s="23">
        <f t="shared" si="3"/>
        <v>0</v>
      </c>
      <c r="S54" s="27" t="s">
        <v>18</v>
      </c>
      <c r="T54" s="19" t="s">
        <v>77</v>
      </c>
    </row>
    <row r="55" spans="1:20" ht="37.5" customHeight="1" x14ac:dyDescent="0.25">
      <c r="A55" s="19" t="s">
        <v>78</v>
      </c>
      <c r="B55">
        <f t="shared" si="4"/>
        <v>6143</v>
      </c>
      <c r="C55">
        <v>1159</v>
      </c>
      <c r="D55">
        <v>4984</v>
      </c>
      <c r="F55">
        <f t="shared" si="5"/>
        <v>90</v>
      </c>
      <c r="G55" s="20">
        <f t="shared" si="6"/>
        <v>50</v>
      </c>
      <c r="H55" s="21">
        <v>23015010163</v>
      </c>
      <c r="I55" s="22">
        <v>62</v>
      </c>
      <c r="J55" s="23"/>
      <c r="K55" s="24">
        <v>6053</v>
      </c>
      <c r="L55" s="23">
        <f t="shared" si="0"/>
        <v>90</v>
      </c>
      <c r="M55" s="24">
        <v>1142</v>
      </c>
      <c r="N55" s="25">
        <f t="shared" si="1"/>
        <v>17</v>
      </c>
      <c r="O55" s="24">
        <v>4911</v>
      </c>
      <c r="P55" s="23">
        <f t="shared" si="2"/>
        <v>73</v>
      </c>
      <c r="Q55" s="26"/>
      <c r="R55" s="23">
        <f t="shared" si="3"/>
        <v>0</v>
      </c>
      <c r="S55" s="27" t="s">
        <v>18</v>
      </c>
      <c r="T55" s="19" t="s">
        <v>78</v>
      </c>
    </row>
    <row r="56" spans="1:20" ht="37.5" customHeight="1" x14ac:dyDescent="0.25">
      <c r="A56" s="19" t="s">
        <v>79</v>
      </c>
      <c r="B56">
        <f t="shared" si="4"/>
        <v>12668</v>
      </c>
      <c r="C56">
        <v>2549</v>
      </c>
      <c r="D56">
        <v>10119</v>
      </c>
      <c r="F56">
        <f t="shared" si="5"/>
        <v>851</v>
      </c>
      <c r="G56" s="20">
        <f t="shared" si="6"/>
        <v>51</v>
      </c>
      <c r="H56" s="21">
        <v>66622060243</v>
      </c>
      <c r="I56" s="22">
        <v>63</v>
      </c>
      <c r="J56" s="23"/>
      <c r="K56" s="24">
        <v>11817</v>
      </c>
      <c r="L56" s="23">
        <f t="shared" si="0"/>
        <v>851</v>
      </c>
      <c r="M56" s="24">
        <v>2363</v>
      </c>
      <c r="N56" s="25">
        <f t="shared" si="1"/>
        <v>186</v>
      </c>
      <c r="O56" s="24">
        <v>9454</v>
      </c>
      <c r="P56" s="23">
        <f t="shared" si="2"/>
        <v>665</v>
      </c>
      <c r="Q56" s="26"/>
      <c r="R56" s="23">
        <f t="shared" si="3"/>
        <v>0</v>
      </c>
      <c r="S56" s="27" t="s">
        <v>18</v>
      </c>
      <c r="T56" s="19" t="s">
        <v>79</v>
      </c>
    </row>
    <row r="57" spans="1:20" ht="37.5" customHeight="1" x14ac:dyDescent="0.25">
      <c r="A57" s="19" t="s">
        <v>80</v>
      </c>
      <c r="B57">
        <f t="shared" si="4"/>
        <v>12826</v>
      </c>
      <c r="C57">
        <v>2173</v>
      </c>
      <c r="D57">
        <v>10653</v>
      </c>
      <c r="F57">
        <f t="shared" si="5"/>
        <v>0</v>
      </c>
      <c r="G57" s="20">
        <f t="shared" si="6"/>
        <v>52</v>
      </c>
      <c r="H57" s="21">
        <v>88819020445</v>
      </c>
      <c r="I57" s="22">
        <v>64</v>
      </c>
      <c r="J57" s="23"/>
      <c r="K57" s="24">
        <v>12826</v>
      </c>
      <c r="L57" s="23">
        <f t="shared" si="0"/>
        <v>0</v>
      </c>
      <c r="M57" s="24">
        <v>2173</v>
      </c>
      <c r="N57" s="25">
        <f t="shared" si="1"/>
        <v>0</v>
      </c>
      <c r="O57" s="24">
        <v>10653</v>
      </c>
      <c r="P57" s="23">
        <f t="shared" si="2"/>
        <v>0</v>
      </c>
      <c r="Q57" s="26"/>
      <c r="R57" s="23">
        <f t="shared" si="3"/>
        <v>0</v>
      </c>
      <c r="S57" s="27" t="s">
        <v>18</v>
      </c>
      <c r="T57" s="19" t="s">
        <v>80</v>
      </c>
    </row>
    <row r="58" spans="1:20" ht="37.5" customHeight="1" x14ac:dyDescent="0.25">
      <c r="A58" s="19" t="s">
        <v>81</v>
      </c>
      <c r="B58">
        <f t="shared" si="4"/>
        <v>80290</v>
      </c>
      <c r="C58">
        <v>12909</v>
      </c>
      <c r="D58">
        <v>67381</v>
      </c>
      <c r="F58">
        <f t="shared" si="5"/>
        <v>714</v>
      </c>
      <c r="G58" s="20">
        <f t="shared" si="6"/>
        <v>53</v>
      </c>
      <c r="H58" s="21">
        <v>23014010479</v>
      </c>
      <c r="I58" s="22">
        <v>65</v>
      </c>
      <c r="J58" s="23"/>
      <c r="K58" s="24">
        <v>79576</v>
      </c>
      <c r="L58" s="23">
        <f t="shared" si="0"/>
        <v>714</v>
      </c>
      <c r="M58" s="24">
        <v>12787</v>
      </c>
      <c r="N58" s="25">
        <f t="shared" si="1"/>
        <v>122</v>
      </c>
      <c r="O58" s="24">
        <v>66789</v>
      </c>
      <c r="P58" s="23">
        <f t="shared" si="2"/>
        <v>592</v>
      </c>
      <c r="Q58" s="26"/>
      <c r="R58" s="23">
        <f t="shared" si="3"/>
        <v>0</v>
      </c>
      <c r="S58" s="27" t="s">
        <v>18</v>
      </c>
      <c r="T58" s="19" t="s">
        <v>81</v>
      </c>
    </row>
    <row r="59" spans="1:20" ht="37.5" customHeight="1" x14ac:dyDescent="0.25">
      <c r="A59" s="19" t="s">
        <v>82</v>
      </c>
      <c r="B59">
        <f t="shared" si="4"/>
        <v>13855</v>
      </c>
      <c r="C59">
        <v>2968</v>
      </c>
      <c r="D59">
        <v>10887</v>
      </c>
      <c r="E59">
        <v>8630</v>
      </c>
      <c r="F59">
        <f t="shared" si="5"/>
        <v>913</v>
      </c>
      <c r="G59" s="20">
        <f t="shared" si="6"/>
        <v>54</v>
      </c>
      <c r="H59" s="21">
        <v>99624010030</v>
      </c>
      <c r="I59" s="22">
        <v>66</v>
      </c>
      <c r="J59" s="23"/>
      <c r="K59" s="24">
        <f>M59+O59</f>
        <v>12942</v>
      </c>
      <c r="L59" s="23">
        <f t="shared" si="0"/>
        <v>913</v>
      </c>
      <c r="M59" s="24">
        <v>2751</v>
      </c>
      <c r="N59" s="25">
        <f t="shared" si="1"/>
        <v>217</v>
      </c>
      <c r="O59" s="24">
        <v>10191</v>
      </c>
      <c r="P59" s="23">
        <f t="shared" si="2"/>
        <v>696</v>
      </c>
      <c r="Q59" s="26">
        <v>7746</v>
      </c>
      <c r="R59" s="23">
        <f t="shared" si="3"/>
        <v>884</v>
      </c>
      <c r="S59" s="27" t="s">
        <v>18</v>
      </c>
      <c r="T59" s="19" t="s">
        <v>82</v>
      </c>
    </row>
    <row r="60" spans="1:20" ht="37.5" customHeight="1" x14ac:dyDescent="0.25">
      <c r="A60" s="19" t="s">
        <v>83</v>
      </c>
      <c r="B60">
        <f t="shared" si="4"/>
        <v>11726</v>
      </c>
      <c r="C60">
        <v>2050</v>
      </c>
      <c r="D60">
        <v>9676</v>
      </c>
      <c r="F60">
        <f t="shared" si="5"/>
        <v>279</v>
      </c>
      <c r="G60" s="20">
        <f t="shared" si="6"/>
        <v>55</v>
      </c>
      <c r="H60" s="21">
        <v>66622030104</v>
      </c>
      <c r="I60" s="22">
        <v>68</v>
      </c>
      <c r="J60" s="23"/>
      <c r="K60" s="24">
        <v>11447</v>
      </c>
      <c r="L60" s="23">
        <f t="shared" si="0"/>
        <v>279</v>
      </c>
      <c r="M60" s="24">
        <v>2008</v>
      </c>
      <c r="N60" s="25">
        <f t="shared" si="1"/>
        <v>42</v>
      </c>
      <c r="O60" s="24">
        <v>9439</v>
      </c>
      <c r="P60" s="23">
        <f t="shared" si="2"/>
        <v>237</v>
      </c>
      <c r="Q60" s="26"/>
      <c r="R60" s="23">
        <f t="shared" si="3"/>
        <v>0</v>
      </c>
      <c r="S60" s="27" t="s">
        <v>18</v>
      </c>
      <c r="T60" s="19" t="s">
        <v>83</v>
      </c>
    </row>
    <row r="61" spans="1:20" ht="37.5" customHeight="1" x14ac:dyDescent="0.25">
      <c r="A61" s="19" t="s">
        <v>84</v>
      </c>
      <c r="B61">
        <f t="shared" si="4"/>
        <v>34169</v>
      </c>
      <c r="C61">
        <v>6950</v>
      </c>
      <c r="D61">
        <v>27219</v>
      </c>
      <c r="F61">
        <f t="shared" si="5"/>
        <v>320</v>
      </c>
      <c r="G61" s="20">
        <f t="shared" si="6"/>
        <v>56</v>
      </c>
      <c r="H61" s="21">
        <v>23014010059</v>
      </c>
      <c r="I61" s="22">
        <v>69</v>
      </c>
      <c r="J61" s="23"/>
      <c r="K61" s="24">
        <v>33849</v>
      </c>
      <c r="L61" s="23">
        <f t="shared" si="0"/>
        <v>320</v>
      </c>
      <c r="M61" s="24">
        <v>6897</v>
      </c>
      <c r="N61" s="25">
        <f t="shared" si="1"/>
        <v>53</v>
      </c>
      <c r="O61" s="24">
        <v>26952</v>
      </c>
      <c r="P61" s="23">
        <f t="shared" si="2"/>
        <v>267</v>
      </c>
      <c r="Q61" s="26"/>
      <c r="R61" s="23">
        <f t="shared" si="3"/>
        <v>0</v>
      </c>
      <c r="S61" s="27" t="s">
        <v>18</v>
      </c>
      <c r="T61" s="19" t="s">
        <v>84</v>
      </c>
    </row>
    <row r="62" spans="1:20" ht="37.5" customHeight="1" x14ac:dyDescent="0.25">
      <c r="A62" s="19" t="s">
        <v>85</v>
      </c>
      <c r="B62">
        <v>55196</v>
      </c>
      <c r="F62">
        <f t="shared" si="5"/>
        <v>360</v>
      </c>
      <c r="G62" s="20">
        <f t="shared" si="6"/>
        <v>57</v>
      </c>
      <c r="H62" s="21">
        <v>23015100065</v>
      </c>
      <c r="I62" s="22">
        <v>71</v>
      </c>
      <c r="J62" s="23"/>
      <c r="K62" s="24">
        <v>54836</v>
      </c>
      <c r="L62" s="23">
        <f t="shared" si="0"/>
        <v>360</v>
      </c>
      <c r="M62" s="24">
        <v>9486</v>
      </c>
      <c r="N62" s="25">
        <f t="shared" si="1"/>
        <v>-9486</v>
      </c>
      <c r="O62" s="24">
        <v>45350</v>
      </c>
      <c r="P62" s="23">
        <f t="shared" si="2"/>
        <v>-45350</v>
      </c>
      <c r="Q62" s="26"/>
      <c r="R62" s="23">
        <f t="shared" si="3"/>
        <v>0</v>
      </c>
      <c r="S62" s="27" t="s">
        <v>18</v>
      </c>
      <c r="T62" s="19" t="s">
        <v>85</v>
      </c>
    </row>
    <row r="63" spans="1:20" ht="37.5" customHeight="1" x14ac:dyDescent="0.25">
      <c r="A63" s="19" t="s">
        <v>86</v>
      </c>
      <c r="B63">
        <f t="shared" si="4"/>
        <v>12247</v>
      </c>
      <c r="C63">
        <v>3326</v>
      </c>
      <c r="D63">
        <v>8921</v>
      </c>
      <c r="E63">
        <v>7574</v>
      </c>
      <c r="F63">
        <f t="shared" si="5"/>
        <v>836</v>
      </c>
      <c r="G63" s="20">
        <f t="shared" si="6"/>
        <v>58</v>
      </c>
      <c r="H63" s="21">
        <v>99624020165</v>
      </c>
      <c r="I63" s="22">
        <v>72</v>
      </c>
      <c r="J63" s="23"/>
      <c r="K63" s="24">
        <f>M63+O63</f>
        <v>11411</v>
      </c>
      <c r="L63" s="23">
        <f t="shared" si="0"/>
        <v>836</v>
      </c>
      <c r="M63" s="24">
        <v>3053</v>
      </c>
      <c r="N63" s="25">
        <f t="shared" si="1"/>
        <v>273</v>
      </c>
      <c r="O63" s="24">
        <v>8358</v>
      </c>
      <c r="P63" s="23">
        <f t="shared" si="2"/>
        <v>563</v>
      </c>
      <c r="Q63" s="26">
        <v>6528</v>
      </c>
      <c r="R63" s="23">
        <f t="shared" si="3"/>
        <v>1046</v>
      </c>
      <c r="S63" s="27" t="s">
        <v>18</v>
      </c>
      <c r="T63" s="19" t="s">
        <v>86</v>
      </c>
    </row>
    <row r="64" spans="1:20" ht="37.5" customHeight="1" x14ac:dyDescent="0.25">
      <c r="A64" s="19" t="s">
        <v>87</v>
      </c>
      <c r="B64">
        <f t="shared" si="4"/>
        <v>3073</v>
      </c>
      <c r="C64">
        <v>486</v>
      </c>
      <c r="D64">
        <v>2587</v>
      </c>
      <c r="F64">
        <f t="shared" si="5"/>
        <v>40</v>
      </c>
      <c r="G64" s="20">
        <f t="shared" si="6"/>
        <v>59</v>
      </c>
      <c r="H64" s="21">
        <v>66622040658</v>
      </c>
      <c r="I64" s="22">
        <v>73</v>
      </c>
      <c r="J64" s="23"/>
      <c r="K64" s="24">
        <v>3033</v>
      </c>
      <c r="L64" s="23">
        <f t="shared" si="0"/>
        <v>40</v>
      </c>
      <c r="M64" s="24">
        <v>479</v>
      </c>
      <c r="N64" s="25">
        <f t="shared" si="1"/>
        <v>7</v>
      </c>
      <c r="O64" s="24">
        <v>2554</v>
      </c>
      <c r="P64" s="23">
        <f t="shared" si="2"/>
        <v>33</v>
      </c>
      <c r="Q64" s="26"/>
      <c r="R64" s="23">
        <f t="shared" si="3"/>
        <v>0</v>
      </c>
      <c r="S64" s="27" t="s">
        <v>18</v>
      </c>
      <c r="T64" s="19" t="s">
        <v>87</v>
      </c>
    </row>
    <row r="65" spans="1:20" ht="37.5" customHeight="1" x14ac:dyDescent="0.25">
      <c r="A65" s="19" t="s">
        <v>88</v>
      </c>
      <c r="B65">
        <f t="shared" si="4"/>
        <v>51240</v>
      </c>
      <c r="C65">
        <v>7955</v>
      </c>
      <c r="D65">
        <v>43285</v>
      </c>
      <c r="F65">
        <f t="shared" si="5"/>
        <v>755</v>
      </c>
      <c r="G65" s="20">
        <f t="shared" si="6"/>
        <v>60</v>
      </c>
      <c r="H65" s="21">
        <v>23012060019</v>
      </c>
      <c r="I65" s="22">
        <v>74</v>
      </c>
      <c r="J65" s="23"/>
      <c r="K65" s="24">
        <v>50485</v>
      </c>
      <c r="L65" s="23">
        <f t="shared" si="0"/>
        <v>755</v>
      </c>
      <c r="M65" s="24">
        <v>7833</v>
      </c>
      <c r="N65" s="25">
        <f t="shared" si="1"/>
        <v>122</v>
      </c>
      <c r="O65" s="24">
        <v>42652</v>
      </c>
      <c r="P65" s="23">
        <f t="shared" si="2"/>
        <v>633</v>
      </c>
      <c r="Q65" s="26"/>
      <c r="R65" s="23">
        <f t="shared" si="3"/>
        <v>0</v>
      </c>
      <c r="S65" s="27" t="s">
        <v>18</v>
      </c>
      <c r="T65" s="19" t="s">
        <v>88</v>
      </c>
    </row>
    <row r="66" spans="1:20" ht="37.5" customHeight="1" x14ac:dyDescent="0.25">
      <c r="A66" s="19" t="s">
        <v>89</v>
      </c>
      <c r="B66">
        <f t="shared" si="4"/>
        <v>2569</v>
      </c>
      <c r="C66">
        <v>649</v>
      </c>
      <c r="D66">
        <v>1920</v>
      </c>
      <c r="E66">
        <v>2091</v>
      </c>
      <c r="F66">
        <f t="shared" si="5"/>
        <v>726</v>
      </c>
      <c r="G66" s="20">
        <f t="shared" si="6"/>
        <v>61</v>
      </c>
      <c r="H66" s="21">
        <v>99624050116</v>
      </c>
      <c r="I66" s="22">
        <v>77</v>
      </c>
      <c r="J66" s="23"/>
      <c r="K66" s="24">
        <f>M66+O66</f>
        <v>1843</v>
      </c>
      <c r="L66" s="23">
        <f t="shared" si="0"/>
        <v>726</v>
      </c>
      <c r="M66" s="24">
        <v>493</v>
      </c>
      <c r="N66" s="25">
        <f t="shared" si="1"/>
        <v>156</v>
      </c>
      <c r="O66" s="24">
        <v>1350</v>
      </c>
      <c r="P66" s="23">
        <f t="shared" si="2"/>
        <v>570</v>
      </c>
      <c r="Q66" s="26">
        <v>1533</v>
      </c>
      <c r="R66" s="23">
        <f t="shared" si="3"/>
        <v>558</v>
      </c>
      <c r="S66" s="27" t="s">
        <v>18</v>
      </c>
      <c r="T66" s="19" t="s">
        <v>89</v>
      </c>
    </row>
    <row r="67" spans="1:20" ht="37.5" customHeight="1" x14ac:dyDescent="0.25">
      <c r="A67" s="19" t="s">
        <v>90</v>
      </c>
      <c r="B67">
        <f t="shared" si="4"/>
        <v>59676</v>
      </c>
      <c r="C67">
        <v>9751</v>
      </c>
      <c r="D67">
        <v>49925</v>
      </c>
      <c r="F67">
        <f t="shared" si="5"/>
        <v>567</v>
      </c>
      <c r="G67" s="20">
        <f t="shared" si="6"/>
        <v>62</v>
      </c>
      <c r="H67" s="21">
        <v>66616031448</v>
      </c>
      <c r="I67" s="22">
        <v>78</v>
      </c>
      <c r="J67" s="23"/>
      <c r="K67" s="24">
        <v>59109</v>
      </c>
      <c r="L67" s="23">
        <f t="shared" si="0"/>
        <v>567</v>
      </c>
      <c r="M67" s="24">
        <v>9646</v>
      </c>
      <c r="N67" s="25">
        <f t="shared" si="1"/>
        <v>105</v>
      </c>
      <c r="O67" s="24">
        <v>49463</v>
      </c>
      <c r="P67" s="23">
        <f t="shared" si="2"/>
        <v>462</v>
      </c>
      <c r="Q67" s="26"/>
      <c r="R67" s="23">
        <f t="shared" si="3"/>
        <v>0</v>
      </c>
      <c r="S67" s="27" t="s">
        <v>18</v>
      </c>
      <c r="T67" s="19" t="s">
        <v>90</v>
      </c>
    </row>
    <row r="68" spans="1:20" ht="37.5" customHeight="1" x14ac:dyDescent="0.25">
      <c r="A68" s="19" t="s">
        <v>91</v>
      </c>
      <c r="B68">
        <f t="shared" si="4"/>
        <v>2930</v>
      </c>
      <c r="C68">
        <v>464</v>
      </c>
      <c r="D68">
        <v>2466</v>
      </c>
      <c r="F68">
        <f t="shared" si="5"/>
        <v>24</v>
      </c>
      <c r="G68" s="20">
        <f t="shared" si="6"/>
        <v>63</v>
      </c>
      <c r="H68" s="21">
        <v>66621040493</v>
      </c>
      <c r="I68" s="22">
        <v>79</v>
      </c>
      <c r="J68" s="23"/>
      <c r="K68" s="24">
        <v>2906</v>
      </c>
      <c r="L68" s="23">
        <f t="shared" si="0"/>
        <v>24</v>
      </c>
      <c r="M68" s="24">
        <v>460</v>
      </c>
      <c r="N68" s="25">
        <f t="shared" si="1"/>
        <v>4</v>
      </c>
      <c r="O68" s="24">
        <v>2446</v>
      </c>
      <c r="P68" s="23">
        <f t="shared" si="2"/>
        <v>20</v>
      </c>
      <c r="Q68" s="26"/>
      <c r="R68" s="23">
        <f t="shared" si="3"/>
        <v>0</v>
      </c>
      <c r="S68" s="27" t="s">
        <v>18</v>
      </c>
      <c r="T68" s="19" t="s">
        <v>91</v>
      </c>
    </row>
    <row r="69" spans="1:20" ht="37.5" customHeight="1" x14ac:dyDescent="0.25">
      <c r="A69" s="19" t="s">
        <v>92</v>
      </c>
      <c r="B69">
        <f t="shared" si="4"/>
        <v>8299</v>
      </c>
      <c r="C69">
        <v>1446</v>
      </c>
      <c r="D69">
        <v>6853</v>
      </c>
      <c r="F69">
        <f t="shared" si="5"/>
        <v>20</v>
      </c>
      <c r="G69" s="20">
        <f t="shared" si="6"/>
        <v>64</v>
      </c>
      <c r="H69" s="21">
        <v>88820040329</v>
      </c>
      <c r="I69" s="22">
        <v>80</v>
      </c>
      <c r="J69" s="23"/>
      <c r="K69" s="24">
        <v>8279</v>
      </c>
      <c r="L69" s="23">
        <f t="shared" si="0"/>
        <v>20</v>
      </c>
      <c r="M69" s="24">
        <v>1442</v>
      </c>
      <c r="N69" s="25">
        <f t="shared" si="1"/>
        <v>4</v>
      </c>
      <c r="O69" s="24">
        <v>6837</v>
      </c>
      <c r="P69" s="23">
        <f t="shared" si="2"/>
        <v>16</v>
      </c>
      <c r="Q69" s="26"/>
      <c r="R69" s="23">
        <f t="shared" si="3"/>
        <v>0</v>
      </c>
      <c r="S69" s="27" t="s">
        <v>18</v>
      </c>
      <c r="T69" s="19" t="s">
        <v>92</v>
      </c>
    </row>
    <row r="70" spans="1:20" ht="37.5" customHeight="1" x14ac:dyDescent="0.25">
      <c r="A70" s="19" t="s">
        <v>93</v>
      </c>
      <c r="B70">
        <f t="shared" si="4"/>
        <v>3808</v>
      </c>
      <c r="C70">
        <v>735</v>
      </c>
      <c r="D70">
        <v>3073</v>
      </c>
      <c r="E70">
        <v>13445</v>
      </c>
      <c r="F70">
        <f t="shared" si="5"/>
        <v>118</v>
      </c>
      <c r="G70" s="20">
        <f t="shared" si="6"/>
        <v>65</v>
      </c>
      <c r="H70" s="21">
        <v>99623080176</v>
      </c>
      <c r="I70" s="22">
        <v>82</v>
      </c>
      <c r="J70" s="23"/>
      <c r="K70" s="24">
        <f>M70+O70</f>
        <v>3690</v>
      </c>
      <c r="L70" s="23">
        <f t="shared" ref="L70:L133" si="7">B70-K70</f>
        <v>118</v>
      </c>
      <c r="M70" s="24">
        <v>705</v>
      </c>
      <c r="N70" s="25">
        <f t="shared" ref="N70:N133" si="8">C70-M70</f>
        <v>30</v>
      </c>
      <c r="O70" s="24">
        <v>2985</v>
      </c>
      <c r="P70" s="23">
        <f t="shared" ref="P70:P133" si="9">D70-O70</f>
        <v>88</v>
      </c>
      <c r="Q70" s="26">
        <v>12353</v>
      </c>
      <c r="R70" s="23">
        <f t="shared" ref="R70:R133" si="10">E70-Q70</f>
        <v>1092</v>
      </c>
      <c r="S70" s="27" t="s">
        <v>18</v>
      </c>
      <c r="T70" s="19" t="s">
        <v>93</v>
      </c>
    </row>
    <row r="71" spans="1:20" ht="37.5" customHeight="1" x14ac:dyDescent="0.25">
      <c r="A71" s="19" t="s">
        <v>94</v>
      </c>
      <c r="B71">
        <f t="shared" ref="B71:B134" si="11">C71+D71</f>
        <v>135697</v>
      </c>
      <c r="C71">
        <v>26632</v>
      </c>
      <c r="D71">
        <v>109065</v>
      </c>
      <c r="F71">
        <f t="shared" ref="F71:F134" si="12">L71</f>
        <v>517</v>
      </c>
      <c r="G71" s="20">
        <f t="shared" si="6"/>
        <v>66</v>
      </c>
      <c r="H71" s="21">
        <v>7110021</v>
      </c>
      <c r="I71" s="22">
        <v>83</v>
      </c>
      <c r="J71" s="23"/>
      <c r="K71" s="24">
        <v>135180</v>
      </c>
      <c r="L71" s="23">
        <f t="shared" si="7"/>
        <v>517</v>
      </c>
      <c r="M71" s="24">
        <v>26562</v>
      </c>
      <c r="N71" s="25">
        <f t="shared" si="8"/>
        <v>70</v>
      </c>
      <c r="O71" s="24">
        <v>108618</v>
      </c>
      <c r="P71" s="23">
        <f t="shared" si="9"/>
        <v>447</v>
      </c>
      <c r="Q71" s="26"/>
      <c r="R71" s="23">
        <f t="shared" si="10"/>
        <v>0</v>
      </c>
      <c r="S71" s="27" t="s">
        <v>18</v>
      </c>
      <c r="T71" s="19" t="s">
        <v>94</v>
      </c>
    </row>
    <row r="72" spans="1:20" ht="37.5" customHeight="1" x14ac:dyDescent="0.25">
      <c r="A72" s="19" t="s">
        <v>95</v>
      </c>
      <c r="B72">
        <f t="shared" si="11"/>
        <v>6180</v>
      </c>
      <c r="C72">
        <v>983</v>
      </c>
      <c r="D72">
        <v>5197</v>
      </c>
      <c r="F72">
        <f t="shared" si="12"/>
        <v>78</v>
      </c>
      <c r="G72" s="20">
        <f t="shared" ref="G72:G135" si="13">G71+1</f>
        <v>67</v>
      </c>
      <c r="H72" s="21">
        <v>88818030128</v>
      </c>
      <c r="I72" s="22">
        <v>84</v>
      </c>
      <c r="J72" s="23"/>
      <c r="K72" s="24">
        <v>6102</v>
      </c>
      <c r="L72" s="23">
        <f t="shared" si="7"/>
        <v>78</v>
      </c>
      <c r="M72" s="24">
        <v>970</v>
      </c>
      <c r="N72" s="25">
        <f t="shared" si="8"/>
        <v>13</v>
      </c>
      <c r="O72" s="24">
        <v>5132</v>
      </c>
      <c r="P72" s="23">
        <f t="shared" si="9"/>
        <v>65</v>
      </c>
      <c r="Q72" s="26"/>
      <c r="R72" s="23">
        <f t="shared" si="10"/>
        <v>0</v>
      </c>
      <c r="S72" s="27" t="s">
        <v>18</v>
      </c>
      <c r="T72" s="19" t="s">
        <v>95</v>
      </c>
    </row>
    <row r="73" spans="1:20" ht="37.5" customHeight="1" x14ac:dyDescent="0.25">
      <c r="A73" s="19" t="s">
        <v>96</v>
      </c>
      <c r="B73">
        <f t="shared" si="11"/>
        <v>54833</v>
      </c>
      <c r="C73">
        <v>10186</v>
      </c>
      <c r="D73">
        <v>44647</v>
      </c>
      <c r="F73">
        <f t="shared" si="12"/>
        <v>929</v>
      </c>
      <c r="G73" s="20">
        <f t="shared" si="13"/>
        <v>68</v>
      </c>
      <c r="H73" s="21">
        <v>88819020216</v>
      </c>
      <c r="I73" s="22">
        <v>85</v>
      </c>
      <c r="J73" s="23"/>
      <c r="K73" s="24">
        <v>53904</v>
      </c>
      <c r="L73" s="23">
        <f t="shared" si="7"/>
        <v>929</v>
      </c>
      <c r="M73" s="24">
        <v>10036</v>
      </c>
      <c r="N73" s="25">
        <f t="shared" si="8"/>
        <v>150</v>
      </c>
      <c r="O73" s="24">
        <v>43868</v>
      </c>
      <c r="P73" s="23">
        <f t="shared" si="9"/>
        <v>779</v>
      </c>
      <c r="Q73" s="26"/>
      <c r="R73" s="23">
        <f t="shared" si="10"/>
        <v>0</v>
      </c>
      <c r="S73" s="27" t="s">
        <v>18</v>
      </c>
      <c r="T73" s="19" t="s">
        <v>96</v>
      </c>
    </row>
    <row r="74" spans="1:20" ht="37.5" customHeight="1" x14ac:dyDescent="0.25">
      <c r="A74" s="19" t="s">
        <v>97</v>
      </c>
      <c r="B74">
        <f t="shared" si="11"/>
        <v>38936</v>
      </c>
      <c r="C74">
        <v>6191</v>
      </c>
      <c r="D74">
        <v>32745</v>
      </c>
      <c r="F74">
        <f t="shared" si="12"/>
        <v>66</v>
      </c>
      <c r="G74" s="20">
        <f t="shared" si="13"/>
        <v>69</v>
      </c>
      <c r="H74" s="21">
        <v>66618010443</v>
      </c>
      <c r="I74" s="22">
        <v>86</v>
      </c>
      <c r="J74" s="23"/>
      <c r="K74" s="24">
        <v>38870</v>
      </c>
      <c r="L74" s="23">
        <f t="shared" si="7"/>
        <v>66</v>
      </c>
      <c r="M74" s="24">
        <v>6190</v>
      </c>
      <c r="N74" s="25">
        <f t="shared" si="8"/>
        <v>1</v>
      </c>
      <c r="O74" s="24">
        <v>32680</v>
      </c>
      <c r="P74" s="23">
        <f t="shared" si="9"/>
        <v>65</v>
      </c>
      <c r="Q74" s="26"/>
      <c r="R74" s="23">
        <f t="shared" si="10"/>
        <v>0</v>
      </c>
      <c r="S74" s="27" t="s">
        <v>18</v>
      </c>
      <c r="T74" s="19" t="s">
        <v>97</v>
      </c>
    </row>
    <row r="75" spans="1:20" ht="37.5" customHeight="1" x14ac:dyDescent="0.25">
      <c r="A75" s="19" t="s">
        <v>98</v>
      </c>
      <c r="B75">
        <f t="shared" si="11"/>
        <v>6623</v>
      </c>
      <c r="C75">
        <v>1062</v>
      </c>
      <c r="D75">
        <v>5561</v>
      </c>
      <c r="F75">
        <f t="shared" si="12"/>
        <v>209</v>
      </c>
      <c r="G75" s="20">
        <f t="shared" si="13"/>
        <v>70</v>
      </c>
      <c r="H75" s="21">
        <v>66622050456</v>
      </c>
      <c r="I75" s="22">
        <v>89</v>
      </c>
      <c r="J75" s="23"/>
      <c r="K75" s="24">
        <v>6414</v>
      </c>
      <c r="L75" s="23">
        <f t="shared" si="7"/>
        <v>209</v>
      </c>
      <c r="M75" s="24">
        <v>1028</v>
      </c>
      <c r="N75" s="25">
        <f t="shared" si="8"/>
        <v>34</v>
      </c>
      <c r="O75" s="24">
        <v>5386</v>
      </c>
      <c r="P75" s="23">
        <f t="shared" si="9"/>
        <v>175</v>
      </c>
      <c r="Q75" s="26"/>
      <c r="R75" s="23">
        <f t="shared" si="10"/>
        <v>0</v>
      </c>
      <c r="S75" s="27" t="s">
        <v>18</v>
      </c>
      <c r="T75" s="19" t="s">
        <v>98</v>
      </c>
    </row>
    <row r="76" spans="1:20" ht="37.5" customHeight="1" x14ac:dyDescent="0.25">
      <c r="A76" s="19" t="s">
        <v>99</v>
      </c>
      <c r="B76">
        <f t="shared" si="11"/>
        <v>40252</v>
      </c>
      <c r="C76">
        <v>6406</v>
      </c>
      <c r="D76">
        <v>33846</v>
      </c>
      <c r="F76">
        <f t="shared" si="12"/>
        <v>195</v>
      </c>
      <c r="G76" s="20">
        <f t="shared" si="13"/>
        <v>71</v>
      </c>
      <c r="H76" s="21">
        <v>23012110240</v>
      </c>
      <c r="I76" s="22">
        <v>94</v>
      </c>
      <c r="J76" s="23"/>
      <c r="K76" s="24">
        <v>40057</v>
      </c>
      <c r="L76" s="23">
        <f t="shared" si="7"/>
        <v>195</v>
      </c>
      <c r="M76" s="24">
        <v>6374</v>
      </c>
      <c r="N76" s="25">
        <f t="shared" si="8"/>
        <v>32</v>
      </c>
      <c r="O76" s="24">
        <v>33683</v>
      </c>
      <c r="P76" s="23">
        <f t="shared" si="9"/>
        <v>163</v>
      </c>
      <c r="Q76" s="26"/>
      <c r="R76" s="23">
        <f t="shared" si="10"/>
        <v>0</v>
      </c>
      <c r="S76" s="27" t="s">
        <v>18</v>
      </c>
      <c r="T76" s="19" t="s">
        <v>99</v>
      </c>
    </row>
    <row r="77" spans="1:20" ht="37.5" customHeight="1" x14ac:dyDescent="0.25">
      <c r="A77" s="19" t="s">
        <v>100</v>
      </c>
      <c r="B77">
        <f t="shared" si="11"/>
        <v>29346</v>
      </c>
      <c r="C77">
        <v>7361</v>
      </c>
      <c r="D77">
        <v>21985</v>
      </c>
      <c r="E77">
        <v>11567</v>
      </c>
      <c r="F77">
        <f t="shared" si="12"/>
        <v>1456</v>
      </c>
      <c r="G77" s="20">
        <f t="shared" si="13"/>
        <v>72</v>
      </c>
      <c r="H77" s="21">
        <v>99723050072</v>
      </c>
      <c r="I77" s="22">
        <v>95</v>
      </c>
      <c r="J77" s="23"/>
      <c r="K77" s="24">
        <f>M77+O77</f>
        <v>27890</v>
      </c>
      <c r="L77" s="23">
        <f t="shared" si="7"/>
        <v>1456</v>
      </c>
      <c r="M77" s="24">
        <v>6995</v>
      </c>
      <c r="N77" s="25">
        <f t="shared" si="8"/>
        <v>366</v>
      </c>
      <c r="O77" s="24">
        <v>20895</v>
      </c>
      <c r="P77" s="23">
        <f t="shared" si="9"/>
        <v>1090</v>
      </c>
      <c r="Q77" s="26">
        <v>10846</v>
      </c>
      <c r="R77" s="23">
        <f t="shared" si="10"/>
        <v>721</v>
      </c>
      <c r="S77" s="27" t="s">
        <v>18</v>
      </c>
      <c r="T77" s="19" t="s">
        <v>100</v>
      </c>
    </row>
    <row r="78" spans="1:20" ht="37.5" customHeight="1" x14ac:dyDescent="0.25">
      <c r="A78" s="19" t="s">
        <v>101</v>
      </c>
      <c r="B78">
        <f t="shared" si="11"/>
        <v>15571</v>
      </c>
      <c r="C78">
        <v>4068</v>
      </c>
      <c r="D78">
        <v>11503</v>
      </c>
      <c r="E78">
        <v>16489</v>
      </c>
      <c r="F78">
        <f t="shared" si="12"/>
        <v>620</v>
      </c>
      <c r="G78" s="20">
        <f t="shared" si="13"/>
        <v>73</v>
      </c>
      <c r="H78" s="21">
        <v>99723050055</v>
      </c>
      <c r="I78" s="22">
        <v>99</v>
      </c>
      <c r="J78" s="23"/>
      <c r="K78" s="24">
        <f>M78+O78</f>
        <v>14951</v>
      </c>
      <c r="L78" s="23">
        <f t="shared" si="7"/>
        <v>620</v>
      </c>
      <c r="M78" s="24">
        <v>3942</v>
      </c>
      <c r="N78" s="25">
        <f t="shared" si="8"/>
        <v>126</v>
      </c>
      <c r="O78" s="24">
        <v>11009</v>
      </c>
      <c r="P78" s="23">
        <f t="shared" si="9"/>
        <v>494</v>
      </c>
      <c r="Q78" s="26">
        <v>15457</v>
      </c>
      <c r="R78" s="23">
        <f t="shared" si="10"/>
        <v>1032</v>
      </c>
      <c r="S78" s="27" t="s">
        <v>18</v>
      </c>
      <c r="T78" s="19" t="s">
        <v>101</v>
      </c>
    </row>
    <row r="79" spans="1:20" ht="37.5" customHeight="1" x14ac:dyDescent="0.25">
      <c r="A79" s="19" t="s">
        <v>102</v>
      </c>
      <c r="B79">
        <f t="shared" si="11"/>
        <v>14639</v>
      </c>
      <c r="C79">
        <v>2521</v>
      </c>
      <c r="D79">
        <v>12118</v>
      </c>
      <c r="F79">
        <f t="shared" si="12"/>
        <v>295</v>
      </c>
      <c r="G79" s="20">
        <f t="shared" si="13"/>
        <v>74</v>
      </c>
      <c r="H79" s="21">
        <v>66621060388</v>
      </c>
      <c r="I79" s="22">
        <v>100</v>
      </c>
      <c r="J79" s="23"/>
      <c r="K79" s="24">
        <v>14344</v>
      </c>
      <c r="L79" s="23">
        <f t="shared" si="7"/>
        <v>295</v>
      </c>
      <c r="M79" s="24">
        <v>2471</v>
      </c>
      <c r="N79" s="25">
        <f t="shared" si="8"/>
        <v>50</v>
      </c>
      <c r="O79" s="24">
        <v>11873</v>
      </c>
      <c r="P79" s="23">
        <f t="shared" si="9"/>
        <v>245</v>
      </c>
      <c r="Q79" s="26"/>
      <c r="R79" s="23">
        <f t="shared" si="10"/>
        <v>0</v>
      </c>
      <c r="S79" s="27" t="s">
        <v>18</v>
      </c>
      <c r="T79" s="19" t="s">
        <v>102</v>
      </c>
    </row>
    <row r="80" spans="1:20" ht="37.5" customHeight="1" x14ac:dyDescent="0.25">
      <c r="A80" s="19" t="s">
        <v>103</v>
      </c>
      <c r="B80">
        <f t="shared" si="11"/>
        <v>113913</v>
      </c>
      <c r="C80">
        <v>20279</v>
      </c>
      <c r="D80">
        <v>93634</v>
      </c>
      <c r="F80">
        <f t="shared" si="12"/>
        <v>673</v>
      </c>
      <c r="G80" s="20">
        <f t="shared" si="13"/>
        <v>75</v>
      </c>
      <c r="H80" s="21">
        <v>23014010340</v>
      </c>
      <c r="I80" s="22">
        <v>101</v>
      </c>
      <c r="J80" s="23"/>
      <c r="K80" s="24">
        <v>113240</v>
      </c>
      <c r="L80" s="23">
        <f t="shared" si="7"/>
        <v>673</v>
      </c>
      <c r="M80" s="24">
        <v>20160</v>
      </c>
      <c r="N80" s="25">
        <f t="shared" si="8"/>
        <v>119</v>
      </c>
      <c r="O80" s="24">
        <v>93080</v>
      </c>
      <c r="P80" s="23">
        <f t="shared" si="9"/>
        <v>554</v>
      </c>
      <c r="Q80" s="26"/>
      <c r="R80" s="23">
        <f t="shared" si="10"/>
        <v>0</v>
      </c>
      <c r="S80" s="27" t="s">
        <v>18</v>
      </c>
      <c r="T80" s="19" t="s">
        <v>103</v>
      </c>
    </row>
    <row r="81" spans="1:20" ht="37.5" customHeight="1" x14ac:dyDescent="0.25">
      <c r="A81" s="19" t="s">
        <v>104</v>
      </c>
      <c r="B81">
        <f t="shared" si="11"/>
        <v>63925</v>
      </c>
      <c r="C81">
        <v>12223</v>
      </c>
      <c r="D81">
        <v>51702</v>
      </c>
      <c r="F81">
        <f t="shared" si="12"/>
        <v>292</v>
      </c>
      <c r="G81" s="20">
        <f t="shared" si="13"/>
        <v>76</v>
      </c>
      <c r="H81" s="21">
        <v>23013010332</v>
      </c>
      <c r="I81" s="22">
        <v>102</v>
      </c>
      <c r="J81" s="23"/>
      <c r="K81" s="24">
        <v>63633</v>
      </c>
      <c r="L81" s="23">
        <f t="shared" si="7"/>
        <v>292</v>
      </c>
      <c r="M81" s="24">
        <v>12169</v>
      </c>
      <c r="N81" s="25">
        <f t="shared" si="8"/>
        <v>54</v>
      </c>
      <c r="O81" s="24">
        <v>51464</v>
      </c>
      <c r="P81" s="23">
        <f t="shared" si="9"/>
        <v>238</v>
      </c>
      <c r="Q81" s="26"/>
      <c r="R81" s="23">
        <f t="shared" si="10"/>
        <v>0</v>
      </c>
      <c r="S81" s="27" t="s">
        <v>18</v>
      </c>
      <c r="T81" s="19" t="s">
        <v>104</v>
      </c>
    </row>
    <row r="82" spans="1:20" ht="37.5" customHeight="1" x14ac:dyDescent="0.25">
      <c r="A82" s="19" t="s">
        <v>105</v>
      </c>
      <c r="B82">
        <f t="shared" si="11"/>
        <v>2074</v>
      </c>
      <c r="C82">
        <v>380</v>
      </c>
      <c r="D82">
        <v>1694</v>
      </c>
      <c r="F82">
        <f t="shared" si="12"/>
        <v>16</v>
      </c>
      <c r="G82" s="20">
        <f t="shared" si="13"/>
        <v>77</v>
      </c>
      <c r="H82" s="21">
        <v>66622040086</v>
      </c>
      <c r="I82" s="22">
        <v>104</v>
      </c>
      <c r="J82" s="23"/>
      <c r="K82" s="24">
        <v>2058</v>
      </c>
      <c r="L82" s="23">
        <f t="shared" si="7"/>
        <v>16</v>
      </c>
      <c r="M82" s="24">
        <v>377</v>
      </c>
      <c r="N82" s="25">
        <f t="shared" si="8"/>
        <v>3</v>
      </c>
      <c r="O82" s="24">
        <v>1681</v>
      </c>
      <c r="P82" s="23">
        <f t="shared" si="9"/>
        <v>13</v>
      </c>
      <c r="Q82" s="26"/>
      <c r="R82" s="23">
        <f t="shared" si="10"/>
        <v>0</v>
      </c>
      <c r="S82" s="27" t="s">
        <v>18</v>
      </c>
      <c r="T82" s="19" t="s">
        <v>105</v>
      </c>
    </row>
    <row r="83" spans="1:20" ht="37.5" customHeight="1" x14ac:dyDescent="0.25">
      <c r="A83" s="19" t="s">
        <v>106</v>
      </c>
      <c r="B83">
        <f t="shared" si="11"/>
        <v>106428</v>
      </c>
      <c r="C83">
        <v>18980</v>
      </c>
      <c r="D83">
        <v>87448</v>
      </c>
      <c r="F83">
        <f t="shared" si="12"/>
        <v>1039</v>
      </c>
      <c r="G83" s="20">
        <f t="shared" si="13"/>
        <v>78</v>
      </c>
      <c r="H83" s="21">
        <v>66616020276</v>
      </c>
      <c r="I83" s="22">
        <v>106</v>
      </c>
      <c r="J83" s="23"/>
      <c r="K83" s="24">
        <v>105389</v>
      </c>
      <c r="L83" s="23">
        <f t="shared" si="7"/>
        <v>1039</v>
      </c>
      <c r="M83" s="24">
        <v>18749</v>
      </c>
      <c r="N83" s="25">
        <f t="shared" si="8"/>
        <v>231</v>
      </c>
      <c r="O83" s="24">
        <v>86640</v>
      </c>
      <c r="P83" s="23">
        <f t="shared" si="9"/>
        <v>808</v>
      </c>
      <c r="Q83" s="26"/>
      <c r="R83" s="23">
        <f t="shared" si="10"/>
        <v>0</v>
      </c>
      <c r="S83" s="27" t="s">
        <v>18</v>
      </c>
      <c r="T83" s="19" t="s">
        <v>106</v>
      </c>
    </row>
    <row r="84" spans="1:20" ht="37.5" customHeight="1" x14ac:dyDescent="0.25">
      <c r="A84" s="19" t="s">
        <v>107</v>
      </c>
      <c r="B84">
        <f t="shared" si="11"/>
        <v>44259</v>
      </c>
      <c r="C84">
        <v>7406</v>
      </c>
      <c r="D84">
        <v>36853</v>
      </c>
      <c r="F84">
        <f t="shared" si="12"/>
        <v>146</v>
      </c>
      <c r="G84" s="20">
        <f t="shared" si="13"/>
        <v>79</v>
      </c>
      <c r="H84" s="21">
        <v>66618010022</v>
      </c>
      <c r="I84" s="22">
        <v>107</v>
      </c>
      <c r="J84" s="23"/>
      <c r="K84" s="24">
        <v>44113</v>
      </c>
      <c r="L84" s="23">
        <f t="shared" si="7"/>
        <v>146</v>
      </c>
      <c r="M84" s="24">
        <v>7378</v>
      </c>
      <c r="N84" s="25">
        <f t="shared" si="8"/>
        <v>28</v>
      </c>
      <c r="O84" s="24">
        <v>36735</v>
      </c>
      <c r="P84" s="23">
        <f t="shared" si="9"/>
        <v>118</v>
      </c>
      <c r="Q84" s="26"/>
      <c r="R84" s="23">
        <f t="shared" si="10"/>
        <v>0</v>
      </c>
      <c r="S84" s="27" t="s">
        <v>18</v>
      </c>
      <c r="T84" s="19" t="s">
        <v>107</v>
      </c>
    </row>
    <row r="85" spans="1:20" ht="37.5" customHeight="1" x14ac:dyDescent="0.25">
      <c r="A85" s="19" t="s">
        <v>108</v>
      </c>
      <c r="B85">
        <f t="shared" si="11"/>
        <v>16464</v>
      </c>
      <c r="C85">
        <v>2791</v>
      </c>
      <c r="D85">
        <v>13673</v>
      </c>
      <c r="F85">
        <f t="shared" si="12"/>
        <v>523</v>
      </c>
      <c r="G85" s="20">
        <f t="shared" si="13"/>
        <v>80</v>
      </c>
      <c r="H85" s="21">
        <v>66621090333</v>
      </c>
      <c r="I85" s="22">
        <v>108</v>
      </c>
      <c r="J85" s="23"/>
      <c r="K85" s="24">
        <v>15941</v>
      </c>
      <c r="L85" s="23">
        <f t="shared" si="7"/>
        <v>523</v>
      </c>
      <c r="M85" s="24">
        <v>2688</v>
      </c>
      <c r="N85" s="25">
        <f t="shared" si="8"/>
        <v>103</v>
      </c>
      <c r="O85" s="24">
        <v>13253</v>
      </c>
      <c r="P85" s="23">
        <f t="shared" si="9"/>
        <v>420</v>
      </c>
      <c r="Q85" s="26"/>
      <c r="R85" s="23">
        <f t="shared" si="10"/>
        <v>0</v>
      </c>
      <c r="S85" s="27" t="s">
        <v>18</v>
      </c>
      <c r="T85" s="19" t="s">
        <v>108</v>
      </c>
    </row>
    <row r="86" spans="1:20" ht="37.5" customHeight="1" x14ac:dyDescent="0.25">
      <c r="A86" s="19" t="s">
        <v>109</v>
      </c>
      <c r="B86">
        <f t="shared" si="11"/>
        <v>40165</v>
      </c>
      <c r="C86">
        <v>6789</v>
      </c>
      <c r="D86">
        <v>33376</v>
      </c>
      <c r="F86">
        <f t="shared" si="12"/>
        <v>537</v>
      </c>
      <c r="G86" s="20">
        <f t="shared" si="13"/>
        <v>81</v>
      </c>
      <c r="H86" s="21">
        <v>23014060060</v>
      </c>
      <c r="I86" s="22">
        <v>110</v>
      </c>
      <c r="J86" s="23"/>
      <c r="K86" s="24">
        <v>39628</v>
      </c>
      <c r="L86" s="23">
        <f t="shared" si="7"/>
        <v>537</v>
      </c>
      <c r="M86" s="24">
        <v>6681</v>
      </c>
      <c r="N86" s="25">
        <f t="shared" si="8"/>
        <v>108</v>
      </c>
      <c r="O86" s="24">
        <v>32947</v>
      </c>
      <c r="P86" s="23">
        <f t="shared" si="9"/>
        <v>429</v>
      </c>
      <c r="Q86" s="26"/>
      <c r="R86" s="23">
        <f t="shared" si="10"/>
        <v>0</v>
      </c>
      <c r="S86" s="27" t="s">
        <v>18</v>
      </c>
      <c r="T86" s="19" t="s">
        <v>109</v>
      </c>
    </row>
    <row r="87" spans="1:20" ht="37.5" customHeight="1" x14ac:dyDescent="0.25">
      <c r="A87" s="19" t="s">
        <v>110</v>
      </c>
      <c r="B87">
        <f t="shared" si="11"/>
        <v>3660</v>
      </c>
      <c r="C87">
        <v>1011</v>
      </c>
      <c r="D87">
        <v>2649</v>
      </c>
      <c r="E87">
        <v>4410</v>
      </c>
      <c r="F87">
        <f t="shared" si="12"/>
        <v>390</v>
      </c>
      <c r="G87" s="20">
        <f t="shared" si="13"/>
        <v>82</v>
      </c>
      <c r="H87" s="21">
        <v>99624030340</v>
      </c>
      <c r="I87" s="22">
        <v>111</v>
      </c>
      <c r="J87" s="23"/>
      <c r="K87" s="24">
        <f>M87+O87</f>
        <v>3270</v>
      </c>
      <c r="L87" s="23">
        <f t="shared" si="7"/>
        <v>390</v>
      </c>
      <c r="M87" s="24">
        <v>896</v>
      </c>
      <c r="N87" s="25">
        <f t="shared" si="8"/>
        <v>115</v>
      </c>
      <c r="O87" s="24">
        <v>2374</v>
      </c>
      <c r="P87" s="23">
        <f t="shared" si="9"/>
        <v>275</v>
      </c>
      <c r="Q87" s="26">
        <v>3659</v>
      </c>
      <c r="R87" s="23">
        <f t="shared" si="10"/>
        <v>751</v>
      </c>
      <c r="S87" s="27" t="s">
        <v>18</v>
      </c>
      <c r="T87" s="19" t="s">
        <v>110</v>
      </c>
    </row>
    <row r="88" spans="1:20" ht="37.5" customHeight="1" x14ac:dyDescent="0.25">
      <c r="A88" s="19" t="s">
        <v>111</v>
      </c>
      <c r="B88">
        <f t="shared" si="11"/>
        <v>16672</v>
      </c>
      <c r="C88">
        <v>3200</v>
      </c>
      <c r="D88">
        <v>13472</v>
      </c>
      <c r="F88">
        <f t="shared" si="12"/>
        <v>978</v>
      </c>
      <c r="G88" s="20">
        <f t="shared" si="13"/>
        <v>83</v>
      </c>
      <c r="H88" s="21">
        <v>66621030150</v>
      </c>
      <c r="I88" s="22">
        <v>112</v>
      </c>
      <c r="J88" s="23"/>
      <c r="K88" s="24">
        <v>15694</v>
      </c>
      <c r="L88" s="23">
        <f t="shared" si="7"/>
        <v>978</v>
      </c>
      <c r="M88" s="24">
        <v>3041</v>
      </c>
      <c r="N88" s="25">
        <f t="shared" si="8"/>
        <v>159</v>
      </c>
      <c r="O88" s="24">
        <v>12653</v>
      </c>
      <c r="P88" s="23">
        <f t="shared" si="9"/>
        <v>819</v>
      </c>
      <c r="Q88" s="26"/>
      <c r="R88" s="23">
        <f t="shared" si="10"/>
        <v>0</v>
      </c>
      <c r="S88" s="27" t="s">
        <v>18</v>
      </c>
      <c r="T88" s="19" t="s">
        <v>111</v>
      </c>
    </row>
    <row r="89" spans="1:20" ht="37.5" customHeight="1" x14ac:dyDescent="0.25">
      <c r="A89" s="19" t="s">
        <v>112</v>
      </c>
      <c r="B89">
        <f t="shared" si="11"/>
        <v>607</v>
      </c>
      <c r="C89">
        <v>125</v>
      </c>
      <c r="D89">
        <v>482</v>
      </c>
      <c r="F89">
        <f t="shared" si="12"/>
        <v>0</v>
      </c>
      <c r="G89" s="20">
        <f t="shared" si="13"/>
        <v>84</v>
      </c>
      <c r="H89" s="21">
        <v>66617020411</v>
      </c>
      <c r="I89" s="22" t="s">
        <v>113</v>
      </c>
      <c r="J89" s="23"/>
      <c r="K89" s="24">
        <v>607</v>
      </c>
      <c r="L89" s="23">
        <f t="shared" si="7"/>
        <v>0</v>
      </c>
      <c r="M89" s="24">
        <v>125</v>
      </c>
      <c r="N89" s="25">
        <f t="shared" si="8"/>
        <v>0</v>
      </c>
      <c r="O89" s="24">
        <v>482</v>
      </c>
      <c r="P89" s="23">
        <f t="shared" si="9"/>
        <v>0</v>
      </c>
      <c r="Q89" s="26"/>
      <c r="R89" s="23">
        <f t="shared" si="10"/>
        <v>0</v>
      </c>
      <c r="S89" s="27" t="s">
        <v>18</v>
      </c>
      <c r="T89" s="19" t="s">
        <v>112</v>
      </c>
    </row>
    <row r="90" spans="1:20" ht="37.5" customHeight="1" x14ac:dyDescent="0.25">
      <c r="A90" s="19" t="s">
        <v>114</v>
      </c>
      <c r="B90">
        <f t="shared" si="11"/>
        <v>74224</v>
      </c>
      <c r="C90">
        <v>11956</v>
      </c>
      <c r="D90">
        <v>62268</v>
      </c>
      <c r="F90">
        <f t="shared" si="12"/>
        <v>838</v>
      </c>
      <c r="G90" s="20">
        <f t="shared" si="13"/>
        <v>85</v>
      </c>
      <c r="H90" s="21">
        <v>66616031492</v>
      </c>
      <c r="I90" s="22" t="s">
        <v>115</v>
      </c>
      <c r="J90" s="23"/>
      <c r="K90" s="24">
        <v>73386</v>
      </c>
      <c r="L90" s="23">
        <f t="shared" si="7"/>
        <v>838</v>
      </c>
      <c r="M90" s="24">
        <v>11847</v>
      </c>
      <c r="N90" s="25">
        <f t="shared" si="8"/>
        <v>109</v>
      </c>
      <c r="O90" s="24">
        <v>61539</v>
      </c>
      <c r="P90" s="23">
        <f t="shared" si="9"/>
        <v>729</v>
      </c>
      <c r="Q90" s="26"/>
      <c r="R90" s="23">
        <f t="shared" si="10"/>
        <v>0</v>
      </c>
      <c r="S90" s="27" t="s">
        <v>18</v>
      </c>
      <c r="T90" s="19" t="s">
        <v>114</v>
      </c>
    </row>
    <row r="91" spans="1:20" ht="37.5" customHeight="1" x14ac:dyDescent="0.25">
      <c r="A91" s="19" t="s">
        <v>116</v>
      </c>
      <c r="B91">
        <f t="shared" si="11"/>
        <v>18253</v>
      </c>
      <c r="C91">
        <v>3148</v>
      </c>
      <c r="D91">
        <v>15105</v>
      </c>
      <c r="F91">
        <f t="shared" si="12"/>
        <v>57</v>
      </c>
      <c r="G91" s="20">
        <f t="shared" si="13"/>
        <v>86</v>
      </c>
      <c r="H91" s="21">
        <v>66617020117</v>
      </c>
      <c r="I91" s="22" t="s">
        <v>117</v>
      </c>
      <c r="J91" s="23"/>
      <c r="K91" s="24">
        <v>18196</v>
      </c>
      <c r="L91" s="23">
        <f t="shared" si="7"/>
        <v>57</v>
      </c>
      <c r="M91" s="24">
        <v>3138</v>
      </c>
      <c r="N91" s="25">
        <f t="shared" si="8"/>
        <v>10</v>
      </c>
      <c r="O91" s="24">
        <v>15058</v>
      </c>
      <c r="P91" s="23">
        <f t="shared" si="9"/>
        <v>47</v>
      </c>
      <c r="Q91" s="26"/>
      <c r="R91" s="23">
        <f t="shared" si="10"/>
        <v>0</v>
      </c>
      <c r="S91" s="27" t="s">
        <v>18</v>
      </c>
      <c r="T91" s="19" t="s">
        <v>116</v>
      </c>
    </row>
    <row r="92" spans="1:20" ht="37.5" customHeight="1" x14ac:dyDescent="0.25">
      <c r="A92" s="19" t="s">
        <v>118</v>
      </c>
      <c r="B92">
        <f t="shared" si="11"/>
        <v>48025</v>
      </c>
      <c r="C92">
        <v>8942</v>
      </c>
      <c r="D92">
        <v>39083</v>
      </c>
      <c r="F92">
        <f t="shared" si="12"/>
        <v>245</v>
      </c>
      <c r="G92" s="20">
        <f t="shared" si="13"/>
        <v>87</v>
      </c>
      <c r="H92" s="21">
        <v>66617020124</v>
      </c>
      <c r="I92" s="22" t="s">
        <v>119</v>
      </c>
      <c r="J92" s="23"/>
      <c r="K92" s="24">
        <v>47780</v>
      </c>
      <c r="L92" s="23">
        <f t="shared" si="7"/>
        <v>245</v>
      </c>
      <c r="M92" s="24">
        <v>8903</v>
      </c>
      <c r="N92" s="25">
        <f t="shared" si="8"/>
        <v>39</v>
      </c>
      <c r="O92" s="24">
        <v>38877</v>
      </c>
      <c r="P92" s="23">
        <f t="shared" si="9"/>
        <v>206</v>
      </c>
      <c r="Q92" s="26"/>
      <c r="R92" s="23">
        <f t="shared" si="10"/>
        <v>0</v>
      </c>
      <c r="S92" s="27" t="s">
        <v>18</v>
      </c>
      <c r="T92" s="19" t="s">
        <v>118</v>
      </c>
    </row>
    <row r="93" spans="1:20" ht="37.5" customHeight="1" x14ac:dyDescent="0.25">
      <c r="A93" s="19" t="s">
        <v>120</v>
      </c>
      <c r="B93">
        <f t="shared" si="11"/>
        <v>30916</v>
      </c>
      <c r="C93">
        <v>5070</v>
      </c>
      <c r="D93">
        <v>25846</v>
      </c>
      <c r="F93">
        <f t="shared" si="12"/>
        <v>160</v>
      </c>
      <c r="G93" s="20">
        <f t="shared" si="13"/>
        <v>88</v>
      </c>
      <c r="H93" s="21">
        <v>66616031389</v>
      </c>
      <c r="I93" s="22" t="s">
        <v>121</v>
      </c>
      <c r="J93" s="23"/>
      <c r="K93" s="24">
        <v>30756</v>
      </c>
      <c r="L93" s="23">
        <f t="shared" si="7"/>
        <v>160</v>
      </c>
      <c r="M93" s="24">
        <v>5039</v>
      </c>
      <c r="N93" s="25">
        <f t="shared" si="8"/>
        <v>31</v>
      </c>
      <c r="O93" s="24">
        <v>25717</v>
      </c>
      <c r="P93" s="23">
        <f t="shared" si="9"/>
        <v>129</v>
      </c>
      <c r="Q93" s="26"/>
      <c r="R93" s="23">
        <f t="shared" si="10"/>
        <v>0</v>
      </c>
      <c r="S93" s="27" t="s">
        <v>18</v>
      </c>
      <c r="T93" s="19" t="s">
        <v>120</v>
      </c>
    </row>
    <row r="94" spans="1:20" ht="37.5" customHeight="1" x14ac:dyDescent="0.25">
      <c r="A94" s="19" t="s">
        <v>122</v>
      </c>
      <c r="B94">
        <f t="shared" si="11"/>
        <v>21424</v>
      </c>
      <c r="C94">
        <v>4126</v>
      </c>
      <c r="D94">
        <v>17298</v>
      </c>
      <c r="F94">
        <f t="shared" si="12"/>
        <v>438</v>
      </c>
      <c r="G94" s="20">
        <f t="shared" si="13"/>
        <v>89</v>
      </c>
      <c r="H94" s="21">
        <v>88820010257</v>
      </c>
      <c r="I94" s="22" t="s">
        <v>123</v>
      </c>
      <c r="J94" s="23"/>
      <c r="K94" s="24">
        <v>20986</v>
      </c>
      <c r="L94" s="23">
        <f t="shared" si="7"/>
        <v>438</v>
      </c>
      <c r="M94" s="24">
        <v>4037</v>
      </c>
      <c r="N94" s="25">
        <f t="shared" si="8"/>
        <v>89</v>
      </c>
      <c r="O94" s="24">
        <v>16949</v>
      </c>
      <c r="P94" s="23">
        <f t="shared" si="9"/>
        <v>349</v>
      </c>
      <c r="Q94" s="26"/>
      <c r="R94" s="23">
        <f t="shared" si="10"/>
        <v>0</v>
      </c>
      <c r="S94" s="27" t="s">
        <v>18</v>
      </c>
      <c r="T94" s="19" t="s">
        <v>122</v>
      </c>
    </row>
    <row r="95" spans="1:20" ht="37.5" customHeight="1" x14ac:dyDescent="0.25">
      <c r="A95" s="19" t="s">
        <v>124</v>
      </c>
      <c r="B95">
        <f t="shared" si="11"/>
        <v>54010</v>
      </c>
      <c r="C95">
        <v>8941</v>
      </c>
      <c r="D95">
        <v>45069</v>
      </c>
      <c r="F95">
        <f t="shared" si="12"/>
        <v>747</v>
      </c>
      <c r="G95" s="20">
        <f t="shared" si="13"/>
        <v>90</v>
      </c>
      <c r="H95" s="21">
        <v>66619040257</v>
      </c>
      <c r="I95" s="22" t="s">
        <v>125</v>
      </c>
      <c r="J95" s="23"/>
      <c r="K95" s="24">
        <v>53263</v>
      </c>
      <c r="L95" s="23">
        <f t="shared" si="7"/>
        <v>747</v>
      </c>
      <c r="M95" s="24">
        <v>8862</v>
      </c>
      <c r="N95" s="25">
        <f t="shared" si="8"/>
        <v>79</v>
      </c>
      <c r="O95" s="24">
        <v>44401</v>
      </c>
      <c r="P95" s="23">
        <f t="shared" si="9"/>
        <v>668</v>
      </c>
      <c r="Q95" s="26"/>
      <c r="R95" s="23">
        <f t="shared" si="10"/>
        <v>0</v>
      </c>
      <c r="S95" s="27" t="s">
        <v>18</v>
      </c>
      <c r="T95" s="19" t="s">
        <v>124</v>
      </c>
    </row>
    <row r="96" spans="1:20" ht="37.5" customHeight="1" x14ac:dyDescent="0.25">
      <c r="A96" s="19" t="s">
        <v>126</v>
      </c>
      <c r="B96">
        <f t="shared" si="11"/>
        <v>43690</v>
      </c>
      <c r="C96">
        <v>7965</v>
      </c>
      <c r="D96">
        <v>35725</v>
      </c>
      <c r="F96">
        <f t="shared" si="12"/>
        <v>277</v>
      </c>
      <c r="G96" s="20">
        <f t="shared" si="13"/>
        <v>91</v>
      </c>
      <c r="H96" s="21">
        <v>23015010828</v>
      </c>
      <c r="I96" s="22" t="s">
        <v>127</v>
      </c>
      <c r="J96" s="23"/>
      <c r="K96" s="24">
        <v>43413</v>
      </c>
      <c r="L96" s="23">
        <f t="shared" si="7"/>
        <v>277</v>
      </c>
      <c r="M96" s="24">
        <v>7910</v>
      </c>
      <c r="N96" s="25">
        <f t="shared" si="8"/>
        <v>55</v>
      </c>
      <c r="O96" s="24">
        <v>35503</v>
      </c>
      <c r="P96" s="23">
        <f t="shared" si="9"/>
        <v>222</v>
      </c>
      <c r="Q96" s="26"/>
      <c r="R96" s="23">
        <f t="shared" si="10"/>
        <v>0</v>
      </c>
      <c r="S96" s="27" t="s">
        <v>18</v>
      </c>
      <c r="T96" s="19" t="s">
        <v>126</v>
      </c>
    </row>
    <row r="97" spans="1:20" ht="37.5" customHeight="1" x14ac:dyDescent="0.25">
      <c r="A97" s="19" t="s">
        <v>128</v>
      </c>
      <c r="B97">
        <f t="shared" si="11"/>
        <v>53053</v>
      </c>
      <c r="C97">
        <v>9711</v>
      </c>
      <c r="D97">
        <v>43342</v>
      </c>
      <c r="F97">
        <f t="shared" si="12"/>
        <v>25</v>
      </c>
      <c r="G97" s="20">
        <f t="shared" si="13"/>
        <v>92</v>
      </c>
      <c r="H97" s="21">
        <v>23012100163</v>
      </c>
      <c r="I97" s="22" t="s">
        <v>129</v>
      </c>
      <c r="J97" s="23"/>
      <c r="K97" s="24">
        <v>53028</v>
      </c>
      <c r="L97" s="23">
        <f t="shared" si="7"/>
        <v>25</v>
      </c>
      <c r="M97" s="24">
        <v>9707</v>
      </c>
      <c r="N97" s="25">
        <f t="shared" si="8"/>
        <v>4</v>
      </c>
      <c r="O97" s="24">
        <v>43321</v>
      </c>
      <c r="P97" s="23">
        <f t="shared" si="9"/>
        <v>21</v>
      </c>
      <c r="Q97" s="26"/>
      <c r="R97" s="23">
        <f t="shared" si="10"/>
        <v>0</v>
      </c>
      <c r="S97" s="27" t="s">
        <v>18</v>
      </c>
      <c r="T97" s="19" t="s">
        <v>128</v>
      </c>
    </row>
    <row r="98" spans="1:20" ht="37.5" customHeight="1" x14ac:dyDescent="0.25">
      <c r="A98" s="19" t="s">
        <v>130</v>
      </c>
      <c r="B98">
        <f t="shared" si="11"/>
        <v>11078</v>
      </c>
      <c r="C98">
        <v>1829</v>
      </c>
      <c r="D98">
        <v>9249</v>
      </c>
      <c r="E98">
        <v>12048</v>
      </c>
      <c r="F98">
        <f t="shared" si="12"/>
        <v>773</v>
      </c>
      <c r="G98" s="20">
        <f t="shared" si="13"/>
        <v>93</v>
      </c>
      <c r="H98" s="21">
        <v>99623080035</v>
      </c>
      <c r="I98" s="22" t="s">
        <v>131</v>
      </c>
      <c r="J98" s="23"/>
      <c r="K98" s="24">
        <f t="shared" ref="K98:K105" si="14">M98+O98</f>
        <v>10305</v>
      </c>
      <c r="L98" s="23">
        <f t="shared" si="7"/>
        <v>773</v>
      </c>
      <c r="M98" s="24">
        <v>1727</v>
      </c>
      <c r="N98" s="25">
        <f t="shared" si="8"/>
        <v>102</v>
      </c>
      <c r="O98" s="24">
        <v>8578</v>
      </c>
      <c r="P98" s="23">
        <f t="shared" si="9"/>
        <v>671</v>
      </c>
      <c r="Q98" s="26">
        <v>11866</v>
      </c>
      <c r="R98" s="23">
        <f t="shared" si="10"/>
        <v>182</v>
      </c>
      <c r="S98" s="27" t="s">
        <v>18</v>
      </c>
      <c r="T98" s="19" t="s">
        <v>130</v>
      </c>
    </row>
    <row r="99" spans="1:20" ht="37.5" customHeight="1" x14ac:dyDescent="0.25">
      <c r="A99" s="19" t="s">
        <v>132</v>
      </c>
      <c r="B99">
        <f t="shared" si="11"/>
        <v>21829</v>
      </c>
      <c r="C99">
        <v>5218</v>
      </c>
      <c r="D99">
        <v>16611</v>
      </c>
      <c r="E99">
        <v>10222</v>
      </c>
      <c r="F99">
        <f t="shared" si="12"/>
        <v>690</v>
      </c>
      <c r="G99" s="20">
        <f t="shared" si="13"/>
        <v>94</v>
      </c>
      <c r="H99" s="21">
        <v>99623080278</v>
      </c>
      <c r="I99" s="22" t="s">
        <v>133</v>
      </c>
      <c r="J99" s="23"/>
      <c r="K99" s="24">
        <f t="shared" si="14"/>
        <v>21139</v>
      </c>
      <c r="L99" s="23">
        <f t="shared" si="7"/>
        <v>690</v>
      </c>
      <c r="M99" s="24">
        <v>5020</v>
      </c>
      <c r="N99" s="25">
        <f t="shared" si="8"/>
        <v>198</v>
      </c>
      <c r="O99" s="24">
        <v>16119</v>
      </c>
      <c r="P99" s="23">
        <f t="shared" si="9"/>
        <v>492</v>
      </c>
      <c r="Q99" s="26">
        <v>9128</v>
      </c>
      <c r="R99" s="23">
        <f t="shared" si="10"/>
        <v>1094</v>
      </c>
      <c r="S99" s="27" t="s">
        <v>18</v>
      </c>
      <c r="T99" s="19" t="s">
        <v>132</v>
      </c>
    </row>
    <row r="100" spans="1:20" ht="37.5" customHeight="1" x14ac:dyDescent="0.25">
      <c r="A100" s="19" t="s">
        <v>134</v>
      </c>
      <c r="B100">
        <f t="shared" si="11"/>
        <v>12468</v>
      </c>
      <c r="C100">
        <v>2413</v>
      </c>
      <c r="D100">
        <v>10055</v>
      </c>
      <c r="E100">
        <v>14321</v>
      </c>
      <c r="F100">
        <f t="shared" si="12"/>
        <v>604</v>
      </c>
      <c r="G100" s="20">
        <f t="shared" si="13"/>
        <v>95</v>
      </c>
      <c r="H100" s="21">
        <v>99623080223</v>
      </c>
      <c r="I100" s="22" t="s">
        <v>135</v>
      </c>
      <c r="J100" s="23"/>
      <c r="K100" s="24">
        <f t="shared" si="14"/>
        <v>11864</v>
      </c>
      <c r="L100" s="23">
        <f t="shared" si="7"/>
        <v>604</v>
      </c>
      <c r="M100" s="24">
        <v>2288</v>
      </c>
      <c r="N100" s="25">
        <f t="shared" si="8"/>
        <v>125</v>
      </c>
      <c r="O100" s="24">
        <v>9576</v>
      </c>
      <c r="P100" s="23">
        <f t="shared" si="9"/>
        <v>479</v>
      </c>
      <c r="Q100" s="26">
        <v>13115</v>
      </c>
      <c r="R100" s="23">
        <f t="shared" si="10"/>
        <v>1206</v>
      </c>
      <c r="S100" s="27" t="s">
        <v>18</v>
      </c>
      <c r="T100" s="19" t="s">
        <v>134</v>
      </c>
    </row>
    <row r="101" spans="1:20" ht="37.5" customHeight="1" x14ac:dyDescent="0.25">
      <c r="A101" s="19" t="s">
        <v>136</v>
      </c>
      <c r="B101">
        <f t="shared" si="11"/>
        <v>9679</v>
      </c>
      <c r="C101">
        <v>2342</v>
      </c>
      <c r="D101">
        <v>7337</v>
      </c>
      <c r="E101">
        <v>10501</v>
      </c>
      <c r="F101">
        <f t="shared" si="12"/>
        <v>599</v>
      </c>
      <c r="G101" s="20">
        <f t="shared" si="13"/>
        <v>96</v>
      </c>
      <c r="H101" s="21">
        <v>99623080596</v>
      </c>
      <c r="I101" s="22" t="s">
        <v>137</v>
      </c>
      <c r="J101" s="23"/>
      <c r="K101" s="24">
        <f t="shared" si="14"/>
        <v>9080</v>
      </c>
      <c r="L101" s="23">
        <f t="shared" si="7"/>
        <v>599</v>
      </c>
      <c r="M101" s="24">
        <v>2182</v>
      </c>
      <c r="N101" s="25">
        <f t="shared" si="8"/>
        <v>160</v>
      </c>
      <c r="O101" s="24">
        <v>6898</v>
      </c>
      <c r="P101" s="23">
        <f t="shared" si="9"/>
        <v>439</v>
      </c>
      <c r="Q101" s="26">
        <v>9365</v>
      </c>
      <c r="R101" s="23">
        <f t="shared" si="10"/>
        <v>1136</v>
      </c>
      <c r="S101" s="27" t="s">
        <v>18</v>
      </c>
      <c r="T101" s="19" t="s">
        <v>136</v>
      </c>
    </row>
    <row r="102" spans="1:20" ht="37.5" customHeight="1" x14ac:dyDescent="0.25">
      <c r="A102" s="19" t="s">
        <v>138</v>
      </c>
      <c r="B102">
        <f t="shared" si="11"/>
        <v>2781</v>
      </c>
      <c r="C102">
        <v>834</v>
      </c>
      <c r="D102">
        <v>1947</v>
      </c>
      <c r="E102">
        <v>7916</v>
      </c>
      <c r="F102">
        <f t="shared" si="12"/>
        <v>914</v>
      </c>
      <c r="G102" s="20">
        <f t="shared" si="13"/>
        <v>97</v>
      </c>
      <c r="H102" s="21">
        <v>99624050115</v>
      </c>
      <c r="I102" s="22" t="s">
        <v>139</v>
      </c>
      <c r="J102" s="23"/>
      <c r="K102" s="24">
        <f t="shared" si="14"/>
        <v>1867</v>
      </c>
      <c r="L102" s="23">
        <f t="shared" si="7"/>
        <v>914</v>
      </c>
      <c r="M102" s="24">
        <v>588</v>
      </c>
      <c r="N102" s="25">
        <f t="shared" si="8"/>
        <v>246</v>
      </c>
      <c r="O102" s="24">
        <v>1279</v>
      </c>
      <c r="P102" s="23">
        <f t="shared" si="9"/>
        <v>668</v>
      </c>
      <c r="Q102" s="26">
        <v>5519</v>
      </c>
      <c r="R102" s="23">
        <f t="shared" si="10"/>
        <v>2397</v>
      </c>
      <c r="S102" s="27" t="s">
        <v>18</v>
      </c>
      <c r="T102" s="19" t="s">
        <v>138</v>
      </c>
    </row>
    <row r="103" spans="1:20" ht="37.5" customHeight="1" x14ac:dyDescent="0.25">
      <c r="A103" s="19" t="s">
        <v>140</v>
      </c>
      <c r="B103">
        <f t="shared" si="11"/>
        <v>7705</v>
      </c>
      <c r="C103">
        <v>1606</v>
      </c>
      <c r="D103">
        <v>6099</v>
      </c>
      <c r="E103">
        <v>14146</v>
      </c>
      <c r="F103">
        <f t="shared" si="12"/>
        <v>696</v>
      </c>
      <c r="G103" s="20">
        <f t="shared" si="13"/>
        <v>98</v>
      </c>
      <c r="H103" s="21">
        <v>99624040058</v>
      </c>
      <c r="I103" s="22" t="s">
        <v>141</v>
      </c>
      <c r="J103" s="23"/>
      <c r="K103" s="24">
        <f t="shared" si="14"/>
        <v>7009</v>
      </c>
      <c r="L103" s="23">
        <f t="shared" si="7"/>
        <v>696</v>
      </c>
      <c r="M103" s="24">
        <v>1412</v>
      </c>
      <c r="N103" s="25">
        <f t="shared" si="8"/>
        <v>194</v>
      </c>
      <c r="O103" s="24">
        <v>5597</v>
      </c>
      <c r="P103" s="23">
        <f t="shared" si="9"/>
        <v>502</v>
      </c>
      <c r="Q103" s="26">
        <v>11306</v>
      </c>
      <c r="R103" s="23">
        <f t="shared" si="10"/>
        <v>2840</v>
      </c>
      <c r="S103" s="27" t="s">
        <v>18</v>
      </c>
      <c r="T103" s="19" t="s">
        <v>140</v>
      </c>
    </row>
    <row r="104" spans="1:20" ht="37.5" customHeight="1" x14ac:dyDescent="0.25">
      <c r="A104" s="19" t="s">
        <v>142</v>
      </c>
      <c r="B104">
        <f t="shared" si="11"/>
        <v>621</v>
      </c>
      <c r="C104">
        <v>202</v>
      </c>
      <c r="D104">
        <v>419</v>
      </c>
      <c r="E104">
        <v>3491</v>
      </c>
      <c r="F104">
        <f t="shared" si="12"/>
        <v>294</v>
      </c>
      <c r="G104" s="20">
        <f t="shared" si="13"/>
        <v>99</v>
      </c>
      <c r="H104" s="21">
        <v>99624050247</v>
      </c>
      <c r="I104" s="22" t="s">
        <v>143</v>
      </c>
      <c r="J104" s="23"/>
      <c r="K104" s="24">
        <f t="shared" si="14"/>
        <v>327</v>
      </c>
      <c r="L104" s="23">
        <f t="shared" si="7"/>
        <v>294</v>
      </c>
      <c r="M104" s="24">
        <v>108</v>
      </c>
      <c r="N104" s="25">
        <f t="shared" si="8"/>
        <v>94</v>
      </c>
      <c r="O104" s="24">
        <v>219</v>
      </c>
      <c r="P104" s="23">
        <f t="shared" si="9"/>
        <v>200</v>
      </c>
      <c r="Q104" s="26">
        <v>2116</v>
      </c>
      <c r="R104" s="23">
        <f t="shared" si="10"/>
        <v>1375</v>
      </c>
      <c r="S104" s="27" t="s">
        <v>18</v>
      </c>
      <c r="T104" s="19" t="s">
        <v>142</v>
      </c>
    </row>
    <row r="105" spans="1:20" ht="37.5" customHeight="1" x14ac:dyDescent="0.25">
      <c r="A105" s="19" t="s">
        <v>144</v>
      </c>
      <c r="B105">
        <f t="shared" si="11"/>
        <v>11512</v>
      </c>
      <c r="C105">
        <v>2703</v>
      </c>
      <c r="D105">
        <v>8809</v>
      </c>
      <c r="E105">
        <v>16133</v>
      </c>
      <c r="F105">
        <f t="shared" si="12"/>
        <v>695</v>
      </c>
      <c r="G105" s="20">
        <f t="shared" si="13"/>
        <v>100</v>
      </c>
      <c r="H105" s="21">
        <v>99723070023</v>
      </c>
      <c r="I105" s="22" t="s">
        <v>145</v>
      </c>
      <c r="J105" s="23"/>
      <c r="K105" s="24">
        <f t="shared" si="14"/>
        <v>10817</v>
      </c>
      <c r="L105" s="23">
        <f t="shared" si="7"/>
        <v>695</v>
      </c>
      <c r="M105" s="24">
        <v>2553</v>
      </c>
      <c r="N105" s="25">
        <f t="shared" si="8"/>
        <v>150</v>
      </c>
      <c r="O105" s="24">
        <v>8264</v>
      </c>
      <c r="P105" s="23">
        <f t="shared" si="9"/>
        <v>545</v>
      </c>
      <c r="Q105" s="26">
        <v>15112</v>
      </c>
      <c r="R105" s="23">
        <f t="shared" si="10"/>
        <v>1021</v>
      </c>
      <c r="S105" s="27" t="s">
        <v>18</v>
      </c>
      <c r="T105" s="19" t="s">
        <v>144</v>
      </c>
    </row>
    <row r="106" spans="1:20" ht="37.5" customHeight="1" x14ac:dyDescent="0.25">
      <c r="A106" s="19" t="s">
        <v>146</v>
      </c>
      <c r="B106">
        <f t="shared" si="11"/>
        <v>39703</v>
      </c>
      <c r="C106">
        <v>5948</v>
      </c>
      <c r="D106">
        <v>33755</v>
      </c>
      <c r="F106">
        <f t="shared" si="12"/>
        <v>713</v>
      </c>
      <c r="G106" s="20">
        <f t="shared" si="13"/>
        <v>101</v>
      </c>
      <c r="H106" s="21">
        <v>88820040359</v>
      </c>
      <c r="I106" s="22">
        <v>114</v>
      </c>
      <c r="J106" s="23"/>
      <c r="K106" s="24">
        <v>38990</v>
      </c>
      <c r="L106" s="23">
        <f t="shared" si="7"/>
        <v>713</v>
      </c>
      <c r="M106" s="24">
        <v>5849</v>
      </c>
      <c r="N106" s="25">
        <f t="shared" si="8"/>
        <v>99</v>
      </c>
      <c r="O106" s="24">
        <v>33141</v>
      </c>
      <c r="P106" s="23">
        <f t="shared" si="9"/>
        <v>614</v>
      </c>
      <c r="Q106" s="26"/>
      <c r="R106" s="23">
        <f t="shared" si="10"/>
        <v>0</v>
      </c>
      <c r="S106" s="27" t="s">
        <v>18</v>
      </c>
      <c r="T106" s="19" t="s">
        <v>146</v>
      </c>
    </row>
    <row r="107" spans="1:20" ht="37.5" customHeight="1" x14ac:dyDescent="0.25">
      <c r="A107" s="19" t="s">
        <v>147</v>
      </c>
      <c r="B107">
        <f t="shared" si="11"/>
        <v>2857</v>
      </c>
      <c r="C107">
        <v>582</v>
      </c>
      <c r="D107">
        <v>2275</v>
      </c>
      <c r="E107">
        <v>7438</v>
      </c>
      <c r="F107">
        <f t="shared" si="12"/>
        <v>250</v>
      </c>
      <c r="G107" s="20">
        <f t="shared" si="13"/>
        <v>102</v>
      </c>
      <c r="H107" s="21">
        <v>99624030299</v>
      </c>
      <c r="I107" s="22">
        <v>116</v>
      </c>
      <c r="J107" s="23"/>
      <c r="K107" s="24">
        <f>M107+O107</f>
        <v>2607</v>
      </c>
      <c r="L107" s="23">
        <f t="shared" si="7"/>
        <v>250</v>
      </c>
      <c r="M107" s="24">
        <v>513</v>
      </c>
      <c r="N107" s="25">
        <f t="shared" si="8"/>
        <v>69</v>
      </c>
      <c r="O107" s="24">
        <v>2094</v>
      </c>
      <c r="P107" s="23">
        <f t="shared" si="9"/>
        <v>181</v>
      </c>
      <c r="Q107" s="26">
        <v>6182</v>
      </c>
      <c r="R107" s="23">
        <f t="shared" si="10"/>
        <v>1256</v>
      </c>
      <c r="S107" s="27" t="s">
        <v>18</v>
      </c>
      <c r="T107" s="19" t="s">
        <v>147</v>
      </c>
    </row>
    <row r="108" spans="1:20" ht="37.5" customHeight="1" x14ac:dyDescent="0.25">
      <c r="A108" s="19" t="s">
        <v>148</v>
      </c>
      <c r="B108">
        <f t="shared" si="11"/>
        <v>79446</v>
      </c>
      <c r="C108">
        <v>14965</v>
      </c>
      <c r="D108">
        <v>64481</v>
      </c>
      <c r="F108">
        <f t="shared" si="12"/>
        <v>561</v>
      </c>
      <c r="G108" s="20">
        <f t="shared" si="13"/>
        <v>103</v>
      </c>
      <c r="H108" s="21">
        <v>23015100840</v>
      </c>
      <c r="I108" s="22">
        <v>117</v>
      </c>
      <c r="J108" s="23"/>
      <c r="K108" s="24">
        <v>78885</v>
      </c>
      <c r="L108" s="23">
        <f t="shared" si="7"/>
        <v>561</v>
      </c>
      <c r="M108" s="24">
        <v>14873</v>
      </c>
      <c r="N108" s="25">
        <f t="shared" si="8"/>
        <v>92</v>
      </c>
      <c r="O108" s="24">
        <v>64012</v>
      </c>
      <c r="P108" s="23">
        <f t="shared" si="9"/>
        <v>469</v>
      </c>
      <c r="Q108" s="26"/>
      <c r="R108" s="23">
        <f t="shared" si="10"/>
        <v>0</v>
      </c>
      <c r="S108" s="27" t="s">
        <v>18</v>
      </c>
      <c r="T108" s="19" t="s">
        <v>148</v>
      </c>
    </row>
    <row r="109" spans="1:20" ht="37.5" customHeight="1" x14ac:dyDescent="0.25">
      <c r="A109" s="19" t="s">
        <v>149</v>
      </c>
      <c r="B109">
        <f t="shared" si="11"/>
        <v>49154</v>
      </c>
      <c r="C109">
        <v>7503</v>
      </c>
      <c r="D109">
        <v>41651</v>
      </c>
      <c r="F109">
        <f t="shared" si="12"/>
        <v>667</v>
      </c>
      <c r="G109" s="20">
        <f t="shared" si="13"/>
        <v>104</v>
      </c>
      <c r="H109" s="21">
        <v>88819030468</v>
      </c>
      <c r="I109" s="22">
        <v>118</v>
      </c>
      <c r="J109" s="23"/>
      <c r="K109" s="24">
        <v>48487</v>
      </c>
      <c r="L109" s="23">
        <f t="shared" si="7"/>
        <v>667</v>
      </c>
      <c r="M109" s="24">
        <v>7401</v>
      </c>
      <c r="N109" s="25">
        <f t="shared" si="8"/>
        <v>102</v>
      </c>
      <c r="O109" s="24">
        <v>41086</v>
      </c>
      <c r="P109" s="23">
        <f t="shared" si="9"/>
        <v>565</v>
      </c>
      <c r="Q109" s="26"/>
      <c r="R109" s="23">
        <f t="shared" si="10"/>
        <v>0</v>
      </c>
      <c r="S109" s="27" t="s">
        <v>18</v>
      </c>
      <c r="T109" s="19" t="s">
        <v>149</v>
      </c>
    </row>
    <row r="110" spans="1:20" ht="37.5" customHeight="1" x14ac:dyDescent="0.25">
      <c r="A110" s="19" t="s">
        <v>150</v>
      </c>
      <c r="B110">
        <f t="shared" si="11"/>
        <v>8231</v>
      </c>
      <c r="C110">
        <v>1314</v>
      </c>
      <c r="D110">
        <v>6917</v>
      </c>
      <c r="F110">
        <f t="shared" si="12"/>
        <v>164</v>
      </c>
      <c r="G110" s="20">
        <f t="shared" si="13"/>
        <v>105</v>
      </c>
      <c r="H110" s="21">
        <v>88820050235</v>
      </c>
      <c r="I110" s="22">
        <v>119</v>
      </c>
      <c r="J110" s="23"/>
      <c r="K110" s="24">
        <v>8067</v>
      </c>
      <c r="L110" s="23">
        <f t="shared" si="7"/>
        <v>164</v>
      </c>
      <c r="M110" s="24">
        <v>1289</v>
      </c>
      <c r="N110" s="25">
        <f t="shared" si="8"/>
        <v>25</v>
      </c>
      <c r="O110" s="24">
        <v>6778</v>
      </c>
      <c r="P110" s="23">
        <f t="shared" si="9"/>
        <v>139</v>
      </c>
      <c r="Q110" s="26"/>
      <c r="R110" s="23">
        <f t="shared" si="10"/>
        <v>0</v>
      </c>
      <c r="S110" s="27" t="s">
        <v>18</v>
      </c>
      <c r="T110" s="19" t="s">
        <v>150</v>
      </c>
    </row>
    <row r="111" spans="1:20" ht="37.5" customHeight="1" x14ac:dyDescent="0.25">
      <c r="A111" s="19" t="s">
        <v>151</v>
      </c>
      <c r="B111">
        <f t="shared" si="11"/>
        <v>20860</v>
      </c>
      <c r="C111">
        <v>3745</v>
      </c>
      <c r="D111">
        <v>17115</v>
      </c>
      <c r="F111">
        <f t="shared" si="12"/>
        <v>568</v>
      </c>
      <c r="G111" s="20">
        <f t="shared" si="13"/>
        <v>106</v>
      </c>
      <c r="H111" s="21">
        <v>66622040327</v>
      </c>
      <c r="I111" s="22">
        <v>120</v>
      </c>
      <c r="J111" s="23"/>
      <c r="K111" s="24">
        <v>20292</v>
      </c>
      <c r="L111" s="23">
        <f t="shared" si="7"/>
        <v>568</v>
      </c>
      <c r="M111" s="24">
        <v>3662</v>
      </c>
      <c r="N111" s="25">
        <f t="shared" si="8"/>
        <v>83</v>
      </c>
      <c r="O111" s="24">
        <v>16630</v>
      </c>
      <c r="P111" s="23">
        <f t="shared" si="9"/>
        <v>485</v>
      </c>
      <c r="Q111" s="26"/>
      <c r="R111" s="23">
        <f t="shared" si="10"/>
        <v>0</v>
      </c>
      <c r="S111" s="27" t="s">
        <v>18</v>
      </c>
      <c r="T111" s="19" t="s">
        <v>151</v>
      </c>
    </row>
    <row r="112" spans="1:20" ht="37.5" customHeight="1" x14ac:dyDescent="0.25">
      <c r="A112" s="19" t="s">
        <v>152</v>
      </c>
      <c r="B112">
        <f t="shared" si="11"/>
        <v>151917</v>
      </c>
      <c r="C112">
        <v>29143</v>
      </c>
      <c r="D112">
        <v>122774</v>
      </c>
      <c r="F112">
        <f t="shared" si="12"/>
        <v>450</v>
      </c>
      <c r="G112" s="20">
        <f t="shared" si="13"/>
        <v>107</v>
      </c>
      <c r="H112" s="21">
        <v>2307110060</v>
      </c>
      <c r="I112" s="22">
        <v>121</v>
      </c>
      <c r="J112" s="23"/>
      <c r="K112" s="24">
        <v>151467</v>
      </c>
      <c r="L112" s="23">
        <f t="shared" si="7"/>
        <v>450</v>
      </c>
      <c r="M112" s="24">
        <v>29083</v>
      </c>
      <c r="N112" s="25">
        <f t="shared" si="8"/>
        <v>60</v>
      </c>
      <c r="O112" s="24">
        <v>122384</v>
      </c>
      <c r="P112" s="23">
        <f t="shared" si="9"/>
        <v>390</v>
      </c>
      <c r="Q112" s="26"/>
      <c r="R112" s="23">
        <f t="shared" si="10"/>
        <v>0</v>
      </c>
      <c r="S112" s="27" t="s">
        <v>18</v>
      </c>
      <c r="T112" s="19" t="s">
        <v>152</v>
      </c>
    </row>
    <row r="113" spans="1:20" ht="37.5" customHeight="1" x14ac:dyDescent="0.25">
      <c r="A113" s="19" t="s">
        <v>153</v>
      </c>
      <c r="B113">
        <f t="shared" si="11"/>
        <v>5732</v>
      </c>
      <c r="C113">
        <v>1029</v>
      </c>
      <c r="D113">
        <v>4703</v>
      </c>
      <c r="F113">
        <f t="shared" si="12"/>
        <v>24</v>
      </c>
      <c r="G113" s="20">
        <f t="shared" si="13"/>
        <v>108</v>
      </c>
      <c r="H113" s="21">
        <v>66621090022</v>
      </c>
      <c r="I113" s="22">
        <v>122</v>
      </c>
      <c r="J113" s="23"/>
      <c r="K113" s="24">
        <v>5708</v>
      </c>
      <c r="L113" s="23">
        <f t="shared" si="7"/>
        <v>24</v>
      </c>
      <c r="M113" s="24">
        <v>1025</v>
      </c>
      <c r="N113" s="25">
        <f t="shared" si="8"/>
        <v>4</v>
      </c>
      <c r="O113" s="24">
        <v>4683</v>
      </c>
      <c r="P113" s="23">
        <f t="shared" si="9"/>
        <v>20</v>
      </c>
      <c r="Q113" s="26"/>
      <c r="R113" s="23">
        <f t="shared" si="10"/>
        <v>0</v>
      </c>
      <c r="S113" s="27" t="s">
        <v>18</v>
      </c>
      <c r="T113" s="19" t="s">
        <v>153</v>
      </c>
    </row>
    <row r="114" spans="1:20" ht="37.5" customHeight="1" x14ac:dyDescent="0.25">
      <c r="A114" s="19" t="s">
        <v>154</v>
      </c>
      <c r="B114">
        <f t="shared" si="11"/>
        <v>107245</v>
      </c>
      <c r="C114">
        <v>22783</v>
      </c>
      <c r="D114">
        <v>84462</v>
      </c>
      <c r="F114">
        <f t="shared" si="12"/>
        <v>618</v>
      </c>
      <c r="G114" s="20">
        <f t="shared" si="13"/>
        <v>109</v>
      </c>
      <c r="H114" s="21">
        <v>23014010380</v>
      </c>
      <c r="I114" s="22">
        <v>124</v>
      </c>
      <c r="J114" s="23"/>
      <c r="K114" s="24">
        <v>106627</v>
      </c>
      <c r="L114" s="23">
        <f t="shared" si="7"/>
        <v>618</v>
      </c>
      <c r="M114" s="24">
        <v>22718</v>
      </c>
      <c r="N114" s="25">
        <f t="shared" si="8"/>
        <v>65</v>
      </c>
      <c r="O114" s="24">
        <v>83909</v>
      </c>
      <c r="P114" s="23">
        <f t="shared" si="9"/>
        <v>553</v>
      </c>
      <c r="Q114" s="26"/>
      <c r="R114" s="23">
        <f t="shared" si="10"/>
        <v>0</v>
      </c>
      <c r="S114" s="27" t="s">
        <v>18</v>
      </c>
      <c r="T114" s="19" t="s">
        <v>154</v>
      </c>
    </row>
    <row r="115" spans="1:20" ht="37.5" customHeight="1" x14ac:dyDescent="0.25">
      <c r="A115" s="19" t="s">
        <v>155</v>
      </c>
      <c r="B115">
        <f t="shared" si="11"/>
        <v>14504</v>
      </c>
      <c r="C115">
        <v>1828</v>
      </c>
      <c r="D115">
        <v>12676</v>
      </c>
      <c r="F115">
        <f t="shared" si="12"/>
        <v>391</v>
      </c>
      <c r="G115" s="20">
        <f t="shared" si="13"/>
        <v>110</v>
      </c>
      <c r="H115" s="21">
        <v>88821080408</v>
      </c>
      <c r="I115" s="22">
        <v>125</v>
      </c>
      <c r="J115" s="23"/>
      <c r="K115" s="24">
        <v>14113</v>
      </c>
      <c r="L115" s="23">
        <f t="shared" si="7"/>
        <v>391</v>
      </c>
      <c r="M115" s="24">
        <v>1762</v>
      </c>
      <c r="N115" s="25">
        <f t="shared" si="8"/>
        <v>66</v>
      </c>
      <c r="O115" s="24">
        <v>12351</v>
      </c>
      <c r="P115" s="23">
        <f t="shared" si="9"/>
        <v>325</v>
      </c>
      <c r="Q115" s="26"/>
      <c r="R115" s="23">
        <f t="shared" si="10"/>
        <v>0</v>
      </c>
      <c r="S115" s="27" t="s">
        <v>18</v>
      </c>
      <c r="T115" s="19" t="s">
        <v>155</v>
      </c>
    </row>
    <row r="116" spans="1:20" ht="37.5" customHeight="1" x14ac:dyDescent="0.25">
      <c r="A116" s="19" t="s">
        <v>156</v>
      </c>
      <c r="B116">
        <f t="shared" si="11"/>
        <v>15462</v>
      </c>
      <c r="C116">
        <v>4378</v>
      </c>
      <c r="D116">
        <v>11084</v>
      </c>
      <c r="E116">
        <v>23313</v>
      </c>
      <c r="F116">
        <f t="shared" si="12"/>
        <v>657</v>
      </c>
      <c r="G116" s="20">
        <f t="shared" si="13"/>
        <v>111</v>
      </c>
      <c r="H116" s="21">
        <v>99722008221</v>
      </c>
      <c r="I116" s="22">
        <v>126</v>
      </c>
      <c r="J116" s="23"/>
      <c r="K116" s="24">
        <f>M116+O116</f>
        <v>14805</v>
      </c>
      <c r="L116" s="23">
        <f t="shared" si="7"/>
        <v>657</v>
      </c>
      <c r="M116" s="24">
        <v>4181</v>
      </c>
      <c r="N116" s="25">
        <f t="shared" si="8"/>
        <v>197</v>
      </c>
      <c r="O116" s="24">
        <v>10624</v>
      </c>
      <c r="P116" s="23">
        <f t="shared" si="9"/>
        <v>460</v>
      </c>
      <c r="Q116" s="26">
        <v>22734</v>
      </c>
      <c r="R116" s="23">
        <f t="shared" si="10"/>
        <v>579</v>
      </c>
      <c r="S116" s="27" t="s">
        <v>18</v>
      </c>
      <c r="T116" s="19" t="s">
        <v>156</v>
      </c>
    </row>
    <row r="117" spans="1:20" ht="37.5" customHeight="1" x14ac:dyDescent="0.25">
      <c r="A117" s="19" t="s">
        <v>157</v>
      </c>
      <c r="B117">
        <f t="shared" si="11"/>
        <v>41910</v>
      </c>
      <c r="C117">
        <v>8052</v>
      </c>
      <c r="D117">
        <v>33858</v>
      </c>
      <c r="F117">
        <f t="shared" si="12"/>
        <v>480</v>
      </c>
      <c r="G117" s="20">
        <f t="shared" si="13"/>
        <v>112</v>
      </c>
      <c r="H117" s="21">
        <v>88819020157</v>
      </c>
      <c r="I117" s="22">
        <v>127</v>
      </c>
      <c r="J117" s="23"/>
      <c r="K117" s="24">
        <v>41430</v>
      </c>
      <c r="L117" s="23">
        <f t="shared" si="7"/>
        <v>480</v>
      </c>
      <c r="M117" s="24">
        <v>7964</v>
      </c>
      <c r="N117" s="25">
        <f t="shared" si="8"/>
        <v>88</v>
      </c>
      <c r="O117" s="24">
        <v>33466</v>
      </c>
      <c r="P117" s="23">
        <f t="shared" si="9"/>
        <v>392</v>
      </c>
      <c r="Q117" s="26"/>
      <c r="R117" s="23">
        <f t="shared" si="10"/>
        <v>0</v>
      </c>
      <c r="S117" s="27" t="s">
        <v>18</v>
      </c>
      <c r="T117" s="19" t="s">
        <v>157</v>
      </c>
    </row>
    <row r="118" spans="1:20" ht="37.5" customHeight="1" x14ac:dyDescent="0.25">
      <c r="A118" s="19" t="s">
        <v>158</v>
      </c>
      <c r="B118">
        <f t="shared" si="11"/>
        <v>43554</v>
      </c>
      <c r="C118">
        <v>7422</v>
      </c>
      <c r="D118">
        <v>36132</v>
      </c>
      <c r="F118">
        <f t="shared" si="12"/>
        <v>538</v>
      </c>
      <c r="G118" s="20">
        <f t="shared" si="13"/>
        <v>113</v>
      </c>
      <c r="H118" s="21">
        <v>66616020110</v>
      </c>
      <c r="I118" s="22">
        <v>128</v>
      </c>
      <c r="J118" s="23"/>
      <c r="K118" s="24">
        <v>43016</v>
      </c>
      <c r="L118" s="23">
        <f t="shared" si="7"/>
        <v>538</v>
      </c>
      <c r="M118" s="24">
        <v>7314</v>
      </c>
      <c r="N118" s="25">
        <f t="shared" si="8"/>
        <v>108</v>
      </c>
      <c r="O118" s="24">
        <v>35702</v>
      </c>
      <c r="P118" s="23">
        <f t="shared" si="9"/>
        <v>430</v>
      </c>
      <c r="Q118" s="26"/>
      <c r="R118" s="23">
        <f t="shared" si="10"/>
        <v>0</v>
      </c>
      <c r="S118" s="27" t="s">
        <v>18</v>
      </c>
      <c r="T118" s="19" t="s">
        <v>158</v>
      </c>
    </row>
    <row r="119" spans="1:20" ht="37.5" customHeight="1" x14ac:dyDescent="0.25">
      <c r="A119" s="19" t="s">
        <v>159</v>
      </c>
      <c r="B119">
        <f t="shared" si="11"/>
        <v>49807</v>
      </c>
      <c r="C119">
        <v>8490</v>
      </c>
      <c r="D119">
        <v>41317</v>
      </c>
      <c r="F119">
        <f t="shared" si="12"/>
        <v>261</v>
      </c>
      <c r="G119" s="20">
        <f t="shared" si="13"/>
        <v>114</v>
      </c>
      <c r="H119" s="21">
        <v>23014060056</v>
      </c>
      <c r="I119" s="22">
        <v>129</v>
      </c>
      <c r="J119" s="23"/>
      <c r="K119" s="24">
        <v>49546</v>
      </c>
      <c r="L119" s="23">
        <f t="shared" si="7"/>
        <v>261</v>
      </c>
      <c r="M119" s="24">
        <v>8451</v>
      </c>
      <c r="N119" s="25">
        <f t="shared" si="8"/>
        <v>39</v>
      </c>
      <c r="O119" s="24">
        <v>41095</v>
      </c>
      <c r="P119" s="23">
        <f t="shared" si="9"/>
        <v>222</v>
      </c>
      <c r="Q119" s="26"/>
      <c r="R119" s="23">
        <f t="shared" si="10"/>
        <v>0</v>
      </c>
      <c r="S119" s="27" t="s">
        <v>18</v>
      </c>
      <c r="T119" s="19" t="s">
        <v>159</v>
      </c>
    </row>
    <row r="120" spans="1:20" ht="37.5" customHeight="1" x14ac:dyDescent="0.25">
      <c r="A120" s="19" t="s">
        <v>160</v>
      </c>
      <c r="B120">
        <f t="shared" si="11"/>
        <v>20660</v>
      </c>
      <c r="C120">
        <v>3116</v>
      </c>
      <c r="D120">
        <v>17544</v>
      </c>
      <c r="F120">
        <f t="shared" si="12"/>
        <v>504</v>
      </c>
      <c r="G120" s="20">
        <f t="shared" si="13"/>
        <v>115</v>
      </c>
      <c r="H120" s="21">
        <v>66621030246</v>
      </c>
      <c r="I120" s="22">
        <v>130</v>
      </c>
      <c r="J120" s="23"/>
      <c r="K120" s="24">
        <v>20156</v>
      </c>
      <c r="L120" s="23">
        <f t="shared" si="7"/>
        <v>504</v>
      </c>
      <c r="M120" s="24">
        <v>3026</v>
      </c>
      <c r="N120" s="25">
        <f t="shared" si="8"/>
        <v>90</v>
      </c>
      <c r="O120" s="24">
        <v>17130</v>
      </c>
      <c r="P120" s="23">
        <f t="shared" si="9"/>
        <v>414</v>
      </c>
      <c r="Q120" s="26"/>
      <c r="R120" s="23">
        <f t="shared" si="10"/>
        <v>0</v>
      </c>
      <c r="S120" s="27" t="s">
        <v>18</v>
      </c>
      <c r="T120" s="19" t="s">
        <v>160</v>
      </c>
    </row>
    <row r="121" spans="1:20" ht="37.5" customHeight="1" x14ac:dyDescent="0.25">
      <c r="A121" s="19" t="s">
        <v>161</v>
      </c>
      <c r="B121">
        <f t="shared" si="11"/>
        <v>3265</v>
      </c>
      <c r="C121">
        <v>540</v>
      </c>
      <c r="D121">
        <v>2725</v>
      </c>
      <c r="F121">
        <f t="shared" si="12"/>
        <v>40</v>
      </c>
      <c r="G121" s="20">
        <f t="shared" si="13"/>
        <v>116</v>
      </c>
      <c r="H121" s="21">
        <v>23013090453</v>
      </c>
      <c r="I121" s="22">
        <v>131</v>
      </c>
      <c r="J121" s="23"/>
      <c r="K121" s="24">
        <v>3225</v>
      </c>
      <c r="L121" s="23">
        <f t="shared" si="7"/>
        <v>40</v>
      </c>
      <c r="M121" s="24">
        <v>535</v>
      </c>
      <c r="N121" s="25">
        <f t="shared" si="8"/>
        <v>5</v>
      </c>
      <c r="O121" s="24">
        <v>2690</v>
      </c>
      <c r="P121" s="23">
        <f t="shared" si="9"/>
        <v>35</v>
      </c>
      <c r="Q121" s="26"/>
      <c r="R121" s="23">
        <f t="shared" si="10"/>
        <v>0</v>
      </c>
      <c r="S121" s="27" t="s">
        <v>18</v>
      </c>
      <c r="T121" s="19" t="s">
        <v>161</v>
      </c>
    </row>
    <row r="122" spans="1:20" ht="37.5" customHeight="1" x14ac:dyDescent="0.25">
      <c r="A122" s="19" t="s">
        <v>162</v>
      </c>
      <c r="B122">
        <f t="shared" si="11"/>
        <v>7353</v>
      </c>
      <c r="C122">
        <v>1665</v>
      </c>
      <c r="D122">
        <v>5688</v>
      </c>
      <c r="E122">
        <v>8250</v>
      </c>
      <c r="F122">
        <f t="shared" si="12"/>
        <v>412</v>
      </c>
      <c r="G122" s="20">
        <f t="shared" si="13"/>
        <v>117</v>
      </c>
      <c r="H122" s="21">
        <v>99623080585</v>
      </c>
      <c r="I122" s="22">
        <v>132</v>
      </c>
      <c r="J122" s="23"/>
      <c r="K122" s="24">
        <f>M122+O122</f>
        <v>6941</v>
      </c>
      <c r="L122" s="23">
        <f t="shared" si="7"/>
        <v>412</v>
      </c>
      <c r="M122" s="24">
        <v>1558</v>
      </c>
      <c r="N122" s="25">
        <f t="shared" si="8"/>
        <v>107</v>
      </c>
      <c r="O122" s="24">
        <v>5383</v>
      </c>
      <c r="P122" s="23">
        <f t="shared" si="9"/>
        <v>305</v>
      </c>
      <c r="Q122" s="26">
        <v>7370</v>
      </c>
      <c r="R122" s="23">
        <f t="shared" si="10"/>
        <v>880</v>
      </c>
      <c r="S122" s="27" t="s">
        <v>18</v>
      </c>
      <c r="T122" s="19" t="s">
        <v>162</v>
      </c>
    </row>
    <row r="123" spans="1:20" ht="37.5" customHeight="1" x14ac:dyDescent="0.25">
      <c r="A123" s="19" t="s">
        <v>163</v>
      </c>
      <c r="B123">
        <f t="shared" si="11"/>
        <v>13279</v>
      </c>
      <c r="C123">
        <v>2149</v>
      </c>
      <c r="D123">
        <v>11130</v>
      </c>
      <c r="F123">
        <f t="shared" si="12"/>
        <v>283</v>
      </c>
      <c r="G123" s="20">
        <f t="shared" si="13"/>
        <v>118</v>
      </c>
      <c r="H123" s="21">
        <v>66621050456</v>
      </c>
      <c r="I123" s="22">
        <v>133</v>
      </c>
      <c r="J123" s="23"/>
      <c r="K123" s="24">
        <v>12996</v>
      </c>
      <c r="L123" s="23">
        <f t="shared" si="7"/>
        <v>283</v>
      </c>
      <c r="M123" s="24">
        <v>2089</v>
      </c>
      <c r="N123" s="25">
        <f t="shared" si="8"/>
        <v>60</v>
      </c>
      <c r="O123" s="24">
        <v>10907</v>
      </c>
      <c r="P123" s="23">
        <f t="shared" si="9"/>
        <v>223</v>
      </c>
      <c r="Q123" s="26"/>
      <c r="R123" s="23">
        <f t="shared" si="10"/>
        <v>0</v>
      </c>
      <c r="S123" s="27" t="s">
        <v>18</v>
      </c>
      <c r="T123" s="19" t="s">
        <v>163</v>
      </c>
    </row>
    <row r="124" spans="1:20" ht="37.5" customHeight="1" x14ac:dyDescent="0.25">
      <c r="A124" s="19" t="s">
        <v>164</v>
      </c>
      <c r="B124">
        <f t="shared" si="11"/>
        <v>2073</v>
      </c>
      <c r="C124">
        <v>522</v>
      </c>
      <c r="D124">
        <v>1551</v>
      </c>
      <c r="E124">
        <v>8902</v>
      </c>
      <c r="F124">
        <f t="shared" si="12"/>
        <v>200</v>
      </c>
      <c r="G124" s="20">
        <f t="shared" si="13"/>
        <v>119</v>
      </c>
      <c r="H124" s="21">
        <v>99624010296</v>
      </c>
      <c r="I124" s="22">
        <v>136</v>
      </c>
      <c r="J124" s="23"/>
      <c r="K124" s="24">
        <f>M124+O124</f>
        <v>1873</v>
      </c>
      <c r="L124" s="23">
        <f t="shared" si="7"/>
        <v>200</v>
      </c>
      <c r="M124" s="24">
        <v>475</v>
      </c>
      <c r="N124" s="25">
        <f t="shared" si="8"/>
        <v>47</v>
      </c>
      <c r="O124" s="24">
        <v>1398</v>
      </c>
      <c r="P124" s="23">
        <f t="shared" si="9"/>
        <v>153</v>
      </c>
      <c r="Q124" s="26">
        <v>7964</v>
      </c>
      <c r="R124" s="23">
        <f t="shared" si="10"/>
        <v>938</v>
      </c>
      <c r="S124" s="27" t="s">
        <v>18</v>
      </c>
      <c r="T124" s="19" t="s">
        <v>164</v>
      </c>
    </row>
    <row r="125" spans="1:20" ht="37.5" customHeight="1" x14ac:dyDescent="0.25">
      <c r="A125" s="19" t="s">
        <v>165</v>
      </c>
      <c r="B125">
        <f t="shared" si="11"/>
        <v>52968</v>
      </c>
      <c r="C125">
        <v>9810</v>
      </c>
      <c r="D125">
        <v>43158</v>
      </c>
      <c r="F125">
        <f t="shared" si="12"/>
        <v>356</v>
      </c>
      <c r="G125" s="20">
        <f t="shared" si="13"/>
        <v>120</v>
      </c>
      <c r="H125" s="21">
        <v>23014040037</v>
      </c>
      <c r="I125" s="22">
        <v>139</v>
      </c>
      <c r="J125" s="23"/>
      <c r="K125" s="24">
        <v>52612</v>
      </c>
      <c r="L125" s="23">
        <f t="shared" si="7"/>
        <v>356</v>
      </c>
      <c r="M125" s="24">
        <v>9741</v>
      </c>
      <c r="N125" s="25">
        <f t="shared" si="8"/>
        <v>69</v>
      </c>
      <c r="O125" s="24">
        <v>42871</v>
      </c>
      <c r="P125" s="23">
        <f t="shared" si="9"/>
        <v>287</v>
      </c>
      <c r="Q125" s="26"/>
      <c r="R125" s="23">
        <f t="shared" si="10"/>
        <v>0</v>
      </c>
      <c r="S125" s="27" t="s">
        <v>18</v>
      </c>
      <c r="T125" s="19" t="s">
        <v>165</v>
      </c>
    </row>
    <row r="126" spans="1:20" ht="37.5" customHeight="1" x14ac:dyDescent="0.25">
      <c r="A126" s="19" t="s">
        <v>166</v>
      </c>
      <c r="B126">
        <f t="shared" si="11"/>
        <v>73965</v>
      </c>
      <c r="C126">
        <v>12675</v>
      </c>
      <c r="D126">
        <v>61290</v>
      </c>
      <c r="F126">
        <f t="shared" si="12"/>
        <v>482</v>
      </c>
      <c r="G126" s="20">
        <f t="shared" si="13"/>
        <v>121</v>
      </c>
      <c r="H126" s="21">
        <v>23013010505</v>
      </c>
      <c r="I126" s="22">
        <v>140</v>
      </c>
      <c r="J126" s="23"/>
      <c r="K126" s="24">
        <v>73483</v>
      </c>
      <c r="L126" s="23">
        <f t="shared" si="7"/>
        <v>482</v>
      </c>
      <c r="M126" s="24">
        <v>12594</v>
      </c>
      <c r="N126" s="25">
        <f t="shared" si="8"/>
        <v>81</v>
      </c>
      <c r="O126" s="24">
        <v>60889</v>
      </c>
      <c r="P126" s="23">
        <f t="shared" si="9"/>
        <v>401</v>
      </c>
      <c r="Q126" s="26"/>
      <c r="R126" s="23">
        <f t="shared" si="10"/>
        <v>0</v>
      </c>
      <c r="S126" s="27" t="s">
        <v>18</v>
      </c>
      <c r="T126" s="19" t="s">
        <v>166</v>
      </c>
    </row>
    <row r="127" spans="1:20" ht="37.5" customHeight="1" x14ac:dyDescent="0.25">
      <c r="A127" s="19" t="s">
        <v>167</v>
      </c>
      <c r="B127">
        <f t="shared" si="11"/>
        <v>32098</v>
      </c>
      <c r="C127">
        <v>5647</v>
      </c>
      <c r="D127">
        <v>26451</v>
      </c>
      <c r="F127">
        <f t="shared" si="12"/>
        <v>891</v>
      </c>
      <c r="G127" s="20">
        <f t="shared" si="13"/>
        <v>122</v>
      </c>
      <c r="H127" s="21">
        <v>66621090061</v>
      </c>
      <c r="I127" s="22">
        <v>142</v>
      </c>
      <c r="J127" s="23"/>
      <c r="K127" s="24">
        <v>31207</v>
      </c>
      <c r="L127" s="23">
        <f t="shared" si="7"/>
        <v>891</v>
      </c>
      <c r="M127" s="24">
        <v>5486</v>
      </c>
      <c r="N127" s="25">
        <f t="shared" si="8"/>
        <v>161</v>
      </c>
      <c r="O127" s="24">
        <v>25721</v>
      </c>
      <c r="P127" s="23">
        <f t="shared" si="9"/>
        <v>730</v>
      </c>
      <c r="Q127" s="26"/>
      <c r="R127" s="23">
        <f t="shared" si="10"/>
        <v>0</v>
      </c>
      <c r="S127" s="27" t="s">
        <v>18</v>
      </c>
      <c r="T127" s="19" t="s">
        <v>167</v>
      </c>
    </row>
    <row r="128" spans="1:20" ht="37.5" customHeight="1" x14ac:dyDescent="0.25">
      <c r="A128" s="19" t="s">
        <v>168</v>
      </c>
      <c r="B128">
        <f t="shared" si="11"/>
        <v>114528</v>
      </c>
      <c r="C128">
        <v>19676</v>
      </c>
      <c r="D128">
        <v>94852</v>
      </c>
      <c r="F128">
        <f t="shared" si="12"/>
        <v>952</v>
      </c>
      <c r="G128" s="20">
        <f t="shared" si="13"/>
        <v>123</v>
      </c>
      <c r="H128" s="21">
        <v>23014040134</v>
      </c>
      <c r="I128" s="22">
        <v>144</v>
      </c>
      <c r="J128" s="23"/>
      <c r="K128" s="24">
        <v>113576</v>
      </c>
      <c r="L128" s="23">
        <f t="shared" si="7"/>
        <v>952</v>
      </c>
      <c r="M128" s="24">
        <v>19518</v>
      </c>
      <c r="N128" s="25">
        <f t="shared" si="8"/>
        <v>158</v>
      </c>
      <c r="O128" s="24">
        <v>94058</v>
      </c>
      <c r="P128" s="23">
        <f t="shared" si="9"/>
        <v>794</v>
      </c>
      <c r="Q128" s="26"/>
      <c r="R128" s="23">
        <f t="shared" si="10"/>
        <v>0</v>
      </c>
      <c r="S128" s="27" t="s">
        <v>18</v>
      </c>
      <c r="T128" s="19" t="s">
        <v>168</v>
      </c>
    </row>
    <row r="129" spans="1:20" ht="37.5" customHeight="1" x14ac:dyDescent="0.25">
      <c r="A129" s="19" t="s">
        <v>169</v>
      </c>
      <c r="B129">
        <f t="shared" si="11"/>
        <v>63996</v>
      </c>
      <c r="C129">
        <v>8748</v>
      </c>
      <c r="D129">
        <v>55248</v>
      </c>
      <c r="F129">
        <f t="shared" si="12"/>
        <v>580</v>
      </c>
      <c r="G129" s="20">
        <f t="shared" si="13"/>
        <v>124</v>
      </c>
      <c r="H129" s="21">
        <v>23015100647</v>
      </c>
      <c r="I129" s="22">
        <v>145</v>
      </c>
      <c r="J129" s="23"/>
      <c r="K129" s="24">
        <v>63416</v>
      </c>
      <c r="L129" s="23">
        <f t="shared" si="7"/>
        <v>580</v>
      </c>
      <c r="M129" s="24">
        <v>8653</v>
      </c>
      <c r="N129" s="25">
        <f t="shared" si="8"/>
        <v>95</v>
      </c>
      <c r="O129" s="24">
        <v>54763</v>
      </c>
      <c r="P129" s="23">
        <f t="shared" si="9"/>
        <v>485</v>
      </c>
      <c r="Q129" s="26"/>
      <c r="R129" s="23">
        <f t="shared" si="10"/>
        <v>0</v>
      </c>
      <c r="S129" s="27" t="s">
        <v>18</v>
      </c>
      <c r="T129" s="19" t="s">
        <v>169</v>
      </c>
    </row>
    <row r="130" spans="1:20" ht="37.5" customHeight="1" x14ac:dyDescent="0.25">
      <c r="A130" s="19" t="s">
        <v>170</v>
      </c>
      <c r="B130">
        <f t="shared" si="11"/>
        <v>22265</v>
      </c>
      <c r="C130">
        <v>3663</v>
      </c>
      <c r="D130">
        <v>18602</v>
      </c>
      <c r="F130">
        <f t="shared" si="12"/>
        <v>316</v>
      </c>
      <c r="G130" s="20">
        <f t="shared" si="13"/>
        <v>125</v>
      </c>
      <c r="H130" s="21">
        <v>66621070164</v>
      </c>
      <c r="I130" s="22">
        <v>146</v>
      </c>
      <c r="J130" s="23"/>
      <c r="K130" s="24">
        <v>21949</v>
      </c>
      <c r="L130" s="23">
        <f t="shared" si="7"/>
        <v>316</v>
      </c>
      <c r="M130" s="24">
        <v>3613</v>
      </c>
      <c r="N130" s="25">
        <f t="shared" si="8"/>
        <v>50</v>
      </c>
      <c r="O130" s="24">
        <v>18336</v>
      </c>
      <c r="P130" s="23">
        <f t="shared" si="9"/>
        <v>266</v>
      </c>
      <c r="Q130" s="26"/>
      <c r="R130" s="23">
        <f t="shared" si="10"/>
        <v>0</v>
      </c>
      <c r="S130" s="27" t="s">
        <v>18</v>
      </c>
      <c r="T130" s="19" t="s">
        <v>170</v>
      </c>
    </row>
    <row r="131" spans="1:20" ht="37.5" customHeight="1" x14ac:dyDescent="0.25">
      <c r="A131" s="19" t="s">
        <v>171</v>
      </c>
      <c r="B131">
        <f t="shared" si="11"/>
        <v>12128</v>
      </c>
      <c r="C131">
        <v>2207</v>
      </c>
      <c r="D131">
        <v>9921</v>
      </c>
      <c r="F131">
        <f t="shared" si="12"/>
        <v>257</v>
      </c>
      <c r="G131" s="20">
        <f t="shared" si="13"/>
        <v>126</v>
      </c>
      <c r="H131" s="21">
        <v>66622040363</v>
      </c>
      <c r="I131" s="22">
        <v>147</v>
      </c>
      <c r="J131" s="23"/>
      <c r="K131" s="24">
        <v>11871</v>
      </c>
      <c r="L131" s="23">
        <f t="shared" si="7"/>
        <v>257</v>
      </c>
      <c r="M131" s="24">
        <v>2162</v>
      </c>
      <c r="N131" s="25">
        <f t="shared" si="8"/>
        <v>45</v>
      </c>
      <c r="O131" s="24">
        <v>9709</v>
      </c>
      <c r="P131" s="23">
        <f t="shared" si="9"/>
        <v>212</v>
      </c>
      <c r="Q131" s="26"/>
      <c r="R131" s="23">
        <f t="shared" si="10"/>
        <v>0</v>
      </c>
      <c r="S131" s="27" t="s">
        <v>18</v>
      </c>
      <c r="T131" s="19" t="s">
        <v>171</v>
      </c>
    </row>
    <row r="132" spans="1:20" ht="37.5" customHeight="1" x14ac:dyDescent="0.25">
      <c r="A132" s="19" t="s">
        <v>172</v>
      </c>
      <c r="B132">
        <f t="shared" si="11"/>
        <v>33172</v>
      </c>
      <c r="C132">
        <v>6277</v>
      </c>
      <c r="D132">
        <v>26895</v>
      </c>
      <c r="F132">
        <f t="shared" si="12"/>
        <v>638</v>
      </c>
      <c r="G132" s="20">
        <f t="shared" si="13"/>
        <v>127</v>
      </c>
      <c r="H132" s="21">
        <v>66621010057</v>
      </c>
      <c r="I132" s="22">
        <v>148</v>
      </c>
      <c r="J132" s="23"/>
      <c r="K132" s="24">
        <v>32534</v>
      </c>
      <c r="L132" s="23">
        <f t="shared" si="7"/>
        <v>638</v>
      </c>
      <c r="M132" s="24">
        <v>6135</v>
      </c>
      <c r="N132" s="25">
        <f t="shared" si="8"/>
        <v>142</v>
      </c>
      <c r="O132" s="24">
        <v>26399</v>
      </c>
      <c r="P132" s="23">
        <f t="shared" si="9"/>
        <v>496</v>
      </c>
      <c r="Q132" s="26"/>
      <c r="R132" s="23">
        <f t="shared" si="10"/>
        <v>0</v>
      </c>
      <c r="S132" s="27" t="s">
        <v>18</v>
      </c>
      <c r="T132" s="19" t="s">
        <v>172</v>
      </c>
    </row>
    <row r="133" spans="1:20" ht="37.5" customHeight="1" x14ac:dyDescent="0.25">
      <c r="A133" s="19" t="s">
        <v>173</v>
      </c>
      <c r="B133">
        <f t="shared" si="11"/>
        <v>22080</v>
      </c>
      <c r="C133">
        <v>4067</v>
      </c>
      <c r="D133">
        <v>18013</v>
      </c>
      <c r="F133">
        <f t="shared" si="12"/>
        <v>479</v>
      </c>
      <c r="G133" s="20">
        <f t="shared" si="13"/>
        <v>128</v>
      </c>
      <c r="H133" s="21">
        <v>66621090306</v>
      </c>
      <c r="I133" s="22">
        <v>149</v>
      </c>
      <c r="J133" s="23"/>
      <c r="K133" s="24">
        <v>21601</v>
      </c>
      <c r="L133" s="23">
        <f t="shared" si="7"/>
        <v>479</v>
      </c>
      <c r="M133" s="24">
        <v>3978</v>
      </c>
      <c r="N133" s="25">
        <f t="shared" si="8"/>
        <v>89</v>
      </c>
      <c r="O133" s="24">
        <v>17623</v>
      </c>
      <c r="P133" s="23">
        <f t="shared" si="9"/>
        <v>390</v>
      </c>
      <c r="Q133" s="26"/>
      <c r="R133" s="23">
        <f t="shared" si="10"/>
        <v>0</v>
      </c>
      <c r="S133" s="27" t="s">
        <v>18</v>
      </c>
      <c r="T133" s="19" t="s">
        <v>173</v>
      </c>
    </row>
    <row r="134" spans="1:20" ht="37.5" customHeight="1" x14ac:dyDescent="0.25">
      <c r="A134" s="19" t="s">
        <v>174</v>
      </c>
      <c r="B134">
        <f t="shared" si="11"/>
        <v>31120</v>
      </c>
      <c r="C134">
        <v>5743</v>
      </c>
      <c r="D134">
        <v>25377</v>
      </c>
      <c r="F134">
        <f t="shared" si="12"/>
        <v>745</v>
      </c>
      <c r="G134" s="20">
        <f t="shared" si="13"/>
        <v>129</v>
      </c>
      <c r="H134" s="21">
        <v>88820010104</v>
      </c>
      <c r="I134" s="22">
        <v>150</v>
      </c>
      <c r="J134" s="23"/>
      <c r="K134" s="24">
        <v>30375</v>
      </c>
      <c r="L134" s="23">
        <f t="shared" ref="L134:L197" si="15">B134-K134</f>
        <v>745</v>
      </c>
      <c r="M134" s="24">
        <v>5612</v>
      </c>
      <c r="N134" s="25">
        <f t="shared" ref="N134:N197" si="16">C134-M134</f>
        <v>131</v>
      </c>
      <c r="O134" s="24">
        <v>24763</v>
      </c>
      <c r="P134" s="23">
        <f t="shared" ref="P134:P197" si="17">D134-O134</f>
        <v>614</v>
      </c>
      <c r="Q134" s="26"/>
      <c r="R134" s="23">
        <f t="shared" ref="R134:R197" si="18">E134-Q134</f>
        <v>0</v>
      </c>
      <c r="S134" s="27" t="s">
        <v>18</v>
      </c>
      <c r="T134" s="19" t="s">
        <v>174</v>
      </c>
    </row>
    <row r="135" spans="1:20" ht="37.5" customHeight="1" x14ac:dyDescent="0.25">
      <c r="A135" s="19" t="s">
        <v>175</v>
      </c>
      <c r="B135">
        <f t="shared" ref="B135:B198" si="19">C135+D135</f>
        <v>146727</v>
      </c>
      <c r="C135">
        <v>23859</v>
      </c>
      <c r="D135">
        <v>122868</v>
      </c>
      <c r="F135">
        <f t="shared" ref="F135:F198" si="20">L135</f>
        <v>826</v>
      </c>
      <c r="G135" s="20">
        <f t="shared" si="13"/>
        <v>130</v>
      </c>
      <c r="H135" s="21">
        <v>23012060124</v>
      </c>
      <c r="I135" s="22">
        <v>151</v>
      </c>
      <c r="J135" s="23"/>
      <c r="K135" s="24">
        <v>145901</v>
      </c>
      <c r="L135" s="23">
        <f t="shared" si="15"/>
        <v>826</v>
      </c>
      <c r="M135" s="24">
        <v>23753</v>
      </c>
      <c r="N135" s="25">
        <f t="shared" si="16"/>
        <v>106</v>
      </c>
      <c r="O135" s="24">
        <v>122148</v>
      </c>
      <c r="P135" s="23">
        <f t="shared" si="17"/>
        <v>720</v>
      </c>
      <c r="Q135" s="26"/>
      <c r="R135" s="23">
        <f t="shared" si="18"/>
        <v>0</v>
      </c>
      <c r="S135" s="27" t="s">
        <v>18</v>
      </c>
      <c r="T135" s="19" t="s">
        <v>175</v>
      </c>
    </row>
    <row r="136" spans="1:20" ht="37.5" customHeight="1" x14ac:dyDescent="0.25">
      <c r="A136" s="19" t="s">
        <v>176</v>
      </c>
      <c r="B136">
        <f t="shared" si="19"/>
        <v>32083</v>
      </c>
      <c r="C136">
        <v>4567</v>
      </c>
      <c r="D136">
        <v>27516</v>
      </c>
      <c r="F136">
        <f t="shared" si="20"/>
        <v>164</v>
      </c>
      <c r="G136" s="20">
        <f t="shared" ref="G136:G199" si="21">G135+1</f>
        <v>131</v>
      </c>
      <c r="H136" s="21">
        <v>88819030324</v>
      </c>
      <c r="I136" s="22">
        <v>152</v>
      </c>
      <c r="J136" s="23"/>
      <c r="K136" s="24">
        <v>31919</v>
      </c>
      <c r="L136" s="23">
        <f t="shared" si="15"/>
        <v>164</v>
      </c>
      <c r="M136" s="24">
        <v>4538</v>
      </c>
      <c r="N136" s="25">
        <f t="shared" si="16"/>
        <v>29</v>
      </c>
      <c r="O136" s="24">
        <v>27381</v>
      </c>
      <c r="P136" s="23">
        <f t="shared" si="17"/>
        <v>135</v>
      </c>
      <c r="Q136" s="26"/>
      <c r="R136" s="23">
        <f t="shared" si="18"/>
        <v>0</v>
      </c>
      <c r="S136" s="27" t="s">
        <v>18</v>
      </c>
      <c r="T136" s="19" t="s">
        <v>176</v>
      </c>
    </row>
    <row r="137" spans="1:20" ht="37.5" customHeight="1" x14ac:dyDescent="0.25">
      <c r="A137" s="19" t="s">
        <v>177</v>
      </c>
      <c r="B137">
        <f t="shared" si="19"/>
        <v>1163</v>
      </c>
      <c r="C137">
        <v>328</v>
      </c>
      <c r="D137">
        <v>835</v>
      </c>
      <c r="E137">
        <v>2151</v>
      </c>
      <c r="F137">
        <f t="shared" si="20"/>
        <v>438</v>
      </c>
      <c r="G137" s="20">
        <f t="shared" si="21"/>
        <v>132</v>
      </c>
      <c r="H137" s="21">
        <v>99624050161</v>
      </c>
      <c r="I137" s="22">
        <v>153</v>
      </c>
      <c r="J137" s="23"/>
      <c r="K137" s="24">
        <f>M137+O137</f>
        <v>725</v>
      </c>
      <c r="L137" s="23">
        <f t="shared" si="15"/>
        <v>438</v>
      </c>
      <c r="M137" s="24">
        <v>210</v>
      </c>
      <c r="N137" s="25">
        <f t="shared" si="16"/>
        <v>118</v>
      </c>
      <c r="O137" s="24">
        <v>515</v>
      </c>
      <c r="P137" s="23">
        <f t="shared" si="17"/>
        <v>320</v>
      </c>
      <c r="Q137" s="26">
        <v>1460</v>
      </c>
      <c r="R137" s="23">
        <f t="shared" si="18"/>
        <v>691</v>
      </c>
      <c r="S137" s="27" t="s">
        <v>18</v>
      </c>
      <c r="T137" s="19" t="s">
        <v>177</v>
      </c>
    </row>
    <row r="138" spans="1:20" ht="37.5" customHeight="1" x14ac:dyDescent="0.25">
      <c r="A138" s="19" t="s">
        <v>178</v>
      </c>
      <c r="B138">
        <f t="shared" si="19"/>
        <v>34401</v>
      </c>
      <c r="C138">
        <v>5406</v>
      </c>
      <c r="D138">
        <v>28995</v>
      </c>
      <c r="F138">
        <f t="shared" si="20"/>
        <v>806</v>
      </c>
      <c r="G138" s="20">
        <f t="shared" si="21"/>
        <v>133</v>
      </c>
      <c r="H138" s="21">
        <v>88820040316</v>
      </c>
      <c r="I138" s="22">
        <v>154</v>
      </c>
      <c r="J138" s="23"/>
      <c r="K138" s="24">
        <v>33595</v>
      </c>
      <c r="L138" s="23">
        <f t="shared" si="15"/>
        <v>806</v>
      </c>
      <c r="M138" s="24">
        <v>5304</v>
      </c>
      <c r="N138" s="25">
        <f t="shared" si="16"/>
        <v>102</v>
      </c>
      <c r="O138" s="24">
        <v>28291</v>
      </c>
      <c r="P138" s="23">
        <f t="shared" si="17"/>
        <v>704</v>
      </c>
      <c r="Q138" s="26"/>
      <c r="R138" s="23">
        <f t="shared" si="18"/>
        <v>0</v>
      </c>
      <c r="S138" s="27" t="s">
        <v>18</v>
      </c>
      <c r="T138" s="19" t="s">
        <v>178</v>
      </c>
    </row>
    <row r="139" spans="1:20" ht="37.5" customHeight="1" x14ac:dyDescent="0.25">
      <c r="A139" s="19" t="s">
        <v>179</v>
      </c>
      <c r="B139">
        <f t="shared" si="19"/>
        <v>14690</v>
      </c>
      <c r="C139">
        <v>2340</v>
      </c>
      <c r="D139">
        <v>12350</v>
      </c>
      <c r="F139">
        <f t="shared" si="20"/>
        <v>142</v>
      </c>
      <c r="G139" s="20">
        <f t="shared" si="21"/>
        <v>134</v>
      </c>
      <c r="H139" s="21">
        <v>23014060881</v>
      </c>
      <c r="I139" s="22">
        <v>155</v>
      </c>
      <c r="J139" s="23"/>
      <c r="K139" s="24">
        <v>14548</v>
      </c>
      <c r="L139" s="23">
        <f t="shared" si="15"/>
        <v>142</v>
      </c>
      <c r="M139" s="24">
        <v>2320</v>
      </c>
      <c r="N139" s="25">
        <f t="shared" si="16"/>
        <v>20</v>
      </c>
      <c r="O139" s="24">
        <v>12228</v>
      </c>
      <c r="P139" s="23">
        <f t="shared" si="17"/>
        <v>122</v>
      </c>
      <c r="Q139" s="26"/>
      <c r="R139" s="23">
        <f t="shared" si="18"/>
        <v>0</v>
      </c>
      <c r="S139" s="27" t="s">
        <v>18</v>
      </c>
      <c r="T139" s="19" t="s">
        <v>179</v>
      </c>
    </row>
    <row r="140" spans="1:20" ht="37.5" customHeight="1" x14ac:dyDescent="0.25">
      <c r="A140" s="19" t="s">
        <v>180</v>
      </c>
      <c r="B140">
        <f t="shared" si="19"/>
        <v>15070</v>
      </c>
      <c r="C140">
        <v>2500</v>
      </c>
      <c r="D140">
        <v>12570</v>
      </c>
      <c r="F140">
        <f t="shared" si="20"/>
        <v>438</v>
      </c>
      <c r="G140" s="20">
        <f t="shared" si="21"/>
        <v>135</v>
      </c>
      <c r="H140" s="21">
        <v>66621050129</v>
      </c>
      <c r="I140" s="22">
        <v>157</v>
      </c>
      <c r="J140" s="23"/>
      <c r="K140" s="24">
        <v>14632</v>
      </c>
      <c r="L140" s="23">
        <f t="shared" si="15"/>
        <v>438</v>
      </c>
      <c r="M140" s="24">
        <v>2429</v>
      </c>
      <c r="N140" s="25">
        <f t="shared" si="16"/>
        <v>71</v>
      </c>
      <c r="O140" s="24">
        <v>12203</v>
      </c>
      <c r="P140" s="23">
        <f t="shared" si="17"/>
        <v>367</v>
      </c>
      <c r="Q140" s="26"/>
      <c r="R140" s="23">
        <f t="shared" si="18"/>
        <v>0</v>
      </c>
      <c r="S140" s="27" t="s">
        <v>18</v>
      </c>
      <c r="T140" s="19" t="s">
        <v>180</v>
      </c>
    </row>
    <row r="141" spans="1:20" ht="37.5" customHeight="1" x14ac:dyDescent="0.25">
      <c r="A141" s="19" t="s">
        <v>181</v>
      </c>
      <c r="B141">
        <f t="shared" si="19"/>
        <v>29729</v>
      </c>
      <c r="C141">
        <v>5273</v>
      </c>
      <c r="D141">
        <v>24456</v>
      </c>
      <c r="F141">
        <f t="shared" si="20"/>
        <v>446</v>
      </c>
      <c r="G141" s="20">
        <f t="shared" si="21"/>
        <v>136</v>
      </c>
      <c r="H141" s="21">
        <v>88819050468</v>
      </c>
      <c r="I141" s="22">
        <v>158</v>
      </c>
      <c r="J141" s="23"/>
      <c r="K141" s="24">
        <v>29283</v>
      </c>
      <c r="L141" s="23">
        <f t="shared" si="15"/>
        <v>446</v>
      </c>
      <c r="M141" s="24">
        <v>5196</v>
      </c>
      <c r="N141" s="25">
        <f t="shared" si="16"/>
        <v>77</v>
      </c>
      <c r="O141" s="24">
        <v>24087</v>
      </c>
      <c r="P141" s="23">
        <f t="shared" si="17"/>
        <v>369</v>
      </c>
      <c r="Q141" s="26"/>
      <c r="R141" s="23">
        <f t="shared" si="18"/>
        <v>0</v>
      </c>
      <c r="S141" s="27" t="s">
        <v>18</v>
      </c>
      <c r="T141" s="19" t="s">
        <v>181</v>
      </c>
    </row>
    <row r="142" spans="1:20" ht="37.5" customHeight="1" x14ac:dyDescent="0.25">
      <c r="A142" s="19" t="s">
        <v>182</v>
      </c>
      <c r="B142">
        <f t="shared" si="19"/>
        <v>64711</v>
      </c>
      <c r="C142">
        <v>15136</v>
      </c>
      <c r="D142">
        <v>49575</v>
      </c>
      <c r="F142">
        <f t="shared" si="20"/>
        <v>254</v>
      </c>
      <c r="G142" s="20">
        <f t="shared" si="21"/>
        <v>137</v>
      </c>
      <c r="H142" s="21">
        <v>7011001</v>
      </c>
      <c r="I142" s="22">
        <v>159</v>
      </c>
      <c r="J142" s="23"/>
      <c r="K142" s="24">
        <v>64457</v>
      </c>
      <c r="L142" s="23">
        <f t="shared" si="15"/>
        <v>254</v>
      </c>
      <c r="M142" s="24">
        <v>15086</v>
      </c>
      <c r="N142" s="25">
        <f t="shared" si="16"/>
        <v>50</v>
      </c>
      <c r="O142" s="24">
        <v>49371</v>
      </c>
      <c r="P142" s="23">
        <f t="shared" si="17"/>
        <v>204</v>
      </c>
      <c r="Q142" s="26"/>
      <c r="R142" s="23">
        <f t="shared" si="18"/>
        <v>0</v>
      </c>
      <c r="S142" s="27" t="s">
        <v>18</v>
      </c>
      <c r="T142" s="19" t="s">
        <v>182</v>
      </c>
    </row>
    <row r="143" spans="1:20" ht="37.5" customHeight="1" x14ac:dyDescent="0.25">
      <c r="A143" s="19" t="s">
        <v>183</v>
      </c>
      <c r="B143">
        <f t="shared" si="19"/>
        <v>53498</v>
      </c>
      <c r="C143">
        <v>16729</v>
      </c>
      <c r="D143">
        <v>36769</v>
      </c>
      <c r="F143">
        <f t="shared" si="20"/>
        <v>270</v>
      </c>
      <c r="G143" s="20">
        <f t="shared" si="21"/>
        <v>138</v>
      </c>
      <c r="H143" s="21">
        <v>9070115</v>
      </c>
      <c r="I143" s="22">
        <v>159</v>
      </c>
      <c r="J143" s="23"/>
      <c r="K143" s="24">
        <v>53228</v>
      </c>
      <c r="L143" s="23">
        <f t="shared" si="15"/>
        <v>270</v>
      </c>
      <c r="M143" s="24">
        <v>16702</v>
      </c>
      <c r="N143" s="25">
        <f t="shared" si="16"/>
        <v>27</v>
      </c>
      <c r="O143" s="24">
        <v>36526</v>
      </c>
      <c r="P143" s="23">
        <f t="shared" si="17"/>
        <v>243</v>
      </c>
      <c r="Q143" s="26"/>
      <c r="R143" s="23">
        <f t="shared" si="18"/>
        <v>0</v>
      </c>
      <c r="S143" s="27" t="s">
        <v>18</v>
      </c>
      <c r="T143" s="19" t="s">
        <v>183</v>
      </c>
    </row>
    <row r="144" spans="1:20" ht="37.5" customHeight="1" x14ac:dyDescent="0.25">
      <c r="A144" s="19" t="s">
        <v>184</v>
      </c>
      <c r="B144">
        <f t="shared" si="19"/>
        <v>41449</v>
      </c>
      <c r="C144">
        <v>7055</v>
      </c>
      <c r="D144">
        <v>34394</v>
      </c>
      <c r="F144">
        <f t="shared" si="20"/>
        <v>632</v>
      </c>
      <c r="G144" s="20">
        <f t="shared" si="21"/>
        <v>139</v>
      </c>
      <c r="H144" s="21">
        <v>88820050129</v>
      </c>
      <c r="I144" s="22">
        <v>160</v>
      </c>
      <c r="J144" s="23"/>
      <c r="K144" s="24">
        <v>40817</v>
      </c>
      <c r="L144" s="23">
        <f t="shared" si="15"/>
        <v>632</v>
      </c>
      <c r="M144" s="24">
        <v>6947</v>
      </c>
      <c r="N144" s="25">
        <f t="shared" si="16"/>
        <v>108</v>
      </c>
      <c r="O144" s="24">
        <v>33870</v>
      </c>
      <c r="P144" s="23">
        <f t="shared" si="17"/>
        <v>524</v>
      </c>
      <c r="Q144" s="26"/>
      <c r="R144" s="23">
        <f t="shared" si="18"/>
        <v>0</v>
      </c>
      <c r="S144" s="27" t="s">
        <v>18</v>
      </c>
      <c r="T144" s="19" t="s">
        <v>184</v>
      </c>
    </row>
    <row r="145" spans="1:20" ht="37.5" customHeight="1" x14ac:dyDescent="0.25">
      <c r="A145" s="19" t="s">
        <v>185</v>
      </c>
      <c r="B145">
        <f t="shared" si="19"/>
        <v>30945</v>
      </c>
      <c r="C145">
        <v>5440</v>
      </c>
      <c r="D145">
        <v>25505</v>
      </c>
      <c r="F145">
        <f t="shared" si="20"/>
        <v>227</v>
      </c>
      <c r="G145" s="20">
        <f t="shared" si="21"/>
        <v>140</v>
      </c>
      <c r="H145" s="21">
        <v>88819010217</v>
      </c>
      <c r="I145" s="22">
        <v>161</v>
      </c>
      <c r="J145" s="23"/>
      <c r="K145" s="24">
        <v>30718</v>
      </c>
      <c r="L145" s="23">
        <f t="shared" si="15"/>
        <v>227</v>
      </c>
      <c r="M145" s="24">
        <v>5403</v>
      </c>
      <c r="N145" s="25">
        <f t="shared" si="16"/>
        <v>37</v>
      </c>
      <c r="O145" s="24">
        <v>25315</v>
      </c>
      <c r="P145" s="23">
        <f t="shared" si="17"/>
        <v>190</v>
      </c>
      <c r="Q145" s="26"/>
      <c r="R145" s="23">
        <f t="shared" si="18"/>
        <v>0</v>
      </c>
      <c r="S145" s="27" t="s">
        <v>18</v>
      </c>
      <c r="T145" s="19" t="s">
        <v>185</v>
      </c>
    </row>
    <row r="146" spans="1:20" ht="37.5" customHeight="1" x14ac:dyDescent="0.25">
      <c r="A146" s="19" t="s">
        <v>186</v>
      </c>
      <c r="B146">
        <f t="shared" si="19"/>
        <v>88347</v>
      </c>
      <c r="C146">
        <v>14231</v>
      </c>
      <c r="D146">
        <v>74116</v>
      </c>
      <c r="F146">
        <f t="shared" si="20"/>
        <v>692</v>
      </c>
      <c r="G146" s="20">
        <f t="shared" si="21"/>
        <v>141</v>
      </c>
      <c r="H146" s="21">
        <v>23012100279</v>
      </c>
      <c r="I146" s="22">
        <v>162</v>
      </c>
      <c r="J146" s="23"/>
      <c r="K146" s="24">
        <v>87655</v>
      </c>
      <c r="L146" s="23">
        <f t="shared" si="15"/>
        <v>692</v>
      </c>
      <c r="M146" s="24">
        <v>14133</v>
      </c>
      <c r="N146" s="25">
        <f t="shared" si="16"/>
        <v>98</v>
      </c>
      <c r="O146" s="24">
        <v>73522</v>
      </c>
      <c r="P146" s="23">
        <f t="shared" si="17"/>
        <v>594</v>
      </c>
      <c r="Q146" s="26"/>
      <c r="R146" s="23">
        <f t="shared" si="18"/>
        <v>0</v>
      </c>
      <c r="S146" s="27" t="s">
        <v>18</v>
      </c>
      <c r="T146" s="19" t="s">
        <v>186</v>
      </c>
    </row>
    <row r="147" spans="1:20" ht="37.5" customHeight="1" x14ac:dyDescent="0.25">
      <c r="A147" s="19" t="s">
        <v>187</v>
      </c>
      <c r="B147">
        <f t="shared" si="19"/>
        <v>35947</v>
      </c>
      <c r="C147">
        <v>6314</v>
      </c>
      <c r="D147">
        <v>29633</v>
      </c>
      <c r="F147">
        <f t="shared" si="20"/>
        <v>365</v>
      </c>
      <c r="G147" s="20">
        <f t="shared" si="21"/>
        <v>142</v>
      </c>
      <c r="H147" s="21">
        <v>66618010023</v>
      </c>
      <c r="I147" s="22">
        <v>163</v>
      </c>
      <c r="J147" s="23"/>
      <c r="K147" s="24">
        <v>35582</v>
      </c>
      <c r="L147" s="23">
        <f t="shared" si="15"/>
        <v>365</v>
      </c>
      <c r="M147" s="24">
        <v>6254</v>
      </c>
      <c r="N147" s="25">
        <f t="shared" si="16"/>
        <v>60</v>
      </c>
      <c r="O147" s="24">
        <v>29328</v>
      </c>
      <c r="P147" s="23">
        <f t="shared" si="17"/>
        <v>305</v>
      </c>
      <c r="Q147" s="26"/>
      <c r="R147" s="23">
        <f t="shared" si="18"/>
        <v>0</v>
      </c>
      <c r="S147" s="27" t="s">
        <v>18</v>
      </c>
      <c r="T147" s="19" t="s">
        <v>187</v>
      </c>
    </row>
    <row r="148" spans="1:20" ht="37.5" customHeight="1" x14ac:dyDescent="0.25">
      <c r="A148" s="19" t="s">
        <v>188</v>
      </c>
      <c r="B148">
        <f t="shared" si="19"/>
        <v>64365</v>
      </c>
      <c r="C148">
        <v>10835</v>
      </c>
      <c r="D148">
        <v>53530</v>
      </c>
      <c r="F148">
        <f t="shared" si="20"/>
        <v>746</v>
      </c>
      <c r="G148" s="20">
        <f t="shared" si="21"/>
        <v>143</v>
      </c>
      <c r="H148" s="21">
        <v>23012010052</v>
      </c>
      <c r="I148" s="22">
        <v>164</v>
      </c>
      <c r="J148" s="23"/>
      <c r="K148" s="24">
        <v>63619</v>
      </c>
      <c r="L148" s="23">
        <f t="shared" si="15"/>
        <v>746</v>
      </c>
      <c r="M148" s="24">
        <v>10713</v>
      </c>
      <c r="N148" s="25">
        <f t="shared" si="16"/>
        <v>122</v>
      </c>
      <c r="O148" s="24">
        <v>52906</v>
      </c>
      <c r="P148" s="23">
        <f t="shared" si="17"/>
        <v>624</v>
      </c>
      <c r="Q148" s="26"/>
      <c r="R148" s="23">
        <f t="shared" si="18"/>
        <v>0</v>
      </c>
      <c r="S148" s="27" t="s">
        <v>18</v>
      </c>
      <c r="T148" s="19" t="s">
        <v>188</v>
      </c>
    </row>
    <row r="149" spans="1:20" ht="37.5" customHeight="1" x14ac:dyDescent="0.25">
      <c r="A149" s="19" t="s">
        <v>189</v>
      </c>
      <c r="B149">
        <f t="shared" si="19"/>
        <v>28821</v>
      </c>
      <c r="C149">
        <v>5109</v>
      </c>
      <c r="D149">
        <v>23712</v>
      </c>
      <c r="F149">
        <f t="shared" si="20"/>
        <v>567</v>
      </c>
      <c r="G149" s="20">
        <f t="shared" si="21"/>
        <v>144</v>
      </c>
      <c r="H149" s="21">
        <v>88818020146</v>
      </c>
      <c r="I149" s="22">
        <v>165</v>
      </c>
      <c r="J149" s="23"/>
      <c r="K149" s="24">
        <v>28254</v>
      </c>
      <c r="L149" s="23">
        <f t="shared" si="15"/>
        <v>567</v>
      </c>
      <c r="M149" s="24">
        <v>4995</v>
      </c>
      <c r="N149" s="25">
        <f t="shared" si="16"/>
        <v>114</v>
      </c>
      <c r="O149" s="24">
        <v>23259</v>
      </c>
      <c r="P149" s="23">
        <f t="shared" si="17"/>
        <v>453</v>
      </c>
      <c r="Q149" s="26"/>
      <c r="R149" s="23">
        <f t="shared" si="18"/>
        <v>0</v>
      </c>
      <c r="S149" s="27" t="s">
        <v>18</v>
      </c>
      <c r="T149" s="19" t="s">
        <v>189</v>
      </c>
    </row>
    <row r="150" spans="1:20" ht="37.5" customHeight="1" x14ac:dyDescent="0.25">
      <c r="A150" s="19" t="s">
        <v>190</v>
      </c>
      <c r="B150">
        <f t="shared" si="19"/>
        <v>3948</v>
      </c>
      <c r="C150">
        <v>598</v>
      </c>
      <c r="D150">
        <v>3350</v>
      </c>
      <c r="E150">
        <v>3648</v>
      </c>
      <c r="F150">
        <f t="shared" si="20"/>
        <v>283</v>
      </c>
      <c r="G150" s="20">
        <f t="shared" si="21"/>
        <v>145</v>
      </c>
      <c r="H150" s="21">
        <v>99624030037</v>
      </c>
      <c r="I150" s="22">
        <v>166</v>
      </c>
      <c r="J150" s="23"/>
      <c r="K150" s="24">
        <f>M150+O150</f>
        <v>3665</v>
      </c>
      <c r="L150" s="23">
        <f t="shared" si="15"/>
        <v>283</v>
      </c>
      <c r="M150" s="24">
        <v>530</v>
      </c>
      <c r="N150" s="25">
        <f t="shared" si="16"/>
        <v>68</v>
      </c>
      <c r="O150" s="24">
        <v>3135</v>
      </c>
      <c r="P150" s="23">
        <f t="shared" si="17"/>
        <v>215</v>
      </c>
      <c r="Q150" s="26">
        <v>3105</v>
      </c>
      <c r="R150" s="23">
        <f t="shared" si="18"/>
        <v>543</v>
      </c>
      <c r="S150" s="27" t="s">
        <v>18</v>
      </c>
      <c r="T150" s="19" t="s">
        <v>190</v>
      </c>
    </row>
    <row r="151" spans="1:20" ht="37.5" customHeight="1" x14ac:dyDescent="0.25">
      <c r="A151" s="19" t="s">
        <v>191</v>
      </c>
      <c r="B151">
        <f t="shared" si="19"/>
        <v>81125</v>
      </c>
      <c r="C151">
        <v>14933</v>
      </c>
      <c r="D151">
        <v>66192</v>
      </c>
      <c r="F151">
        <f t="shared" si="20"/>
        <v>459</v>
      </c>
      <c r="G151" s="20">
        <f t="shared" si="21"/>
        <v>146</v>
      </c>
      <c r="H151" s="21">
        <v>88819020125</v>
      </c>
      <c r="I151" s="22">
        <v>167</v>
      </c>
      <c r="J151" s="23"/>
      <c r="K151" s="24">
        <v>80666</v>
      </c>
      <c r="L151" s="23">
        <f t="shared" si="15"/>
        <v>459</v>
      </c>
      <c r="M151" s="24">
        <v>14869</v>
      </c>
      <c r="N151" s="25">
        <f t="shared" si="16"/>
        <v>64</v>
      </c>
      <c r="O151" s="24">
        <v>65797</v>
      </c>
      <c r="P151" s="23">
        <f t="shared" si="17"/>
        <v>395</v>
      </c>
      <c r="Q151" s="26"/>
      <c r="R151" s="23">
        <f t="shared" si="18"/>
        <v>0</v>
      </c>
      <c r="S151" s="27" t="s">
        <v>18</v>
      </c>
      <c r="T151" s="19" t="s">
        <v>191</v>
      </c>
    </row>
    <row r="152" spans="1:20" ht="37.5" customHeight="1" x14ac:dyDescent="0.25">
      <c r="A152" s="19" t="s">
        <v>192</v>
      </c>
      <c r="B152">
        <f t="shared" si="19"/>
        <v>19235</v>
      </c>
      <c r="C152">
        <v>3284</v>
      </c>
      <c r="D152">
        <v>15951</v>
      </c>
      <c r="F152">
        <f t="shared" si="20"/>
        <v>546</v>
      </c>
      <c r="G152" s="20">
        <f t="shared" si="21"/>
        <v>147</v>
      </c>
      <c r="H152" s="21">
        <v>66622050165</v>
      </c>
      <c r="I152" s="22">
        <v>168</v>
      </c>
      <c r="J152" s="23"/>
      <c r="K152" s="24">
        <v>18689</v>
      </c>
      <c r="L152" s="23">
        <f t="shared" si="15"/>
        <v>546</v>
      </c>
      <c r="M152" s="24">
        <v>3180</v>
      </c>
      <c r="N152" s="25">
        <f t="shared" si="16"/>
        <v>104</v>
      </c>
      <c r="O152" s="24">
        <v>15509</v>
      </c>
      <c r="P152" s="23">
        <f t="shared" si="17"/>
        <v>442</v>
      </c>
      <c r="Q152" s="26"/>
      <c r="R152" s="23">
        <f t="shared" si="18"/>
        <v>0</v>
      </c>
      <c r="S152" s="27" t="s">
        <v>18</v>
      </c>
      <c r="T152" s="19" t="s">
        <v>192</v>
      </c>
    </row>
    <row r="153" spans="1:20" ht="37.5" customHeight="1" x14ac:dyDescent="0.25">
      <c r="A153" s="19" t="s">
        <v>193</v>
      </c>
      <c r="B153">
        <f t="shared" si="19"/>
        <v>1666</v>
      </c>
      <c r="C153">
        <v>267</v>
      </c>
      <c r="D153">
        <v>1399</v>
      </c>
      <c r="F153">
        <f t="shared" si="20"/>
        <v>47</v>
      </c>
      <c r="G153" s="20">
        <f t="shared" si="21"/>
        <v>148</v>
      </c>
      <c r="H153" s="21">
        <v>23014090298</v>
      </c>
      <c r="I153" s="22">
        <v>169</v>
      </c>
      <c r="J153" s="23"/>
      <c r="K153" s="24">
        <v>1619</v>
      </c>
      <c r="L153" s="23">
        <f t="shared" si="15"/>
        <v>47</v>
      </c>
      <c r="M153" s="24">
        <v>258</v>
      </c>
      <c r="N153" s="25">
        <f t="shared" si="16"/>
        <v>9</v>
      </c>
      <c r="O153" s="24">
        <v>1361</v>
      </c>
      <c r="P153" s="23">
        <f t="shared" si="17"/>
        <v>38</v>
      </c>
      <c r="Q153" s="26"/>
      <c r="R153" s="23">
        <f t="shared" si="18"/>
        <v>0</v>
      </c>
      <c r="S153" s="27" t="s">
        <v>18</v>
      </c>
      <c r="T153" s="19" t="s">
        <v>193</v>
      </c>
    </row>
    <row r="154" spans="1:20" ht="37.5" customHeight="1" x14ac:dyDescent="0.25">
      <c r="A154" s="19" t="s">
        <v>194</v>
      </c>
      <c r="B154">
        <f t="shared" si="19"/>
        <v>3880</v>
      </c>
      <c r="C154">
        <v>1134</v>
      </c>
      <c r="D154">
        <v>2746</v>
      </c>
      <c r="F154">
        <f t="shared" si="20"/>
        <v>192</v>
      </c>
      <c r="G154" s="20">
        <f t="shared" si="21"/>
        <v>149</v>
      </c>
      <c r="H154" s="21">
        <v>66622030131</v>
      </c>
      <c r="I154" s="22">
        <v>170</v>
      </c>
      <c r="J154" s="23"/>
      <c r="K154" s="24">
        <v>3688</v>
      </c>
      <c r="L154" s="23">
        <f t="shared" si="15"/>
        <v>192</v>
      </c>
      <c r="M154" s="24">
        <v>1018</v>
      </c>
      <c r="N154" s="25">
        <f t="shared" si="16"/>
        <v>116</v>
      </c>
      <c r="O154" s="24">
        <v>2670</v>
      </c>
      <c r="P154" s="23">
        <f t="shared" si="17"/>
        <v>76</v>
      </c>
      <c r="Q154" s="26"/>
      <c r="R154" s="23">
        <f t="shared" si="18"/>
        <v>0</v>
      </c>
      <c r="S154" s="27" t="s">
        <v>18</v>
      </c>
      <c r="T154" s="19" t="s">
        <v>194</v>
      </c>
    </row>
    <row r="155" spans="1:20" ht="37.5" customHeight="1" x14ac:dyDescent="0.25">
      <c r="A155" s="19" t="s">
        <v>195</v>
      </c>
      <c r="B155">
        <f t="shared" si="19"/>
        <v>22819</v>
      </c>
      <c r="C155">
        <v>4832</v>
      </c>
      <c r="D155">
        <v>17987</v>
      </c>
      <c r="F155">
        <f t="shared" si="20"/>
        <v>645</v>
      </c>
      <c r="G155" s="20">
        <f t="shared" si="21"/>
        <v>150</v>
      </c>
      <c r="H155" s="21">
        <v>88820040317</v>
      </c>
      <c r="I155" s="22">
        <v>171</v>
      </c>
      <c r="J155" s="23"/>
      <c r="K155" s="24">
        <v>22174</v>
      </c>
      <c r="L155" s="23">
        <f t="shared" si="15"/>
        <v>645</v>
      </c>
      <c r="M155" s="24">
        <v>4722</v>
      </c>
      <c r="N155" s="25">
        <f t="shared" si="16"/>
        <v>110</v>
      </c>
      <c r="O155" s="24">
        <v>17452</v>
      </c>
      <c r="P155" s="23">
        <f t="shared" si="17"/>
        <v>535</v>
      </c>
      <c r="Q155" s="26"/>
      <c r="R155" s="23">
        <f t="shared" si="18"/>
        <v>0</v>
      </c>
      <c r="S155" s="27" t="s">
        <v>18</v>
      </c>
      <c r="T155" s="19" t="s">
        <v>195</v>
      </c>
    </row>
    <row r="156" spans="1:20" ht="37.5" customHeight="1" x14ac:dyDescent="0.25">
      <c r="A156" s="19" t="s">
        <v>196</v>
      </c>
      <c r="B156">
        <f t="shared" si="19"/>
        <v>2837</v>
      </c>
      <c r="C156">
        <v>365</v>
      </c>
      <c r="D156">
        <v>2472</v>
      </c>
      <c r="E156">
        <v>10688</v>
      </c>
      <c r="F156">
        <f t="shared" si="20"/>
        <v>73</v>
      </c>
      <c r="G156" s="20">
        <f t="shared" si="21"/>
        <v>151</v>
      </c>
      <c r="H156" s="21">
        <v>99622050082</v>
      </c>
      <c r="I156" s="22">
        <v>172</v>
      </c>
      <c r="J156" s="23"/>
      <c r="K156" s="24">
        <f>M156+O156</f>
        <v>2764</v>
      </c>
      <c r="L156" s="23">
        <f t="shared" si="15"/>
        <v>73</v>
      </c>
      <c r="M156" s="24">
        <v>348</v>
      </c>
      <c r="N156" s="25">
        <f t="shared" si="16"/>
        <v>17</v>
      </c>
      <c r="O156" s="24">
        <v>2416</v>
      </c>
      <c r="P156" s="23">
        <f t="shared" si="17"/>
        <v>56</v>
      </c>
      <c r="Q156" s="26">
        <v>9774</v>
      </c>
      <c r="R156" s="23">
        <f t="shared" si="18"/>
        <v>914</v>
      </c>
      <c r="S156" s="27" t="s">
        <v>18</v>
      </c>
      <c r="T156" s="19" t="s">
        <v>196</v>
      </c>
    </row>
    <row r="157" spans="1:20" ht="37.5" customHeight="1" x14ac:dyDescent="0.25">
      <c r="A157" s="19" t="s">
        <v>197</v>
      </c>
      <c r="B157">
        <f t="shared" si="19"/>
        <v>90287</v>
      </c>
      <c r="C157">
        <v>20603</v>
      </c>
      <c r="D157">
        <v>69684</v>
      </c>
      <c r="F157">
        <f t="shared" si="20"/>
        <v>383</v>
      </c>
      <c r="G157" s="20">
        <f t="shared" si="21"/>
        <v>152</v>
      </c>
      <c r="H157" s="21">
        <v>23011100145</v>
      </c>
      <c r="I157" s="22">
        <v>174</v>
      </c>
      <c r="J157" s="23"/>
      <c r="K157" s="24">
        <v>89904</v>
      </c>
      <c r="L157" s="23">
        <f t="shared" si="15"/>
        <v>383</v>
      </c>
      <c r="M157" s="24">
        <v>20536</v>
      </c>
      <c r="N157" s="25">
        <f t="shared" si="16"/>
        <v>67</v>
      </c>
      <c r="O157" s="24">
        <v>69368</v>
      </c>
      <c r="P157" s="23">
        <f t="shared" si="17"/>
        <v>316</v>
      </c>
      <c r="Q157" s="26"/>
      <c r="R157" s="23">
        <f t="shared" si="18"/>
        <v>0</v>
      </c>
      <c r="S157" s="27" t="s">
        <v>18</v>
      </c>
      <c r="T157" s="19" t="s">
        <v>197</v>
      </c>
    </row>
    <row r="158" spans="1:20" ht="37.5" customHeight="1" x14ac:dyDescent="0.25">
      <c r="A158" s="19" t="s">
        <v>198</v>
      </c>
      <c r="B158">
        <f t="shared" si="19"/>
        <v>58956</v>
      </c>
      <c r="C158">
        <v>11219</v>
      </c>
      <c r="D158">
        <v>47737</v>
      </c>
      <c r="F158">
        <f t="shared" si="20"/>
        <v>970</v>
      </c>
      <c r="G158" s="20">
        <f t="shared" si="21"/>
        <v>153</v>
      </c>
      <c r="H158" s="21">
        <v>23015010129</v>
      </c>
      <c r="I158" s="22">
        <v>175</v>
      </c>
      <c r="J158" s="23"/>
      <c r="K158" s="24">
        <v>57986</v>
      </c>
      <c r="L158" s="23">
        <f t="shared" si="15"/>
        <v>970</v>
      </c>
      <c r="M158" s="24">
        <v>11055</v>
      </c>
      <c r="N158" s="25">
        <f t="shared" si="16"/>
        <v>164</v>
      </c>
      <c r="O158" s="24">
        <v>46931</v>
      </c>
      <c r="P158" s="23">
        <f t="shared" si="17"/>
        <v>806</v>
      </c>
      <c r="Q158" s="26"/>
      <c r="R158" s="23">
        <f t="shared" si="18"/>
        <v>0</v>
      </c>
      <c r="S158" s="27" t="s">
        <v>18</v>
      </c>
      <c r="T158" s="19" t="s">
        <v>198</v>
      </c>
    </row>
    <row r="159" spans="1:20" ht="37.5" customHeight="1" x14ac:dyDescent="0.25">
      <c r="A159" s="19" t="s">
        <v>199</v>
      </c>
      <c r="B159">
        <f t="shared" si="19"/>
        <v>37820</v>
      </c>
      <c r="C159">
        <v>8251</v>
      </c>
      <c r="D159">
        <v>29569</v>
      </c>
      <c r="F159">
        <f t="shared" si="20"/>
        <v>52</v>
      </c>
      <c r="G159" s="20">
        <f t="shared" si="21"/>
        <v>154</v>
      </c>
      <c r="H159" s="21">
        <v>23011100157</v>
      </c>
      <c r="I159" s="22">
        <v>176</v>
      </c>
      <c r="J159" s="23"/>
      <c r="K159" s="24">
        <v>37768</v>
      </c>
      <c r="L159" s="23">
        <f t="shared" si="15"/>
        <v>52</v>
      </c>
      <c r="M159" s="24">
        <v>8242</v>
      </c>
      <c r="N159" s="25">
        <f t="shared" si="16"/>
        <v>9</v>
      </c>
      <c r="O159" s="24">
        <v>29526</v>
      </c>
      <c r="P159" s="23">
        <f t="shared" si="17"/>
        <v>43</v>
      </c>
      <c r="Q159" s="26"/>
      <c r="R159" s="23">
        <f t="shared" si="18"/>
        <v>0</v>
      </c>
      <c r="S159" s="27" t="s">
        <v>18</v>
      </c>
      <c r="T159" s="19" t="s">
        <v>199</v>
      </c>
    </row>
    <row r="160" spans="1:20" ht="37.5" customHeight="1" x14ac:dyDescent="0.25">
      <c r="A160" s="19" t="s">
        <v>200</v>
      </c>
      <c r="B160">
        <f t="shared" si="19"/>
        <v>31442</v>
      </c>
      <c r="C160">
        <v>5306</v>
      </c>
      <c r="D160">
        <v>26136</v>
      </c>
      <c r="F160">
        <f t="shared" si="20"/>
        <v>512</v>
      </c>
      <c r="G160" s="20">
        <f t="shared" si="21"/>
        <v>155</v>
      </c>
      <c r="H160" s="21">
        <v>88820010392</v>
      </c>
      <c r="I160" s="22">
        <v>177</v>
      </c>
      <c r="J160" s="23"/>
      <c r="K160" s="24">
        <v>30930</v>
      </c>
      <c r="L160" s="23">
        <f t="shared" si="15"/>
        <v>512</v>
      </c>
      <c r="M160" s="24">
        <v>5232</v>
      </c>
      <c r="N160" s="25">
        <f t="shared" si="16"/>
        <v>74</v>
      </c>
      <c r="O160" s="24">
        <v>25698</v>
      </c>
      <c r="P160" s="23">
        <f t="shared" si="17"/>
        <v>438</v>
      </c>
      <c r="Q160" s="26"/>
      <c r="R160" s="23">
        <f t="shared" si="18"/>
        <v>0</v>
      </c>
      <c r="S160" s="27" t="s">
        <v>18</v>
      </c>
      <c r="T160" s="19" t="s">
        <v>200</v>
      </c>
    </row>
    <row r="161" spans="1:20" ht="37.5" customHeight="1" x14ac:dyDescent="0.25">
      <c r="A161" s="19" t="s">
        <v>201</v>
      </c>
      <c r="B161">
        <f t="shared" si="19"/>
        <v>104679</v>
      </c>
      <c r="C161">
        <v>17640</v>
      </c>
      <c r="D161">
        <v>87039</v>
      </c>
      <c r="F161">
        <f t="shared" si="20"/>
        <v>449</v>
      </c>
      <c r="G161" s="20">
        <f t="shared" si="21"/>
        <v>156</v>
      </c>
      <c r="H161" s="21">
        <v>23014040289</v>
      </c>
      <c r="I161" s="22">
        <v>178</v>
      </c>
      <c r="J161" s="23"/>
      <c r="K161" s="24">
        <v>104230</v>
      </c>
      <c r="L161" s="23">
        <f t="shared" si="15"/>
        <v>449</v>
      </c>
      <c r="M161" s="24">
        <v>17567</v>
      </c>
      <c r="N161" s="25">
        <f t="shared" si="16"/>
        <v>73</v>
      </c>
      <c r="O161" s="24">
        <v>86663</v>
      </c>
      <c r="P161" s="23">
        <f t="shared" si="17"/>
        <v>376</v>
      </c>
      <c r="Q161" s="26"/>
      <c r="R161" s="23">
        <f t="shared" si="18"/>
        <v>0</v>
      </c>
      <c r="S161" s="27" t="s">
        <v>18</v>
      </c>
      <c r="T161" s="19" t="s">
        <v>201</v>
      </c>
    </row>
    <row r="162" spans="1:20" ht="37.5" customHeight="1" x14ac:dyDescent="0.25">
      <c r="A162" s="19" t="s">
        <v>202</v>
      </c>
      <c r="B162">
        <f t="shared" si="19"/>
        <v>840</v>
      </c>
      <c r="C162">
        <v>153</v>
      </c>
      <c r="D162">
        <v>687</v>
      </c>
      <c r="E162">
        <v>3059</v>
      </c>
      <c r="F162">
        <f t="shared" si="20"/>
        <v>139</v>
      </c>
      <c r="G162" s="20">
        <f t="shared" si="21"/>
        <v>157</v>
      </c>
      <c r="H162" s="21">
        <v>99624050105</v>
      </c>
      <c r="I162" s="22">
        <v>179</v>
      </c>
      <c r="J162" s="23"/>
      <c r="K162" s="24">
        <f>M162+O162</f>
        <v>701</v>
      </c>
      <c r="L162" s="23">
        <f t="shared" si="15"/>
        <v>139</v>
      </c>
      <c r="M162" s="24">
        <v>123</v>
      </c>
      <c r="N162" s="25">
        <f t="shared" si="16"/>
        <v>30</v>
      </c>
      <c r="O162" s="24">
        <v>578</v>
      </c>
      <c r="P162" s="23">
        <f t="shared" si="17"/>
        <v>109</v>
      </c>
      <c r="Q162" s="26">
        <v>2142</v>
      </c>
      <c r="R162" s="23">
        <f t="shared" si="18"/>
        <v>917</v>
      </c>
      <c r="S162" s="27" t="s">
        <v>18</v>
      </c>
      <c r="T162" s="19" t="s">
        <v>202</v>
      </c>
    </row>
    <row r="163" spans="1:20" ht="37.5" customHeight="1" x14ac:dyDescent="0.25">
      <c r="A163" s="19" t="s">
        <v>203</v>
      </c>
      <c r="B163">
        <f t="shared" si="19"/>
        <v>25760</v>
      </c>
      <c r="C163">
        <v>4697</v>
      </c>
      <c r="D163">
        <v>21063</v>
      </c>
      <c r="F163">
        <f t="shared" si="20"/>
        <v>279</v>
      </c>
      <c r="G163" s="20">
        <f t="shared" si="21"/>
        <v>158</v>
      </c>
      <c r="H163" s="21">
        <v>88819020126</v>
      </c>
      <c r="I163" s="22">
        <v>180</v>
      </c>
      <c r="J163" s="23"/>
      <c r="K163" s="24">
        <v>25481</v>
      </c>
      <c r="L163" s="23">
        <f t="shared" si="15"/>
        <v>279</v>
      </c>
      <c r="M163" s="24">
        <v>4640</v>
      </c>
      <c r="N163" s="25">
        <f t="shared" si="16"/>
        <v>57</v>
      </c>
      <c r="O163" s="24">
        <v>20841</v>
      </c>
      <c r="P163" s="23">
        <f t="shared" si="17"/>
        <v>222</v>
      </c>
      <c r="Q163" s="26"/>
      <c r="R163" s="23">
        <f t="shared" si="18"/>
        <v>0</v>
      </c>
      <c r="S163" s="27" t="s">
        <v>18</v>
      </c>
      <c r="T163" s="19" t="s">
        <v>203</v>
      </c>
    </row>
    <row r="164" spans="1:20" ht="37.5" customHeight="1" x14ac:dyDescent="0.25">
      <c r="A164" s="19" t="s">
        <v>204</v>
      </c>
      <c r="B164">
        <f t="shared" si="19"/>
        <v>76316</v>
      </c>
      <c r="C164">
        <v>13973</v>
      </c>
      <c r="D164">
        <v>62343</v>
      </c>
      <c r="F164">
        <f t="shared" si="20"/>
        <v>470</v>
      </c>
      <c r="G164" s="20">
        <f t="shared" si="21"/>
        <v>159</v>
      </c>
      <c r="H164" s="21">
        <v>23013040503</v>
      </c>
      <c r="I164" s="22">
        <v>181</v>
      </c>
      <c r="J164" s="23"/>
      <c r="K164" s="24">
        <v>75846</v>
      </c>
      <c r="L164" s="23">
        <f t="shared" si="15"/>
        <v>470</v>
      </c>
      <c r="M164" s="24">
        <v>13899</v>
      </c>
      <c r="N164" s="25">
        <f t="shared" si="16"/>
        <v>74</v>
      </c>
      <c r="O164" s="24">
        <v>61947</v>
      </c>
      <c r="P164" s="23">
        <f t="shared" si="17"/>
        <v>396</v>
      </c>
      <c r="Q164" s="26"/>
      <c r="R164" s="23">
        <f t="shared" si="18"/>
        <v>0</v>
      </c>
      <c r="S164" s="27" t="s">
        <v>18</v>
      </c>
      <c r="T164" s="19" t="s">
        <v>204</v>
      </c>
    </row>
    <row r="165" spans="1:20" ht="37.5" customHeight="1" x14ac:dyDescent="0.25">
      <c r="A165" s="19" t="s">
        <v>205</v>
      </c>
      <c r="B165">
        <f t="shared" si="19"/>
        <v>12241</v>
      </c>
      <c r="C165">
        <v>2929</v>
      </c>
      <c r="D165">
        <v>9312</v>
      </c>
      <c r="E165">
        <v>11434</v>
      </c>
      <c r="F165">
        <f t="shared" si="20"/>
        <v>327</v>
      </c>
      <c r="G165" s="20">
        <f t="shared" si="21"/>
        <v>160</v>
      </c>
      <c r="H165" s="21">
        <v>99723050127</v>
      </c>
      <c r="I165" s="22">
        <v>182</v>
      </c>
      <c r="J165" s="23"/>
      <c r="K165" s="24">
        <f>M165+O165</f>
        <v>11914</v>
      </c>
      <c r="L165" s="23">
        <f t="shared" si="15"/>
        <v>327</v>
      </c>
      <c r="M165" s="24">
        <v>2844</v>
      </c>
      <c r="N165" s="25">
        <f t="shared" si="16"/>
        <v>85</v>
      </c>
      <c r="O165" s="24">
        <v>9070</v>
      </c>
      <c r="P165" s="23">
        <f t="shared" si="17"/>
        <v>242</v>
      </c>
      <c r="Q165" s="26">
        <v>10462</v>
      </c>
      <c r="R165" s="23">
        <f t="shared" si="18"/>
        <v>972</v>
      </c>
      <c r="S165" s="27" t="s">
        <v>18</v>
      </c>
      <c r="T165" s="19" t="s">
        <v>205</v>
      </c>
    </row>
    <row r="166" spans="1:20" ht="37.5" customHeight="1" x14ac:dyDescent="0.25">
      <c r="A166" s="19" t="s">
        <v>206</v>
      </c>
      <c r="B166">
        <f t="shared" si="19"/>
        <v>1146</v>
      </c>
      <c r="C166">
        <v>351</v>
      </c>
      <c r="D166">
        <v>795</v>
      </c>
      <c r="E166">
        <v>3189</v>
      </c>
      <c r="F166">
        <f t="shared" si="20"/>
        <v>141</v>
      </c>
      <c r="G166" s="20">
        <f t="shared" si="21"/>
        <v>161</v>
      </c>
      <c r="H166" s="21">
        <v>99624050076</v>
      </c>
      <c r="I166" s="22">
        <v>183</v>
      </c>
      <c r="J166" s="23"/>
      <c r="K166" s="24">
        <f>M166+O166</f>
        <v>1005</v>
      </c>
      <c r="L166" s="23">
        <f t="shared" si="15"/>
        <v>141</v>
      </c>
      <c r="M166" s="24">
        <v>302</v>
      </c>
      <c r="N166" s="25">
        <f t="shared" si="16"/>
        <v>49</v>
      </c>
      <c r="O166" s="24">
        <v>703</v>
      </c>
      <c r="P166" s="23">
        <f t="shared" si="17"/>
        <v>92</v>
      </c>
      <c r="Q166" s="26">
        <v>2143</v>
      </c>
      <c r="R166" s="23">
        <f t="shared" si="18"/>
        <v>1046</v>
      </c>
      <c r="S166" s="27" t="s">
        <v>18</v>
      </c>
      <c r="T166" s="19" t="s">
        <v>206</v>
      </c>
    </row>
    <row r="167" spans="1:20" ht="37.5" customHeight="1" x14ac:dyDescent="0.25">
      <c r="A167" s="19" t="s">
        <v>207</v>
      </c>
      <c r="B167">
        <f t="shared" si="19"/>
        <v>4923</v>
      </c>
      <c r="C167">
        <v>863</v>
      </c>
      <c r="D167">
        <v>4060</v>
      </c>
      <c r="F167">
        <f t="shared" si="20"/>
        <v>27</v>
      </c>
      <c r="G167" s="20">
        <f t="shared" si="21"/>
        <v>162</v>
      </c>
      <c r="H167" s="21">
        <v>66616031390</v>
      </c>
      <c r="I167" s="22">
        <v>184</v>
      </c>
      <c r="J167" s="23"/>
      <c r="K167" s="24">
        <v>4896</v>
      </c>
      <c r="L167" s="23">
        <f t="shared" si="15"/>
        <v>27</v>
      </c>
      <c r="M167" s="24">
        <v>858</v>
      </c>
      <c r="N167" s="25">
        <f t="shared" si="16"/>
        <v>5</v>
      </c>
      <c r="O167" s="24">
        <v>4038</v>
      </c>
      <c r="P167" s="23">
        <f t="shared" si="17"/>
        <v>22</v>
      </c>
      <c r="Q167" s="26"/>
      <c r="R167" s="23">
        <f t="shared" si="18"/>
        <v>0</v>
      </c>
      <c r="S167" s="27" t="s">
        <v>18</v>
      </c>
      <c r="T167" s="19" t="s">
        <v>207</v>
      </c>
    </row>
    <row r="168" spans="1:20" ht="37.5" customHeight="1" x14ac:dyDescent="0.25">
      <c r="A168" s="19" t="s">
        <v>208</v>
      </c>
      <c r="B168">
        <f t="shared" si="19"/>
        <v>72035</v>
      </c>
      <c r="C168">
        <v>11386</v>
      </c>
      <c r="D168">
        <v>60649</v>
      </c>
      <c r="F168">
        <f t="shared" si="20"/>
        <v>593</v>
      </c>
      <c r="G168" s="20">
        <f t="shared" si="21"/>
        <v>163</v>
      </c>
      <c r="H168" s="21">
        <v>23012070203</v>
      </c>
      <c r="I168" s="22">
        <v>185</v>
      </c>
      <c r="J168" s="23"/>
      <c r="K168" s="24">
        <v>71442</v>
      </c>
      <c r="L168" s="23">
        <f t="shared" si="15"/>
        <v>593</v>
      </c>
      <c r="M168" s="24">
        <v>11277</v>
      </c>
      <c r="N168" s="25">
        <f t="shared" si="16"/>
        <v>109</v>
      </c>
      <c r="O168" s="24">
        <v>60165</v>
      </c>
      <c r="P168" s="23">
        <f t="shared" si="17"/>
        <v>484</v>
      </c>
      <c r="Q168" s="26"/>
      <c r="R168" s="23">
        <f t="shared" si="18"/>
        <v>0</v>
      </c>
      <c r="S168" s="27" t="s">
        <v>18</v>
      </c>
      <c r="T168" s="19" t="s">
        <v>208</v>
      </c>
    </row>
    <row r="169" spans="1:20" ht="37.5" customHeight="1" x14ac:dyDescent="0.25">
      <c r="A169" s="19" t="s">
        <v>209</v>
      </c>
      <c r="B169">
        <f t="shared" si="19"/>
        <v>8076</v>
      </c>
      <c r="C169">
        <v>1182</v>
      </c>
      <c r="D169">
        <v>6894</v>
      </c>
      <c r="F169">
        <f t="shared" si="20"/>
        <v>268</v>
      </c>
      <c r="G169" s="20">
        <f t="shared" si="21"/>
        <v>164</v>
      </c>
      <c r="H169" s="21">
        <v>66621100243</v>
      </c>
      <c r="I169" s="22">
        <v>186</v>
      </c>
      <c r="J169" s="23"/>
      <c r="K169" s="24">
        <v>7808</v>
      </c>
      <c r="L169" s="23">
        <f t="shared" si="15"/>
        <v>268</v>
      </c>
      <c r="M169" s="24">
        <v>1150</v>
      </c>
      <c r="N169" s="25">
        <f t="shared" si="16"/>
        <v>32</v>
      </c>
      <c r="O169" s="24">
        <v>6658</v>
      </c>
      <c r="P169" s="23">
        <f t="shared" si="17"/>
        <v>236</v>
      </c>
      <c r="Q169" s="26"/>
      <c r="R169" s="23">
        <f t="shared" si="18"/>
        <v>0</v>
      </c>
      <c r="S169" s="27" t="s">
        <v>18</v>
      </c>
      <c r="T169" s="19" t="s">
        <v>209</v>
      </c>
    </row>
    <row r="170" spans="1:20" ht="37.5" customHeight="1" x14ac:dyDescent="0.25">
      <c r="A170" s="19" t="s">
        <v>210</v>
      </c>
      <c r="B170">
        <f t="shared" si="19"/>
        <v>23878</v>
      </c>
      <c r="C170">
        <v>4185</v>
      </c>
      <c r="D170">
        <v>19693</v>
      </c>
      <c r="F170">
        <f t="shared" si="20"/>
        <v>353</v>
      </c>
      <c r="G170" s="20">
        <f t="shared" si="21"/>
        <v>165</v>
      </c>
      <c r="H170" s="21">
        <v>23012110219</v>
      </c>
      <c r="I170" s="22">
        <v>187</v>
      </c>
      <c r="J170" s="23"/>
      <c r="K170" s="24">
        <v>23525</v>
      </c>
      <c r="L170" s="23">
        <f t="shared" si="15"/>
        <v>353</v>
      </c>
      <c r="M170" s="24">
        <v>4131</v>
      </c>
      <c r="N170" s="25">
        <f t="shared" si="16"/>
        <v>54</v>
      </c>
      <c r="O170" s="24">
        <v>19394</v>
      </c>
      <c r="P170" s="23">
        <f t="shared" si="17"/>
        <v>299</v>
      </c>
      <c r="Q170" s="26"/>
      <c r="R170" s="23">
        <f t="shared" si="18"/>
        <v>0</v>
      </c>
      <c r="S170" s="27" t="s">
        <v>18</v>
      </c>
      <c r="T170" s="19" t="s">
        <v>210</v>
      </c>
    </row>
    <row r="171" spans="1:20" ht="37.5" customHeight="1" x14ac:dyDescent="0.25">
      <c r="A171" s="19" t="s">
        <v>211</v>
      </c>
      <c r="B171">
        <f t="shared" si="19"/>
        <v>10460</v>
      </c>
      <c r="C171">
        <v>1400</v>
      </c>
      <c r="D171">
        <v>9060</v>
      </c>
      <c r="F171">
        <f t="shared" si="20"/>
        <v>452</v>
      </c>
      <c r="G171" s="20">
        <f t="shared" si="21"/>
        <v>166</v>
      </c>
      <c r="H171" s="21">
        <v>66619040271</v>
      </c>
      <c r="I171" s="22">
        <v>188</v>
      </c>
      <c r="J171" s="23"/>
      <c r="K171" s="24">
        <v>10008</v>
      </c>
      <c r="L171" s="23">
        <f t="shared" si="15"/>
        <v>452</v>
      </c>
      <c r="M171" s="24">
        <v>1315</v>
      </c>
      <c r="N171" s="25">
        <f t="shared" si="16"/>
        <v>85</v>
      </c>
      <c r="O171" s="24">
        <v>8693</v>
      </c>
      <c r="P171" s="23">
        <f t="shared" si="17"/>
        <v>367</v>
      </c>
      <c r="Q171" s="26"/>
      <c r="R171" s="23">
        <f t="shared" si="18"/>
        <v>0</v>
      </c>
      <c r="S171" s="27" t="s">
        <v>18</v>
      </c>
      <c r="T171" s="19" t="s">
        <v>211</v>
      </c>
    </row>
    <row r="172" spans="1:20" ht="37.5" customHeight="1" x14ac:dyDescent="0.25">
      <c r="A172" s="19" t="s">
        <v>212</v>
      </c>
      <c r="B172">
        <f t="shared" si="19"/>
        <v>19634</v>
      </c>
      <c r="C172">
        <v>3712</v>
      </c>
      <c r="D172">
        <v>15922</v>
      </c>
      <c r="F172">
        <f t="shared" si="20"/>
        <v>15</v>
      </c>
      <c r="G172" s="20">
        <f t="shared" si="21"/>
        <v>167</v>
      </c>
      <c r="H172" s="21">
        <v>88819010140</v>
      </c>
      <c r="I172" s="22">
        <v>190</v>
      </c>
      <c r="J172" s="23"/>
      <c r="K172" s="24">
        <v>19619</v>
      </c>
      <c r="L172" s="23">
        <f t="shared" si="15"/>
        <v>15</v>
      </c>
      <c r="M172" s="24">
        <v>3709</v>
      </c>
      <c r="N172" s="25">
        <f t="shared" si="16"/>
        <v>3</v>
      </c>
      <c r="O172" s="24">
        <v>15910</v>
      </c>
      <c r="P172" s="23">
        <f t="shared" si="17"/>
        <v>12</v>
      </c>
      <c r="Q172" s="26"/>
      <c r="R172" s="23">
        <f t="shared" si="18"/>
        <v>0</v>
      </c>
      <c r="S172" s="27" t="s">
        <v>18</v>
      </c>
      <c r="T172" s="19" t="s">
        <v>212</v>
      </c>
    </row>
    <row r="173" spans="1:20" ht="37.5" customHeight="1" x14ac:dyDescent="0.25">
      <c r="A173" s="19" t="s">
        <v>213</v>
      </c>
      <c r="B173">
        <f t="shared" si="19"/>
        <v>15552</v>
      </c>
      <c r="C173">
        <v>2585</v>
      </c>
      <c r="D173">
        <v>12967</v>
      </c>
      <c r="F173">
        <f t="shared" si="20"/>
        <v>357</v>
      </c>
      <c r="G173" s="20">
        <f t="shared" si="21"/>
        <v>168</v>
      </c>
      <c r="H173" s="21">
        <v>66621010072</v>
      </c>
      <c r="I173" s="22">
        <v>191</v>
      </c>
      <c r="J173" s="23"/>
      <c r="K173" s="24">
        <v>15195</v>
      </c>
      <c r="L173" s="23">
        <f t="shared" si="15"/>
        <v>357</v>
      </c>
      <c r="M173" s="24">
        <v>2513</v>
      </c>
      <c r="N173" s="25">
        <f t="shared" si="16"/>
        <v>72</v>
      </c>
      <c r="O173" s="24">
        <v>12682</v>
      </c>
      <c r="P173" s="23">
        <f t="shared" si="17"/>
        <v>285</v>
      </c>
      <c r="Q173" s="26"/>
      <c r="R173" s="23">
        <f t="shared" si="18"/>
        <v>0</v>
      </c>
      <c r="S173" s="27" t="s">
        <v>18</v>
      </c>
      <c r="T173" s="19" t="s">
        <v>213</v>
      </c>
    </row>
    <row r="174" spans="1:20" ht="37.5" customHeight="1" x14ac:dyDescent="0.25">
      <c r="A174" s="19" t="s">
        <v>214</v>
      </c>
      <c r="B174">
        <f t="shared" si="19"/>
        <v>3667</v>
      </c>
      <c r="C174">
        <v>624</v>
      </c>
      <c r="D174">
        <v>3043</v>
      </c>
      <c r="F174">
        <f t="shared" si="20"/>
        <v>67</v>
      </c>
      <c r="G174" s="20">
        <f t="shared" si="21"/>
        <v>169</v>
      </c>
      <c r="H174" s="21">
        <v>66621070472</v>
      </c>
      <c r="I174" s="22">
        <v>193</v>
      </c>
      <c r="J174" s="23"/>
      <c r="K174" s="24">
        <v>3600</v>
      </c>
      <c r="L174" s="23">
        <f t="shared" si="15"/>
        <v>67</v>
      </c>
      <c r="M174" s="24">
        <v>615</v>
      </c>
      <c r="N174" s="25">
        <f t="shared" si="16"/>
        <v>9</v>
      </c>
      <c r="O174" s="24">
        <v>2985</v>
      </c>
      <c r="P174" s="23">
        <f t="shared" si="17"/>
        <v>58</v>
      </c>
      <c r="Q174" s="26"/>
      <c r="R174" s="23">
        <f t="shared" si="18"/>
        <v>0</v>
      </c>
      <c r="S174" s="27" t="s">
        <v>18</v>
      </c>
      <c r="T174" s="19" t="s">
        <v>214</v>
      </c>
    </row>
    <row r="175" spans="1:20" ht="37.5" customHeight="1" x14ac:dyDescent="0.25">
      <c r="A175" s="19" t="s">
        <v>215</v>
      </c>
      <c r="B175">
        <f t="shared" si="19"/>
        <v>10404</v>
      </c>
      <c r="C175">
        <v>2008</v>
      </c>
      <c r="D175">
        <v>8396</v>
      </c>
      <c r="F175">
        <f t="shared" si="20"/>
        <v>24</v>
      </c>
      <c r="G175" s="20">
        <f t="shared" si="21"/>
        <v>170</v>
      </c>
      <c r="H175" s="21">
        <v>23015010099</v>
      </c>
      <c r="I175" s="22">
        <v>194</v>
      </c>
      <c r="J175" s="23"/>
      <c r="K175" s="24">
        <v>10380</v>
      </c>
      <c r="L175" s="23">
        <f t="shared" si="15"/>
        <v>24</v>
      </c>
      <c r="M175" s="24">
        <v>2004</v>
      </c>
      <c r="N175" s="25">
        <f t="shared" si="16"/>
        <v>4</v>
      </c>
      <c r="O175" s="24">
        <v>8376</v>
      </c>
      <c r="P175" s="23">
        <f t="shared" si="17"/>
        <v>20</v>
      </c>
      <c r="Q175" s="26"/>
      <c r="R175" s="23">
        <f t="shared" si="18"/>
        <v>0</v>
      </c>
      <c r="S175" s="27" t="s">
        <v>18</v>
      </c>
      <c r="T175" s="19" t="s">
        <v>215</v>
      </c>
    </row>
    <row r="176" spans="1:20" ht="37.5" customHeight="1" x14ac:dyDescent="0.25">
      <c r="A176" s="19" t="s">
        <v>216</v>
      </c>
      <c r="B176">
        <f t="shared" si="19"/>
        <v>36453</v>
      </c>
      <c r="C176">
        <v>6404</v>
      </c>
      <c r="D176">
        <v>30049</v>
      </c>
      <c r="F176">
        <f t="shared" si="20"/>
        <v>397</v>
      </c>
      <c r="G176" s="20">
        <f t="shared" si="21"/>
        <v>171</v>
      </c>
      <c r="H176" s="21">
        <v>66618010094</v>
      </c>
      <c r="I176" s="22">
        <v>196</v>
      </c>
      <c r="J176" s="23"/>
      <c r="K176" s="24">
        <v>36056</v>
      </c>
      <c r="L176" s="23">
        <f t="shared" si="15"/>
        <v>397</v>
      </c>
      <c r="M176" s="24">
        <v>6334</v>
      </c>
      <c r="N176" s="25">
        <f t="shared" si="16"/>
        <v>70</v>
      </c>
      <c r="O176" s="24">
        <v>29722</v>
      </c>
      <c r="P176" s="23">
        <f t="shared" si="17"/>
        <v>327</v>
      </c>
      <c r="Q176" s="26"/>
      <c r="R176" s="23">
        <f t="shared" si="18"/>
        <v>0</v>
      </c>
      <c r="S176" s="27" t="s">
        <v>18</v>
      </c>
      <c r="T176" s="19" t="s">
        <v>216</v>
      </c>
    </row>
    <row r="177" spans="1:20" ht="37.5" customHeight="1" x14ac:dyDescent="0.25">
      <c r="A177" s="19" t="s">
        <v>217</v>
      </c>
      <c r="B177">
        <f t="shared" si="19"/>
        <v>9840</v>
      </c>
      <c r="C177">
        <v>1960</v>
      </c>
      <c r="D177">
        <v>7880</v>
      </c>
      <c r="F177">
        <f t="shared" si="20"/>
        <v>56</v>
      </c>
      <c r="G177" s="20">
        <f t="shared" si="21"/>
        <v>172</v>
      </c>
      <c r="H177" s="21">
        <v>23012110223</v>
      </c>
      <c r="I177" s="22">
        <v>197</v>
      </c>
      <c r="J177" s="23"/>
      <c r="K177" s="24">
        <v>9784</v>
      </c>
      <c r="L177" s="23">
        <f t="shared" si="15"/>
        <v>56</v>
      </c>
      <c r="M177" s="24">
        <v>1952</v>
      </c>
      <c r="N177" s="25">
        <f t="shared" si="16"/>
        <v>8</v>
      </c>
      <c r="O177" s="24">
        <v>7832</v>
      </c>
      <c r="P177" s="23">
        <f t="shared" si="17"/>
        <v>48</v>
      </c>
      <c r="Q177" s="26"/>
      <c r="R177" s="23">
        <f t="shared" si="18"/>
        <v>0</v>
      </c>
      <c r="S177" s="27" t="s">
        <v>18</v>
      </c>
      <c r="T177" s="19" t="s">
        <v>217</v>
      </c>
    </row>
    <row r="178" spans="1:20" ht="37.5" customHeight="1" x14ac:dyDescent="0.25">
      <c r="A178" s="19" t="s">
        <v>218</v>
      </c>
      <c r="B178">
        <f t="shared" si="19"/>
        <v>6827</v>
      </c>
      <c r="C178">
        <v>1016</v>
      </c>
      <c r="D178">
        <v>5811</v>
      </c>
      <c r="E178">
        <v>11401</v>
      </c>
      <c r="F178">
        <f t="shared" si="20"/>
        <v>378</v>
      </c>
      <c r="G178" s="20">
        <f t="shared" si="21"/>
        <v>173</v>
      </c>
      <c r="H178" s="21">
        <v>99623080465</v>
      </c>
      <c r="I178" s="22">
        <v>198</v>
      </c>
      <c r="J178" s="23"/>
      <c r="K178" s="24">
        <f>M178+O178</f>
        <v>6449</v>
      </c>
      <c r="L178" s="23">
        <f t="shared" si="15"/>
        <v>378</v>
      </c>
      <c r="M178" s="24">
        <v>948</v>
      </c>
      <c r="N178" s="25">
        <f t="shared" si="16"/>
        <v>68</v>
      </c>
      <c r="O178" s="24">
        <v>5501</v>
      </c>
      <c r="P178" s="23">
        <f t="shared" si="17"/>
        <v>310</v>
      </c>
      <c r="Q178" s="26">
        <v>10261</v>
      </c>
      <c r="R178" s="23">
        <f t="shared" si="18"/>
        <v>1140</v>
      </c>
      <c r="S178" s="27" t="s">
        <v>18</v>
      </c>
      <c r="T178" s="19" t="s">
        <v>218</v>
      </c>
    </row>
    <row r="179" spans="1:20" ht="37.5" customHeight="1" x14ac:dyDescent="0.25">
      <c r="A179" s="19" t="s">
        <v>219</v>
      </c>
      <c r="B179">
        <f t="shared" si="19"/>
        <v>8551</v>
      </c>
      <c r="C179">
        <v>1082</v>
      </c>
      <c r="D179">
        <v>7469</v>
      </c>
      <c r="F179">
        <f t="shared" si="20"/>
        <v>382</v>
      </c>
      <c r="G179" s="20">
        <f t="shared" si="21"/>
        <v>174</v>
      </c>
      <c r="H179" s="21">
        <v>66622050457</v>
      </c>
      <c r="I179" s="22">
        <v>199</v>
      </c>
      <c r="J179" s="23"/>
      <c r="K179" s="24">
        <v>8169</v>
      </c>
      <c r="L179" s="23">
        <f t="shared" si="15"/>
        <v>382</v>
      </c>
      <c r="M179" s="24">
        <v>1053</v>
      </c>
      <c r="N179" s="25">
        <f t="shared" si="16"/>
        <v>29</v>
      </c>
      <c r="O179" s="24">
        <v>7116</v>
      </c>
      <c r="P179" s="23">
        <f t="shared" si="17"/>
        <v>353</v>
      </c>
      <c r="Q179" s="26"/>
      <c r="R179" s="23">
        <f t="shared" si="18"/>
        <v>0</v>
      </c>
      <c r="S179" s="27" t="s">
        <v>18</v>
      </c>
      <c r="T179" s="19" t="s">
        <v>219</v>
      </c>
    </row>
    <row r="180" spans="1:20" ht="37.5" customHeight="1" x14ac:dyDescent="0.25">
      <c r="A180" s="19" t="s">
        <v>220</v>
      </c>
      <c r="B180">
        <f t="shared" si="19"/>
        <v>53318</v>
      </c>
      <c r="C180">
        <v>9288</v>
      </c>
      <c r="D180">
        <v>44030</v>
      </c>
      <c r="F180">
        <f t="shared" si="20"/>
        <v>588</v>
      </c>
      <c r="G180" s="20">
        <f t="shared" si="21"/>
        <v>175</v>
      </c>
      <c r="H180" s="21">
        <v>23015010316</v>
      </c>
      <c r="I180" s="22">
        <v>201</v>
      </c>
      <c r="J180" s="23"/>
      <c r="K180" s="24">
        <v>52730</v>
      </c>
      <c r="L180" s="23">
        <f t="shared" si="15"/>
        <v>588</v>
      </c>
      <c r="M180" s="24">
        <v>9187</v>
      </c>
      <c r="N180" s="25">
        <f t="shared" si="16"/>
        <v>101</v>
      </c>
      <c r="O180" s="24">
        <v>43543</v>
      </c>
      <c r="P180" s="23">
        <f t="shared" si="17"/>
        <v>487</v>
      </c>
      <c r="Q180" s="26"/>
      <c r="R180" s="23">
        <f t="shared" si="18"/>
        <v>0</v>
      </c>
      <c r="S180" s="27" t="s">
        <v>18</v>
      </c>
      <c r="T180" s="19" t="s">
        <v>220</v>
      </c>
    </row>
    <row r="181" spans="1:20" ht="37.5" customHeight="1" x14ac:dyDescent="0.25">
      <c r="A181" s="19" t="s">
        <v>221</v>
      </c>
      <c r="B181">
        <f t="shared" si="19"/>
        <v>15641</v>
      </c>
      <c r="C181">
        <v>2264</v>
      </c>
      <c r="D181">
        <v>13377</v>
      </c>
      <c r="F181">
        <f t="shared" si="20"/>
        <v>16</v>
      </c>
      <c r="G181" s="20">
        <f t="shared" si="21"/>
        <v>176</v>
      </c>
      <c r="H181" s="21">
        <v>23015100645</v>
      </c>
      <c r="I181" s="22">
        <v>202</v>
      </c>
      <c r="J181" s="23"/>
      <c r="K181" s="24">
        <v>15625</v>
      </c>
      <c r="L181" s="23">
        <f t="shared" si="15"/>
        <v>16</v>
      </c>
      <c r="M181" s="24">
        <v>2261</v>
      </c>
      <c r="N181" s="25">
        <f t="shared" si="16"/>
        <v>3</v>
      </c>
      <c r="O181" s="24">
        <v>13364</v>
      </c>
      <c r="P181" s="23">
        <f t="shared" si="17"/>
        <v>13</v>
      </c>
      <c r="Q181" s="26"/>
      <c r="R181" s="23">
        <f t="shared" si="18"/>
        <v>0</v>
      </c>
      <c r="S181" s="27" t="s">
        <v>18</v>
      </c>
      <c r="T181" s="19" t="s">
        <v>221</v>
      </c>
    </row>
    <row r="182" spans="1:20" ht="37.5" customHeight="1" x14ac:dyDescent="0.25">
      <c r="A182" s="19" t="s">
        <v>222</v>
      </c>
      <c r="B182">
        <f t="shared" si="19"/>
        <v>16587</v>
      </c>
      <c r="C182">
        <v>2588</v>
      </c>
      <c r="D182">
        <v>13999</v>
      </c>
      <c r="F182">
        <f t="shared" si="20"/>
        <v>344</v>
      </c>
      <c r="G182" s="20">
        <f t="shared" si="21"/>
        <v>177</v>
      </c>
      <c r="H182" s="21">
        <v>66621070271</v>
      </c>
      <c r="I182" s="22">
        <v>203</v>
      </c>
      <c r="J182" s="23"/>
      <c r="K182" s="24">
        <v>16243</v>
      </c>
      <c r="L182" s="23">
        <f t="shared" si="15"/>
        <v>344</v>
      </c>
      <c r="M182" s="24">
        <v>2529</v>
      </c>
      <c r="N182" s="25">
        <f t="shared" si="16"/>
        <v>59</v>
      </c>
      <c r="O182" s="24">
        <v>13714</v>
      </c>
      <c r="P182" s="23">
        <f t="shared" si="17"/>
        <v>285</v>
      </c>
      <c r="Q182" s="26"/>
      <c r="R182" s="23">
        <f t="shared" si="18"/>
        <v>0</v>
      </c>
      <c r="S182" s="27" t="s">
        <v>18</v>
      </c>
      <c r="T182" s="19" t="s">
        <v>222</v>
      </c>
    </row>
    <row r="183" spans="1:20" ht="37.5" customHeight="1" x14ac:dyDescent="0.25">
      <c r="A183" s="19" t="s">
        <v>223</v>
      </c>
      <c r="B183">
        <f t="shared" si="19"/>
        <v>42953</v>
      </c>
      <c r="C183">
        <v>7067</v>
      </c>
      <c r="D183">
        <v>35886</v>
      </c>
      <c r="F183">
        <f t="shared" si="20"/>
        <v>480</v>
      </c>
      <c r="G183" s="20">
        <f t="shared" si="21"/>
        <v>178</v>
      </c>
      <c r="H183" s="21">
        <v>88820003232</v>
      </c>
      <c r="I183" s="22">
        <v>204</v>
      </c>
      <c r="J183" s="23"/>
      <c r="K183" s="24">
        <v>42473</v>
      </c>
      <c r="L183" s="23">
        <f t="shared" si="15"/>
        <v>480</v>
      </c>
      <c r="M183" s="24">
        <v>6967</v>
      </c>
      <c r="N183" s="25">
        <f t="shared" si="16"/>
        <v>100</v>
      </c>
      <c r="O183" s="24">
        <v>35506</v>
      </c>
      <c r="P183" s="23">
        <f t="shared" si="17"/>
        <v>380</v>
      </c>
      <c r="Q183" s="26"/>
      <c r="R183" s="23">
        <f t="shared" si="18"/>
        <v>0</v>
      </c>
      <c r="S183" s="27" t="s">
        <v>18</v>
      </c>
      <c r="T183" s="19" t="s">
        <v>223</v>
      </c>
    </row>
    <row r="184" spans="1:20" ht="37.5" customHeight="1" x14ac:dyDescent="0.25">
      <c r="A184" s="19" t="s">
        <v>224</v>
      </c>
      <c r="B184">
        <f t="shared" si="19"/>
        <v>41602</v>
      </c>
      <c r="C184">
        <v>7968</v>
      </c>
      <c r="D184">
        <v>33634</v>
      </c>
      <c r="F184">
        <f t="shared" si="20"/>
        <v>260</v>
      </c>
      <c r="G184" s="20">
        <f t="shared" si="21"/>
        <v>179</v>
      </c>
      <c r="H184" s="21">
        <v>66618010112</v>
      </c>
      <c r="I184" s="22">
        <v>207</v>
      </c>
      <c r="J184" s="23"/>
      <c r="K184" s="24">
        <v>41342</v>
      </c>
      <c r="L184" s="23">
        <f t="shared" si="15"/>
        <v>260</v>
      </c>
      <c r="M184" s="24">
        <v>7913</v>
      </c>
      <c r="N184" s="25">
        <f t="shared" si="16"/>
        <v>55</v>
      </c>
      <c r="O184" s="24">
        <v>33429</v>
      </c>
      <c r="P184" s="23">
        <f t="shared" si="17"/>
        <v>205</v>
      </c>
      <c r="Q184" s="26"/>
      <c r="R184" s="23">
        <f t="shared" si="18"/>
        <v>0</v>
      </c>
      <c r="S184" s="27" t="s">
        <v>18</v>
      </c>
      <c r="T184" s="19" t="s">
        <v>224</v>
      </c>
    </row>
    <row r="185" spans="1:20" ht="37.5" customHeight="1" x14ac:dyDescent="0.25">
      <c r="A185" s="19" t="s">
        <v>225</v>
      </c>
      <c r="B185">
        <f t="shared" si="19"/>
        <v>11529</v>
      </c>
      <c r="C185">
        <v>1809</v>
      </c>
      <c r="D185">
        <v>9720</v>
      </c>
      <c r="F185">
        <f t="shared" si="20"/>
        <v>472</v>
      </c>
      <c r="G185" s="20">
        <f t="shared" si="21"/>
        <v>180</v>
      </c>
      <c r="H185" s="21">
        <v>66622050014</v>
      </c>
      <c r="I185" s="22">
        <v>208</v>
      </c>
      <c r="J185" s="23"/>
      <c r="K185" s="24">
        <v>11057</v>
      </c>
      <c r="L185" s="23">
        <f t="shared" si="15"/>
        <v>472</v>
      </c>
      <c r="M185" s="24">
        <v>1735</v>
      </c>
      <c r="N185" s="25">
        <f t="shared" si="16"/>
        <v>74</v>
      </c>
      <c r="O185" s="24">
        <v>9322</v>
      </c>
      <c r="P185" s="23">
        <f t="shared" si="17"/>
        <v>398</v>
      </c>
      <c r="Q185" s="26"/>
      <c r="R185" s="23">
        <f t="shared" si="18"/>
        <v>0</v>
      </c>
      <c r="S185" s="27" t="s">
        <v>18</v>
      </c>
      <c r="T185" s="19" t="s">
        <v>225</v>
      </c>
    </row>
    <row r="186" spans="1:20" ht="37.5" customHeight="1" x14ac:dyDescent="0.25">
      <c r="A186" s="19" t="s">
        <v>226</v>
      </c>
      <c r="B186">
        <f t="shared" si="19"/>
        <v>72546</v>
      </c>
      <c r="C186">
        <v>12899</v>
      </c>
      <c r="D186">
        <v>59647</v>
      </c>
      <c r="F186">
        <f t="shared" si="20"/>
        <v>536</v>
      </c>
      <c r="G186" s="20">
        <f t="shared" si="21"/>
        <v>181</v>
      </c>
      <c r="H186" s="21">
        <v>23014090987</v>
      </c>
      <c r="I186" s="22">
        <v>210</v>
      </c>
      <c r="J186" s="23"/>
      <c r="K186" s="24">
        <v>72010</v>
      </c>
      <c r="L186" s="23">
        <f t="shared" si="15"/>
        <v>536</v>
      </c>
      <c r="M186" s="24">
        <v>12828</v>
      </c>
      <c r="N186" s="25">
        <f t="shared" si="16"/>
        <v>71</v>
      </c>
      <c r="O186" s="24">
        <v>59182</v>
      </c>
      <c r="P186" s="23">
        <f t="shared" si="17"/>
        <v>465</v>
      </c>
      <c r="Q186" s="26"/>
      <c r="R186" s="23">
        <f t="shared" si="18"/>
        <v>0</v>
      </c>
      <c r="S186" s="27" t="s">
        <v>18</v>
      </c>
      <c r="T186" s="19" t="s">
        <v>226</v>
      </c>
    </row>
    <row r="187" spans="1:20" ht="37.5" customHeight="1" x14ac:dyDescent="0.25">
      <c r="A187" s="19" t="s">
        <v>227</v>
      </c>
      <c r="B187">
        <f t="shared" si="19"/>
        <v>42169</v>
      </c>
      <c r="C187">
        <v>7548</v>
      </c>
      <c r="D187">
        <v>34621</v>
      </c>
      <c r="F187">
        <f t="shared" si="20"/>
        <v>260</v>
      </c>
      <c r="G187" s="20">
        <f t="shared" si="21"/>
        <v>182</v>
      </c>
      <c r="H187" s="21">
        <v>23014090044</v>
      </c>
      <c r="I187" s="22">
        <v>211</v>
      </c>
      <c r="J187" s="23"/>
      <c r="K187" s="24">
        <v>41909</v>
      </c>
      <c r="L187" s="23">
        <f t="shared" si="15"/>
        <v>260</v>
      </c>
      <c r="M187" s="24">
        <v>7502</v>
      </c>
      <c r="N187" s="25">
        <f t="shared" si="16"/>
        <v>46</v>
      </c>
      <c r="O187" s="24">
        <v>34407</v>
      </c>
      <c r="P187" s="23">
        <f t="shared" si="17"/>
        <v>214</v>
      </c>
      <c r="Q187" s="26"/>
      <c r="R187" s="23">
        <f t="shared" si="18"/>
        <v>0</v>
      </c>
      <c r="S187" s="27" t="s">
        <v>18</v>
      </c>
      <c r="T187" s="19" t="s">
        <v>227</v>
      </c>
    </row>
    <row r="188" spans="1:20" ht="37.5" customHeight="1" x14ac:dyDescent="0.25">
      <c r="A188" s="19" t="s">
        <v>228</v>
      </c>
      <c r="B188">
        <f t="shared" si="19"/>
        <v>121229</v>
      </c>
      <c r="C188">
        <v>20265</v>
      </c>
      <c r="D188">
        <v>100964</v>
      </c>
      <c r="F188">
        <f t="shared" si="20"/>
        <v>618</v>
      </c>
      <c r="G188" s="20">
        <f t="shared" si="21"/>
        <v>183</v>
      </c>
      <c r="H188" s="21">
        <v>23015010986</v>
      </c>
      <c r="I188" s="22">
        <v>213</v>
      </c>
      <c r="J188" s="23"/>
      <c r="K188" s="24">
        <v>120611</v>
      </c>
      <c r="L188" s="23">
        <f t="shared" si="15"/>
        <v>618</v>
      </c>
      <c r="M188" s="24">
        <v>20145</v>
      </c>
      <c r="N188" s="25">
        <f t="shared" si="16"/>
        <v>120</v>
      </c>
      <c r="O188" s="24">
        <v>100466</v>
      </c>
      <c r="P188" s="23">
        <f t="shared" si="17"/>
        <v>498</v>
      </c>
      <c r="Q188" s="26"/>
      <c r="R188" s="23">
        <f t="shared" si="18"/>
        <v>0</v>
      </c>
      <c r="S188" s="27" t="s">
        <v>18</v>
      </c>
      <c r="T188" s="19" t="s">
        <v>228</v>
      </c>
    </row>
    <row r="189" spans="1:20" ht="37.5" customHeight="1" x14ac:dyDescent="0.25">
      <c r="A189" s="19" t="s">
        <v>229</v>
      </c>
      <c r="B189">
        <f t="shared" si="19"/>
        <v>5598</v>
      </c>
      <c r="C189">
        <v>1053</v>
      </c>
      <c r="D189">
        <v>4545</v>
      </c>
      <c r="E189">
        <v>11500</v>
      </c>
      <c r="F189">
        <f t="shared" si="20"/>
        <v>353</v>
      </c>
      <c r="G189" s="20">
        <f t="shared" si="21"/>
        <v>184</v>
      </c>
      <c r="H189" s="21">
        <v>99623080497</v>
      </c>
      <c r="I189" s="22">
        <v>214</v>
      </c>
      <c r="J189" s="23"/>
      <c r="K189" s="24">
        <f>M189+O189</f>
        <v>5245</v>
      </c>
      <c r="L189" s="23">
        <f t="shared" si="15"/>
        <v>353</v>
      </c>
      <c r="M189" s="24">
        <v>997</v>
      </c>
      <c r="N189" s="25">
        <f t="shared" si="16"/>
        <v>56</v>
      </c>
      <c r="O189" s="24">
        <v>4248</v>
      </c>
      <c r="P189" s="23">
        <f t="shared" si="17"/>
        <v>297</v>
      </c>
      <c r="Q189" s="26">
        <v>10536</v>
      </c>
      <c r="R189" s="23">
        <f t="shared" si="18"/>
        <v>964</v>
      </c>
      <c r="S189" s="27" t="s">
        <v>18</v>
      </c>
      <c r="T189" s="19" t="s">
        <v>229</v>
      </c>
    </row>
    <row r="190" spans="1:20" ht="37.5" customHeight="1" x14ac:dyDescent="0.25">
      <c r="A190" s="19" t="s">
        <v>230</v>
      </c>
      <c r="B190">
        <f t="shared" si="19"/>
        <v>6809</v>
      </c>
      <c r="C190">
        <v>1983</v>
      </c>
      <c r="D190">
        <v>4826</v>
      </c>
      <c r="E190">
        <v>7226</v>
      </c>
      <c r="F190">
        <f t="shared" si="20"/>
        <v>212</v>
      </c>
      <c r="G190" s="20">
        <f t="shared" si="21"/>
        <v>185</v>
      </c>
      <c r="H190" s="21">
        <v>99723050186</v>
      </c>
      <c r="I190" s="22">
        <v>216</v>
      </c>
      <c r="J190" s="23"/>
      <c r="K190" s="24">
        <f>M190+O190</f>
        <v>6597</v>
      </c>
      <c r="L190" s="23">
        <f t="shared" si="15"/>
        <v>212</v>
      </c>
      <c r="M190" s="24">
        <v>1906</v>
      </c>
      <c r="N190" s="25">
        <f t="shared" si="16"/>
        <v>77</v>
      </c>
      <c r="O190" s="24">
        <v>4691</v>
      </c>
      <c r="P190" s="23">
        <f t="shared" si="17"/>
        <v>135</v>
      </c>
      <c r="Q190" s="26">
        <v>6716</v>
      </c>
      <c r="R190" s="23">
        <f t="shared" si="18"/>
        <v>510</v>
      </c>
      <c r="S190" s="27" t="s">
        <v>18</v>
      </c>
      <c r="T190" s="19" t="s">
        <v>230</v>
      </c>
    </row>
    <row r="191" spans="1:20" ht="37.5" customHeight="1" x14ac:dyDescent="0.25">
      <c r="A191" s="19" t="s">
        <v>231</v>
      </c>
      <c r="B191">
        <f t="shared" si="19"/>
        <v>73846</v>
      </c>
      <c r="C191">
        <v>12987</v>
      </c>
      <c r="D191">
        <v>60859</v>
      </c>
      <c r="F191">
        <f t="shared" si="20"/>
        <v>440</v>
      </c>
      <c r="G191" s="20">
        <f t="shared" si="21"/>
        <v>186</v>
      </c>
      <c r="H191" s="21">
        <v>66617010173</v>
      </c>
      <c r="I191" s="22">
        <v>217</v>
      </c>
      <c r="J191" s="23"/>
      <c r="K191" s="24">
        <v>73406</v>
      </c>
      <c r="L191" s="23">
        <f t="shared" si="15"/>
        <v>440</v>
      </c>
      <c r="M191" s="24">
        <v>12885</v>
      </c>
      <c r="N191" s="25">
        <f t="shared" si="16"/>
        <v>102</v>
      </c>
      <c r="O191" s="24">
        <v>60521</v>
      </c>
      <c r="P191" s="23">
        <f t="shared" si="17"/>
        <v>338</v>
      </c>
      <c r="Q191" s="26"/>
      <c r="R191" s="23">
        <f t="shared" si="18"/>
        <v>0</v>
      </c>
      <c r="S191" s="27" t="s">
        <v>18</v>
      </c>
      <c r="T191" s="19" t="s">
        <v>231</v>
      </c>
    </row>
    <row r="192" spans="1:20" ht="37.5" customHeight="1" x14ac:dyDescent="0.25">
      <c r="A192" s="19" t="s">
        <v>232</v>
      </c>
      <c r="B192">
        <f t="shared" si="19"/>
        <v>90728</v>
      </c>
      <c r="C192">
        <v>14674</v>
      </c>
      <c r="D192">
        <v>76054</v>
      </c>
      <c r="F192">
        <f t="shared" si="20"/>
        <v>462</v>
      </c>
      <c r="G192" s="20">
        <f t="shared" si="21"/>
        <v>187</v>
      </c>
      <c r="H192" s="21">
        <v>23014040243</v>
      </c>
      <c r="I192" s="22">
        <v>218</v>
      </c>
      <c r="J192" s="23"/>
      <c r="K192" s="24">
        <v>90266</v>
      </c>
      <c r="L192" s="23">
        <f t="shared" si="15"/>
        <v>462</v>
      </c>
      <c r="M192" s="24">
        <v>14608</v>
      </c>
      <c r="N192" s="25">
        <f t="shared" si="16"/>
        <v>66</v>
      </c>
      <c r="O192" s="24">
        <v>75658</v>
      </c>
      <c r="P192" s="23">
        <f t="shared" si="17"/>
        <v>396</v>
      </c>
      <c r="Q192" s="26"/>
      <c r="R192" s="23">
        <f t="shared" si="18"/>
        <v>0</v>
      </c>
      <c r="S192" s="27" t="s">
        <v>18</v>
      </c>
      <c r="T192" s="19" t="s">
        <v>232</v>
      </c>
    </row>
    <row r="193" spans="1:20" ht="37.5" customHeight="1" x14ac:dyDescent="0.25">
      <c r="A193" s="19" t="s">
        <v>233</v>
      </c>
      <c r="B193">
        <f t="shared" si="19"/>
        <v>216</v>
      </c>
      <c r="C193">
        <v>17</v>
      </c>
      <c r="D193">
        <v>199</v>
      </c>
      <c r="F193">
        <f t="shared" si="20"/>
        <v>0</v>
      </c>
      <c r="G193" s="20">
        <f t="shared" si="21"/>
        <v>188</v>
      </c>
      <c r="H193" s="21">
        <v>66621040232</v>
      </c>
      <c r="I193" s="22">
        <v>219</v>
      </c>
      <c r="J193" s="23"/>
      <c r="K193" s="24">
        <v>216</v>
      </c>
      <c r="L193" s="23">
        <f t="shared" si="15"/>
        <v>0</v>
      </c>
      <c r="M193" s="24">
        <v>17</v>
      </c>
      <c r="N193" s="25">
        <f t="shared" si="16"/>
        <v>0</v>
      </c>
      <c r="O193" s="24">
        <v>199</v>
      </c>
      <c r="P193" s="23">
        <f t="shared" si="17"/>
        <v>0</v>
      </c>
      <c r="Q193" s="26"/>
      <c r="R193" s="23">
        <f t="shared" si="18"/>
        <v>0</v>
      </c>
      <c r="S193" s="27" t="s">
        <v>18</v>
      </c>
      <c r="T193" s="19" t="s">
        <v>233</v>
      </c>
    </row>
    <row r="194" spans="1:20" ht="37.5" customHeight="1" x14ac:dyDescent="0.25">
      <c r="A194" s="19" t="s">
        <v>234</v>
      </c>
      <c r="B194">
        <f t="shared" si="19"/>
        <v>13306</v>
      </c>
      <c r="C194">
        <v>2311</v>
      </c>
      <c r="D194">
        <v>10995</v>
      </c>
      <c r="F194">
        <f t="shared" si="20"/>
        <v>299</v>
      </c>
      <c r="G194" s="20">
        <f t="shared" si="21"/>
        <v>189</v>
      </c>
      <c r="H194" s="21">
        <v>66622060056</v>
      </c>
      <c r="I194" s="22">
        <v>221</v>
      </c>
      <c r="J194" s="23"/>
      <c r="K194" s="24">
        <v>13007</v>
      </c>
      <c r="L194" s="23">
        <f t="shared" si="15"/>
        <v>299</v>
      </c>
      <c r="M194" s="24">
        <v>2251</v>
      </c>
      <c r="N194" s="25">
        <f t="shared" si="16"/>
        <v>60</v>
      </c>
      <c r="O194" s="24">
        <v>10756</v>
      </c>
      <c r="P194" s="23">
        <f t="shared" si="17"/>
        <v>239</v>
      </c>
      <c r="Q194" s="26"/>
      <c r="R194" s="23">
        <f t="shared" si="18"/>
        <v>0</v>
      </c>
      <c r="S194" s="27" t="s">
        <v>18</v>
      </c>
      <c r="T194" s="19" t="s">
        <v>234</v>
      </c>
    </row>
    <row r="195" spans="1:20" ht="37.5" customHeight="1" x14ac:dyDescent="0.25">
      <c r="A195" s="19" t="s">
        <v>235</v>
      </c>
      <c r="B195">
        <f t="shared" si="19"/>
        <v>6542</v>
      </c>
      <c r="C195">
        <v>1656</v>
      </c>
      <c r="D195">
        <v>4886</v>
      </c>
      <c r="E195">
        <v>6980</v>
      </c>
      <c r="F195">
        <f t="shared" si="20"/>
        <v>339</v>
      </c>
      <c r="G195" s="20">
        <f t="shared" si="21"/>
        <v>190</v>
      </c>
      <c r="H195" s="21">
        <v>99624010131</v>
      </c>
      <c r="I195" s="22">
        <v>222</v>
      </c>
      <c r="J195" s="23"/>
      <c r="K195" s="24">
        <f>M195+O195</f>
        <v>6203</v>
      </c>
      <c r="L195" s="23">
        <f t="shared" si="15"/>
        <v>339</v>
      </c>
      <c r="M195" s="24">
        <v>1551</v>
      </c>
      <c r="N195" s="25">
        <f t="shared" si="16"/>
        <v>105</v>
      </c>
      <c r="O195" s="24">
        <v>4652</v>
      </c>
      <c r="P195" s="23">
        <f t="shared" si="17"/>
        <v>234</v>
      </c>
      <c r="Q195" s="26">
        <v>6219</v>
      </c>
      <c r="R195" s="23">
        <f t="shared" si="18"/>
        <v>761</v>
      </c>
      <c r="S195" s="27" t="s">
        <v>18</v>
      </c>
      <c r="T195" s="19" t="s">
        <v>235</v>
      </c>
    </row>
    <row r="196" spans="1:20" ht="37.5" customHeight="1" x14ac:dyDescent="0.25">
      <c r="A196" s="19" t="s">
        <v>236</v>
      </c>
      <c r="B196">
        <f t="shared" si="19"/>
        <v>12034</v>
      </c>
      <c r="C196">
        <v>3199</v>
      </c>
      <c r="D196">
        <v>8835</v>
      </c>
      <c r="E196">
        <v>18834</v>
      </c>
      <c r="F196">
        <f t="shared" si="20"/>
        <v>674</v>
      </c>
      <c r="G196" s="20">
        <f t="shared" si="21"/>
        <v>191</v>
      </c>
      <c r="H196" s="21">
        <v>99723010006</v>
      </c>
      <c r="I196" s="22">
        <v>223</v>
      </c>
      <c r="J196" s="23"/>
      <c r="K196" s="24">
        <f>M196+O196</f>
        <v>11360</v>
      </c>
      <c r="L196" s="23">
        <f t="shared" si="15"/>
        <v>674</v>
      </c>
      <c r="M196" s="24">
        <v>3026</v>
      </c>
      <c r="N196" s="25">
        <f t="shared" si="16"/>
        <v>173</v>
      </c>
      <c r="O196" s="24">
        <v>8334</v>
      </c>
      <c r="P196" s="23">
        <f t="shared" si="17"/>
        <v>501</v>
      </c>
      <c r="Q196" s="26">
        <v>18008</v>
      </c>
      <c r="R196" s="23">
        <f t="shared" si="18"/>
        <v>826</v>
      </c>
      <c r="S196" s="27" t="s">
        <v>18</v>
      </c>
      <c r="T196" s="19" t="s">
        <v>236</v>
      </c>
    </row>
    <row r="197" spans="1:20" ht="37.5" customHeight="1" x14ac:dyDescent="0.25">
      <c r="A197" s="19" t="s">
        <v>237</v>
      </c>
      <c r="B197">
        <f t="shared" si="19"/>
        <v>4904</v>
      </c>
      <c r="C197">
        <v>1247</v>
      </c>
      <c r="D197">
        <v>3657</v>
      </c>
      <c r="E197">
        <v>8026</v>
      </c>
      <c r="F197">
        <f t="shared" si="20"/>
        <v>177</v>
      </c>
      <c r="G197" s="20">
        <f t="shared" si="21"/>
        <v>192</v>
      </c>
      <c r="H197" s="21">
        <v>99624020130</v>
      </c>
      <c r="I197" s="22">
        <v>224</v>
      </c>
      <c r="J197" s="23"/>
      <c r="K197" s="24">
        <f>M197+O197</f>
        <v>4727</v>
      </c>
      <c r="L197" s="23">
        <f t="shared" si="15"/>
        <v>177</v>
      </c>
      <c r="M197" s="24">
        <v>1200</v>
      </c>
      <c r="N197" s="25">
        <f t="shared" si="16"/>
        <v>47</v>
      </c>
      <c r="O197" s="24">
        <v>3527</v>
      </c>
      <c r="P197" s="23">
        <f t="shared" si="17"/>
        <v>130</v>
      </c>
      <c r="Q197" s="26">
        <v>6975</v>
      </c>
      <c r="R197" s="23">
        <f t="shared" si="18"/>
        <v>1051</v>
      </c>
      <c r="S197" s="27" t="s">
        <v>18</v>
      </c>
      <c r="T197" s="19" t="s">
        <v>237</v>
      </c>
    </row>
    <row r="198" spans="1:20" ht="37.5" customHeight="1" x14ac:dyDescent="0.25">
      <c r="A198" s="19" t="s">
        <v>238</v>
      </c>
      <c r="B198">
        <f t="shared" si="19"/>
        <v>72933</v>
      </c>
      <c r="C198">
        <v>12105</v>
      </c>
      <c r="D198">
        <v>60828</v>
      </c>
      <c r="F198">
        <f t="shared" si="20"/>
        <v>568</v>
      </c>
      <c r="G198" s="20">
        <f t="shared" si="21"/>
        <v>193</v>
      </c>
      <c r="H198" s="21">
        <v>23014060102</v>
      </c>
      <c r="I198" s="22">
        <v>226</v>
      </c>
      <c r="J198" s="23"/>
      <c r="K198" s="24">
        <v>72365</v>
      </c>
      <c r="L198" s="23">
        <f t="shared" ref="L198:L261" si="22">B198-K198</f>
        <v>568</v>
      </c>
      <c r="M198" s="24">
        <v>12011</v>
      </c>
      <c r="N198" s="25">
        <f t="shared" ref="N198:N261" si="23">C198-M198</f>
        <v>94</v>
      </c>
      <c r="O198" s="24">
        <v>60354</v>
      </c>
      <c r="P198" s="23">
        <f t="shared" ref="P198:P261" si="24">D198-O198</f>
        <v>474</v>
      </c>
      <c r="Q198" s="26"/>
      <c r="R198" s="23">
        <f t="shared" ref="R198:R261" si="25">E198-Q198</f>
        <v>0</v>
      </c>
      <c r="S198" s="27" t="s">
        <v>18</v>
      </c>
      <c r="T198" s="19" t="s">
        <v>238</v>
      </c>
    </row>
    <row r="199" spans="1:20" ht="37.5" customHeight="1" x14ac:dyDescent="0.25">
      <c r="A199" s="19" t="s">
        <v>239</v>
      </c>
      <c r="B199">
        <f t="shared" ref="B199:B262" si="26">C199+D199</f>
        <v>3680</v>
      </c>
      <c r="C199">
        <v>1021</v>
      </c>
      <c r="D199">
        <v>2659</v>
      </c>
      <c r="F199">
        <f t="shared" ref="F199:F262" si="27">L199</f>
        <v>112</v>
      </c>
      <c r="G199" s="20">
        <f t="shared" si="21"/>
        <v>194</v>
      </c>
      <c r="H199" s="21">
        <v>66621090110</v>
      </c>
      <c r="I199" s="22">
        <v>227</v>
      </c>
      <c r="J199" s="23"/>
      <c r="K199" s="24">
        <v>3568</v>
      </c>
      <c r="L199" s="23">
        <f t="shared" si="22"/>
        <v>112</v>
      </c>
      <c r="M199" s="24">
        <v>991</v>
      </c>
      <c r="N199" s="25">
        <f t="shared" si="23"/>
        <v>30</v>
      </c>
      <c r="O199" s="24">
        <v>2577</v>
      </c>
      <c r="P199" s="23">
        <f t="shared" si="24"/>
        <v>82</v>
      </c>
      <c r="Q199" s="26"/>
      <c r="R199" s="23">
        <f t="shared" si="25"/>
        <v>0</v>
      </c>
      <c r="S199" s="27" t="s">
        <v>18</v>
      </c>
      <c r="T199" s="19" t="s">
        <v>239</v>
      </c>
    </row>
    <row r="200" spans="1:20" ht="37.5" customHeight="1" x14ac:dyDescent="0.25">
      <c r="A200" s="19" t="s">
        <v>240</v>
      </c>
      <c r="B200">
        <f t="shared" si="26"/>
        <v>9757</v>
      </c>
      <c r="C200">
        <v>1782</v>
      </c>
      <c r="D200">
        <v>7975</v>
      </c>
      <c r="F200">
        <f t="shared" si="27"/>
        <v>96</v>
      </c>
      <c r="G200" s="20">
        <f t="shared" ref="G200:G263" si="28">G199+1</f>
        <v>195</v>
      </c>
      <c r="H200" s="21">
        <v>66622010431</v>
      </c>
      <c r="I200" s="22">
        <v>229</v>
      </c>
      <c r="J200" s="23"/>
      <c r="K200" s="24">
        <v>9661</v>
      </c>
      <c r="L200" s="23">
        <f t="shared" si="22"/>
        <v>96</v>
      </c>
      <c r="M200" s="24">
        <v>1765</v>
      </c>
      <c r="N200" s="25">
        <f t="shared" si="23"/>
        <v>17</v>
      </c>
      <c r="O200" s="24">
        <v>7896</v>
      </c>
      <c r="P200" s="23">
        <f t="shared" si="24"/>
        <v>79</v>
      </c>
      <c r="Q200" s="26"/>
      <c r="R200" s="23">
        <f t="shared" si="25"/>
        <v>0</v>
      </c>
      <c r="S200" s="27" t="s">
        <v>18</v>
      </c>
      <c r="T200" s="19" t="s">
        <v>240</v>
      </c>
    </row>
    <row r="201" spans="1:20" ht="37.5" customHeight="1" x14ac:dyDescent="0.25">
      <c r="A201" s="19" t="s">
        <v>241</v>
      </c>
      <c r="B201">
        <f t="shared" si="26"/>
        <v>26943</v>
      </c>
      <c r="C201">
        <v>5111</v>
      </c>
      <c r="D201">
        <v>21832</v>
      </c>
      <c r="F201">
        <f t="shared" si="27"/>
        <v>422</v>
      </c>
      <c r="G201" s="20">
        <f t="shared" si="28"/>
        <v>196</v>
      </c>
      <c r="H201" s="21">
        <v>88820060196</v>
      </c>
      <c r="I201" s="22">
        <v>230</v>
      </c>
      <c r="J201" s="23"/>
      <c r="K201" s="24">
        <v>26521</v>
      </c>
      <c r="L201" s="23">
        <f t="shared" si="22"/>
        <v>422</v>
      </c>
      <c r="M201" s="24">
        <v>5031</v>
      </c>
      <c r="N201" s="25">
        <f t="shared" si="23"/>
        <v>80</v>
      </c>
      <c r="O201" s="24">
        <v>21490</v>
      </c>
      <c r="P201" s="23">
        <f t="shared" si="24"/>
        <v>342</v>
      </c>
      <c r="Q201" s="26"/>
      <c r="R201" s="23">
        <f t="shared" si="25"/>
        <v>0</v>
      </c>
      <c r="S201" s="27" t="s">
        <v>18</v>
      </c>
      <c r="T201" s="19" t="s">
        <v>241</v>
      </c>
    </row>
    <row r="202" spans="1:20" ht="37.5" customHeight="1" x14ac:dyDescent="0.25">
      <c r="A202" s="19" t="s">
        <v>242</v>
      </c>
      <c r="B202">
        <f t="shared" si="26"/>
        <v>1126</v>
      </c>
      <c r="C202">
        <v>341</v>
      </c>
      <c r="D202">
        <v>785</v>
      </c>
      <c r="E202">
        <v>2463</v>
      </c>
      <c r="F202">
        <f t="shared" si="27"/>
        <v>442</v>
      </c>
      <c r="G202" s="20">
        <f t="shared" si="28"/>
        <v>197</v>
      </c>
      <c r="H202" s="21">
        <v>99624050234</v>
      </c>
      <c r="I202" s="22">
        <v>231</v>
      </c>
      <c r="J202" s="23"/>
      <c r="K202" s="24">
        <f>M202+O202</f>
        <v>684</v>
      </c>
      <c r="L202" s="23">
        <f t="shared" si="22"/>
        <v>442</v>
      </c>
      <c r="M202" s="24">
        <v>222</v>
      </c>
      <c r="N202" s="25">
        <f t="shared" si="23"/>
        <v>119</v>
      </c>
      <c r="O202" s="24">
        <v>462</v>
      </c>
      <c r="P202" s="23">
        <f t="shared" si="24"/>
        <v>323</v>
      </c>
      <c r="Q202" s="26">
        <v>1612</v>
      </c>
      <c r="R202" s="23">
        <f t="shared" si="25"/>
        <v>851</v>
      </c>
      <c r="S202" s="27" t="s">
        <v>18</v>
      </c>
      <c r="T202" s="19" t="s">
        <v>242</v>
      </c>
    </row>
    <row r="203" spans="1:20" ht="37.5" customHeight="1" x14ac:dyDescent="0.25">
      <c r="A203" s="19" t="s">
        <v>243</v>
      </c>
      <c r="B203">
        <f t="shared" si="26"/>
        <v>43872</v>
      </c>
      <c r="C203">
        <v>8971</v>
      </c>
      <c r="D203">
        <v>34901</v>
      </c>
      <c r="F203">
        <f t="shared" si="27"/>
        <v>61</v>
      </c>
      <c r="G203" s="20">
        <f t="shared" si="28"/>
        <v>198</v>
      </c>
      <c r="H203" s="21">
        <v>23014060195</v>
      </c>
      <c r="I203" s="22">
        <v>232</v>
      </c>
      <c r="J203" s="23"/>
      <c r="K203" s="24">
        <v>43811</v>
      </c>
      <c r="L203" s="23">
        <f t="shared" si="22"/>
        <v>61</v>
      </c>
      <c r="M203" s="24">
        <v>8957</v>
      </c>
      <c r="N203" s="25">
        <f t="shared" si="23"/>
        <v>14</v>
      </c>
      <c r="O203" s="24">
        <v>34854</v>
      </c>
      <c r="P203" s="23">
        <f t="shared" si="24"/>
        <v>47</v>
      </c>
      <c r="Q203" s="26"/>
      <c r="R203" s="23">
        <f t="shared" si="25"/>
        <v>0</v>
      </c>
      <c r="S203" s="27" t="s">
        <v>18</v>
      </c>
      <c r="T203" s="19" t="s">
        <v>243</v>
      </c>
    </row>
    <row r="204" spans="1:20" ht="37.5" customHeight="1" x14ac:dyDescent="0.25">
      <c r="A204" s="19" t="s">
        <v>244</v>
      </c>
      <c r="B204">
        <f t="shared" si="26"/>
        <v>5573</v>
      </c>
      <c r="C204">
        <v>1478</v>
      </c>
      <c r="D204">
        <v>4095</v>
      </c>
      <c r="E204">
        <v>6140</v>
      </c>
      <c r="F204">
        <f t="shared" si="27"/>
        <v>399</v>
      </c>
      <c r="G204" s="20">
        <f t="shared" si="28"/>
        <v>199</v>
      </c>
      <c r="H204" s="21">
        <v>99624020220</v>
      </c>
      <c r="I204" s="22">
        <v>233</v>
      </c>
      <c r="J204" s="23"/>
      <c r="K204" s="24">
        <f>M204+O204</f>
        <v>5174</v>
      </c>
      <c r="L204" s="23">
        <f t="shared" si="22"/>
        <v>399</v>
      </c>
      <c r="M204" s="24">
        <v>1364</v>
      </c>
      <c r="N204" s="25">
        <f t="shared" si="23"/>
        <v>114</v>
      </c>
      <c r="O204" s="24">
        <v>3810</v>
      </c>
      <c r="P204" s="23">
        <f t="shared" si="24"/>
        <v>285</v>
      </c>
      <c r="Q204" s="26">
        <v>5306</v>
      </c>
      <c r="R204" s="23">
        <f t="shared" si="25"/>
        <v>834</v>
      </c>
      <c r="S204" s="27" t="s">
        <v>18</v>
      </c>
      <c r="T204" s="19" t="s">
        <v>244</v>
      </c>
    </row>
    <row r="205" spans="1:20" ht="37.5" customHeight="1" x14ac:dyDescent="0.25">
      <c r="A205" s="19" t="s">
        <v>245</v>
      </c>
      <c r="B205">
        <f t="shared" si="26"/>
        <v>25243</v>
      </c>
      <c r="C205">
        <v>4220</v>
      </c>
      <c r="D205">
        <v>21023</v>
      </c>
      <c r="F205">
        <f t="shared" si="27"/>
        <v>615</v>
      </c>
      <c r="G205" s="20">
        <f t="shared" si="28"/>
        <v>200</v>
      </c>
      <c r="H205" s="21">
        <v>88819020193</v>
      </c>
      <c r="I205" s="22">
        <v>235</v>
      </c>
      <c r="J205" s="23"/>
      <c r="K205" s="24">
        <v>24628</v>
      </c>
      <c r="L205" s="23">
        <f t="shared" si="22"/>
        <v>615</v>
      </c>
      <c r="M205" s="24">
        <v>4107</v>
      </c>
      <c r="N205" s="25">
        <f t="shared" si="23"/>
        <v>113</v>
      </c>
      <c r="O205" s="24">
        <v>20521</v>
      </c>
      <c r="P205" s="23">
        <f t="shared" si="24"/>
        <v>502</v>
      </c>
      <c r="Q205" s="26"/>
      <c r="R205" s="23">
        <f t="shared" si="25"/>
        <v>0</v>
      </c>
      <c r="S205" s="27" t="s">
        <v>18</v>
      </c>
      <c r="T205" s="19" t="s">
        <v>245</v>
      </c>
    </row>
    <row r="206" spans="1:20" ht="37.5" customHeight="1" x14ac:dyDescent="0.25">
      <c r="A206" s="19" t="s">
        <v>246</v>
      </c>
      <c r="B206">
        <f t="shared" si="26"/>
        <v>45706</v>
      </c>
      <c r="C206">
        <v>9081</v>
      </c>
      <c r="D206">
        <v>36625</v>
      </c>
      <c r="F206">
        <f t="shared" si="27"/>
        <v>196</v>
      </c>
      <c r="G206" s="20">
        <f t="shared" si="28"/>
        <v>201</v>
      </c>
      <c r="H206" s="21">
        <v>66617020459</v>
      </c>
      <c r="I206" s="22">
        <v>236</v>
      </c>
      <c r="J206" s="23"/>
      <c r="K206" s="24">
        <v>45510</v>
      </c>
      <c r="L206" s="23">
        <f t="shared" si="22"/>
        <v>196</v>
      </c>
      <c r="M206" s="24">
        <v>9038</v>
      </c>
      <c r="N206" s="25">
        <f t="shared" si="23"/>
        <v>43</v>
      </c>
      <c r="O206" s="24">
        <v>36472</v>
      </c>
      <c r="P206" s="23">
        <f t="shared" si="24"/>
        <v>153</v>
      </c>
      <c r="Q206" s="26"/>
      <c r="R206" s="23">
        <f t="shared" si="25"/>
        <v>0</v>
      </c>
      <c r="S206" s="27" t="s">
        <v>18</v>
      </c>
      <c r="T206" s="19" t="s">
        <v>246</v>
      </c>
    </row>
    <row r="207" spans="1:20" ht="37.5" customHeight="1" x14ac:dyDescent="0.25">
      <c r="A207" s="19" t="s">
        <v>247</v>
      </c>
      <c r="B207">
        <f t="shared" si="26"/>
        <v>72150</v>
      </c>
      <c r="C207">
        <v>12817</v>
      </c>
      <c r="D207">
        <v>59333</v>
      </c>
      <c r="F207">
        <f t="shared" si="27"/>
        <v>350</v>
      </c>
      <c r="G207" s="20">
        <f t="shared" si="28"/>
        <v>202</v>
      </c>
      <c r="H207" s="21">
        <v>66617020167</v>
      </c>
      <c r="I207" s="22">
        <v>237</v>
      </c>
      <c r="J207" s="23"/>
      <c r="K207" s="24">
        <v>71800</v>
      </c>
      <c r="L207" s="23">
        <f t="shared" si="22"/>
        <v>350</v>
      </c>
      <c r="M207" s="24">
        <v>12759</v>
      </c>
      <c r="N207" s="25">
        <f t="shared" si="23"/>
        <v>58</v>
      </c>
      <c r="O207" s="24">
        <v>59041</v>
      </c>
      <c r="P207" s="23">
        <f t="shared" si="24"/>
        <v>292</v>
      </c>
      <c r="Q207" s="26"/>
      <c r="R207" s="23">
        <f t="shared" si="25"/>
        <v>0</v>
      </c>
      <c r="S207" s="27" t="s">
        <v>18</v>
      </c>
      <c r="T207" s="19" t="s">
        <v>247</v>
      </c>
    </row>
    <row r="208" spans="1:20" ht="37.5" customHeight="1" x14ac:dyDescent="0.25">
      <c r="A208" s="19" t="s">
        <v>248</v>
      </c>
      <c r="B208">
        <f t="shared" si="26"/>
        <v>5588</v>
      </c>
      <c r="C208">
        <v>947</v>
      </c>
      <c r="D208">
        <v>4641</v>
      </c>
      <c r="E208">
        <v>11079</v>
      </c>
      <c r="F208">
        <f t="shared" si="27"/>
        <v>244</v>
      </c>
      <c r="G208" s="20">
        <f t="shared" si="28"/>
        <v>203</v>
      </c>
      <c r="H208" s="21">
        <v>99623080572</v>
      </c>
      <c r="I208" s="22">
        <v>247</v>
      </c>
      <c r="J208" s="23"/>
      <c r="K208" s="24">
        <f>M208+O208</f>
        <v>5344</v>
      </c>
      <c r="L208" s="23">
        <f t="shared" si="22"/>
        <v>244</v>
      </c>
      <c r="M208" s="24">
        <v>875</v>
      </c>
      <c r="N208" s="25">
        <f t="shared" si="23"/>
        <v>72</v>
      </c>
      <c r="O208" s="24">
        <v>4469</v>
      </c>
      <c r="P208" s="23">
        <f t="shared" si="24"/>
        <v>172</v>
      </c>
      <c r="Q208" s="26">
        <v>9851</v>
      </c>
      <c r="R208" s="23">
        <f t="shared" si="25"/>
        <v>1228</v>
      </c>
      <c r="S208" s="27" t="s">
        <v>18</v>
      </c>
      <c r="T208" s="19" t="s">
        <v>248</v>
      </c>
    </row>
    <row r="209" spans="1:20" ht="37.5" customHeight="1" x14ac:dyDescent="0.25">
      <c r="A209" s="19" t="s">
        <v>249</v>
      </c>
      <c r="B209">
        <f t="shared" si="26"/>
        <v>51607</v>
      </c>
      <c r="C209">
        <v>7670</v>
      </c>
      <c r="D209">
        <v>43937</v>
      </c>
      <c r="F209">
        <f t="shared" si="27"/>
        <v>253</v>
      </c>
      <c r="G209" s="20">
        <f t="shared" si="28"/>
        <v>204</v>
      </c>
      <c r="H209" s="21">
        <v>23014040454</v>
      </c>
      <c r="I209" s="22">
        <v>248</v>
      </c>
      <c r="J209" s="23"/>
      <c r="K209" s="24">
        <v>51354</v>
      </c>
      <c r="L209" s="23">
        <f t="shared" si="22"/>
        <v>253</v>
      </c>
      <c r="M209" s="24">
        <v>7624</v>
      </c>
      <c r="N209" s="25">
        <f t="shared" si="23"/>
        <v>46</v>
      </c>
      <c r="O209" s="24">
        <v>43730</v>
      </c>
      <c r="P209" s="23">
        <f t="shared" si="24"/>
        <v>207</v>
      </c>
      <c r="Q209" s="26"/>
      <c r="R209" s="23">
        <f t="shared" si="25"/>
        <v>0</v>
      </c>
      <c r="S209" s="27" t="s">
        <v>18</v>
      </c>
      <c r="T209" s="19" t="s">
        <v>249</v>
      </c>
    </row>
    <row r="210" spans="1:20" ht="37.5" customHeight="1" x14ac:dyDescent="0.25">
      <c r="A210" s="19" t="s">
        <v>250</v>
      </c>
      <c r="B210">
        <f t="shared" si="26"/>
        <v>6753</v>
      </c>
      <c r="C210">
        <v>1777</v>
      </c>
      <c r="D210">
        <v>4976</v>
      </c>
      <c r="E210">
        <v>10832</v>
      </c>
      <c r="F210">
        <f t="shared" si="27"/>
        <v>420</v>
      </c>
      <c r="G210" s="20">
        <f t="shared" si="28"/>
        <v>205</v>
      </c>
      <c r="H210" s="21">
        <v>99623080506</v>
      </c>
      <c r="I210" s="22">
        <v>249</v>
      </c>
      <c r="J210" s="23"/>
      <c r="K210" s="24">
        <f>M210+O210</f>
        <v>6333</v>
      </c>
      <c r="L210" s="23">
        <f t="shared" si="22"/>
        <v>420</v>
      </c>
      <c r="M210" s="24">
        <v>1665</v>
      </c>
      <c r="N210" s="25">
        <f t="shared" si="23"/>
        <v>112</v>
      </c>
      <c r="O210" s="24">
        <v>4668</v>
      </c>
      <c r="P210" s="23">
        <f t="shared" si="24"/>
        <v>308</v>
      </c>
      <c r="Q210" s="26">
        <v>9868</v>
      </c>
      <c r="R210" s="23">
        <f t="shared" si="25"/>
        <v>964</v>
      </c>
      <c r="S210" s="27" t="s">
        <v>18</v>
      </c>
      <c r="T210" s="19" t="s">
        <v>250</v>
      </c>
    </row>
    <row r="211" spans="1:20" ht="37.5" customHeight="1" x14ac:dyDescent="0.25">
      <c r="A211" s="19" t="s">
        <v>251</v>
      </c>
      <c r="B211">
        <f t="shared" si="26"/>
        <v>17791</v>
      </c>
      <c r="C211">
        <v>2441</v>
      </c>
      <c r="D211">
        <v>15350</v>
      </c>
      <c r="F211">
        <f t="shared" si="27"/>
        <v>264</v>
      </c>
      <c r="G211" s="20">
        <f t="shared" si="28"/>
        <v>206</v>
      </c>
      <c r="H211" s="21">
        <v>66621100093</v>
      </c>
      <c r="I211" s="22">
        <v>250</v>
      </c>
      <c r="J211" s="23"/>
      <c r="K211" s="24">
        <v>17527</v>
      </c>
      <c r="L211" s="23">
        <f t="shared" si="22"/>
        <v>264</v>
      </c>
      <c r="M211" s="24">
        <v>2400</v>
      </c>
      <c r="N211" s="25">
        <f t="shared" si="23"/>
        <v>41</v>
      </c>
      <c r="O211" s="24">
        <v>15127</v>
      </c>
      <c r="P211" s="23">
        <f t="shared" si="24"/>
        <v>223</v>
      </c>
      <c r="Q211" s="26"/>
      <c r="R211" s="23">
        <f t="shared" si="25"/>
        <v>0</v>
      </c>
      <c r="S211" s="27" t="s">
        <v>18</v>
      </c>
      <c r="T211" s="19" t="s">
        <v>251</v>
      </c>
    </row>
    <row r="212" spans="1:20" ht="37.5" customHeight="1" x14ac:dyDescent="0.25">
      <c r="A212" s="19" t="s">
        <v>252</v>
      </c>
      <c r="B212">
        <f t="shared" si="26"/>
        <v>21947</v>
      </c>
      <c r="C212">
        <v>3784</v>
      </c>
      <c r="D212">
        <v>18163</v>
      </c>
      <c r="F212">
        <f t="shared" si="27"/>
        <v>545</v>
      </c>
      <c r="G212" s="20">
        <f t="shared" si="28"/>
        <v>207</v>
      </c>
      <c r="H212" s="21">
        <v>66621090084</v>
      </c>
      <c r="I212" s="22">
        <v>251</v>
      </c>
      <c r="J212" s="23"/>
      <c r="K212" s="24">
        <v>21402</v>
      </c>
      <c r="L212" s="23">
        <f t="shared" si="22"/>
        <v>545</v>
      </c>
      <c r="M212" s="24">
        <v>3685</v>
      </c>
      <c r="N212" s="25">
        <f t="shared" si="23"/>
        <v>99</v>
      </c>
      <c r="O212" s="24">
        <v>17717</v>
      </c>
      <c r="P212" s="23">
        <f t="shared" si="24"/>
        <v>446</v>
      </c>
      <c r="Q212" s="26"/>
      <c r="R212" s="23">
        <f t="shared" si="25"/>
        <v>0</v>
      </c>
      <c r="S212" s="27" t="s">
        <v>18</v>
      </c>
      <c r="T212" s="19" t="s">
        <v>252</v>
      </c>
    </row>
    <row r="213" spans="1:20" ht="37.5" customHeight="1" x14ac:dyDescent="0.25">
      <c r="A213" s="19" t="s">
        <v>253</v>
      </c>
      <c r="B213">
        <f t="shared" si="26"/>
        <v>17083</v>
      </c>
      <c r="C213">
        <v>2500</v>
      </c>
      <c r="D213">
        <v>14583</v>
      </c>
      <c r="F213">
        <f t="shared" si="27"/>
        <v>894</v>
      </c>
      <c r="G213" s="20">
        <f t="shared" si="28"/>
        <v>208</v>
      </c>
      <c r="H213" s="21">
        <v>66623010490</v>
      </c>
      <c r="I213" s="22">
        <v>252</v>
      </c>
      <c r="J213" s="23"/>
      <c r="K213" s="24">
        <v>16189</v>
      </c>
      <c r="L213" s="23">
        <f t="shared" si="22"/>
        <v>894</v>
      </c>
      <c r="M213" s="24">
        <v>2366</v>
      </c>
      <c r="N213" s="25">
        <f t="shared" si="23"/>
        <v>134</v>
      </c>
      <c r="O213" s="24">
        <v>13823</v>
      </c>
      <c r="P213" s="23">
        <f t="shared" si="24"/>
        <v>760</v>
      </c>
      <c r="Q213" s="26"/>
      <c r="R213" s="23">
        <f t="shared" si="25"/>
        <v>0</v>
      </c>
      <c r="S213" s="27" t="s">
        <v>18</v>
      </c>
      <c r="T213" s="19" t="s">
        <v>253</v>
      </c>
    </row>
    <row r="214" spans="1:20" ht="37.5" customHeight="1" x14ac:dyDescent="0.25">
      <c r="A214" s="19" t="s">
        <v>254</v>
      </c>
      <c r="B214">
        <f t="shared" si="26"/>
        <v>55466</v>
      </c>
      <c r="C214">
        <v>10021</v>
      </c>
      <c r="D214">
        <v>45445</v>
      </c>
      <c r="F214">
        <f t="shared" si="27"/>
        <v>535</v>
      </c>
      <c r="G214" s="20">
        <f t="shared" si="28"/>
        <v>209</v>
      </c>
      <c r="H214" s="21">
        <v>23015010469</v>
      </c>
      <c r="I214" s="22">
        <v>253</v>
      </c>
      <c r="J214" s="23"/>
      <c r="K214" s="24">
        <v>54931</v>
      </c>
      <c r="L214" s="23">
        <f t="shared" si="22"/>
        <v>535</v>
      </c>
      <c r="M214" s="24">
        <v>9946</v>
      </c>
      <c r="N214" s="25">
        <f t="shared" si="23"/>
        <v>75</v>
      </c>
      <c r="O214" s="24">
        <v>44985</v>
      </c>
      <c r="P214" s="23">
        <f t="shared" si="24"/>
        <v>460</v>
      </c>
      <c r="Q214" s="26"/>
      <c r="R214" s="23">
        <f t="shared" si="25"/>
        <v>0</v>
      </c>
      <c r="S214" s="27" t="s">
        <v>18</v>
      </c>
      <c r="T214" s="19" t="s">
        <v>254</v>
      </c>
    </row>
    <row r="215" spans="1:20" ht="37.5" customHeight="1" x14ac:dyDescent="0.25">
      <c r="A215" s="19" t="s">
        <v>255</v>
      </c>
      <c r="B215">
        <f t="shared" si="26"/>
        <v>13825</v>
      </c>
      <c r="C215">
        <v>2436</v>
      </c>
      <c r="D215">
        <v>11389</v>
      </c>
      <c r="E215">
        <v>21804</v>
      </c>
      <c r="F215">
        <f t="shared" si="27"/>
        <v>531</v>
      </c>
      <c r="G215" s="20">
        <f t="shared" si="28"/>
        <v>210</v>
      </c>
      <c r="H215" s="21">
        <v>99723010017</v>
      </c>
      <c r="I215" s="22">
        <v>254</v>
      </c>
      <c r="J215" s="23"/>
      <c r="K215" s="24">
        <f>M215+O215</f>
        <v>13294</v>
      </c>
      <c r="L215" s="23">
        <f t="shared" si="22"/>
        <v>531</v>
      </c>
      <c r="M215" s="24">
        <v>2344</v>
      </c>
      <c r="N215" s="25">
        <f t="shared" si="23"/>
        <v>92</v>
      </c>
      <c r="O215" s="24">
        <v>10950</v>
      </c>
      <c r="P215" s="23">
        <f t="shared" si="24"/>
        <v>439</v>
      </c>
      <c r="Q215" s="26">
        <v>20838</v>
      </c>
      <c r="R215" s="23">
        <f t="shared" si="25"/>
        <v>966</v>
      </c>
      <c r="S215" s="27" t="s">
        <v>18</v>
      </c>
      <c r="T215" s="19" t="s">
        <v>255</v>
      </c>
    </row>
    <row r="216" spans="1:20" ht="37.5" customHeight="1" x14ac:dyDescent="0.25">
      <c r="A216" s="19" t="s">
        <v>256</v>
      </c>
      <c r="B216">
        <f t="shared" si="26"/>
        <v>649</v>
      </c>
      <c r="C216">
        <v>166</v>
      </c>
      <c r="D216">
        <v>483</v>
      </c>
      <c r="E216">
        <v>2194</v>
      </c>
      <c r="F216">
        <f t="shared" si="27"/>
        <v>396</v>
      </c>
      <c r="G216" s="20">
        <f t="shared" si="28"/>
        <v>211</v>
      </c>
      <c r="H216" s="21">
        <v>99625010017</v>
      </c>
      <c r="I216" s="22">
        <v>255</v>
      </c>
      <c r="J216" s="23"/>
      <c r="K216" s="24">
        <f>M216+O216</f>
        <v>253</v>
      </c>
      <c r="L216" s="23">
        <f t="shared" si="22"/>
        <v>396</v>
      </c>
      <c r="M216" s="24">
        <v>81</v>
      </c>
      <c r="N216" s="25">
        <f t="shared" si="23"/>
        <v>85</v>
      </c>
      <c r="O216" s="24">
        <v>172</v>
      </c>
      <c r="P216" s="23">
        <f t="shared" si="24"/>
        <v>311</v>
      </c>
      <c r="Q216" s="26">
        <v>1128</v>
      </c>
      <c r="R216" s="23">
        <f t="shared" si="25"/>
        <v>1066</v>
      </c>
      <c r="S216" s="27" t="s">
        <v>18</v>
      </c>
      <c r="T216" s="19" t="s">
        <v>256</v>
      </c>
    </row>
    <row r="217" spans="1:20" ht="37.5" customHeight="1" x14ac:dyDescent="0.25">
      <c r="A217" s="19" t="s">
        <v>257</v>
      </c>
      <c r="B217">
        <f t="shared" si="26"/>
        <v>276</v>
      </c>
      <c r="C217">
        <v>95</v>
      </c>
      <c r="D217">
        <v>181</v>
      </c>
      <c r="E217">
        <v>1169</v>
      </c>
      <c r="F217">
        <f t="shared" si="27"/>
        <v>218</v>
      </c>
      <c r="G217" s="20">
        <f t="shared" si="28"/>
        <v>212</v>
      </c>
      <c r="H217" s="21">
        <v>99625010082</v>
      </c>
      <c r="I217" s="22">
        <v>256</v>
      </c>
      <c r="J217" s="23"/>
      <c r="K217" s="24">
        <f>M217+O217</f>
        <v>58</v>
      </c>
      <c r="L217" s="23">
        <f t="shared" si="22"/>
        <v>218</v>
      </c>
      <c r="M217" s="24">
        <v>22</v>
      </c>
      <c r="N217" s="25">
        <f t="shared" si="23"/>
        <v>73</v>
      </c>
      <c r="O217" s="24">
        <v>36</v>
      </c>
      <c r="P217" s="23">
        <f t="shared" si="24"/>
        <v>145</v>
      </c>
      <c r="Q217" s="26">
        <v>457</v>
      </c>
      <c r="R217" s="23">
        <f t="shared" si="25"/>
        <v>712</v>
      </c>
      <c r="S217" s="27" t="s">
        <v>18</v>
      </c>
      <c r="T217" s="19" t="s">
        <v>257</v>
      </c>
    </row>
    <row r="218" spans="1:20" ht="37.5" customHeight="1" x14ac:dyDescent="0.25">
      <c r="A218" s="19" t="s">
        <v>258</v>
      </c>
      <c r="B218">
        <f t="shared" si="26"/>
        <v>34956</v>
      </c>
      <c r="C218">
        <v>6756</v>
      </c>
      <c r="D218">
        <v>28200</v>
      </c>
      <c r="F218">
        <f t="shared" si="27"/>
        <v>264</v>
      </c>
      <c r="G218" s="20">
        <f t="shared" si="28"/>
        <v>213</v>
      </c>
      <c r="H218" s="21">
        <v>7120079</v>
      </c>
      <c r="I218" s="22">
        <v>257</v>
      </c>
      <c r="J218" s="23"/>
      <c r="K218" s="24">
        <v>34692</v>
      </c>
      <c r="L218" s="23">
        <f t="shared" si="22"/>
        <v>264</v>
      </c>
      <c r="M218" s="24">
        <v>6718</v>
      </c>
      <c r="N218" s="25">
        <f t="shared" si="23"/>
        <v>38</v>
      </c>
      <c r="O218" s="24">
        <v>27974</v>
      </c>
      <c r="P218" s="23">
        <f t="shared" si="24"/>
        <v>226</v>
      </c>
      <c r="Q218" s="26"/>
      <c r="R218" s="23">
        <f t="shared" si="25"/>
        <v>0</v>
      </c>
      <c r="S218" s="27" t="s">
        <v>18</v>
      </c>
      <c r="T218" s="19" t="s">
        <v>258</v>
      </c>
    </row>
    <row r="219" spans="1:20" ht="37.5" customHeight="1" x14ac:dyDescent="0.25">
      <c r="A219" s="19" t="s">
        <v>259</v>
      </c>
      <c r="B219">
        <f t="shared" si="26"/>
        <v>64415</v>
      </c>
      <c r="C219">
        <v>12620</v>
      </c>
      <c r="D219">
        <v>51795</v>
      </c>
      <c r="F219">
        <f t="shared" si="27"/>
        <v>245</v>
      </c>
      <c r="G219" s="20">
        <f t="shared" si="28"/>
        <v>214</v>
      </c>
      <c r="H219" s="21">
        <v>2307120025</v>
      </c>
      <c r="I219" s="22">
        <v>258</v>
      </c>
      <c r="J219" s="23"/>
      <c r="K219" s="24">
        <v>64170</v>
      </c>
      <c r="L219" s="23">
        <f t="shared" si="22"/>
        <v>245</v>
      </c>
      <c r="M219" s="24">
        <v>12577</v>
      </c>
      <c r="N219" s="25">
        <f t="shared" si="23"/>
        <v>43</v>
      </c>
      <c r="O219" s="24">
        <v>51593</v>
      </c>
      <c r="P219" s="23">
        <f t="shared" si="24"/>
        <v>202</v>
      </c>
      <c r="Q219" s="26"/>
      <c r="R219" s="23">
        <f t="shared" si="25"/>
        <v>0</v>
      </c>
      <c r="S219" s="27" t="s">
        <v>18</v>
      </c>
      <c r="T219" s="19" t="s">
        <v>259</v>
      </c>
    </row>
    <row r="220" spans="1:20" ht="37.5" customHeight="1" x14ac:dyDescent="0.25">
      <c r="A220" s="19" t="s">
        <v>260</v>
      </c>
      <c r="B220">
        <f t="shared" si="26"/>
        <v>20901</v>
      </c>
      <c r="C220">
        <v>2745</v>
      </c>
      <c r="D220">
        <v>18156</v>
      </c>
      <c r="F220">
        <f t="shared" si="27"/>
        <v>418</v>
      </c>
      <c r="G220" s="20">
        <f t="shared" si="28"/>
        <v>215</v>
      </c>
      <c r="H220" s="21">
        <v>88819030415</v>
      </c>
      <c r="I220" s="22">
        <v>259</v>
      </c>
      <c r="J220" s="23"/>
      <c r="K220" s="24">
        <v>20483</v>
      </c>
      <c r="L220" s="23">
        <f t="shared" si="22"/>
        <v>418</v>
      </c>
      <c r="M220" s="24">
        <v>2685</v>
      </c>
      <c r="N220" s="25">
        <f t="shared" si="23"/>
        <v>60</v>
      </c>
      <c r="O220" s="24">
        <v>17798</v>
      </c>
      <c r="P220" s="23">
        <f t="shared" si="24"/>
        <v>358</v>
      </c>
      <c r="Q220" s="26"/>
      <c r="R220" s="23">
        <f t="shared" si="25"/>
        <v>0</v>
      </c>
      <c r="S220" s="27" t="s">
        <v>18</v>
      </c>
      <c r="T220" s="19" t="s">
        <v>260</v>
      </c>
    </row>
    <row r="221" spans="1:20" ht="37.5" customHeight="1" x14ac:dyDescent="0.25">
      <c r="A221" s="19" t="s">
        <v>261</v>
      </c>
      <c r="B221">
        <f t="shared" si="26"/>
        <v>62258</v>
      </c>
      <c r="C221">
        <v>11597</v>
      </c>
      <c r="D221">
        <v>50661</v>
      </c>
      <c r="F221">
        <f t="shared" si="27"/>
        <v>413</v>
      </c>
      <c r="G221" s="20">
        <f t="shared" si="28"/>
        <v>216</v>
      </c>
      <c r="H221" s="21">
        <v>2309050078</v>
      </c>
      <c r="I221" s="22">
        <v>260</v>
      </c>
      <c r="J221" s="23"/>
      <c r="K221" s="24">
        <v>61845</v>
      </c>
      <c r="L221" s="23">
        <f t="shared" si="22"/>
        <v>413</v>
      </c>
      <c r="M221" s="24">
        <v>11517</v>
      </c>
      <c r="N221" s="25">
        <f t="shared" si="23"/>
        <v>80</v>
      </c>
      <c r="O221" s="24">
        <v>50328</v>
      </c>
      <c r="P221" s="23">
        <f t="shared" si="24"/>
        <v>333</v>
      </c>
      <c r="Q221" s="26"/>
      <c r="R221" s="23">
        <f t="shared" si="25"/>
        <v>0</v>
      </c>
      <c r="S221" s="27" t="s">
        <v>18</v>
      </c>
      <c r="T221" s="19" t="s">
        <v>261</v>
      </c>
    </row>
    <row r="222" spans="1:20" ht="37.5" customHeight="1" x14ac:dyDescent="0.25">
      <c r="A222" s="19" t="s">
        <v>262</v>
      </c>
      <c r="B222">
        <f t="shared" si="26"/>
        <v>1592</v>
      </c>
      <c r="C222">
        <v>429</v>
      </c>
      <c r="D222">
        <v>1163</v>
      </c>
      <c r="E222">
        <v>3270</v>
      </c>
      <c r="F222">
        <f t="shared" si="27"/>
        <v>222</v>
      </c>
      <c r="G222" s="20">
        <f t="shared" si="28"/>
        <v>217</v>
      </c>
      <c r="H222" s="21">
        <v>99624040391</v>
      </c>
      <c r="I222" s="22">
        <v>261</v>
      </c>
      <c r="J222" s="23"/>
      <c r="K222" s="24">
        <f>M222+O222</f>
        <v>1370</v>
      </c>
      <c r="L222" s="23">
        <f t="shared" si="22"/>
        <v>222</v>
      </c>
      <c r="M222" s="24">
        <v>364</v>
      </c>
      <c r="N222" s="25">
        <f t="shared" si="23"/>
        <v>65</v>
      </c>
      <c r="O222" s="24">
        <v>1006</v>
      </c>
      <c r="P222" s="23">
        <f t="shared" si="24"/>
        <v>157</v>
      </c>
      <c r="Q222" s="26">
        <v>2510</v>
      </c>
      <c r="R222" s="23">
        <f t="shared" si="25"/>
        <v>760</v>
      </c>
      <c r="S222" s="27" t="s">
        <v>18</v>
      </c>
      <c r="T222" s="19" t="s">
        <v>262</v>
      </c>
    </row>
    <row r="223" spans="1:20" ht="37.5" customHeight="1" x14ac:dyDescent="0.25">
      <c r="A223" s="19" t="s">
        <v>263</v>
      </c>
      <c r="B223">
        <f t="shared" si="26"/>
        <v>94638</v>
      </c>
      <c r="C223">
        <v>15865</v>
      </c>
      <c r="D223">
        <v>78773</v>
      </c>
      <c r="F223">
        <f t="shared" si="27"/>
        <v>362</v>
      </c>
      <c r="G223" s="20">
        <f t="shared" si="28"/>
        <v>218</v>
      </c>
      <c r="H223" s="21">
        <v>23015010574</v>
      </c>
      <c r="I223" s="22">
        <v>262</v>
      </c>
      <c r="J223" s="23"/>
      <c r="K223" s="24">
        <v>94276</v>
      </c>
      <c r="L223" s="23">
        <f t="shared" si="22"/>
        <v>362</v>
      </c>
      <c r="M223" s="24">
        <v>15804</v>
      </c>
      <c r="N223" s="25">
        <f t="shared" si="23"/>
        <v>61</v>
      </c>
      <c r="O223" s="24">
        <v>78472</v>
      </c>
      <c r="P223" s="23">
        <f t="shared" si="24"/>
        <v>301</v>
      </c>
      <c r="Q223" s="26"/>
      <c r="R223" s="23">
        <f t="shared" si="25"/>
        <v>0</v>
      </c>
      <c r="S223" s="27" t="s">
        <v>18</v>
      </c>
      <c r="T223" s="19" t="s">
        <v>263</v>
      </c>
    </row>
    <row r="224" spans="1:20" ht="37.5" customHeight="1" x14ac:dyDescent="0.25">
      <c r="A224" s="19" t="s">
        <v>264</v>
      </c>
      <c r="B224">
        <v>68663</v>
      </c>
      <c r="C224" s="36"/>
      <c r="D224" s="36"/>
      <c r="F224">
        <f t="shared" si="27"/>
        <v>463</v>
      </c>
      <c r="G224" s="20">
        <f t="shared" si="28"/>
        <v>219</v>
      </c>
      <c r="H224" s="21">
        <v>23012110068</v>
      </c>
      <c r="I224" s="22">
        <v>263</v>
      </c>
      <c r="J224" s="23"/>
      <c r="K224" s="24">
        <v>68200</v>
      </c>
      <c r="L224" s="23">
        <f t="shared" si="22"/>
        <v>463</v>
      </c>
      <c r="M224" s="24"/>
      <c r="N224" s="25">
        <f t="shared" si="23"/>
        <v>0</v>
      </c>
      <c r="O224" s="24"/>
      <c r="P224" s="23">
        <f t="shared" si="24"/>
        <v>0</v>
      </c>
      <c r="Q224" s="26"/>
      <c r="R224" s="23">
        <f t="shared" si="25"/>
        <v>0</v>
      </c>
      <c r="S224" s="27" t="s">
        <v>18</v>
      </c>
      <c r="T224" s="19" t="s">
        <v>264</v>
      </c>
    </row>
    <row r="225" spans="1:20" ht="37.5" customHeight="1" x14ac:dyDescent="0.25">
      <c r="A225" s="19" t="s">
        <v>265</v>
      </c>
      <c r="B225">
        <f t="shared" si="26"/>
        <v>7944</v>
      </c>
      <c r="C225">
        <v>1443</v>
      </c>
      <c r="D225">
        <v>6501</v>
      </c>
      <c r="E225">
        <v>8378</v>
      </c>
      <c r="F225">
        <f t="shared" si="27"/>
        <v>167</v>
      </c>
      <c r="G225" s="20">
        <f t="shared" si="28"/>
        <v>220</v>
      </c>
      <c r="H225" s="21">
        <v>99723060045</v>
      </c>
      <c r="I225" s="22">
        <v>264</v>
      </c>
      <c r="J225" s="23"/>
      <c r="K225" s="24">
        <f>M225+O225</f>
        <v>7777</v>
      </c>
      <c r="L225" s="23">
        <f t="shared" si="22"/>
        <v>167</v>
      </c>
      <c r="M225" s="24">
        <v>1408</v>
      </c>
      <c r="N225" s="25">
        <f t="shared" si="23"/>
        <v>35</v>
      </c>
      <c r="O225" s="24">
        <v>6369</v>
      </c>
      <c r="P225" s="23">
        <f t="shared" si="24"/>
        <v>132</v>
      </c>
      <c r="Q225" s="26">
        <v>7765</v>
      </c>
      <c r="R225" s="23">
        <f t="shared" si="25"/>
        <v>613</v>
      </c>
      <c r="S225" s="27" t="s">
        <v>18</v>
      </c>
      <c r="T225" s="19" t="s">
        <v>265</v>
      </c>
    </row>
    <row r="226" spans="1:20" ht="37.5" customHeight="1" x14ac:dyDescent="0.25">
      <c r="A226" s="19" t="s">
        <v>266</v>
      </c>
      <c r="B226">
        <f t="shared" si="26"/>
        <v>115458</v>
      </c>
      <c r="C226">
        <v>20581</v>
      </c>
      <c r="D226">
        <v>94877</v>
      </c>
      <c r="F226">
        <f t="shared" si="27"/>
        <v>752</v>
      </c>
      <c r="G226" s="20">
        <f t="shared" si="28"/>
        <v>221</v>
      </c>
      <c r="H226" s="21">
        <v>23012110181</v>
      </c>
      <c r="I226" s="22">
        <v>265</v>
      </c>
      <c r="J226" s="23"/>
      <c r="K226" s="24">
        <v>114706</v>
      </c>
      <c r="L226" s="23">
        <f t="shared" si="22"/>
        <v>752</v>
      </c>
      <c r="M226" s="24">
        <v>20445</v>
      </c>
      <c r="N226" s="25">
        <f t="shared" si="23"/>
        <v>136</v>
      </c>
      <c r="O226" s="24">
        <v>94261</v>
      </c>
      <c r="P226" s="23">
        <f t="shared" si="24"/>
        <v>616</v>
      </c>
      <c r="Q226" s="26"/>
      <c r="R226" s="23">
        <f t="shared" si="25"/>
        <v>0</v>
      </c>
      <c r="S226" s="27" t="s">
        <v>18</v>
      </c>
      <c r="T226" s="19" t="s">
        <v>266</v>
      </c>
    </row>
    <row r="227" spans="1:20" ht="37.5" customHeight="1" x14ac:dyDescent="0.25">
      <c r="A227" s="19" t="s">
        <v>267</v>
      </c>
      <c r="B227">
        <f t="shared" si="26"/>
        <v>31432</v>
      </c>
      <c r="C227">
        <v>4712</v>
      </c>
      <c r="D227">
        <v>26720</v>
      </c>
      <c r="F227">
        <f t="shared" si="27"/>
        <v>276</v>
      </c>
      <c r="G227" s="20">
        <f t="shared" si="28"/>
        <v>222</v>
      </c>
      <c r="H227" s="21">
        <v>66617010109</v>
      </c>
      <c r="I227" s="22">
        <v>267</v>
      </c>
      <c r="J227" s="23"/>
      <c r="K227" s="24">
        <v>31156</v>
      </c>
      <c r="L227" s="23">
        <f t="shared" si="22"/>
        <v>276</v>
      </c>
      <c r="M227" s="24">
        <v>4672</v>
      </c>
      <c r="N227" s="25">
        <f t="shared" si="23"/>
        <v>40</v>
      </c>
      <c r="O227" s="24">
        <v>26484</v>
      </c>
      <c r="P227" s="23">
        <f t="shared" si="24"/>
        <v>236</v>
      </c>
      <c r="Q227" s="26"/>
      <c r="R227" s="23">
        <f t="shared" si="25"/>
        <v>0</v>
      </c>
      <c r="S227" s="27" t="s">
        <v>18</v>
      </c>
      <c r="T227" s="19" t="s">
        <v>267</v>
      </c>
    </row>
    <row r="228" spans="1:20" ht="37.5" customHeight="1" x14ac:dyDescent="0.25">
      <c r="A228" s="19" t="s">
        <v>268</v>
      </c>
      <c r="B228">
        <f t="shared" si="26"/>
        <v>1677</v>
      </c>
      <c r="C228">
        <v>424</v>
      </c>
      <c r="D228">
        <v>1253</v>
      </c>
      <c r="E228">
        <v>1791</v>
      </c>
      <c r="F228">
        <f t="shared" si="27"/>
        <v>534</v>
      </c>
      <c r="G228" s="20">
        <f t="shared" si="28"/>
        <v>223</v>
      </c>
      <c r="H228" s="21">
        <v>99624050041</v>
      </c>
      <c r="I228" s="22">
        <v>268</v>
      </c>
      <c r="J228" s="23"/>
      <c r="K228" s="24">
        <f>M228+O228</f>
        <v>1143</v>
      </c>
      <c r="L228" s="23">
        <f t="shared" si="22"/>
        <v>534</v>
      </c>
      <c r="M228" s="24">
        <v>297</v>
      </c>
      <c r="N228" s="25">
        <f t="shared" si="23"/>
        <v>127</v>
      </c>
      <c r="O228" s="24">
        <v>846</v>
      </c>
      <c r="P228" s="23">
        <f t="shared" si="24"/>
        <v>407</v>
      </c>
      <c r="Q228" s="26">
        <v>1359</v>
      </c>
      <c r="R228" s="23">
        <f t="shared" si="25"/>
        <v>432</v>
      </c>
      <c r="S228" s="27" t="s">
        <v>18</v>
      </c>
      <c r="T228" s="19" t="s">
        <v>268</v>
      </c>
    </row>
    <row r="229" spans="1:20" ht="37.5" customHeight="1" x14ac:dyDescent="0.25">
      <c r="A229" s="19" t="s">
        <v>269</v>
      </c>
      <c r="B229">
        <f t="shared" si="26"/>
        <v>17828</v>
      </c>
      <c r="C229">
        <v>2046</v>
      </c>
      <c r="D229">
        <v>15782</v>
      </c>
      <c r="F229">
        <f t="shared" si="27"/>
        <v>452</v>
      </c>
      <c r="G229" s="20">
        <f t="shared" si="28"/>
        <v>224</v>
      </c>
      <c r="H229" s="21">
        <v>66622040326</v>
      </c>
      <c r="I229" s="22">
        <v>269</v>
      </c>
      <c r="J229" s="23"/>
      <c r="K229" s="24">
        <v>17376</v>
      </c>
      <c r="L229" s="23">
        <f t="shared" si="22"/>
        <v>452</v>
      </c>
      <c r="M229" s="24">
        <v>1976</v>
      </c>
      <c r="N229" s="25">
        <f t="shared" si="23"/>
        <v>70</v>
      </c>
      <c r="O229" s="24">
        <v>15400</v>
      </c>
      <c r="P229" s="23">
        <f t="shared" si="24"/>
        <v>382</v>
      </c>
      <c r="Q229" s="26"/>
      <c r="R229" s="23">
        <f t="shared" si="25"/>
        <v>0</v>
      </c>
      <c r="S229" s="27" t="s">
        <v>18</v>
      </c>
      <c r="T229" s="19" t="s">
        <v>269</v>
      </c>
    </row>
    <row r="230" spans="1:20" ht="37.5" customHeight="1" x14ac:dyDescent="0.25">
      <c r="A230" s="19" t="s">
        <v>270</v>
      </c>
      <c r="B230">
        <f t="shared" si="26"/>
        <v>21057</v>
      </c>
      <c r="C230">
        <v>2900</v>
      </c>
      <c r="D230">
        <v>18157</v>
      </c>
      <c r="F230">
        <f t="shared" si="27"/>
        <v>403</v>
      </c>
      <c r="G230" s="20">
        <f t="shared" si="28"/>
        <v>225</v>
      </c>
      <c r="H230" s="21">
        <v>66617010096</v>
      </c>
      <c r="I230" s="22">
        <v>270</v>
      </c>
      <c r="J230" s="23"/>
      <c r="K230" s="24">
        <v>20654</v>
      </c>
      <c r="L230" s="23">
        <f t="shared" si="22"/>
        <v>403</v>
      </c>
      <c r="M230" s="24">
        <v>2837</v>
      </c>
      <c r="N230" s="25">
        <f t="shared" si="23"/>
        <v>63</v>
      </c>
      <c r="O230" s="24">
        <v>17817</v>
      </c>
      <c r="P230" s="23">
        <f t="shared" si="24"/>
        <v>340</v>
      </c>
      <c r="Q230" s="26"/>
      <c r="R230" s="23">
        <f t="shared" si="25"/>
        <v>0</v>
      </c>
      <c r="S230" s="27" t="s">
        <v>18</v>
      </c>
      <c r="T230" s="19" t="s">
        <v>270</v>
      </c>
    </row>
    <row r="231" spans="1:20" ht="37.5" customHeight="1" x14ac:dyDescent="0.25">
      <c r="A231" s="19" t="s">
        <v>271</v>
      </c>
      <c r="B231">
        <f t="shared" si="26"/>
        <v>17500</v>
      </c>
      <c r="C231">
        <v>2496</v>
      </c>
      <c r="D231">
        <v>15004</v>
      </c>
      <c r="F231">
        <f t="shared" si="27"/>
        <v>130</v>
      </c>
      <c r="G231" s="20">
        <f t="shared" si="28"/>
        <v>226</v>
      </c>
      <c r="H231" s="21">
        <v>88819030465</v>
      </c>
      <c r="I231" s="22">
        <v>271</v>
      </c>
      <c r="J231" s="23"/>
      <c r="K231" s="24">
        <v>17370</v>
      </c>
      <c r="L231" s="23">
        <f t="shared" si="22"/>
        <v>130</v>
      </c>
      <c r="M231" s="24">
        <v>2477</v>
      </c>
      <c r="N231" s="25">
        <f t="shared" si="23"/>
        <v>19</v>
      </c>
      <c r="O231" s="24">
        <v>14893</v>
      </c>
      <c r="P231" s="23">
        <f t="shared" si="24"/>
        <v>111</v>
      </c>
      <c r="Q231" s="26"/>
      <c r="R231" s="23">
        <f t="shared" si="25"/>
        <v>0</v>
      </c>
      <c r="S231" s="27" t="s">
        <v>18</v>
      </c>
      <c r="T231" s="19" t="s">
        <v>271</v>
      </c>
    </row>
    <row r="232" spans="1:20" ht="37.5" customHeight="1" x14ac:dyDescent="0.25">
      <c r="A232" s="19" t="s">
        <v>272</v>
      </c>
      <c r="B232">
        <f t="shared" si="26"/>
        <v>20546</v>
      </c>
      <c r="C232">
        <v>2738</v>
      </c>
      <c r="D232">
        <v>17808</v>
      </c>
      <c r="F232">
        <f t="shared" si="27"/>
        <v>148</v>
      </c>
      <c r="G232" s="20">
        <f t="shared" si="28"/>
        <v>227</v>
      </c>
      <c r="H232" s="21">
        <v>23012070200</v>
      </c>
      <c r="I232" s="22">
        <v>273</v>
      </c>
      <c r="J232" s="23"/>
      <c r="K232" s="24">
        <v>20398</v>
      </c>
      <c r="L232" s="23">
        <f t="shared" si="22"/>
        <v>148</v>
      </c>
      <c r="M232" s="24">
        <v>2719</v>
      </c>
      <c r="N232" s="25">
        <f t="shared" si="23"/>
        <v>19</v>
      </c>
      <c r="O232" s="24">
        <v>17679</v>
      </c>
      <c r="P232" s="23">
        <f t="shared" si="24"/>
        <v>129</v>
      </c>
      <c r="Q232" s="26"/>
      <c r="R232" s="23">
        <f t="shared" si="25"/>
        <v>0</v>
      </c>
      <c r="S232" s="27" t="s">
        <v>18</v>
      </c>
      <c r="T232" s="19" t="s">
        <v>272</v>
      </c>
    </row>
    <row r="233" spans="1:20" ht="37.5" customHeight="1" x14ac:dyDescent="0.25">
      <c r="A233" s="19" t="s">
        <v>273</v>
      </c>
      <c r="B233">
        <f t="shared" si="26"/>
        <v>33576</v>
      </c>
      <c r="C233">
        <v>4208</v>
      </c>
      <c r="D233">
        <v>29368</v>
      </c>
      <c r="F233">
        <f t="shared" si="27"/>
        <v>581</v>
      </c>
      <c r="G233" s="20">
        <f t="shared" si="28"/>
        <v>228</v>
      </c>
      <c r="H233" s="21">
        <v>66621100151</v>
      </c>
      <c r="I233" s="22">
        <v>274</v>
      </c>
      <c r="J233" s="23"/>
      <c r="K233" s="24">
        <v>32995</v>
      </c>
      <c r="L233" s="23">
        <f t="shared" si="22"/>
        <v>581</v>
      </c>
      <c r="M233" s="24">
        <v>4130</v>
      </c>
      <c r="N233" s="25">
        <f t="shared" si="23"/>
        <v>78</v>
      </c>
      <c r="O233" s="24">
        <v>28865</v>
      </c>
      <c r="P233" s="23">
        <f t="shared" si="24"/>
        <v>503</v>
      </c>
      <c r="Q233" s="26"/>
      <c r="R233" s="23">
        <f t="shared" si="25"/>
        <v>0</v>
      </c>
      <c r="S233" s="27" t="s">
        <v>18</v>
      </c>
      <c r="T233" s="19" t="s">
        <v>273</v>
      </c>
    </row>
    <row r="234" spans="1:20" ht="37.5" customHeight="1" x14ac:dyDescent="0.25">
      <c r="A234" s="19" t="s">
        <v>274</v>
      </c>
      <c r="B234">
        <f t="shared" si="26"/>
        <v>6027</v>
      </c>
      <c r="C234">
        <v>1205</v>
      </c>
      <c r="D234">
        <v>4822</v>
      </c>
      <c r="F234">
        <f t="shared" si="27"/>
        <v>456</v>
      </c>
      <c r="G234" s="20">
        <f t="shared" si="28"/>
        <v>229</v>
      </c>
      <c r="H234" s="21">
        <v>66623011255</v>
      </c>
      <c r="I234" s="22">
        <v>275</v>
      </c>
      <c r="J234" s="23"/>
      <c r="K234" s="24">
        <v>5571</v>
      </c>
      <c r="L234" s="23">
        <f t="shared" si="22"/>
        <v>456</v>
      </c>
      <c r="M234" s="24">
        <v>1121</v>
      </c>
      <c r="N234" s="25">
        <f t="shared" si="23"/>
        <v>84</v>
      </c>
      <c r="O234" s="24">
        <v>4450</v>
      </c>
      <c r="P234" s="23">
        <f t="shared" si="24"/>
        <v>372</v>
      </c>
      <c r="Q234" s="26"/>
      <c r="R234" s="23">
        <f t="shared" si="25"/>
        <v>0</v>
      </c>
      <c r="S234" s="27" t="s">
        <v>18</v>
      </c>
      <c r="T234" s="19" t="s">
        <v>274</v>
      </c>
    </row>
    <row r="235" spans="1:20" ht="37.5" customHeight="1" x14ac:dyDescent="0.25">
      <c r="A235" s="19" t="s">
        <v>275</v>
      </c>
      <c r="B235">
        <f t="shared" si="26"/>
        <v>10559</v>
      </c>
      <c r="C235">
        <v>1962</v>
      </c>
      <c r="D235">
        <v>8597</v>
      </c>
      <c r="F235">
        <f t="shared" si="27"/>
        <v>329</v>
      </c>
      <c r="G235" s="20">
        <f t="shared" si="28"/>
        <v>230</v>
      </c>
      <c r="H235" s="21">
        <v>66622040618</v>
      </c>
      <c r="I235" s="22">
        <v>276</v>
      </c>
      <c r="J235" s="23"/>
      <c r="K235" s="24">
        <v>10230</v>
      </c>
      <c r="L235" s="23">
        <f t="shared" si="22"/>
        <v>329</v>
      </c>
      <c r="M235" s="24">
        <v>1913</v>
      </c>
      <c r="N235" s="25">
        <f t="shared" si="23"/>
        <v>49</v>
      </c>
      <c r="O235" s="24">
        <v>8317</v>
      </c>
      <c r="P235" s="23">
        <f t="shared" si="24"/>
        <v>280</v>
      </c>
      <c r="Q235" s="26"/>
      <c r="R235" s="23">
        <f t="shared" si="25"/>
        <v>0</v>
      </c>
      <c r="S235" s="27" t="s">
        <v>18</v>
      </c>
      <c r="T235" s="19" t="s">
        <v>275</v>
      </c>
    </row>
    <row r="236" spans="1:20" ht="37.5" customHeight="1" x14ac:dyDescent="0.25">
      <c r="A236" s="19" t="s">
        <v>276</v>
      </c>
      <c r="B236">
        <f t="shared" si="26"/>
        <v>79889</v>
      </c>
      <c r="C236">
        <v>21390</v>
      </c>
      <c r="D236">
        <v>58499</v>
      </c>
      <c r="F236">
        <f t="shared" si="27"/>
        <v>420</v>
      </c>
      <c r="G236" s="20">
        <f t="shared" si="28"/>
        <v>231</v>
      </c>
      <c r="H236" s="21">
        <v>23010020024</v>
      </c>
      <c r="I236" s="22">
        <v>277</v>
      </c>
      <c r="J236" s="23"/>
      <c r="K236" s="24">
        <v>79469</v>
      </c>
      <c r="L236" s="23">
        <f t="shared" si="22"/>
        <v>420</v>
      </c>
      <c r="M236" s="24">
        <v>21326</v>
      </c>
      <c r="N236" s="25">
        <f t="shared" si="23"/>
        <v>64</v>
      </c>
      <c r="O236" s="24">
        <v>58143</v>
      </c>
      <c r="P236" s="23">
        <f t="shared" si="24"/>
        <v>356</v>
      </c>
      <c r="Q236" s="26"/>
      <c r="R236" s="23">
        <f t="shared" si="25"/>
        <v>0</v>
      </c>
      <c r="S236" s="27" t="s">
        <v>18</v>
      </c>
      <c r="T236" s="19" t="s">
        <v>276</v>
      </c>
    </row>
    <row r="237" spans="1:20" ht="37.5" customHeight="1" x14ac:dyDescent="0.25">
      <c r="A237" s="19" t="s">
        <v>277</v>
      </c>
      <c r="B237">
        <f t="shared" si="26"/>
        <v>45354</v>
      </c>
      <c r="C237">
        <v>7379</v>
      </c>
      <c r="D237">
        <v>37975</v>
      </c>
      <c r="F237">
        <f t="shared" si="27"/>
        <v>304</v>
      </c>
      <c r="G237" s="20">
        <f t="shared" si="28"/>
        <v>232</v>
      </c>
      <c r="H237" s="21">
        <v>66616020073</v>
      </c>
      <c r="I237" s="22">
        <v>279</v>
      </c>
      <c r="J237" s="23"/>
      <c r="K237" s="24">
        <v>45050</v>
      </c>
      <c r="L237" s="23">
        <f t="shared" si="22"/>
        <v>304</v>
      </c>
      <c r="M237" s="24">
        <v>7314</v>
      </c>
      <c r="N237" s="25">
        <f t="shared" si="23"/>
        <v>65</v>
      </c>
      <c r="O237" s="24">
        <v>37736</v>
      </c>
      <c r="P237" s="23">
        <f t="shared" si="24"/>
        <v>239</v>
      </c>
      <c r="Q237" s="26"/>
      <c r="R237" s="23">
        <f t="shared" si="25"/>
        <v>0</v>
      </c>
      <c r="S237" s="27" t="s">
        <v>18</v>
      </c>
      <c r="T237" s="19" t="s">
        <v>277</v>
      </c>
    </row>
    <row r="238" spans="1:20" ht="37.5" customHeight="1" x14ac:dyDescent="0.25">
      <c r="A238" s="19" t="s">
        <v>278</v>
      </c>
      <c r="B238">
        <f t="shared" si="26"/>
        <v>16423</v>
      </c>
      <c r="C238">
        <v>3044</v>
      </c>
      <c r="D238">
        <v>13379</v>
      </c>
      <c r="E238">
        <v>16904</v>
      </c>
      <c r="F238">
        <f t="shared" si="27"/>
        <v>629</v>
      </c>
      <c r="G238" s="20">
        <f t="shared" si="28"/>
        <v>233</v>
      </c>
      <c r="H238" s="21">
        <v>99622050095</v>
      </c>
      <c r="I238" s="22">
        <v>280</v>
      </c>
      <c r="J238" s="23"/>
      <c r="K238" s="24">
        <f>M238+O238</f>
        <v>15794</v>
      </c>
      <c r="L238" s="23">
        <f t="shared" si="22"/>
        <v>629</v>
      </c>
      <c r="M238" s="24">
        <v>2914</v>
      </c>
      <c r="N238" s="25">
        <f t="shared" si="23"/>
        <v>130</v>
      </c>
      <c r="O238" s="24">
        <v>12880</v>
      </c>
      <c r="P238" s="23">
        <f t="shared" si="24"/>
        <v>499</v>
      </c>
      <c r="Q238" s="26">
        <v>16120</v>
      </c>
      <c r="R238" s="23">
        <f t="shared" si="25"/>
        <v>784</v>
      </c>
      <c r="S238" s="27" t="s">
        <v>18</v>
      </c>
      <c r="T238" s="19" t="s">
        <v>278</v>
      </c>
    </row>
    <row r="239" spans="1:20" ht="37.5" customHeight="1" x14ac:dyDescent="0.25">
      <c r="A239" s="19" t="s">
        <v>279</v>
      </c>
      <c r="B239">
        <f t="shared" si="26"/>
        <v>18826</v>
      </c>
      <c r="C239">
        <v>3329</v>
      </c>
      <c r="D239">
        <v>15497</v>
      </c>
      <c r="F239">
        <f t="shared" si="27"/>
        <v>485</v>
      </c>
      <c r="G239" s="20">
        <f t="shared" si="28"/>
        <v>234</v>
      </c>
      <c r="H239" s="21">
        <v>66621070403</v>
      </c>
      <c r="I239" s="22">
        <v>281</v>
      </c>
      <c r="J239" s="23"/>
      <c r="K239" s="24">
        <v>18341</v>
      </c>
      <c r="L239" s="23">
        <f t="shared" si="22"/>
        <v>485</v>
      </c>
      <c r="M239" s="24"/>
      <c r="N239" s="25">
        <f t="shared" si="23"/>
        <v>3329</v>
      </c>
      <c r="O239" s="24"/>
      <c r="P239" s="23">
        <f t="shared" si="24"/>
        <v>15497</v>
      </c>
      <c r="Q239" s="26"/>
      <c r="R239" s="23">
        <f t="shared" si="25"/>
        <v>0</v>
      </c>
      <c r="S239" s="27" t="s">
        <v>18</v>
      </c>
      <c r="T239" s="19" t="s">
        <v>279</v>
      </c>
    </row>
    <row r="240" spans="1:20" ht="37.5" customHeight="1" x14ac:dyDescent="0.25">
      <c r="A240" s="19" t="s">
        <v>280</v>
      </c>
      <c r="B240">
        <f t="shared" si="26"/>
        <v>17140</v>
      </c>
      <c r="C240">
        <v>2291</v>
      </c>
      <c r="D240">
        <v>14849</v>
      </c>
      <c r="F240">
        <f t="shared" si="27"/>
        <v>325</v>
      </c>
      <c r="G240" s="20">
        <f t="shared" si="28"/>
        <v>235</v>
      </c>
      <c r="H240" s="21">
        <v>23009070172</v>
      </c>
      <c r="I240" s="22">
        <v>282</v>
      </c>
      <c r="J240" s="23"/>
      <c r="K240" s="24">
        <v>16815</v>
      </c>
      <c r="L240" s="23">
        <f t="shared" si="22"/>
        <v>325</v>
      </c>
      <c r="M240" s="24">
        <v>2235</v>
      </c>
      <c r="N240" s="25">
        <f t="shared" si="23"/>
        <v>56</v>
      </c>
      <c r="O240" s="24">
        <v>14580</v>
      </c>
      <c r="P240" s="23">
        <f t="shared" si="24"/>
        <v>269</v>
      </c>
      <c r="Q240" s="26"/>
      <c r="R240" s="23">
        <f t="shared" si="25"/>
        <v>0</v>
      </c>
      <c r="S240" s="27" t="s">
        <v>18</v>
      </c>
      <c r="T240" s="19" t="s">
        <v>280</v>
      </c>
    </row>
    <row r="241" spans="1:20" ht="37.5" customHeight="1" x14ac:dyDescent="0.25">
      <c r="A241" s="19" t="s">
        <v>281</v>
      </c>
      <c r="B241">
        <f t="shared" si="26"/>
        <v>4738</v>
      </c>
      <c r="C241">
        <v>1050</v>
      </c>
      <c r="D241">
        <v>3688</v>
      </c>
      <c r="E241">
        <v>5052</v>
      </c>
      <c r="F241">
        <f t="shared" si="27"/>
        <v>345</v>
      </c>
      <c r="G241" s="20">
        <f t="shared" si="28"/>
        <v>236</v>
      </c>
      <c r="H241" s="21">
        <v>99624030159</v>
      </c>
      <c r="I241" s="22">
        <v>283</v>
      </c>
      <c r="J241" s="23"/>
      <c r="K241" s="24">
        <f>M241+O241</f>
        <v>4393</v>
      </c>
      <c r="L241" s="23">
        <f t="shared" si="22"/>
        <v>345</v>
      </c>
      <c r="M241" s="24">
        <v>965</v>
      </c>
      <c r="N241" s="25">
        <f t="shared" si="23"/>
        <v>85</v>
      </c>
      <c r="O241" s="24">
        <v>3428</v>
      </c>
      <c r="P241" s="23">
        <f t="shared" si="24"/>
        <v>260</v>
      </c>
      <c r="Q241" s="26">
        <v>4109</v>
      </c>
      <c r="R241" s="23">
        <f t="shared" si="25"/>
        <v>943</v>
      </c>
      <c r="S241" s="27" t="s">
        <v>18</v>
      </c>
      <c r="T241" s="19" t="s">
        <v>281</v>
      </c>
    </row>
    <row r="242" spans="1:20" ht="37.5" customHeight="1" x14ac:dyDescent="0.25">
      <c r="A242" s="19" t="s">
        <v>282</v>
      </c>
      <c r="B242">
        <f t="shared" si="26"/>
        <v>6076</v>
      </c>
      <c r="C242">
        <v>1386</v>
      </c>
      <c r="D242">
        <v>4690</v>
      </c>
      <c r="E242">
        <v>5956</v>
      </c>
      <c r="F242">
        <f t="shared" si="27"/>
        <v>363</v>
      </c>
      <c r="G242" s="20">
        <f t="shared" si="28"/>
        <v>237</v>
      </c>
      <c r="H242" s="21">
        <v>99624010271</v>
      </c>
      <c r="I242" s="22">
        <v>284</v>
      </c>
      <c r="J242" s="23"/>
      <c r="K242" s="24">
        <f>M242+O242</f>
        <v>5713</v>
      </c>
      <c r="L242" s="23">
        <f t="shared" si="22"/>
        <v>363</v>
      </c>
      <c r="M242" s="24">
        <v>1316</v>
      </c>
      <c r="N242" s="25">
        <f t="shared" si="23"/>
        <v>70</v>
      </c>
      <c r="O242" s="24">
        <v>4397</v>
      </c>
      <c r="P242" s="23">
        <f t="shared" si="24"/>
        <v>293</v>
      </c>
      <c r="Q242" s="26">
        <v>5280</v>
      </c>
      <c r="R242" s="23">
        <f t="shared" si="25"/>
        <v>676</v>
      </c>
      <c r="S242" s="27" t="s">
        <v>18</v>
      </c>
      <c r="T242" s="19" t="s">
        <v>282</v>
      </c>
    </row>
    <row r="243" spans="1:20" ht="37.5" customHeight="1" x14ac:dyDescent="0.25">
      <c r="A243" s="19" t="s">
        <v>283</v>
      </c>
      <c r="B243">
        <f t="shared" si="26"/>
        <v>599</v>
      </c>
      <c r="C243">
        <v>77</v>
      </c>
      <c r="D243">
        <v>522</v>
      </c>
      <c r="F243">
        <f t="shared" si="27"/>
        <v>25</v>
      </c>
      <c r="G243" s="20">
        <f t="shared" si="28"/>
        <v>238</v>
      </c>
      <c r="H243" s="21">
        <v>66622010418</v>
      </c>
      <c r="I243" s="22">
        <v>285</v>
      </c>
      <c r="J243" s="23"/>
      <c r="K243" s="24">
        <v>574</v>
      </c>
      <c r="L243" s="23">
        <f t="shared" si="22"/>
        <v>25</v>
      </c>
      <c r="M243" s="24">
        <v>74</v>
      </c>
      <c r="N243" s="25">
        <f t="shared" si="23"/>
        <v>3</v>
      </c>
      <c r="O243" s="24">
        <v>500</v>
      </c>
      <c r="P243" s="23">
        <f t="shared" si="24"/>
        <v>22</v>
      </c>
      <c r="Q243" s="26"/>
      <c r="R243" s="23">
        <f t="shared" si="25"/>
        <v>0</v>
      </c>
      <c r="S243" s="27" t="s">
        <v>18</v>
      </c>
      <c r="T243" s="19" t="s">
        <v>283</v>
      </c>
    </row>
    <row r="244" spans="1:20" ht="37.5" customHeight="1" x14ac:dyDescent="0.25">
      <c r="A244" s="19" t="s">
        <v>284</v>
      </c>
      <c r="B244">
        <f t="shared" si="26"/>
        <v>31733</v>
      </c>
      <c r="C244">
        <v>5241</v>
      </c>
      <c r="D244">
        <v>26492</v>
      </c>
      <c r="F244">
        <f t="shared" si="27"/>
        <v>964</v>
      </c>
      <c r="G244" s="20">
        <f t="shared" si="28"/>
        <v>239</v>
      </c>
      <c r="H244" s="21">
        <v>88818020073</v>
      </c>
      <c r="I244" s="22">
        <v>286</v>
      </c>
      <c r="J244" s="23"/>
      <c r="K244" s="24">
        <v>30769</v>
      </c>
      <c r="L244" s="23">
        <f t="shared" si="22"/>
        <v>964</v>
      </c>
      <c r="M244" s="24">
        <v>5131</v>
      </c>
      <c r="N244" s="25">
        <f t="shared" si="23"/>
        <v>110</v>
      </c>
      <c r="O244" s="24">
        <v>25638</v>
      </c>
      <c r="P244" s="23">
        <f t="shared" si="24"/>
        <v>854</v>
      </c>
      <c r="Q244" s="26"/>
      <c r="R244" s="23">
        <f t="shared" si="25"/>
        <v>0</v>
      </c>
      <c r="S244" s="27" t="s">
        <v>18</v>
      </c>
      <c r="T244" s="19" t="s">
        <v>284</v>
      </c>
    </row>
    <row r="245" spans="1:20" ht="37.5" customHeight="1" x14ac:dyDescent="0.25">
      <c r="A245" s="19" t="s">
        <v>285</v>
      </c>
      <c r="B245">
        <f t="shared" si="26"/>
        <v>33680</v>
      </c>
      <c r="C245">
        <v>4334</v>
      </c>
      <c r="D245">
        <v>29346</v>
      </c>
      <c r="F245">
        <f t="shared" si="27"/>
        <v>365</v>
      </c>
      <c r="G245" s="20">
        <f t="shared" si="28"/>
        <v>240</v>
      </c>
      <c r="H245" s="21">
        <v>6662110127</v>
      </c>
      <c r="I245" s="22">
        <v>287</v>
      </c>
      <c r="J245" s="23"/>
      <c r="K245" s="24">
        <v>33315</v>
      </c>
      <c r="L245" s="23">
        <f t="shared" si="22"/>
        <v>365</v>
      </c>
      <c r="M245" s="24">
        <v>4277</v>
      </c>
      <c r="N245" s="25">
        <f t="shared" si="23"/>
        <v>57</v>
      </c>
      <c r="O245" s="24">
        <v>29038</v>
      </c>
      <c r="P245" s="23">
        <f t="shared" si="24"/>
        <v>308</v>
      </c>
      <c r="Q245" s="26"/>
      <c r="R245" s="23">
        <f t="shared" si="25"/>
        <v>0</v>
      </c>
      <c r="S245" s="27" t="s">
        <v>18</v>
      </c>
      <c r="T245" s="19" t="s">
        <v>285</v>
      </c>
    </row>
    <row r="246" spans="1:20" ht="37.5" customHeight="1" x14ac:dyDescent="0.25">
      <c r="A246" s="19" t="s">
        <v>286</v>
      </c>
      <c r="B246">
        <f t="shared" si="26"/>
        <v>5432</v>
      </c>
      <c r="C246">
        <v>996</v>
      </c>
      <c r="D246">
        <v>4436</v>
      </c>
      <c r="E246">
        <v>11382</v>
      </c>
      <c r="F246">
        <f t="shared" si="27"/>
        <v>248</v>
      </c>
      <c r="G246" s="20">
        <f t="shared" si="28"/>
        <v>241</v>
      </c>
      <c r="H246" s="21">
        <v>99623080138</v>
      </c>
      <c r="I246" s="22">
        <v>289</v>
      </c>
      <c r="J246" s="23"/>
      <c r="K246" s="24">
        <f>M246+O246</f>
        <v>5184</v>
      </c>
      <c r="L246" s="23">
        <f t="shared" si="22"/>
        <v>248</v>
      </c>
      <c r="M246" s="24">
        <v>931</v>
      </c>
      <c r="N246" s="25">
        <f t="shared" si="23"/>
        <v>65</v>
      </c>
      <c r="O246" s="24">
        <v>4253</v>
      </c>
      <c r="P246" s="23">
        <f t="shared" si="24"/>
        <v>183</v>
      </c>
      <c r="Q246" s="26">
        <v>10511</v>
      </c>
      <c r="R246" s="23">
        <f t="shared" si="25"/>
        <v>871</v>
      </c>
      <c r="S246" s="27" t="s">
        <v>18</v>
      </c>
      <c r="T246" s="19" t="s">
        <v>286</v>
      </c>
    </row>
    <row r="247" spans="1:20" ht="37.5" customHeight="1" x14ac:dyDescent="0.25">
      <c r="A247" s="19" t="s">
        <v>287</v>
      </c>
      <c r="B247">
        <f t="shared" si="26"/>
        <v>32598</v>
      </c>
      <c r="C247">
        <v>5419</v>
      </c>
      <c r="D247">
        <v>27179</v>
      </c>
      <c r="F247">
        <f t="shared" si="27"/>
        <v>0</v>
      </c>
      <c r="G247" s="20">
        <f t="shared" si="28"/>
        <v>242</v>
      </c>
      <c r="H247" s="21">
        <v>88820050169</v>
      </c>
      <c r="I247" s="22">
        <v>290</v>
      </c>
      <c r="J247" s="23"/>
      <c r="K247" s="24">
        <v>32598</v>
      </c>
      <c r="L247" s="23">
        <f t="shared" si="22"/>
        <v>0</v>
      </c>
      <c r="M247" s="24">
        <v>5419</v>
      </c>
      <c r="N247" s="25">
        <f t="shared" si="23"/>
        <v>0</v>
      </c>
      <c r="O247" s="24">
        <v>27179</v>
      </c>
      <c r="P247" s="23">
        <f t="shared" si="24"/>
        <v>0</v>
      </c>
      <c r="Q247" s="26"/>
      <c r="R247" s="23">
        <f t="shared" si="25"/>
        <v>0</v>
      </c>
      <c r="S247" s="27" t="s">
        <v>18</v>
      </c>
      <c r="T247" s="19" t="s">
        <v>287</v>
      </c>
    </row>
    <row r="248" spans="1:20" ht="37.5" customHeight="1" x14ac:dyDescent="0.25">
      <c r="A248" s="19" t="s">
        <v>288</v>
      </c>
      <c r="B248">
        <f t="shared" si="26"/>
        <v>382</v>
      </c>
      <c r="C248">
        <v>131</v>
      </c>
      <c r="D248">
        <v>251</v>
      </c>
      <c r="E248">
        <v>2879</v>
      </c>
      <c r="F248">
        <f t="shared" si="27"/>
        <v>171</v>
      </c>
      <c r="G248" s="20">
        <f t="shared" si="28"/>
        <v>243</v>
      </c>
      <c r="H248" s="21">
        <v>99624050246</v>
      </c>
      <c r="I248" s="22">
        <v>291</v>
      </c>
      <c r="J248" s="23"/>
      <c r="K248" s="24">
        <f>M248+O248</f>
        <v>211</v>
      </c>
      <c r="L248" s="23">
        <f t="shared" si="22"/>
        <v>171</v>
      </c>
      <c r="M248" s="24">
        <v>78</v>
      </c>
      <c r="N248" s="25">
        <f t="shared" si="23"/>
        <v>53</v>
      </c>
      <c r="O248" s="24">
        <v>133</v>
      </c>
      <c r="P248" s="23">
        <f t="shared" si="24"/>
        <v>118</v>
      </c>
      <c r="Q248" s="26">
        <v>1805</v>
      </c>
      <c r="R248" s="23">
        <f t="shared" si="25"/>
        <v>1074</v>
      </c>
      <c r="S248" s="27" t="s">
        <v>18</v>
      </c>
      <c r="T248" s="19" t="s">
        <v>288</v>
      </c>
    </row>
    <row r="249" spans="1:20" ht="37.5" customHeight="1" x14ac:dyDescent="0.25">
      <c r="A249" s="19" t="s">
        <v>289</v>
      </c>
      <c r="B249">
        <f t="shared" si="26"/>
        <v>10217</v>
      </c>
      <c r="C249">
        <v>1561</v>
      </c>
      <c r="D249">
        <v>8656</v>
      </c>
      <c r="F249">
        <f t="shared" si="27"/>
        <v>238</v>
      </c>
      <c r="G249" s="20">
        <f t="shared" si="28"/>
        <v>244</v>
      </c>
      <c r="H249" s="21">
        <v>66619040094</v>
      </c>
      <c r="I249" s="22">
        <v>292</v>
      </c>
      <c r="J249" s="23"/>
      <c r="K249" s="24">
        <v>9979</v>
      </c>
      <c r="L249" s="23">
        <f t="shared" si="22"/>
        <v>238</v>
      </c>
      <c r="M249" s="24">
        <v>1522</v>
      </c>
      <c r="N249" s="25">
        <f t="shared" si="23"/>
        <v>39</v>
      </c>
      <c r="O249" s="24">
        <v>8457</v>
      </c>
      <c r="P249" s="23">
        <f t="shared" si="24"/>
        <v>199</v>
      </c>
      <c r="Q249" s="26"/>
      <c r="R249" s="23">
        <f t="shared" si="25"/>
        <v>0</v>
      </c>
      <c r="S249" s="27" t="s">
        <v>18</v>
      </c>
      <c r="T249" s="19" t="s">
        <v>289</v>
      </c>
    </row>
    <row r="250" spans="1:20" ht="37.5" customHeight="1" x14ac:dyDescent="0.25">
      <c r="A250" s="19" t="s">
        <v>290</v>
      </c>
      <c r="B250">
        <f t="shared" si="26"/>
        <v>14443</v>
      </c>
      <c r="C250">
        <v>2584</v>
      </c>
      <c r="D250">
        <v>11859</v>
      </c>
      <c r="F250">
        <f t="shared" si="27"/>
        <v>373</v>
      </c>
      <c r="G250" s="20">
        <f t="shared" si="28"/>
        <v>245</v>
      </c>
      <c r="H250" s="21">
        <v>88820050384</v>
      </c>
      <c r="I250" s="22">
        <v>293</v>
      </c>
      <c r="J250" s="23"/>
      <c r="K250" s="24">
        <v>14070</v>
      </c>
      <c r="L250" s="23">
        <f t="shared" si="22"/>
        <v>373</v>
      </c>
      <c r="M250" s="24">
        <v>2531</v>
      </c>
      <c r="N250" s="25">
        <f t="shared" si="23"/>
        <v>53</v>
      </c>
      <c r="O250" s="24">
        <v>11539</v>
      </c>
      <c r="P250" s="23">
        <f t="shared" si="24"/>
        <v>320</v>
      </c>
      <c r="Q250" s="26"/>
      <c r="R250" s="23">
        <f t="shared" si="25"/>
        <v>0</v>
      </c>
      <c r="S250" s="27" t="s">
        <v>18</v>
      </c>
      <c r="T250" s="19" t="s">
        <v>290</v>
      </c>
    </row>
    <row r="251" spans="1:20" ht="37.5" customHeight="1" x14ac:dyDescent="0.25">
      <c r="A251" s="19" t="s">
        <v>291</v>
      </c>
      <c r="B251">
        <f t="shared" si="26"/>
        <v>10940</v>
      </c>
      <c r="C251">
        <v>1759</v>
      </c>
      <c r="D251">
        <v>9181</v>
      </c>
      <c r="F251">
        <f t="shared" si="27"/>
        <v>285</v>
      </c>
      <c r="G251" s="20">
        <f t="shared" si="28"/>
        <v>246</v>
      </c>
      <c r="H251" s="21">
        <v>66622010249</v>
      </c>
      <c r="I251" s="22">
        <v>294</v>
      </c>
      <c r="J251" s="23"/>
      <c r="K251" s="24">
        <v>10655</v>
      </c>
      <c r="L251" s="23">
        <f t="shared" si="22"/>
        <v>285</v>
      </c>
      <c r="M251" s="24">
        <v>1703</v>
      </c>
      <c r="N251" s="25">
        <f t="shared" si="23"/>
        <v>56</v>
      </c>
      <c r="O251" s="24">
        <v>8952</v>
      </c>
      <c r="P251" s="23">
        <f t="shared" si="24"/>
        <v>229</v>
      </c>
      <c r="Q251" s="26"/>
      <c r="R251" s="23">
        <f t="shared" si="25"/>
        <v>0</v>
      </c>
      <c r="S251" s="27" t="s">
        <v>18</v>
      </c>
      <c r="T251" s="19" t="s">
        <v>291</v>
      </c>
    </row>
    <row r="252" spans="1:20" ht="37.5" customHeight="1" x14ac:dyDescent="0.25">
      <c r="A252" s="19" t="s">
        <v>292</v>
      </c>
      <c r="B252">
        <v>37632</v>
      </c>
      <c r="F252">
        <f t="shared" si="27"/>
        <v>549</v>
      </c>
      <c r="G252" s="20">
        <f t="shared" si="28"/>
        <v>247</v>
      </c>
      <c r="H252" s="21">
        <v>23014040169</v>
      </c>
      <c r="I252" s="22">
        <v>296</v>
      </c>
      <c r="J252" s="23"/>
      <c r="K252" s="24">
        <v>37083</v>
      </c>
      <c r="L252" s="23">
        <f t="shared" si="22"/>
        <v>549</v>
      </c>
      <c r="M252" s="24">
        <v>6164</v>
      </c>
      <c r="N252" s="25">
        <f t="shared" si="23"/>
        <v>-6164</v>
      </c>
      <c r="O252" s="24">
        <v>30919</v>
      </c>
      <c r="P252" s="23">
        <f t="shared" si="24"/>
        <v>-30919</v>
      </c>
      <c r="Q252" s="26"/>
      <c r="R252" s="23">
        <f t="shared" si="25"/>
        <v>0</v>
      </c>
      <c r="S252" s="27" t="s">
        <v>18</v>
      </c>
      <c r="T252" s="19" t="s">
        <v>292</v>
      </c>
    </row>
    <row r="253" spans="1:20" ht="37.5" customHeight="1" x14ac:dyDescent="0.25">
      <c r="A253" s="19" t="s">
        <v>293</v>
      </c>
      <c r="B253">
        <f t="shared" si="26"/>
        <v>32425</v>
      </c>
      <c r="C253">
        <v>5094</v>
      </c>
      <c r="D253">
        <v>27331</v>
      </c>
      <c r="F253">
        <f t="shared" si="27"/>
        <v>525</v>
      </c>
      <c r="G253" s="20">
        <f t="shared" si="28"/>
        <v>248</v>
      </c>
      <c r="H253" s="21">
        <v>66621060423</v>
      </c>
      <c r="I253" s="22">
        <v>297</v>
      </c>
      <c r="J253" s="23"/>
      <c r="K253" s="24">
        <v>31900</v>
      </c>
      <c r="L253" s="23">
        <f t="shared" si="22"/>
        <v>525</v>
      </c>
      <c r="M253" s="24">
        <v>5010</v>
      </c>
      <c r="N253" s="25">
        <f t="shared" si="23"/>
        <v>84</v>
      </c>
      <c r="O253" s="24">
        <v>26890</v>
      </c>
      <c r="P253" s="23">
        <f t="shared" si="24"/>
        <v>441</v>
      </c>
      <c r="Q253" s="26"/>
      <c r="R253" s="23">
        <f t="shared" si="25"/>
        <v>0</v>
      </c>
      <c r="S253" s="27" t="s">
        <v>18</v>
      </c>
      <c r="T253" s="19" t="s">
        <v>293</v>
      </c>
    </row>
    <row r="254" spans="1:20" ht="37.5" customHeight="1" x14ac:dyDescent="0.25">
      <c r="A254" s="19" t="s">
        <v>294</v>
      </c>
      <c r="B254">
        <f t="shared" si="26"/>
        <v>5196</v>
      </c>
      <c r="C254">
        <v>1161</v>
      </c>
      <c r="D254">
        <v>4035</v>
      </c>
      <c r="E254">
        <v>7575</v>
      </c>
      <c r="F254">
        <f t="shared" si="27"/>
        <v>284</v>
      </c>
      <c r="G254" s="20">
        <f t="shared" si="28"/>
        <v>249</v>
      </c>
      <c r="H254" s="21">
        <v>99623080017</v>
      </c>
      <c r="I254" s="22">
        <v>298</v>
      </c>
      <c r="J254" s="23"/>
      <c r="K254" s="24">
        <f>M254+O254</f>
        <v>4912</v>
      </c>
      <c r="L254" s="23">
        <f t="shared" si="22"/>
        <v>284</v>
      </c>
      <c r="M254" s="24">
        <v>1096</v>
      </c>
      <c r="N254" s="25">
        <f t="shared" si="23"/>
        <v>65</v>
      </c>
      <c r="O254" s="24">
        <v>3816</v>
      </c>
      <c r="P254" s="23">
        <f t="shared" si="24"/>
        <v>219</v>
      </c>
      <c r="Q254" s="26">
        <v>6860</v>
      </c>
      <c r="R254" s="23">
        <f t="shared" si="25"/>
        <v>715</v>
      </c>
      <c r="S254" s="27" t="s">
        <v>18</v>
      </c>
      <c r="T254" s="19" t="s">
        <v>294</v>
      </c>
    </row>
    <row r="255" spans="1:20" ht="37.5" customHeight="1" x14ac:dyDescent="0.25">
      <c r="A255" s="19" t="s">
        <v>295</v>
      </c>
      <c r="B255">
        <f t="shared" si="26"/>
        <v>2316</v>
      </c>
      <c r="C255">
        <v>655</v>
      </c>
      <c r="D255">
        <v>1661</v>
      </c>
      <c r="E255">
        <v>2826</v>
      </c>
      <c r="F255">
        <f t="shared" si="27"/>
        <v>716</v>
      </c>
      <c r="G255" s="20">
        <f t="shared" si="28"/>
        <v>250</v>
      </c>
      <c r="H255" s="21">
        <v>99624050213</v>
      </c>
      <c r="I255" s="22">
        <v>299</v>
      </c>
      <c r="J255" s="23"/>
      <c r="K255" s="24">
        <f>M255+O255</f>
        <v>1600</v>
      </c>
      <c r="L255" s="23">
        <f t="shared" si="22"/>
        <v>716</v>
      </c>
      <c r="M255" s="24">
        <v>499</v>
      </c>
      <c r="N255" s="25">
        <f t="shared" si="23"/>
        <v>156</v>
      </c>
      <c r="O255" s="24">
        <v>1101</v>
      </c>
      <c r="P255" s="23">
        <f t="shared" si="24"/>
        <v>560</v>
      </c>
      <c r="Q255" s="26">
        <v>1738</v>
      </c>
      <c r="R255" s="23">
        <f t="shared" si="25"/>
        <v>1088</v>
      </c>
      <c r="S255" s="27" t="s">
        <v>18</v>
      </c>
      <c r="T255" s="19" t="s">
        <v>295</v>
      </c>
    </row>
    <row r="256" spans="1:20" ht="37.5" customHeight="1" x14ac:dyDescent="0.25">
      <c r="A256" s="19" t="s">
        <v>296</v>
      </c>
      <c r="B256">
        <f t="shared" si="26"/>
        <v>371</v>
      </c>
      <c r="C256">
        <v>91</v>
      </c>
      <c r="D256">
        <v>280</v>
      </c>
      <c r="E256">
        <v>1699</v>
      </c>
      <c r="F256">
        <f t="shared" si="27"/>
        <v>257</v>
      </c>
      <c r="G256" s="20">
        <f t="shared" si="28"/>
        <v>251</v>
      </c>
      <c r="H256" s="21">
        <v>99625010062</v>
      </c>
      <c r="I256" s="22">
        <v>300</v>
      </c>
      <c r="J256" s="23"/>
      <c r="K256" s="24">
        <f>M256+O256</f>
        <v>114</v>
      </c>
      <c r="L256" s="23">
        <f t="shared" si="22"/>
        <v>257</v>
      </c>
      <c r="M256" s="24">
        <v>34</v>
      </c>
      <c r="N256" s="25">
        <f t="shared" si="23"/>
        <v>57</v>
      </c>
      <c r="O256" s="24">
        <v>80</v>
      </c>
      <c r="P256" s="23">
        <f t="shared" si="24"/>
        <v>200</v>
      </c>
      <c r="Q256" s="26">
        <v>780</v>
      </c>
      <c r="R256" s="23">
        <f t="shared" si="25"/>
        <v>919</v>
      </c>
      <c r="S256" s="27" t="s">
        <v>18</v>
      </c>
      <c r="T256" s="19" t="s">
        <v>296</v>
      </c>
    </row>
    <row r="257" spans="1:20" ht="37.5" customHeight="1" x14ac:dyDescent="0.25">
      <c r="A257" s="19" t="s">
        <v>297</v>
      </c>
      <c r="B257">
        <f t="shared" si="26"/>
        <v>48404</v>
      </c>
      <c r="C257">
        <v>5835</v>
      </c>
      <c r="D257">
        <v>42569</v>
      </c>
      <c r="F257">
        <f t="shared" si="27"/>
        <v>343</v>
      </c>
      <c r="G257" s="20">
        <f t="shared" si="28"/>
        <v>252</v>
      </c>
      <c r="H257" s="21">
        <v>23009080131</v>
      </c>
      <c r="I257" s="22">
        <v>308</v>
      </c>
      <c r="J257" s="23"/>
      <c r="K257" s="24">
        <v>48061</v>
      </c>
      <c r="L257" s="23">
        <f t="shared" si="22"/>
        <v>343</v>
      </c>
      <c r="M257" s="24">
        <v>5782</v>
      </c>
      <c r="N257" s="25">
        <f t="shared" si="23"/>
        <v>53</v>
      </c>
      <c r="O257" s="24">
        <v>42279</v>
      </c>
      <c r="P257" s="23">
        <f t="shared" si="24"/>
        <v>290</v>
      </c>
      <c r="Q257" s="26"/>
      <c r="R257" s="23">
        <f t="shared" si="25"/>
        <v>0</v>
      </c>
      <c r="S257" s="27" t="s">
        <v>18</v>
      </c>
      <c r="T257" s="19" t="s">
        <v>297</v>
      </c>
    </row>
    <row r="258" spans="1:20" ht="37.5" customHeight="1" x14ac:dyDescent="0.25">
      <c r="A258" s="19" t="s">
        <v>298</v>
      </c>
      <c r="B258">
        <f t="shared" si="26"/>
        <v>84610</v>
      </c>
      <c r="C258">
        <v>14743</v>
      </c>
      <c r="D258">
        <v>69867</v>
      </c>
      <c r="F258">
        <f t="shared" si="27"/>
        <v>251</v>
      </c>
      <c r="G258" s="20">
        <f t="shared" si="28"/>
        <v>253</v>
      </c>
      <c r="H258" s="21">
        <v>23014040050</v>
      </c>
      <c r="I258" s="22">
        <v>309</v>
      </c>
      <c r="J258" s="23"/>
      <c r="K258" s="24">
        <v>84359</v>
      </c>
      <c r="L258" s="23">
        <f t="shared" si="22"/>
        <v>251</v>
      </c>
      <c r="M258" s="24">
        <v>14701</v>
      </c>
      <c r="N258" s="25">
        <f t="shared" si="23"/>
        <v>42</v>
      </c>
      <c r="O258" s="24">
        <v>69658</v>
      </c>
      <c r="P258" s="23">
        <f t="shared" si="24"/>
        <v>209</v>
      </c>
      <c r="Q258" s="26"/>
      <c r="R258" s="23">
        <f t="shared" si="25"/>
        <v>0</v>
      </c>
      <c r="S258" s="27" t="s">
        <v>18</v>
      </c>
      <c r="T258" s="19" t="s">
        <v>298</v>
      </c>
    </row>
    <row r="259" spans="1:20" ht="37.5" customHeight="1" x14ac:dyDescent="0.25">
      <c r="A259" s="19" t="s">
        <v>299</v>
      </c>
      <c r="B259">
        <v>52092</v>
      </c>
      <c r="C259" s="36"/>
      <c r="D259" s="36"/>
      <c r="F259">
        <f t="shared" si="27"/>
        <v>162</v>
      </c>
      <c r="G259" s="20">
        <f t="shared" si="28"/>
        <v>254</v>
      </c>
      <c r="H259" s="21">
        <v>23013010450</v>
      </c>
      <c r="I259" s="22">
        <v>310</v>
      </c>
      <c r="J259" s="23"/>
      <c r="K259" s="24">
        <v>51930</v>
      </c>
      <c r="L259" s="23">
        <f t="shared" si="22"/>
        <v>162</v>
      </c>
      <c r="M259" s="24">
        <v>9981</v>
      </c>
      <c r="N259" s="25">
        <f t="shared" si="23"/>
        <v>-9981</v>
      </c>
      <c r="O259" s="24">
        <v>41949</v>
      </c>
      <c r="P259" s="23">
        <f t="shared" si="24"/>
        <v>-41949</v>
      </c>
      <c r="Q259" s="26"/>
      <c r="R259" s="23">
        <f t="shared" si="25"/>
        <v>0</v>
      </c>
      <c r="S259" s="27" t="s">
        <v>18</v>
      </c>
      <c r="T259" s="19" t="s">
        <v>299</v>
      </c>
    </row>
    <row r="260" spans="1:20" ht="37.5" customHeight="1" x14ac:dyDescent="0.25">
      <c r="A260" s="19" t="s">
        <v>300</v>
      </c>
      <c r="B260">
        <f t="shared" si="26"/>
        <v>12732</v>
      </c>
      <c r="C260">
        <v>2411</v>
      </c>
      <c r="D260">
        <v>10321</v>
      </c>
      <c r="F260">
        <f t="shared" si="27"/>
        <v>338</v>
      </c>
      <c r="G260" s="20">
        <f t="shared" si="28"/>
        <v>255</v>
      </c>
      <c r="H260" s="21">
        <v>88821080407</v>
      </c>
      <c r="I260" s="22">
        <v>311</v>
      </c>
      <c r="J260" s="23"/>
      <c r="K260" s="24">
        <v>12394</v>
      </c>
      <c r="L260" s="23">
        <f t="shared" si="22"/>
        <v>338</v>
      </c>
      <c r="M260" s="24">
        <v>2356</v>
      </c>
      <c r="N260" s="25">
        <f t="shared" si="23"/>
        <v>55</v>
      </c>
      <c r="O260" s="24">
        <v>10038</v>
      </c>
      <c r="P260" s="23">
        <f t="shared" si="24"/>
        <v>283</v>
      </c>
      <c r="Q260" s="26"/>
      <c r="R260" s="23">
        <f t="shared" si="25"/>
        <v>0</v>
      </c>
      <c r="S260" s="27" t="s">
        <v>18</v>
      </c>
      <c r="T260" s="19" t="s">
        <v>300</v>
      </c>
    </row>
    <row r="261" spans="1:20" ht="37.5" customHeight="1" x14ac:dyDescent="0.25">
      <c r="A261" s="19" t="s">
        <v>301</v>
      </c>
      <c r="B261">
        <f t="shared" si="26"/>
        <v>20095</v>
      </c>
      <c r="C261">
        <v>3343</v>
      </c>
      <c r="D261">
        <v>16752</v>
      </c>
      <c r="F261">
        <f t="shared" si="27"/>
        <v>472</v>
      </c>
      <c r="G261" s="20">
        <f t="shared" si="28"/>
        <v>256</v>
      </c>
      <c r="H261" s="21">
        <v>66621070397</v>
      </c>
      <c r="I261" s="22">
        <v>312</v>
      </c>
      <c r="J261" s="23"/>
      <c r="K261" s="24">
        <v>19623</v>
      </c>
      <c r="L261" s="23">
        <f t="shared" si="22"/>
        <v>472</v>
      </c>
      <c r="M261" s="24">
        <v>3265</v>
      </c>
      <c r="N261" s="25">
        <f t="shared" si="23"/>
        <v>78</v>
      </c>
      <c r="O261" s="24">
        <v>16358</v>
      </c>
      <c r="P261" s="23">
        <f t="shared" si="24"/>
        <v>394</v>
      </c>
      <c r="Q261" s="26"/>
      <c r="R261" s="23">
        <f t="shared" si="25"/>
        <v>0</v>
      </c>
      <c r="S261" s="27" t="s">
        <v>18</v>
      </c>
      <c r="T261" s="19" t="s">
        <v>301</v>
      </c>
    </row>
    <row r="262" spans="1:20" ht="37.5" customHeight="1" x14ac:dyDescent="0.25">
      <c r="A262" s="19" t="s">
        <v>302</v>
      </c>
      <c r="B262">
        <f t="shared" si="26"/>
        <v>8276</v>
      </c>
      <c r="C262">
        <v>1779</v>
      </c>
      <c r="D262">
        <v>6497</v>
      </c>
      <c r="E262">
        <v>6518</v>
      </c>
      <c r="F262">
        <f t="shared" si="27"/>
        <v>712</v>
      </c>
      <c r="G262" s="20">
        <f t="shared" si="28"/>
        <v>257</v>
      </c>
      <c r="H262" s="21">
        <v>99624010154</v>
      </c>
      <c r="I262" s="22">
        <v>313</v>
      </c>
      <c r="J262" s="23"/>
      <c r="K262" s="24">
        <f>M262+O262</f>
        <v>7564</v>
      </c>
      <c r="L262" s="23">
        <f t="shared" ref="L262:L314" si="29">B262-K262</f>
        <v>712</v>
      </c>
      <c r="M262" s="24">
        <v>1629</v>
      </c>
      <c r="N262" s="25">
        <f t="shared" ref="N262:N314" si="30">C262-M262</f>
        <v>150</v>
      </c>
      <c r="O262" s="24">
        <v>5935</v>
      </c>
      <c r="P262" s="23">
        <f t="shared" ref="P262:P314" si="31">D262-O262</f>
        <v>562</v>
      </c>
      <c r="Q262" s="26">
        <v>5902</v>
      </c>
      <c r="R262" s="23">
        <f t="shared" ref="R262:R314" si="32">E262-Q262</f>
        <v>616</v>
      </c>
      <c r="S262" s="27" t="s">
        <v>18</v>
      </c>
      <c r="T262" s="19" t="s">
        <v>302</v>
      </c>
    </row>
    <row r="263" spans="1:20" ht="37.5" customHeight="1" x14ac:dyDescent="0.25">
      <c r="A263" s="19" t="s">
        <v>303</v>
      </c>
      <c r="B263">
        <f t="shared" ref="B263:B312" si="33">C263+D263</f>
        <v>36016</v>
      </c>
      <c r="C263">
        <v>5850</v>
      </c>
      <c r="D263">
        <v>30166</v>
      </c>
      <c r="F263">
        <f t="shared" ref="F263:F314" si="34">L263</f>
        <v>361</v>
      </c>
      <c r="G263" s="20">
        <f t="shared" si="28"/>
        <v>258</v>
      </c>
      <c r="H263" s="21">
        <v>23013090492</v>
      </c>
      <c r="I263" s="22">
        <v>314</v>
      </c>
      <c r="J263" s="23"/>
      <c r="K263" s="24">
        <v>35655</v>
      </c>
      <c r="L263" s="23">
        <f t="shared" si="29"/>
        <v>361</v>
      </c>
      <c r="M263" s="24">
        <v>5804</v>
      </c>
      <c r="N263" s="25">
        <f t="shared" si="30"/>
        <v>46</v>
      </c>
      <c r="O263" s="24">
        <v>29851</v>
      </c>
      <c r="P263" s="23">
        <f t="shared" si="31"/>
        <v>315</v>
      </c>
      <c r="Q263" s="26"/>
      <c r="R263" s="23">
        <f t="shared" si="32"/>
        <v>0</v>
      </c>
      <c r="S263" s="27" t="s">
        <v>18</v>
      </c>
      <c r="T263" s="19" t="s">
        <v>303</v>
      </c>
    </row>
    <row r="264" spans="1:20" ht="37.5" customHeight="1" x14ac:dyDescent="0.25">
      <c r="A264" s="19" t="s">
        <v>304</v>
      </c>
      <c r="B264">
        <f t="shared" si="33"/>
        <v>3285</v>
      </c>
      <c r="C264">
        <v>761</v>
      </c>
      <c r="D264">
        <v>2524</v>
      </c>
      <c r="E264">
        <v>3353</v>
      </c>
      <c r="F264">
        <f t="shared" si="34"/>
        <v>310</v>
      </c>
      <c r="G264" s="20">
        <f t="shared" ref="G264:G314" si="35">G263+1</f>
        <v>259</v>
      </c>
      <c r="H264" s="21">
        <v>99624030322</v>
      </c>
      <c r="I264" s="22">
        <v>315</v>
      </c>
      <c r="J264" s="23"/>
      <c r="K264" s="24">
        <f>M264+O264</f>
        <v>2975</v>
      </c>
      <c r="L264" s="23">
        <f t="shared" si="29"/>
        <v>310</v>
      </c>
      <c r="M264" s="24">
        <v>676</v>
      </c>
      <c r="N264" s="25">
        <f t="shared" si="30"/>
        <v>85</v>
      </c>
      <c r="O264" s="24">
        <v>2299</v>
      </c>
      <c r="P264" s="23">
        <f t="shared" si="31"/>
        <v>225</v>
      </c>
      <c r="Q264" s="26">
        <v>2726</v>
      </c>
      <c r="R264" s="23">
        <f t="shared" si="32"/>
        <v>627</v>
      </c>
      <c r="S264" s="27" t="s">
        <v>18</v>
      </c>
      <c r="T264" s="19" t="s">
        <v>304</v>
      </c>
    </row>
    <row r="265" spans="1:20" ht="37.5" customHeight="1" x14ac:dyDescent="0.25">
      <c r="A265" s="19" t="s">
        <v>305</v>
      </c>
      <c r="B265">
        <f t="shared" si="33"/>
        <v>5701</v>
      </c>
      <c r="C265">
        <v>1124</v>
      </c>
      <c r="D265">
        <v>4577</v>
      </c>
      <c r="E265">
        <v>7515</v>
      </c>
      <c r="F265">
        <f t="shared" si="34"/>
        <v>229</v>
      </c>
      <c r="G265" s="20">
        <f t="shared" si="35"/>
        <v>260</v>
      </c>
      <c r="H265" s="21">
        <v>99623080421</v>
      </c>
      <c r="I265" s="22">
        <v>316</v>
      </c>
      <c r="J265" s="23"/>
      <c r="K265" s="24">
        <f>M265+O265</f>
        <v>5472</v>
      </c>
      <c r="L265" s="23">
        <f t="shared" si="29"/>
        <v>229</v>
      </c>
      <c r="M265" s="24">
        <v>1058</v>
      </c>
      <c r="N265" s="25">
        <f t="shared" si="30"/>
        <v>66</v>
      </c>
      <c r="O265" s="24">
        <v>4414</v>
      </c>
      <c r="P265" s="23">
        <f t="shared" si="31"/>
        <v>163</v>
      </c>
      <c r="Q265" s="26">
        <v>6828</v>
      </c>
      <c r="R265" s="23">
        <f t="shared" si="32"/>
        <v>687</v>
      </c>
      <c r="S265" s="27" t="s">
        <v>18</v>
      </c>
      <c r="T265" s="19" t="s">
        <v>305</v>
      </c>
    </row>
    <row r="266" spans="1:20" ht="37.5" customHeight="1" x14ac:dyDescent="0.25">
      <c r="A266" s="19" t="s">
        <v>306</v>
      </c>
      <c r="B266">
        <f t="shared" si="33"/>
        <v>5475</v>
      </c>
      <c r="C266">
        <v>1304</v>
      </c>
      <c r="D266">
        <v>4171</v>
      </c>
      <c r="E266">
        <v>8621</v>
      </c>
      <c r="F266">
        <f t="shared" si="34"/>
        <v>249</v>
      </c>
      <c r="G266" s="20">
        <f t="shared" si="35"/>
        <v>261</v>
      </c>
      <c r="H266" s="21">
        <v>99723070169</v>
      </c>
      <c r="I266" s="22">
        <v>317</v>
      </c>
      <c r="J266" s="23"/>
      <c r="K266" s="24">
        <f>M266+O266</f>
        <v>5226</v>
      </c>
      <c r="L266" s="23">
        <f t="shared" si="29"/>
        <v>249</v>
      </c>
      <c r="M266" s="24">
        <v>1236</v>
      </c>
      <c r="N266" s="25">
        <f t="shared" si="30"/>
        <v>68</v>
      </c>
      <c r="O266" s="24">
        <v>3990</v>
      </c>
      <c r="P266" s="23">
        <f t="shared" si="31"/>
        <v>181</v>
      </c>
      <c r="Q266" s="26">
        <v>7986</v>
      </c>
      <c r="R266" s="23">
        <f t="shared" si="32"/>
        <v>635</v>
      </c>
      <c r="S266" s="27" t="s">
        <v>18</v>
      </c>
      <c r="T266" s="19" t="s">
        <v>306</v>
      </c>
    </row>
    <row r="267" spans="1:20" ht="37.5" customHeight="1" x14ac:dyDescent="0.25">
      <c r="A267" s="19" t="s">
        <v>307</v>
      </c>
      <c r="B267">
        <f t="shared" si="33"/>
        <v>62370</v>
      </c>
      <c r="C267">
        <v>10441</v>
      </c>
      <c r="D267">
        <v>51929</v>
      </c>
      <c r="F267">
        <f t="shared" si="34"/>
        <v>717</v>
      </c>
      <c r="G267" s="20">
        <f t="shared" si="35"/>
        <v>262</v>
      </c>
      <c r="H267" s="21">
        <v>23014040062</v>
      </c>
      <c r="I267" s="22">
        <v>318</v>
      </c>
      <c r="J267" s="23"/>
      <c r="K267" s="24">
        <v>61653</v>
      </c>
      <c r="L267" s="23">
        <f t="shared" si="29"/>
        <v>717</v>
      </c>
      <c r="M267" s="24">
        <v>10313</v>
      </c>
      <c r="N267" s="25">
        <f t="shared" si="30"/>
        <v>128</v>
      </c>
      <c r="O267" s="24">
        <v>51340</v>
      </c>
      <c r="P267" s="23">
        <f t="shared" si="31"/>
        <v>589</v>
      </c>
      <c r="Q267" s="26"/>
      <c r="R267" s="23">
        <f t="shared" si="32"/>
        <v>0</v>
      </c>
      <c r="S267" s="27" t="s">
        <v>18</v>
      </c>
      <c r="T267" s="19" t="s">
        <v>307</v>
      </c>
    </row>
    <row r="268" spans="1:20" ht="37.5" customHeight="1" x14ac:dyDescent="0.25">
      <c r="A268" s="19" t="s">
        <v>308</v>
      </c>
      <c r="B268">
        <f t="shared" si="33"/>
        <v>55416</v>
      </c>
      <c r="C268">
        <v>9279</v>
      </c>
      <c r="D268">
        <v>46137</v>
      </c>
      <c r="F268">
        <f t="shared" si="34"/>
        <v>552</v>
      </c>
      <c r="G268" s="20">
        <f t="shared" si="35"/>
        <v>263</v>
      </c>
      <c r="H268" s="21">
        <v>66616031196</v>
      </c>
      <c r="I268" s="22">
        <v>319</v>
      </c>
      <c r="J268" s="23"/>
      <c r="K268" s="24">
        <v>54864</v>
      </c>
      <c r="L268" s="23">
        <f t="shared" si="29"/>
        <v>552</v>
      </c>
      <c r="M268" s="24">
        <v>9187</v>
      </c>
      <c r="N268" s="25">
        <f t="shared" si="30"/>
        <v>92</v>
      </c>
      <c r="O268" s="24">
        <v>45677</v>
      </c>
      <c r="P268" s="23">
        <f t="shared" si="31"/>
        <v>460</v>
      </c>
      <c r="Q268" s="26"/>
      <c r="R268" s="23">
        <f t="shared" si="32"/>
        <v>0</v>
      </c>
      <c r="S268" s="27" t="s">
        <v>18</v>
      </c>
      <c r="T268" s="19" t="s">
        <v>308</v>
      </c>
    </row>
    <row r="269" spans="1:20" ht="37.5" customHeight="1" x14ac:dyDescent="0.25">
      <c r="A269" s="19" t="s">
        <v>309</v>
      </c>
      <c r="B269">
        <f t="shared" si="33"/>
        <v>8962</v>
      </c>
      <c r="C269">
        <v>1639</v>
      </c>
      <c r="D269">
        <v>7323</v>
      </c>
      <c r="F269">
        <f t="shared" si="34"/>
        <v>388</v>
      </c>
      <c r="G269" s="20">
        <f t="shared" si="35"/>
        <v>264</v>
      </c>
      <c r="H269" s="21">
        <v>66619040205</v>
      </c>
      <c r="I269" s="22">
        <v>320</v>
      </c>
      <c r="J269" s="23"/>
      <c r="K269" s="24">
        <v>8574</v>
      </c>
      <c r="L269" s="23">
        <f t="shared" si="29"/>
        <v>388</v>
      </c>
      <c r="M269" s="24">
        <v>1564</v>
      </c>
      <c r="N269" s="25">
        <f t="shared" si="30"/>
        <v>75</v>
      </c>
      <c r="O269" s="24">
        <v>7010</v>
      </c>
      <c r="P269" s="23">
        <f t="shared" si="31"/>
        <v>313</v>
      </c>
      <c r="Q269" s="26"/>
      <c r="R269" s="23">
        <f t="shared" si="32"/>
        <v>0</v>
      </c>
      <c r="S269" s="27" t="s">
        <v>18</v>
      </c>
      <c r="T269" s="19" t="s">
        <v>309</v>
      </c>
    </row>
    <row r="270" spans="1:20" ht="37.5" customHeight="1" x14ac:dyDescent="0.25">
      <c r="A270" s="19" t="s">
        <v>310</v>
      </c>
      <c r="B270">
        <f t="shared" si="33"/>
        <v>64910</v>
      </c>
      <c r="C270">
        <v>12149</v>
      </c>
      <c r="D270">
        <v>52761</v>
      </c>
      <c r="F270">
        <f t="shared" si="34"/>
        <v>595</v>
      </c>
      <c r="G270" s="20">
        <f t="shared" si="35"/>
        <v>265</v>
      </c>
      <c r="H270" s="21">
        <v>23015100480</v>
      </c>
      <c r="I270" s="22">
        <v>321</v>
      </c>
      <c r="J270" s="23"/>
      <c r="K270" s="24">
        <v>64315</v>
      </c>
      <c r="L270" s="23">
        <f t="shared" si="29"/>
        <v>595</v>
      </c>
      <c r="M270" s="24">
        <v>12044</v>
      </c>
      <c r="N270" s="25">
        <f t="shared" si="30"/>
        <v>105</v>
      </c>
      <c r="O270" s="24">
        <v>52271</v>
      </c>
      <c r="P270" s="23">
        <f t="shared" si="31"/>
        <v>490</v>
      </c>
      <c r="Q270" s="26"/>
      <c r="R270" s="23">
        <f t="shared" si="32"/>
        <v>0</v>
      </c>
      <c r="S270" s="27" t="s">
        <v>18</v>
      </c>
      <c r="T270" s="19" t="s">
        <v>310</v>
      </c>
    </row>
    <row r="271" spans="1:20" ht="37.5" customHeight="1" x14ac:dyDescent="0.25">
      <c r="A271" s="19" t="s">
        <v>311</v>
      </c>
      <c r="B271">
        <f t="shared" si="33"/>
        <v>642</v>
      </c>
      <c r="C271">
        <v>196</v>
      </c>
      <c r="D271">
        <v>446</v>
      </c>
      <c r="E271">
        <v>2347</v>
      </c>
      <c r="F271">
        <f t="shared" si="34"/>
        <v>200</v>
      </c>
      <c r="G271" s="20">
        <f t="shared" si="35"/>
        <v>266</v>
      </c>
      <c r="H271" s="21">
        <v>99624050130</v>
      </c>
      <c r="I271" s="22">
        <v>322</v>
      </c>
      <c r="J271" s="23"/>
      <c r="K271" s="24">
        <f>M271+O271</f>
        <v>442</v>
      </c>
      <c r="L271" s="23">
        <f t="shared" si="29"/>
        <v>200</v>
      </c>
      <c r="M271" s="24">
        <v>144</v>
      </c>
      <c r="N271" s="25">
        <f t="shared" si="30"/>
        <v>52</v>
      </c>
      <c r="O271" s="24">
        <v>298</v>
      </c>
      <c r="P271" s="23">
        <f t="shared" si="31"/>
        <v>148</v>
      </c>
      <c r="Q271" s="26">
        <v>1615</v>
      </c>
      <c r="R271" s="23">
        <f t="shared" si="32"/>
        <v>732</v>
      </c>
      <c r="S271" s="27" t="s">
        <v>18</v>
      </c>
      <c r="T271" s="19" t="s">
        <v>311</v>
      </c>
    </row>
    <row r="272" spans="1:20" ht="37.5" customHeight="1" x14ac:dyDescent="0.25">
      <c r="A272" s="19" t="s">
        <v>312</v>
      </c>
      <c r="B272">
        <f t="shared" si="33"/>
        <v>3960</v>
      </c>
      <c r="C272">
        <v>983</v>
      </c>
      <c r="D272">
        <v>2977</v>
      </c>
      <c r="E272">
        <v>10253</v>
      </c>
      <c r="F272">
        <f t="shared" si="34"/>
        <v>285</v>
      </c>
      <c r="G272" s="20">
        <f t="shared" si="35"/>
        <v>267</v>
      </c>
      <c r="H272" s="21">
        <v>99623080583</v>
      </c>
      <c r="I272" s="22">
        <v>323</v>
      </c>
      <c r="J272" s="23"/>
      <c r="K272" s="24">
        <f>M272+O272</f>
        <v>3675</v>
      </c>
      <c r="L272" s="23">
        <f t="shared" si="29"/>
        <v>285</v>
      </c>
      <c r="M272" s="24">
        <v>903</v>
      </c>
      <c r="N272" s="25">
        <f t="shared" si="30"/>
        <v>80</v>
      </c>
      <c r="O272" s="24">
        <v>2772</v>
      </c>
      <c r="P272" s="23">
        <f t="shared" si="31"/>
        <v>205</v>
      </c>
      <c r="Q272" s="26">
        <v>9305</v>
      </c>
      <c r="R272" s="23">
        <f t="shared" si="32"/>
        <v>948</v>
      </c>
      <c r="S272" s="27" t="s">
        <v>18</v>
      </c>
      <c r="T272" s="19" t="s">
        <v>312</v>
      </c>
    </row>
    <row r="273" spans="1:20" ht="37.5" customHeight="1" x14ac:dyDescent="0.25">
      <c r="A273" s="19" t="s">
        <v>313</v>
      </c>
      <c r="B273">
        <f t="shared" si="33"/>
        <v>61514</v>
      </c>
      <c r="C273">
        <v>10273</v>
      </c>
      <c r="D273">
        <v>51241</v>
      </c>
      <c r="F273">
        <f t="shared" si="34"/>
        <v>508</v>
      </c>
      <c r="G273" s="20">
        <f t="shared" si="35"/>
        <v>268</v>
      </c>
      <c r="H273" s="21">
        <v>88818010055</v>
      </c>
      <c r="I273" s="22">
        <v>324</v>
      </c>
      <c r="J273" s="23"/>
      <c r="K273" s="24">
        <v>61006</v>
      </c>
      <c r="L273" s="23">
        <f t="shared" si="29"/>
        <v>508</v>
      </c>
      <c r="M273" s="24">
        <v>10203</v>
      </c>
      <c r="N273" s="25">
        <f t="shared" si="30"/>
        <v>70</v>
      </c>
      <c r="O273" s="24">
        <v>50803</v>
      </c>
      <c r="P273" s="23">
        <f t="shared" si="31"/>
        <v>438</v>
      </c>
      <c r="Q273" s="26"/>
      <c r="R273" s="23">
        <f t="shared" si="32"/>
        <v>0</v>
      </c>
      <c r="S273" s="27" t="s">
        <v>18</v>
      </c>
      <c r="T273" s="19" t="s">
        <v>313</v>
      </c>
    </row>
    <row r="274" spans="1:20" ht="37.5" customHeight="1" x14ac:dyDescent="0.25">
      <c r="A274" s="19" t="s">
        <v>314</v>
      </c>
      <c r="B274">
        <f t="shared" si="33"/>
        <v>43244</v>
      </c>
      <c r="C274">
        <v>8317</v>
      </c>
      <c r="D274">
        <v>34927</v>
      </c>
      <c r="F274">
        <f t="shared" si="34"/>
        <v>236</v>
      </c>
      <c r="G274" s="20">
        <f t="shared" si="35"/>
        <v>269</v>
      </c>
      <c r="H274" s="21">
        <v>66618010146</v>
      </c>
      <c r="I274" s="22">
        <v>325</v>
      </c>
      <c r="J274" s="23"/>
      <c r="K274" s="24">
        <v>43008</v>
      </c>
      <c r="L274" s="23">
        <f t="shared" si="29"/>
        <v>236</v>
      </c>
      <c r="M274" s="24">
        <v>8277</v>
      </c>
      <c r="N274" s="25">
        <f t="shared" si="30"/>
        <v>40</v>
      </c>
      <c r="O274" s="24">
        <v>34731</v>
      </c>
      <c r="P274" s="23">
        <f t="shared" si="31"/>
        <v>196</v>
      </c>
      <c r="Q274" s="26"/>
      <c r="R274" s="23">
        <f t="shared" si="32"/>
        <v>0</v>
      </c>
      <c r="S274" s="27" t="s">
        <v>18</v>
      </c>
      <c r="T274" s="19" t="s">
        <v>314</v>
      </c>
    </row>
    <row r="275" spans="1:20" ht="37.5" customHeight="1" x14ac:dyDescent="0.25">
      <c r="A275" s="19" t="s">
        <v>315</v>
      </c>
      <c r="B275">
        <f t="shared" si="33"/>
        <v>114</v>
      </c>
      <c r="C275">
        <v>29</v>
      </c>
      <c r="D275">
        <v>85</v>
      </c>
      <c r="E275">
        <v>675</v>
      </c>
      <c r="F275">
        <f t="shared" si="34"/>
        <v>114</v>
      </c>
      <c r="G275" s="20">
        <f t="shared" si="35"/>
        <v>270</v>
      </c>
      <c r="H275" s="21">
        <v>99625010219</v>
      </c>
      <c r="I275" s="22">
        <v>327</v>
      </c>
      <c r="J275" s="23"/>
      <c r="K275" s="24">
        <v>0</v>
      </c>
      <c r="L275" s="23">
        <f t="shared" si="29"/>
        <v>114</v>
      </c>
      <c r="M275" s="24">
        <v>0</v>
      </c>
      <c r="N275" s="25">
        <f t="shared" si="30"/>
        <v>29</v>
      </c>
      <c r="O275" s="24">
        <v>0</v>
      </c>
      <c r="P275" s="23">
        <f t="shared" si="31"/>
        <v>85</v>
      </c>
      <c r="Q275" s="26">
        <v>0</v>
      </c>
      <c r="R275" s="23">
        <f t="shared" si="32"/>
        <v>675</v>
      </c>
      <c r="S275" s="27" t="s">
        <v>18</v>
      </c>
      <c r="T275" s="19" t="s">
        <v>315</v>
      </c>
    </row>
    <row r="276" spans="1:20" ht="37.5" customHeight="1" x14ac:dyDescent="0.25">
      <c r="A276" s="19" t="s">
        <v>316</v>
      </c>
      <c r="B276">
        <f t="shared" si="33"/>
        <v>5591</v>
      </c>
      <c r="C276">
        <v>904</v>
      </c>
      <c r="D276">
        <v>4687</v>
      </c>
      <c r="E276">
        <v>9576</v>
      </c>
      <c r="F276">
        <f t="shared" si="34"/>
        <v>312</v>
      </c>
      <c r="G276" s="20">
        <f t="shared" si="35"/>
        <v>271</v>
      </c>
      <c r="H276" s="21">
        <v>99623080208</v>
      </c>
      <c r="I276" s="22">
        <v>328</v>
      </c>
      <c r="J276" s="23"/>
      <c r="K276" s="24">
        <f>M276+O276</f>
        <v>5279</v>
      </c>
      <c r="L276" s="23">
        <f t="shared" si="29"/>
        <v>312</v>
      </c>
      <c r="M276" s="24">
        <v>837</v>
      </c>
      <c r="N276" s="25">
        <f t="shared" si="30"/>
        <v>67</v>
      </c>
      <c r="O276" s="24">
        <v>4442</v>
      </c>
      <c r="P276" s="23">
        <f t="shared" si="31"/>
        <v>245</v>
      </c>
      <c r="Q276" s="26">
        <v>8754</v>
      </c>
      <c r="R276" s="23">
        <f t="shared" si="32"/>
        <v>822</v>
      </c>
      <c r="S276" s="27" t="s">
        <v>18</v>
      </c>
      <c r="T276" s="19" t="s">
        <v>316</v>
      </c>
    </row>
    <row r="277" spans="1:20" ht="37.5" customHeight="1" x14ac:dyDescent="0.25">
      <c r="A277" s="19" t="s">
        <v>317</v>
      </c>
      <c r="B277">
        <f t="shared" si="33"/>
        <v>53217</v>
      </c>
      <c r="C277">
        <v>8660</v>
      </c>
      <c r="D277">
        <v>44557</v>
      </c>
      <c r="F277">
        <f t="shared" si="34"/>
        <v>190</v>
      </c>
      <c r="G277" s="20">
        <f t="shared" si="35"/>
        <v>272</v>
      </c>
      <c r="H277" s="21">
        <v>23013040248</v>
      </c>
      <c r="I277" s="22">
        <v>330</v>
      </c>
      <c r="J277" s="23"/>
      <c r="K277" s="24">
        <v>53027</v>
      </c>
      <c r="L277" s="23">
        <f t="shared" si="29"/>
        <v>190</v>
      </c>
      <c r="M277" s="24">
        <v>8623</v>
      </c>
      <c r="N277" s="25">
        <f t="shared" si="30"/>
        <v>37</v>
      </c>
      <c r="O277" s="24">
        <v>44404</v>
      </c>
      <c r="P277" s="23">
        <f t="shared" si="31"/>
        <v>153</v>
      </c>
      <c r="Q277" s="26"/>
      <c r="R277" s="23">
        <f t="shared" si="32"/>
        <v>0</v>
      </c>
      <c r="S277" s="27" t="s">
        <v>18</v>
      </c>
      <c r="T277" s="19" t="s">
        <v>317</v>
      </c>
    </row>
    <row r="278" spans="1:20" ht="37.5" customHeight="1" x14ac:dyDescent="0.25">
      <c r="A278" s="19" t="s">
        <v>318</v>
      </c>
      <c r="B278">
        <f t="shared" si="33"/>
        <v>2575</v>
      </c>
      <c r="C278">
        <v>716</v>
      </c>
      <c r="D278">
        <v>1859</v>
      </c>
      <c r="E278">
        <v>3974</v>
      </c>
      <c r="F278">
        <f t="shared" si="34"/>
        <v>303</v>
      </c>
      <c r="G278" s="20">
        <f t="shared" si="35"/>
        <v>273</v>
      </c>
      <c r="H278" s="21">
        <v>99624040109</v>
      </c>
      <c r="I278" s="22">
        <v>331</v>
      </c>
      <c r="J278" s="23"/>
      <c r="K278" s="24">
        <f>M278+O278</f>
        <v>2272</v>
      </c>
      <c r="L278" s="23">
        <f t="shared" si="29"/>
        <v>303</v>
      </c>
      <c r="M278" s="24">
        <v>626</v>
      </c>
      <c r="N278" s="25">
        <f t="shared" si="30"/>
        <v>90</v>
      </c>
      <c r="O278" s="24">
        <v>1646</v>
      </c>
      <c r="P278" s="23">
        <f t="shared" si="31"/>
        <v>213</v>
      </c>
      <c r="Q278" s="26">
        <v>3316</v>
      </c>
      <c r="R278" s="23">
        <f t="shared" si="32"/>
        <v>658</v>
      </c>
      <c r="S278" s="27" t="s">
        <v>18</v>
      </c>
      <c r="T278" s="19" t="s">
        <v>318</v>
      </c>
    </row>
    <row r="279" spans="1:20" ht="37.5" customHeight="1" x14ac:dyDescent="0.25">
      <c r="A279" s="19" t="s">
        <v>319</v>
      </c>
      <c r="B279">
        <v>2565</v>
      </c>
      <c r="F279">
        <f t="shared" si="34"/>
        <v>1156</v>
      </c>
      <c r="G279" s="20">
        <f t="shared" si="35"/>
        <v>274</v>
      </c>
      <c r="H279" s="21">
        <v>11818020003</v>
      </c>
      <c r="I279" s="22" t="s">
        <v>320</v>
      </c>
      <c r="J279" s="23"/>
      <c r="K279" s="24">
        <v>1409</v>
      </c>
      <c r="L279" s="23">
        <f t="shared" si="29"/>
        <v>1156</v>
      </c>
      <c r="M279" s="24">
        <v>1409</v>
      </c>
      <c r="N279" s="25">
        <f t="shared" si="30"/>
        <v>-1409</v>
      </c>
      <c r="O279" s="24"/>
      <c r="P279" s="23">
        <f t="shared" si="31"/>
        <v>0</v>
      </c>
      <c r="Q279" s="26"/>
      <c r="R279" s="23">
        <f t="shared" si="32"/>
        <v>0</v>
      </c>
      <c r="S279" s="27" t="s">
        <v>321</v>
      </c>
      <c r="T279" s="19" t="s">
        <v>319</v>
      </c>
    </row>
    <row r="280" spans="1:20" ht="37.5" customHeight="1" x14ac:dyDescent="0.25">
      <c r="A280" s="19" t="s">
        <v>322</v>
      </c>
      <c r="B280">
        <v>10563</v>
      </c>
      <c r="F280">
        <f t="shared" si="34"/>
        <v>141</v>
      </c>
      <c r="G280" s="20">
        <f t="shared" si="35"/>
        <v>275</v>
      </c>
      <c r="H280" s="21">
        <v>11617020187</v>
      </c>
      <c r="I280" s="22" t="s">
        <v>323</v>
      </c>
      <c r="J280" s="23"/>
      <c r="K280" s="24">
        <v>10422</v>
      </c>
      <c r="L280" s="23">
        <f t="shared" si="29"/>
        <v>141</v>
      </c>
      <c r="M280" s="24">
        <v>10422</v>
      </c>
      <c r="N280" s="25">
        <f t="shared" si="30"/>
        <v>-10422</v>
      </c>
      <c r="O280" s="24"/>
      <c r="P280" s="23">
        <f t="shared" si="31"/>
        <v>0</v>
      </c>
      <c r="Q280" s="26"/>
      <c r="R280" s="23">
        <f t="shared" si="32"/>
        <v>0</v>
      </c>
      <c r="S280" s="27" t="s">
        <v>321</v>
      </c>
      <c r="T280" s="19" t="s">
        <v>322</v>
      </c>
    </row>
    <row r="281" spans="1:20" ht="37.5" customHeight="1" x14ac:dyDescent="0.25">
      <c r="A281" s="19" t="s">
        <v>324</v>
      </c>
      <c r="B281">
        <v>54030</v>
      </c>
      <c r="F281">
        <f t="shared" si="34"/>
        <v>694</v>
      </c>
      <c r="G281" s="20">
        <f t="shared" si="35"/>
        <v>276</v>
      </c>
      <c r="H281" s="21">
        <v>11617010020</v>
      </c>
      <c r="I281" s="22" t="s">
        <v>325</v>
      </c>
      <c r="J281" s="23"/>
      <c r="K281" s="24">
        <v>53336</v>
      </c>
      <c r="L281" s="23">
        <f t="shared" si="29"/>
        <v>694</v>
      </c>
      <c r="M281" s="24">
        <v>53336</v>
      </c>
      <c r="N281" s="25">
        <f t="shared" si="30"/>
        <v>-53336</v>
      </c>
      <c r="O281" s="24"/>
      <c r="P281" s="23">
        <f t="shared" si="31"/>
        <v>0</v>
      </c>
      <c r="Q281" s="26"/>
      <c r="R281" s="23">
        <f t="shared" si="32"/>
        <v>0</v>
      </c>
      <c r="S281" s="27" t="s">
        <v>321</v>
      </c>
      <c r="T281" s="19" t="s">
        <v>324</v>
      </c>
    </row>
    <row r="282" spans="1:20" ht="37.5" customHeight="1" x14ac:dyDescent="0.25">
      <c r="A282" s="19" t="s">
        <v>326</v>
      </c>
      <c r="B282">
        <v>25390</v>
      </c>
      <c r="F282">
        <f t="shared" si="34"/>
        <v>173</v>
      </c>
      <c r="G282" s="20">
        <f t="shared" si="35"/>
        <v>277</v>
      </c>
      <c r="H282" s="21">
        <v>11818010133</v>
      </c>
      <c r="I282" s="22" t="s">
        <v>327</v>
      </c>
      <c r="J282" s="23"/>
      <c r="K282" s="24">
        <v>25217</v>
      </c>
      <c r="L282" s="23">
        <f t="shared" si="29"/>
        <v>173</v>
      </c>
      <c r="M282" s="24"/>
      <c r="N282" s="25">
        <f t="shared" si="30"/>
        <v>0</v>
      </c>
      <c r="O282" s="24"/>
      <c r="P282" s="23">
        <f t="shared" si="31"/>
        <v>0</v>
      </c>
      <c r="Q282" s="26"/>
      <c r="R282" s="23">
        <f t="shared" si="32"/>
        <v>0</v>
      </c>
      <c r="S282" s="27" t="s">
        <v>321</v>
      </c>
      <c r="T282" s="19" t="s">
        <v>326</v>
      </c>
    </row>
    <row r="283" spans="1:20" ht="37.5" customHeight="1" x14ac:dyDescent="0.25">
      <c r="A283" s="19" t="s">
        <v>328</v>
      </c>
      <c r="B283">
        <v>20589</v>
      </c>
      <c r="F283">
        <f t="shared" si="34"/>
        <v>348</v>
      </c>
      <c r="G283" s="20">
        <f t="shared" si="35"/>
        <v>278</v>
      </c>
      <c r="H283" s="21">
        <v>11617020188</v>
      </c>
      <c r="I283" s="22" t="s">
        <v>329</v>
      </c>
      <c r="J283" s="23"/>
      <c r="K283" s="24">
        <v>20241</v>
      </c>
      <c r="L283" s="23">
        <f t="shared" si="29"/>
        <v>348</v>
      </c>
      <c r="M283" s="24"/>
      <c r="N283" s="25">
        <f t="shared" si="30"/>
        <v>0</v>
      </c>
      <c r="O283" s="24"/>
      <c r="P283" s="23">
        <f t="shared" si="31"/>
        <v>0</v>
      </c>
      <c r="Q283" s="26"/>
      <c r="R283" s="23">
        <f t="shared" si="32"/>
        <v>0</v>
      </c>
      <c r="S283" s="27" t="s">
        <v>321</v>
      </c>
      <c r="T283" s="19" t="s">
        <v>328</v>
      </c>
    </row>
    <row r="284" spans="1:20" ht="37.5" customHeight="1" x14ac:dyDescent="0.25">
      <c r="A284" s="19" t="s">
        <v>330</v>
      </c>
      <c r="B284">
        <v>19231</v>
      </c>
      <c r="F284">
        <f t="shared" si="34"/>
        <v>158</v>
      </c>
      <c r="G284" s="20">
        <f t="shared" si="35"/>
        <v>279</v>
      </c>
      <c r="H284" s="21">
        <v>11617020197</v>
      </c>
      <c r="I284" s="22" t="s">
        <v>331</v>
      </c>
      <c r="J284" s="23"/>
      <c r="K284" s="24">
        <v>19073</v>
      </c>
      <c r="L284" s="23">
        <f t="shared" si="29"/>
        <v>158</v>
      </c>
      <c r="M284" s="24"/>
      <c r="N284" s="25">
        <f t="shared" si="30"/>
        <v>0</v>
      </c>
      <c r="O284" s="24"/>
      <c r="P284" s="23">
        <f t="shared" si="31"/>
        <v>0</v>
      </c>
      <c r="Q284" s="26"/>
      <c r="R284" s="23">
        <f t="shared" si="32"/>
        <v>0</v>
      </c>
      <c r="S284" s="27" t="s">
        <v>321</v>
      </c>
      <c r="T284" s="19" t="s">
        <v>330</v>
      </c>
    </row>
    <row r="285" spans="1:20" ht="37.5" customHeight="1" x14ac:dyDescent="0.25">
      <c r="A285" s="19" t="s">
        <v>332</v>
      </c>
      <c r="B285">
        <v>19395</v>
      </c>
      <c r="F285">
        <f t="shared" si="34"/>
        <v>299</v>
      </c>
      <c r="G285" s="20">
        <f t="shared" si="35"/>
        <v>280</v>
      </c>
      <c r="H285" s="21">
        <v>11818010002</v>
      </c>
      <c r="I285" s="22" t="s">
        <v>333</v>
      </c>
      <c r="J285" s="23"/>
      <c r="K285" s="24">
        <v>19096</v>
      </c>
      <c r="L285" s="23">
        <f t="shared" si="29"/>
        <v>299</v>
      </c>
      <c r="M285" s="24"/>
      <c r="N285" s="25">
        <f t="shared" si="30"/>
        <v>0</v>
      </c>
      <c r="O285" s="24"/>
      <c r="P285" s="23">
        <f t="shared" si="31"/>
        <v>0</v>
      </c>
      <c r="Q285" s="26"/>
      <c r="R285" s="23">
        <f t="shared" si="32"/>
        <v>0</v>
      </c>
      <c r="S285" s="27" t="s">
        <v>321</v>
      </c>
      <c r="T285" s="19" t="s">
        <v>332</v>
      </c>
    </row>
    <row r="286" spans="1:20" ht="37.5" customHeight="1" x14ac:dyDescent="0.25">
      <c r="A286" s="19" t="s">
        <v>334</v>
      </c>
      <c r="B286">
        <v>10628</v>
      </c>
      <c r="F286">
        <f t="shared" si="34"/>
        <v>0</v>
      </c>
      <c r="G286" s="20">
        <f t="shared" si="35"/>
        <v>281</v>
      </c>
      <c r="H286" s="21">
        <v>11818020004</v>
      </c>
      <c r="I286" s="22" t="s">
        <v>335</v>
      </c>
      <c r="J286" s="23"/>
      <c r="K286" s="24">
        <v>10628</v>
      </c>
      <c r="L286" s="23">
        <f t="shared" si="29"/>
        <v>0</v>
      </c>
      <c r="M286" s="24"/>
      <c r="N286" s="25">
        <f t="shared" si="30"/>
        <v>0</v>
      </c>
      <c r="O286" s="24"/>
      <c r="P286" s="23">
        <f t="shared" si="31"/>
        <v>0</v>
      </c>
      <c r="Q286" s="26"/>
      <c r="R286" s="23">
        <f t="shared" si="32"/>
        <v>0</v>
      </c>
      <c r="S286" s="27" t="s">
        <v>321</v>
      </c>
      <c r="T286" s="19" t="s">
        <v>334</v>
      </c>
    </row>
    <row r="287" spans="1:20" ht="37.5" customHeight="1" x14ac:dyDescent="0.25">
      <c r="A287" s="19" t="s">
        <v>336</v>
      </c>
      <c r="B287">
        <v>53507</v>
      </c>
      <c r="F287">
        <f t="shared" si="34"/>
        <v>605</v>
      </c>
      <c r="G287" s="20">
        <f t="shared" si="35"/>
        <v>282</v>
      </c>
      <c r="H287" s="21">
        <v>11818010132</v>
      </c>
      <c r="I287" s="22" t="s">
        <v>337</v>
      </c>
      <c r="J287" s="23"/>
      <c r="K287" s="24">
        <v>52902</v>
      </c>
      <c r="L287" s="23">
        <f t="shared" si="29"/>
        <v>605</v>
      </c>
      <c r="M287" s="24"/>
      <c r="N287" s="25">
        <f t="shared" si="30"/>
        <v>0</v>
      </c>
      <c r="O287" s="24"/>
      <c r="P287" s="23">
        <f t="shared" si="31"/>
        <v>0</v>
      </c>
      <c r="Q287" s="26"/>
      <c r="R287" s="23">
        <f t="shared" si="32"/>
        <v>0</v>
      </c>
      <c r="S287" s="27" t="s">
        <v>321</v>
      </c>
      <c r="T287" s="19" t="s">
        <v>336</v>
      </c>
    </row>
    <row r="288" spans="1:20" ht="37.5" customHeight="1" x14ac:dyDescent="0.25">
      <c r="A288" s="19" t="s">
        <v>338</v>
      </c>
      <c r="B288">
        <v>26916</v>
      </c>
      <c r="F288">
        <f t="shared" si="34"/>
        <v>35</v>
      </c>
      <c r="G288" s="20">
        <f t="shared" si="35"/>
        <v>283</v>
      </c>
      <c r="H288" s="21">
        <v>11818010010</v>
      </c>
      <c r="I288" s="22" t="s">
        <v>339</v>
      </c>
      <c r="J288" s="23"/>
      <c r="K288" s="24">
        <v>26881</v>
      </c>
      <c r="L288" s="23">
        <f t="shared" si="29"/>
        <v>35</v>
      </c>
      <c r="M288" s="24">
        <v>0</v>
      </c>
      <c r="N288" s="25">
        <f t="shared" si="30"/>
        <v>0</v>
      </c>
      <c r="O288" s="24">
        <v>0</v>
      </c>
      <c r="P288" s="23">
        <f t="shared" si="31"/>
        <v>0</v>
      </c>
      <c r="Q288" s="26"/>
      <c r="R288" s="23">
        <f t="shared" si="32"/>
        <v>0</v>
      </c>
      <c r="S288" s="27" t="s">
        <v>321</v>
      </c>
      <c r="T288" s="19" t="s">
        <v>338</v>
      </c>
    </row>
    <row r="289" spans="1:20" ht="37.5" customHeight="1" x14ac:dyDescent="0.25">
      <c r="A289" s="19" t="s">
        <v>340</v>
      </c>
      <c r="B289">
        <v>34982</v>
      </c>
      <c r="F289">
        <f t="shared" si="34"/>
        <v>7</v>
      </c>
      <c r="G289" s="20">
        <f t="shared" si="35"/>
        <v>284</v>
      </c>
      <c r="H289" s="21">
        <v>11818010005</v>
      </c>
      <c r="I289" s="22" t="s">
        <v>341</v>
      </c>
      <c r="J289" s="23"/>
      <c r="K289" s="24">
        <v>34975</v>
      </c>
      <c r="L289" s="23">
        <f t="shared" si="29"/>
        <v>7</v>
      </c>
      <c r="M289" s="24">
        <v>0</v>
      </c>
      <c r="N289" s="25">
        <f t="shared" si="30"/>
        <v>0</v>
      </c>
      <c r="O289" s="24">
        <v>0</v>
      </c>
      <c r="P289" s="23">
        <f t="shared" si="31"/>
        <v>0</v>
      </c>
      <c r="Q289" s="26"/>
      <c r="R289" s="23">
        <f t="shared" si="32"/>
        <v>0</v>
      </c>
      <c r="S289" s="27" t="s">
        <v>321</v>
      </c>
      <c r="T289" s="19" t="s">
        <v>340</v>
      </c>
    </row>
    <row r="290" spans="1:20" ht="37.5" customHeight="1" x14ac:dyDescent="0.25">
      <c r="A290" s="19" t="s">
        <v>342</v>
      </c>
      <c r="B290">
        <v>500</v>
      </c>
      <c r="F290">
        <f t="shared" si="34"/>
        <v>500</v>
      </c>
      <c r="G290" s="20">
        <f t="shared" si="35"/>
        <v>285</v>
      </c>
      <c r="H290" s="21" t="s">
        <v>343</v>
      </c>
      <c r="I290" s="22" t="s">
        <v>344</v>
      </c>
      <c r="J290" s="23"/>
      <c r="K290" s="24">
        <v>0</v>
      </c>
      <c r="L290" s="23">
        <f t="shared" si="29"/>
        <v>500</v>
      </c>
      <c r="M290" s="24">
        <v>0</v>
      </c>
      <c r="N290" s="25">
        <f t="shared" si="30"/>
        <v>0</v>
      </c>
      <c r="O290" s="24">
        <v>0</v>
      </c>
      <c r="P290" s="23">
        <f t="shared" si="31"/>
        <v>0</v>
      </c>
      <c r="Q290" s="26"/>
      <c r="R290" s="23">
        <f t="shared" si="32"/>
        <v>0</v>
      </c>
      <c r="S290" s="27" t="s">
        <v>321</v>
      </c>
      <c r="T290" s="19" t="s">
        <v>342</v>
      </c>
    </row>
    <row r="291" spans="1:20" ht="37.5" customHeight="1" x14ac:dyDescent="0.25">
      <c r="A291" s="19" t="s">
        <v>345</v>
      </c>
      <c r="B291">
        <v>4505</v>
      </c>
      <c r="F291">
        <f t="shared" si="34"/>
        <v>72</v>
      </c>
      <c r="G291" s="20">
        <f t="shared" si="35"/>
        <v>286</v>
      </c>
      <c r="H291" s="21">
        <v>11818020181</v>
      </c>
      <c r="I291" s="22" t="s">
        <v>346</v>
      </c>
      <c r="J291" s="23"/>
      <c r="K291" s="24">
        <v>4433</v>
      </c>
      <c r="L291" s="23">
        <f t="shared" si="29"/>
        <v>72</v>
      </c>
      <c r="M291" s="24">
        <v>0</v>
      </c>
      <c r="N291" s="25">
        <f t="shared" si="30"/>
        <v>0</v>
      </c>
      <c r="O291" s="24">
        <v>0</v>
      </c>
      <c r="P291" s="23">
        <f t="shared" si="31"/>
        <v>0</v>
      </c>
      <c r="Q291" s="26"/>
      <c r="R291" s="23">
        <f t="shared" si="32"/>
        <v>0</v>
      </c>
      <c r="S291" s="27" t="s">
        <v>321</v>
      </c>
      <c r="T291" s="19" t="s">
        <v>345</v>
      </c>
    </row>
    <row r="292" spans="1:20" ht="37.5" customHeight="1" x14ac:dyDescent="0.25">
      <c r="A292" s="19" t="s">
        <v>347</v>
      </c>
      <c r="B292">
        <f t="shared" si="33"/>
        <v>22174</v>
      </c>
      <c r="C292">
        <v>3176</v>
      </c>
      <c r="D292">
        <v>18998</v>
      </c>
      <c r="F292">
        <f t="shared" si="34"/>
        <v>0</v>
      </c>
      <c r="G292" s="20">
        <f t="shared" si="35"/>
        <v>287</v>
      </c>
      <c r="H292" s="21">
        <v>66621030065</v>
      </c>
      <c r="I292" s="22" t="s">
        <v>348</v>
      </c>
      <c r="J292" s="23"/>
      <c r="K292" s="24">
        <v>22174</v>
      </c>
      <c r="L292" s="23">
        <f t="shared" si="29"/>
        <v>0</v>
      </c>
      <c r="M292" s="24">
        <v>0</v>
      </c>
      <c r="N292" s="25">
        <f t="shared" si="30"/>
        <v>3176</v>
      </c>
      <c r="O292" s="24">
        <v>0</v>
      </c>
      <c r="P292" s="23">
        <f t="shared" si="31"/>
        <v>18998</v>
      </c>
      <c r="Q292" s="26"/>
      <c r="R292" s="23">
        <f t="shared" si="32"/>
        <v>0</v>
      </c>
      <c r="S292" s="27" t="s">
        <v>321</v>
      </c>
      <c r="T292" s="19" t="s">
        <v>347</v>
      </c>
    </row>
    <row r="293" spans="1:20" ht="37.5" customHeight="1" x14ac:dyDescent="0.25">
      <c r="A293" s="19" t="s">
        <v>349</v>
      </c>
      <c r="B293">
        <f t="shared" si="33"/>
        <v>26125</v>
      </c>
      <c r="C293">
        <v>4512</v>
      </c>
      <c r="D293">
        <v>21613</v>
      </c>
      <c r="F293">
        <f t="shared" si="34"/>
        <v>340</v>
      </c>
      <c r="G293" s="20">
        <f t="shared" si="35"/>
        <v>288</v>
      </c>
      <c r="H293" s="21">
        <v>68228106736</v>
      </c>
      <c r="I293" s="22" t="s">
        <v>350</v>
      </c>
      <c r="J293" s="23"/>
      <c r="K293" s="24">
        <v>25785</v>
      </c>
      <c r="L293" s="23">
        <f t="shared" si="29"/>
        <v>340</v>
      </c>
      <c r="M293" s="24">
        <v>4454</v>
      </c>
      <c r="N293" s="25">
        <f t="shared" si="30"/>
        <v>58</v>
      </c>
      <c r="O293" s="24">
        <v>21331</v>
      </c>
      <c r="P293" s="23">
        <f t="shared" si="31"/>
        <v>282</v>
      </c>
      <c r="Q293" s="26"/>
      <c r="R293" s="23">
        <f t="shared" si="32"/>
        <v>0</v>
      </c>
      <c r="S293" s="27" t="s">
        <v>321</v>
      </c>
      <c r="T293" s="19" t="s">
        <v>349</v>
      </c>
    </row>
    <row r="294" spans="1:20" ht="37.5" customHeight="1" x14ac:dyDescent="0.25">
      <c r="A294" s="19" t="s">
        <v>351</v>
      </c>
      <c r="B294">
        <f t="shared" si="33"/>
        <v>16144</v>
      </c>
      <c r="C294">
        <v>2899</v>
      </c>
      <c r="D294">
        <v>13245</v>
      </c>
      <c r="F294">
        <f t="shared" si="34"/>
        <v>323</v>
      </c>
      <c r="G294" s="20">
        <f t="shared" si="35"/>
        <v>289</v>
      </c>
      <c r="H294" s="21">
        <v>52521703728</v>
      </c>
      <c r="I294" s="22" t="s">
        <v>352</v>
      </c>
      <c r="J294" s="23"/>
      <c r="K294" s="24">
        <v>15821</v>
      </c>
      <c r="L294" s="23">
        <f t="shared" si="29"/>
        <v>323</v>
      </c>
      <c r="M294" s="24">
        <v>2841</v>
      </c>
      <c r="N294" s="25">
        <f t="shared" si="30"/>
        <v>58</v>
      </c>
      <c r="O294" s="24">
        <v>12980</v>
      </c>
      <c r="P294" s="23">
        <f t="shared" si="31"/>
        <v>265</v>
      </c>
      <c r="Q294" s="26"/>
      <c r="R294" s="23">
        <f t="shared" si="32"/>
        <v>0</v>
      </c>
      <c r="S294" s="27" t="s">
        <v>321</v>
      </c>
      <c r="T294" s="19" t="s">
        <v>351</v>
      </c>
    </row>
    <row r="295" spans="1:20" ht="37.5" customHeight="1" x14ac:dyDescent="0.25">
      <c r="A295" s="19" t="s">
        <v>353</v>
      </c>
      <c r="B295">
        <f t="shared" si="33"/>
        <v>16008</v>
      </c>
      <c r="C295">
        <v>2660</v>
      </c>
      <c r="D295">
        <v>13348</v>
      </c>
      <c r="F295">
        <f t="shared" si="34"/>
        <v>878</v>
      </c>
      <c r="G295" s="20">
        <f t="shared" si="35"/>
        <v>290</v>
      </c>
      <c r="H295" s="21">
        <v>68228116303</v>
      </c>
      <c r="I295" s="22" t="s">
        <v>354</v>
      </c>
      <c r="J295" s="23"/>
      <c r="K295" s="24">
        <v>15130</v>
      </c>
      <c r="L295" s="23">
        <f t="shared" si="29"/>
        <v>878</v>
      </c>
      <c r="M295" s="24">
        <v>2513</v>
      </c>
      <c r="N295" s="25">
        <f t="shared" si="30"/>
        <v>147</v>
      </c>
      <c r="O295" s="24">
        <v>12617</v>
      </c>
      <c r="P295" s="23">
        <f t="shared" si="31"/>
        <v>731</v>
      </c>
      <c r="Q295" s="26"/>
      <c r="R295" s="23">
        <f t="shared" si="32"/>
        <v>0</v>
      </c>
      <c r="S295" s="27" t="s">
        <v>321</v>
      </c>
      <c r="T295" s="19" t="s">
        <v>353</v>
      </c>
    </row>
    <row r="296" spans="1:20" ht="37.5" customHeight="1" x14ac:dyDescent="0.25">
      <c r="A296" s="19" t="s">
        <v>355</v>
      </c>
      <c r="B296">
        <f t="shared" si="33"/>
        <v>157341</v>
      </c>
      <c r="C296">
        <v>29271</v>
      </c>
      <c r="D296">
        <v>128070</v>
      </c>
      <c r="F296">
        <f t="shared" si="34"/>
        <v>1870</v>
      </c>
      <c r="G296" s="20">
        <f t="shared" si="35"/>
        <v>291</v>
      </c>
      <c r="H296" s="21">
        <v>88819050108</v>
      </c>
      <c r="I296" s="22" t="s">
        <v>356</v>
      </c>
      <c r="J296" s="23"/>
      <c r="K296" s="24">
        <v>155471</v>
      </c>
      <c r="L296" s="23">
        <f t="shared" si="29"/>
        <v>1870</v>
      </c>
      <c r="M296" s="24">
        <v>28916</v>
      </c>
      <c r="N296" s="25">
        <f t="shared" si="30"/>
        <v>355</v>
      </c>
      <c r="O296" s="24">
        <v>126555</v>
      </c>
      <c r="P296" s="23">
        <f t="shared" si="31"/>
        <v>1515</v>
      </c>
      <c r="Q296" s="26"/>
      <c r="R296" s="23">
        <f t="shared" si="32"/>
        <v>0</v>
      </c>
      <c r="S296" s="27" t="s">
        <v>321</v>
      </c>
      <c r="T296" s="19" t="s">
        <v>355</v>
      </c>
    </row>
    <row r="297" spans="1:20" ht="37.5" customHeight="1" x14ac:dyDescent="0.25">
      <c r="A297" s="19" t="s">
        <v>357</v>
      </c>
      <c r="B297">
        <v>85862</v>
      </c>
      <c r="C297">
        <v>16258</v>
      </c>
      <c r="D297">
        <v>63789</v>
      </c>
      <c r="F297">
        <f t="shared" si="34"/>
        <v>0</v>
      </c>
      <c r="G297" s="20">
        <f t="shared" si="35"/>
        <v>292</v>
      </c>
      <c r="H297" s="21">
        <v>23013010047</v>
      </c>
      <c r="I297" s="22" t="s">
        <v>358</v>
      </c>
      <c r="J297" s="23"/>
      <c r="K297" s="24">
        <v>85862</v>
      </c>
      <c r="L297" s="23">
        <f t="shared" si="29"/>
        <v>0</v>
      </c>
      <c r="M297" s="24"/>
      <c r="N297" s="25">
        <f t="shared" si="30"/>
        <v>16258</v>
      </c>
      <c r="O297" s="24"/>
      <c r="P297" s="23">
        <f t="shared" si="31"/>
        <v>63789</v>
      </c>
      <c r="Q297" s="26"/>
      <c r="R297" s="23">
        <f t="shared" si="32"/>
        <v>0</v>
      </c>
      <c r="S297" s="27" t="s">
        <v>321</v>
      </c>
      <c r="T297" s="19" t="s">
        <v>357</v>
      </c>
    </row>
    <row r="298" spans="1:20" ht="37.5" customHeight="1" x14ac:dyDescent="0.25">
      <c r="A298" s="19" t="s">
        <v>359</v>
      </c>
      <c r="B298">
        <f t="shared" si="33"/>
        <v>978</v>
      </c>
      <c r="C298">
        <v>297</v>
      </c>
      <c r="D298">
        <v>681</v>
      </c>
      <c r="E298">
        <v>177</v>
      </c>
      <c r="F298">
        <f t="shared" si="34"/>
        <v>214</v>
      </c>
      <c r="G298" s="20">
        <f t="shared" si="35"/>
        <v>293</v>
      </c>
      <c r="H298" s="21">
        <v>3798206910</v>
      </c>
      <c r="I298" s="22" t="s">
        <v>360</v>
      </c>
      <c r="J298" s="23"/>
      <c r="K298" s="24">
        <f>M298+O298</f>
        <v>764</v>
      </c>
      <c r="L298" s="23">
        <f t="shared" si="29"/>
        <v>214</v>
      </c>
      <c r="M298" s="24">
        <v>229</v>
      </c>
      <c r="N298" s="25">
        <f t="shared" si="30"/>
        <v>68</v>
      </c>
      <c r="O298" s="24">
        <v>535</v>
      </c>
      <c r="P298" s="23">
        <f t="shared" si="31"/>
        <v>146</v>
      </c>
      <c r="Q298" s="26">
        <v>160</v>
      </c>
      <c r="R298" s="23">
        <f t="shared" si="32"/>
        <v>17</v>
      </c>
      <c r="S298" s="27" t="s">
        <v>321</v>
      </c>
      <c r="T298" s="19" t="s">
        <v>359</v>
      </c>
    </row>
    <row r="299" spans="1:20" ht="37.5" customHeight="1" x14ac:dyDescent="0.25">
      <c r="A299" s="19" t="s">
        <v>361</v>
      </c>
      <c r="F299">
        <f t="shared" si="34"/>
        <v>-449</v>
      </c>
      <c r="G299" s="20">
        <f t="shared" si="35"/>
        <v>294</v>
      </c>
      <c r="H299" s="21">
        <v>52599206693</v>
      </c>
      <c r="I299" s="22" t="s">
        <v>362</v>
      </c>
      <c r="J299" s="23"/>
      <c r="K299" s="24">
        <f>M299+O299</f>
        <v>449</v>
      </c>
      <c r="L299" s="23">
        <f t="shared" si="29"/>
        <v>-449</v>
      </c>
      <c r="M299" s="24">
        <v>81</v>
      </c>
      <c r="N299" s="25">
        <f t="shared" si="30"/>
        <v>-81</v>
      </c>
      <c r="O299" s="24">
        <v>368</v>
      </c>
      <c r="P299" s="23">
        <f t="shared" si="31"/>
        <v>-368</v>
      </c>
      <c r="Q299" s="26">
        <v>250</v>
      </c>
      <c r="R299" s="23">
        <f t="shared" si="32"/>
        <v>-250</v>
      </c>
      <c r="S299" s="27" t="s">
        <v>321</v>
      </c>
      <c r="T299" s="19" t="s">
        <v>361</v>
      </c>
    </row>
    <row r="300" spans="1:20" ht="37.5" customHeight="1" x14ac:dyDescent="0.25">
      <c r="A300" s="19" t="s">
        <v>363</v>
      </c>
      <c r="B300">
        <f t="shared" si="33"/>
        <v>834</v>
      </c>
      <c r="C300">
        <v>265</v>
      </c>
      <c r="D300">
        <v>569</v>
      </c>
      <c r="E300">
        <v>506</v>
      </c>
      <c r="F300">
        <f t="shared" si="34"/>
        <v>77</v>
      </c>
      <c r="G300" s="20">
        <f t="shared" si="35"/>
        <v>295</v>
      </c>
      <c r="H300" s="21">
        <v>52599206901</v>
      </c>
      <c r="I300" s="22" t="s">
        <v>364</v>
      </c>
      <c r="J300" s="23"/>
      <c r="K300" s="24">
        <f>M300+O300</f>
        <v>757</v>
      </c>
      <c r="L300" s="23">
        <f t="shared" si="29"/>
        <v>77</v>
      </c>
      <c r="M300" s="24">
        <v>233</v>
      </c>
      <c r="N300" s="25">
        <f t="shared" si="30"/>
        <v>32</v>
      </c>
      <c r="O300" s="24">
        <v>524</v>
      </c>
      <c r="P300" s="23">
        <f t="shared" si="31"/>
        <v>45</v>
      </c>
      <c r="Q300" s="26">
        <v>316</v>
      </c>
      <c r="R300" s="23">
        <f t="shared" si="32"/>
        <v>190</v>
      </c>
      <c r="S300" s="27" t="s">
        <v>321</v>
      </c>
      <c r="T300" s="19" t="s">
        <v>363</v>
      </c>
    </row>
    <row r="301" spans="1:20" ht="37.5" customHeight="1" x14ac:dyDescent="0.25">
      <c r="A301" s="19" t="s">
        <v>365</v>
      </c>
      <c r="B301">
        <f t="shared" si="33"/>
        <v>68938</v>
      </c>
      <c r="C301">
        <v>22578</v>
      </c>
      <c r="D301">
        <v>46360</v>
      </c>
      <c r="F301">
        <f t="shared" si="34"/>
        <v>617</v>
      </c>
      <c r="G301" s="20">
        <f t="shared" si="35"/>
        <v>296</v>
      </c>
      <c r="H301" s="21">
        <v>23015010788</v>
      </c>
      <c r="I301" s="22" t="s">
        <v>366</v>
      </c>
      <c r="J301" s="23"/>
      <c r="K301" s="24">
        <v>68321</v>
      </c>
      <c r="L301" s="23">
        <f t="shared" si="29"/>
        <v>617</v>
      </c>
      <c r="M301" s="24">
        <v>22382</v>
      </c>
      <c r="N301" s="25">
        <f t="shared" si="30"/>
        <v>196</v>
      </c>
      <c r="O301" s="24">
        <v>45939</v>
      </c>
      <c r="P301" s="23">
        <f t="shared" si="31"/>
        <v>421</v>
      </c>
      <c r="Q301" s="26"/>
      <c r="R301" s="23">
        <f t="shared" si="32"/>
        <v>0</v>
      </c>
      <c r="S301" s="27" t="s">
        <v>367</v>
      </c>
      <c r="T301" s="19" t="s">
        <v>365</v>
      </c>
    </row>
    <row r="302" spans="1:20" ht="37.5" customHeight="1" x14ac:dyDescent="0.25">
      <c r="A302" s="19" t="s">
        <v>368</v>
      </c>
      <c r="B302">
        <f t="shared" si="33"/>
        <v>173857</v>
      </c>
      <c r="C302">
        <v>30882</v>
      </c>
      <c r="D302">
        <v>142975</v>
      </c>
      <c r="F302">
        <f t="shared" si="34"/>
        <v>4169</v>
      </c>
      <c r="G302" s="20">
        <f t="shared" si="35"/>
        <v>297</v>
      </c>
      <c r="H302" s="21">
        <v>88820040055</v>
      </c>
      <c r="I302" s="22" t="s">
        <v>369</v>
      </c>
      <c r="J302" s="23"/>
      <c r="K302" s="24">
        <v>169688</v>
      </c>
      <c r="L302" s="23">
        <f t="shared" si="29"/>
        <v>4169</v>
      </c>
      <c r="M302" s="24">
        <v>30183</v>
      </c>
      <c r="N302" s="25">
        <f t="shared" si="30"/>
        <v>699</v>
      </c>
      <c r="O302" s="24">
        <v>139505</v>
      </c>
      <c r="P302" s="23">
        <f t="shared" si="31"/>
        <v>3470</v>
      </c>
      <c r="Q302" s="26"/>
      <c r="R302" s="23">
        <f t="shared" si="32"/>
        <v>0</v>
      </c>
      <c r="S302" s="27" t="s">
        <v>367</v>
      </c>
      <c r="T302" s="19" t="s">
        <v>368</v>
      </c>
    </row>
    <row r="303" spans="1:20" ht="37.5" customHeight="1" x14ac:dyDescent="0.25">
      <c r="A303" s="19" t="s">
        <v>370</v>
      </c>
      <c r="B303">
        <f t="shared" si="33"/>
        <v>958</v>
      </c>
      <c r="C303">
        <v>92</v>
      </c>
      <c r="D303">
        <v>866</v>
      </c>
      <c r="F303">
        <f t="shared" si="34"/>
        <v>31</v>
      </c>
      <c r="G303" s="20">
        <f t="shared" si="35"/>
        <v>298</v>
      </c>
      <c r="H303" s="21">
        <v>52521705714</v>
      </c>
      <c r="I303" s="22" t="s">
        <v>371</v>
      </c>
      <c r="J303" s="23"/>
      <c r="K303" s="24">
        <v>927</v>
      </c>
      <c r="L303" s="23">
        <f t="shared" si="29"/>
        <v>31</v>
      </c>
      <c r="M303" s="24">
        <v>92</v>
      </c>
      <c r="N303" s="25">
        <f t="shared" si="30"/>
        <v>0</v>
      </c>
      <c r="O303" s="24">
        <v>835</v>
      </c>
      <c r="P303" s="23">
        <f t="shared" si="31"/>
        <v>31</v>
      </c>
      <c r="Q303" s="26"/>
      <c r="R303" s="23">
        <f t="shared" si="32"/>
        <v>0</v>
      </c>
      <c r="S303" s="27" t="s">
        <v>367</v>
      </c>
      <c r="T303" s="19" t="s">
        <v>370</v>
      </c>
    </row>
    <row r="304" spans="1:20" ht="37.5" customHeight="1" x14ac:dyDescent="0.25">
      <c r="A304" s="19" t="s">
        <v>372</v>
      </c>
      <c r="B304">
        <f t="shared" si="33"/>
        <v>208949</v>
      </c>
      <c r="C304">
        <v>33351</v>
      </c>
      <c r="D304">
        <v>175598</v>
      </c>
      <c r="F304">
        <f t="shared" si="34"/>
        <v>1198</v>
      </c>
      <c r="G304" s="20">
        <f t="shared" si="35"/>
        <v>299</v>
      </c>
      <c r="H304" s="21">
        <v>88818010287</v>
      </c>
      <c r="I304" s="22" t="s">
        <v>373</v>
      </c>
      <c r="J304" s="23"/>
      <c r="K304" s="24">
        <v>207751</v>
      </c>
      <c r="L304" s="23">
        <f t="shared" si="29"/>
        <v>1198</v>
      </c>
      <c r="M304" s="24">
        <v>33204</v>
      </c>
      <c r="N304" s="25">
        <f t="shared" si="30"/>
        <v>147</v>
      </c>
      <c r="O304" s="24">
        <v>174547</v>
      </c>
      <c r="P304" s="23">
        <f t="shared" si="31"/>
        <v>1051</v>
      </c>
      <c r="Q304" s="26"/>
      <c r="R304" s="23">
        <f t="shared" si="32"/>
        <v>0</v>
      </c>
      <c r="S304" s="27" t="s">
        <v>367</v>
      </c>
      <c r="T304" s="19" t="s">
        <v>372</v>
      </c>
    </row>
    <row r="305" spans="1:20" ht="37.5" customHeight="1" x14ac:dyDescent="0.25">
      <c r="A305" s="19" t="s">
        <v>374</v>
      </c>
      <c r="B305">
        <f t="shared" si="33"/>
        <v>1408</v>
      </c>
      <c r="C305">
        <v>349</v>
      </c>
      <c r="D305">
        <v>1059</v>
      </c>
      <c r="F305">
        <f t="shared" si="34"/>
        <v>59</v>
      </c>
      <c r="G305" s="20">
        <f t="shared" si="35"/>
        <v>300</v>
      </c>
      <c r="H305" s="21">
        <v>66622030030</v>
      </c>
      <c r="I305" s="22" t="s">
        <v>375</v>
      </c>
      <c r="J305" s="23"/>
      <c r="K305" s="24">
        <v>1349</v>
      </c>
      <c r="L305" s="23">
        <f t="shared" si="29"/>
        <v>59</v>
      </c>
      <c r="M305" s="24">
        <v>349</v>
      </c>
      <c r="N305" s="25">
        <f t="shared" si="30"/>
        <v>0</v>
      </c>
      <c r="O305" s="24">
        <v>1000</v>
      </c>
      <c r="P305" s="23">
        <f t="shared" si="31"/>
        <v>59</v>
      </c>
      <c r="Q305" s="26"/>
      <c r="R305" s="23">
        <f t="shared" si="32"/>
        <v>0</v>
      </c>
      <c r="S305" s="27" t="s">
        <v>367</v>
      </c>
      <c r="T305" s="19" t="s">
        <v>374</v>
      </c>
    </row>
    <row r="306" spans="1:20" ht="37.5" customHeight="1" x14ac:dyDescent="0.25">
      <c r="A306" s="19" t="s">
        <v>376</v>
      </c>
      <c r="B306">
        <f t="shared" si="33"/>
        <v>108346</v>
      </c>
      <c r="C306">
        <v>20833</v>
      </c>
      <c r="D306">
        <v>87513</v>
      </c>
      <c r="F306">
        <f t="shared" si="34"/>
        <v>202</v>
      </c>
      <c r="G306" s="20">
        <f t="shared" si="35"/>
        <v>301</v>
      </c>
      <c r="H306" s="21">
        <v>23013040252</v>
      </c>
      <c r="I306" s="22" t="s">
        <v>377</v>
      </c>
      <c r="J306" s="23"/>
      <c r="K306" s="24">
        <v>108144</v>
      </c>
      <c r="L306" s="23">
        <f t="shared" si="29"/>
        <v>202</v>
      </c>
      <c r="M306" s="24">
        <v>20833</v>
      </c>
      <c r="N306" s="25">
        <f t="shared" si="30"/>
        <v>0</v>
      </c>
      <c r="O306" s="24">
        <v>87311</v>
      </c>
      <c r="P306" s="23">
        <f t="shared" si="31"/>
        <v>202</v>
      </c>
      <c r="Q306" s="26"/>
      <c r="R306" s="23">
        <f t="shared" si="32"/>
        <v>0</v>
      </c>
      <c r="S306" s="27" t="s">
        <v>367</v>
      </c>
      <c r="T306" s="19" t="s">
        <v>376</v>
      </c>
    </row>
    <row r="307" spans="1:20" ht="37.5" customHeight="1" x14ac:dyDescent="0.25">
      <c r="A307" s="19" t="s">
        <v>378</v>
      </c>
      <c r="B307">
        <f t="shared" si="33"/>
        <v>5963</v>
      </c>
      <c r="C307">
        <v>579</v>
      </c>
      <c r="D307">
        <v>5384</v>
      </c>
      <c r="F307">
        <f t="shared" si="34"/>
        <v>0</v>
      </c>
      <c r="G307" s="20">
        <f t="shared" si="35"/>
        <v>302</v>
      </c>
      <c r="H307" s="21">
        <v>66621040144</v>
      </c>
      <c r="I307" s="22" t="s">
        <v>379</v>
      </c>
      <c r="J307" s="23"/>
      <c r="K307" s="24">
        <v>5963</v>
      </c>
      <c r="L307" s="23">
        <f t="shared" si="29"/>
        <v>0</v>
      </c>
      <c r="M307" s="24">
        <v>579</v>
      </c>
      <c r="N307" s="25">
        <f t="shared" si="30"/>
        <v>0</v>
      </c>
      <c r="O307" s="24">
        <v>5384</v>
      </c>
      <c r="P307" s="23">
        <f t="shared" si="31"/>
        <v>0</v>
      </c>
      <c r="Q307" s="26"/>
      <c r="R307" s="23">
        <f t="shared" si="32"/>
        <v>0</v>
      </c>
      <c r="S307" s="27" t="s">
        <v>367</v>
      </c>
      <c r="T307" s="19" t="s">
        <v>378</v>
      </c>
    </row>
    <row r="308" spans="1:20" ht="37.5" customHeight="1" x14ac:dyDescent="0.25">
      <c r="A308" s="19" t="s">
        <v>380</v>
      </c>
      <c r="B308">
        <v>2852</v>
      </c>
      <c r="F308">
        <f t="shared" si="34"/>
        <v>24</v>
      </c>
      <c r="G308" s="20">
        <f t="shared" si="35"/>
        <v>303</v>
      </c>
      <c r="H308" s="21">
        <v>11818020125</v>
      </c>
      <c r="I308" s="22" t="s">
        <v>381</v>
      </c>
      <c r="J308" s="23"/>
      <c r="K308" s="24">
        <v>2828</v>
      </c>
      <c r="L308" s="23">
        <f t="shared" si="29"/>
        <v>24</v>
      </c>
      <c r="M308" s="24"/>
      <c r="N308" s="25">
        <f t="shared" si="30"/>
        <v>0</v>
      </c>
      <c r="O308" s="24"/>
      <c r="P308" s="23">
        <f t="shared" si="31"/>
        <v>0</v>
      </c>
      <c r="Q308" s="26"/>
      <c r="R308" s="23">
        <f t="shared" si="32"/>
        <v>0</v>
      </c>
      <c r="S308" s="27" t="s">
        <v>367</v>
      </c>
      <c r="T308" s="19" t="s">
        <v>380</v>
      </c>
    </row>
    <row r="309" spans="1:20" ht="37.5" customHeight="1" x14ac:dyDescent="0.25">
      <c r="A309" s="19" t="s">
        <v>382</v>
      </c>
      <c r="B309">
        <f t="shared" si="33"/>
        <v>149429</v>
      </c>
      <c r="C309">
        <v>46631</v>
      </c>
      <c r="D309">
        <v>102798</v>
      </c>
      <c r="F309">
        <f t="shared" si="34"/>
        <v>604</v>
      </c>
      <c r="G309" s="20">
        <f t="shared" si="35"/>
        <v>304</v>
      </c>
      <c r="H309" s="21">
        <v>23015101260</v>
      </c>
      <c r="I309" s="22" t="s">
        <v>383</v>
      </c>
      <c r="J309" s="23"/>
      <c r="K309" s="24">
        <v>148825</v>
      </c>
      <c r="L309" s="23">
        <f t="shared" si="29"/>
        <v>604</v>
      </c>
      <c r="M309" s="24">
        <v>46411</v>
      </c>
      <c r="N309" s="25">
        <f t="shared" si="30"/>
        <v>220</v>
      </c>
      <c r="O309" s="24">
        <v>102414</v>
      </c>
      <c r="P309" s="23">
        <f t="shared" si="31"/>
        <v>384</v>
      </c>
      <c r="Q309" s="26"/>
      <c r="R309" s="23">
        <f t="shared" si="32"/>
        <v>0</v>
      </c>
      <c r="S309" s="27" t="s">
        <v>367</v>
      </c>
      <c r="T309" s="19" t="s">
        <v>382</v>
      </c>
    </row>
    <row r="310" spans="1:20" ht="37.5" customHeight="1" x14ac:dyDescent="0.25">
      <c r="A310" s="19" t="s">
        <v>384</v>
      </c>
      <c r="B310">
        <f t="shared" si="33"/>
        <v>26869</v>
      </c>
      <c r="C310">
        <v>8797</v>
      </c>
      <c r="D310">
        <v>18072</v>
      </c>
      <c r="F310">
        <f t="shared" si="34"/>
        <v>358</v>
      </c>
      <c r="G310" s="20">
        <f t="shared" si="35"/>
        <v>305</v>
      </c>
      <c r="H310" s="21">
        <v>88819050283</v>
      </c>
      <c r="I310" s="22" t="s">
        <v>385</v>
      </c>
      <c r="J310" s="23"/>
      <c r="K310" s="24">
        <v>26511</v>
      </c>
      <c r="L310" s="23">
        <f t="shared" si="29"/>
        <v>358</v>
      </c>
      <c r="M310" s="24">
        <v>8683</v>
      </c>
      <c r="N310" s="25">
        <f t="shared" si="30"/>
        <v>114</v>
      </c>
      <c r="O310" s="24">
        <v>17828</v>
      </c>
      <c r="P310" s="23">
        <f t="shared" si="31"/>
        <v>244</v>
      </c>
      <c r="Q310" s="26"/>
      <c r="R310" s="23">
        <f t="shared" si="32"/>
        <v>0</v>
      </c>
      <c r="S310" s="27" t="s">
        <v>367</v>
      </c>
      <c r="T310" s="19" t="s">
        <v>384</v>
      </c>
    </row>
    <row r="311" spans="1:20" ht="37.5" customHeight="1" x14ac:dyDescent="0.25">
      <c r="A311" s="19" t="s">
        <v>386</v>
      </c>
      <c r="B311">
        <v>174579</v>
      </c>
      <c r="F311">
        <f t="shared" si="34"/>
        <v>845</v>
      </c>
      <c r="G311" s="20">
        <f t="shared" si="35"/>
        <v>306</v>
      </c>
      <c r="H311" s="21">
        <v>23012040263</v>
      </c>
      <c r="I311" s="22" t="s">
        <v>387</v>
      </c>
      <c r="J311" s="23"/>
      <c r="K311" s="24">
        <v>173734</v>
      </c>
      <c r="L311" s="23">
        <f t="shared" si="29"/>
        <v>845</v>
      </c>
      <c r="M311" s="24"/>
      <c r="N311" s="25">
        <f t="shared" si="30"/>
        <v>0</v>
      </c>
      <c r="O311" s="24"/>
      <c r="P311" s="23">
        <f t="shared" si="31"/>
        <v>0</v>
      </c>
      <c r="Q311" s="26"/>
      <c r="R311" s="23">
        <f t="shared" si="32"/>
        <v>0</v>
      </c>
      <c r="S311" s="27" t="s">
        <v>367</v>
      </c>
      <c r="T311" s="19" t="s">
        <v>386</v>
      </c>
    </row>
    <row r="312" spans="1:20" ht="37.5" customHeight="1" x14ac:dyDescent="0.25">
      <c r="A312" s="19" t="s">
        <v>388</v>
      </c>
      <c r="B312">
        <f t="shared" si="33"/>
        <v>96506</v>
      </c>
      <c r="C312">
        <v>19831</v>
      </c>
      <c r="D312">
        <v>76675</v>
      </c>
      <c r="F312">
        <f t="shared" si="34"/>
        <v>832</v>
      </c>
      <c r="G312" s="20">
        <f t="shared" si="35"/>
        <v>307</v>
      </c>
      <c r="H312" s="21">
        <v>23013010404</v>
      </c>
      <c r="I312" s="22" t="s">
        <v>389</v>
      </c>
      <c r="J312" s="23"/>
      <c r="K312" s="24">
        <v>95674</v>
      </c>
      <c r="L312" s="23">
        <f t="shared" si="29"/>
        <v>832</v>
      </c>
      <c r="M312" s="24">
        <v>19527</v>
      </c>
      <c r="N312" s="25">
        <f t="shared" si="30"/>
        <v>304</v>
      </c>
      <c r="O312" s="24">
        <v>76147</v>
      </c>
      <c r="P312" s="23">
        <f t="shared" si="31"/>
        <v>528</v>
      </c>
      <c r="Q312" s="26"/>
      <c r="R312" s="23">
        <f t="shared" si="32"/>
        <v>0</v>
      </c>
      <c r="S312" s="27" t="s">
        <v>367</v>
      </c>
      <c r="T312" s="19" t="s">
        <v>388</v>
      </c>
    </row>
    <row r="313" spans="1:20" ht="37.5" customHeight="1" x14ac:dyDescent="0.25">
      <c r="A313" s="19" t="s">
        <v>390</v>
      </c>
      <c r="B313">
        <v>33907</v>
      </c>
      <c r="C313" s="36"/>
      <c r="D313" s="36"/>
      <c r="F313">
        <f t="shared" si="34"/>
        <v>165</v>
      </c>
      <c r="G313" s="20">
        <f t="shared" si="35"/>
        <v>308</v>
      </c>
      <c r="H313" s="21">
        <v>23014040204</v>
      </c>
      <c r="I313" s="22" t="s">
        <v>391</v>
      </c>
      <c r="J313" s="23"/>
      <c r="K313" s="24">
        <v>33742</v>
      </c>
      <c r="L313" s="23">
        <f t="shared" si="29"/>
        <v>165</v>
      </c>
      <c r="M313" s="24">
        <v>6908</v>
      </c>
      <c r="N313" s="25">
        <f t="shared" si="30"/>
        <v>-6908</v>
      </c>
      <c r="O313" s="24">
        <v>26834</v>
      </c>
      <c r="P313" s="23">
        <f t="shared" si="31"/>
        <v>-26834</v>
      </c>
      <c r="Q313" s="26"/>
      <c r="R313" s="23">
        <f t="shared" si="32"/>
        <v>0</v>
      </c>
      <c r="S313" s="27" t="s">
        <v>367</v>
      </c>
      <c r="T313" s="19" t="s">
        <v>390</v>
      </c>
    </row>
    <row r="314" spans="1:20" ht="37.5" customHeight="1" x14ac:dyDescent="0.25">
      <c r="A314" s="19" t="s">
        <v>392</v>
      </c>
      <c r="F314">
        <f t="shared" si="34"/>
        <v>-8755</v>
      </c>
      <c r="G314" s="20">
        <f t="shared" si="35"/>
        <v>309</v>
      </c>
      <c r="H314" s="21">
        <v>52521704285</v>
      </c>
      <c r="I314" s="22" t="s">
        <v>393</v>
      </c>
      <c r="J314" s="23"/>
      <c r="K314" s="24">
        <v>8755</v>
      </c>
      <c r="L314" s="23">
        <f t="shared" si="29"/>
        <v>-8755</v>
      </c>
      <c r="M314" s="24"/>
      <c r="N314" s="25">
        <f t="shared" si="30"/>
        <v>0</v>
      </c>
      <c r="O314" s="24"/>
      <c r="P314" s="23">
        <f t="shared" si="31"/>
        <v>0</v>
      </c>
      <c r="Q314" s="26"/>
      <c r="R314" s="23">
        <f t="shared" si="32"/>
        <v>0</v>
      </c>
      <c r="S314" s="27" t="s">
        <v>367</v>
      </c>
      <c r="T314" s="19" t="s">
        <v>392</v>
      </c>
    </row>
    <row r="315" spans="1:20" ht="37.5" customHeight="1" x14ac:dyDescent="0.25">
      <c r="A315" s="19"/>
      <c r="G315" s="20"/>
      <c r="H315" s="21"/>
      <c r="I315" s="22"/>
      <c r="J315" s="23"/>
      <c r="K315" s="24"/>
      <c r="L315" s="23"/>
      <c r="M315" s="24"/>
      <c r="N315" s="25"/>
      <c r="O315" s="24"/>
      <c r="P315" s="23"/>
      <c r="Q315" s="26"/>
      <c r="R315" s="23"/>
      <c r="S315" s="27"/>
      <c r="T315" s="19"/>
    </row>
    <row r="316" spans="1:20" ht="37.5" customHeight="1" x14ac:dyDescent="0.25">
      <c r="A316" s="19"/>
      <c r="G316" s="20"/>
      <c r="H316" s="21"/>
      <c r="I316" s="22"/>
      <c r="J316" s="23"/>
      <c r="K316" s="24"/>
      <c r="L316" s="23"/>
      <c r="M316" s="24"/>
      <c r="N316" s="25"/>
      <c r="O316" s="24"/>
      <c r="P316" s="23"/>
      <c r="Q316" s="26"/>
      <c r="R316" s="23"/>
      <c r="S316" s="27"/>
      <c r="T316" s="19"/>
    </row>
    <row r="317" spans="1:20" ht="37.5" customHeight="1" x14ac:dyDescent="0.25">
      <c r="A317" s="19"/>
      <c r="G317" s="20"/>
      <c r="H317" s="21"/>
      <c r="I317" s="22"/>
      <c r="J317" s="23"/>
      <c r="K317" s="24"/>
      <c r="L317" s="23"/>
      <c r="M317" s="24"/>
      <c r="N317" s="25"/>
      <c r="O317" s="24"/>
      <c r="P317" s="23"/>
      <c r="Q317" s="26"/>
      <c r="R317" s="23"/>
      <c r="S317" s="27"/>
      <c r="T317" s="19"/>
    </row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315:H317">
    <cfRule type="beginsWith" dxfId="27" priority="24" operator="beginsWith" text="99">
      <formula>LEFT(H315,LEN("99"))="99"</formula>
    </cfRule>
  </conditionalFormatting>
  <conditionalFormatting sqref="H315:H317">
    <cfRule type="beginsWith" dxfId="26" priority="25" operator="beginsWith" text="99">
      <formula>LEFT(H315,2)="99"</formula>
    </cfRule>
    <cfRule type="containsText" dxfId="25" priority="26" operator="containsText" text="rem">
      <formula>NOT(ISERROR(SEARCH("rem",H315)))</formula>
    </cfRule>
    <cfRule type="duplicateValues" dxfId="24" priority="27"/>
  </conditionalFormatting>
  <conditionalFormatting sqref="T315:T317">
    <cfRule type="duplicateValues" dxfId="23" priority="28"/>
  </conditionalFormatting>
  <conditionalFormatting sqref="H8:H314">
    <cfRule type="beginsWith" dxfId="22" priority="19" operator="beginsWith" text="99">
      <formula>LEFT(H8,LEN("99"))="99"</formula>
    </cfRule>
  </conditionalFormatting>
  <conditionalFormatting sqref="H8:H314">
    <cfRule type="beginsWith" dxfId="21" priority="20" operator="beginsWith" text="99">
      <formula>LEFT(H8,2)="99"</formula>
    </cfRule>
    <cfRule type="containsText" dxfId="20" priority="21" operator="containsText" text="rem">
      <formula>NOT(ISERROR(SEARCH("rem",H8)))</formula>
    </cfRule>
    <cfRule type="duplicateValues" dxfId="19" priority="22"/>
  </conditionalFormatting>
  <conditionalFormatting sqref="T8:T314">
    <cfRule type="duplicateValues" dxfId="18" priority="23"/>
  </conditionalFormatting>
  <conditionalFormatting sqref="A315:A317">
    <cfRule type="duplicateValues" dxfId="17" priority="18"/>
  </conditionalFormatting>
  <conditionalFormatting sqref="A8:A314">
    <cfRule type="duplicateValues" dxfId="16" priority="17"/>
  </conditionalFormatting>
  <conditionalFormatting sqref="H7">
    <cfRule type="beginsWith" dxfId="15" priority="12" operator="beginsWith" text="99">
      <formula>LEFT(H7,LEN("99"))="99"</formula>
    </cfRule>
  </conditionalFormatting>
  <conditionalFormatting sqref="H7">
    <cfRule type="beginsWith" dxfId="14" priority="13" operator="beginsWith" text="99">
      <formula>LEFT(H7,2)="99"</formula>
    </cfRule>
    <cfRule type="containsText" dxfId="13" priority="14" operator="containsText" text="rem">
      <formula>NOT(ISERROR(SEARCH("rem",H7)))</formula>
    </cfRule>
    <cfRule type="duplicateValues" dxfId="12" priority="15"/>
  </conditionalFormatting>
  <conditionalFormatting sqref="T7">
    <cfRule type="duplicateValues" dxfId="11" priority="16"/>
  </conditionalFormatting>
  <conditionalFormatting sqref="A7">
    <cfRule type="duplicateValues" dxfId="10" priority="11"/>
  </conditionalFormatting>
  <conditionalFormatting sqref="L6:L314 N6:N314 P6:P314 R6:R314">
    <cfRule type="cellIs" dxfId="9" priority="10" operator="lessThan">
      <formula>0</formula>
    </cfRule>
  </conditionalFormatting>
  <conditionalFormatting sqref="L6:L314 R6:R314">
    <cfRule type="cellIs" dxfId="8" priority="9" operator="greaterThan">
      <formula>2000</formula>
    </cfRule>
  </conditionalFormatting>
  <conditionalFormatting sqref="H6">
    <cfRule type="beginsWith" dxfId="7" priority="4" operator="beginsWith" text="99">
      <formula>LEFT(H6,LEN("99"))="99"</formula>
    </cfRule>
  </conditionalFormatting>
  <conditionalFormatting sqref="H6">
    <cfRule type="beginsWith" dxfId="6" priority="5" operator="beginsWith" text="99">
      <formula>LEFT(H6,2)="99"</formula>
    </cfRule>
    <cfRule type="containsText" dxfId="5" priority="6" operator="containsText" text="rem">
      <formula>NOT(ISERROR(SEARCH("rem",H6)))</formula>
    </cfRule>
    <cfRule type="duplicateValues" dxfId="4" priority="7"/>
  </conditionalFormatting>
  <conditionalFormatting sqref="T6">
    <cfRule type="duplicateValues" dxfId="3" priority="8"/>
  </conditionalFormatting>
  <conditionalFormatting sqref="A6">
    <cfRule type="duplicateValues" dxfId="2" priority="3"/>
  </conditionalFormatting>
  <conditionalFormatting sqref="F6:F314">
    <cfRule type="cellIs" dxfId="1" priority="1" operator="lessThan">
      <formula>0</formula>
    </cfRule>
    <cfRule type="cellIs" dxfId="0" priority="2" operator="greaterThan">
      <formula>2000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rowBreaks count="1" manualBreakCount="1">
    <brk id="28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Takbeer</vt:lpstr>
      <vt:lpstr>Takbeer!Print_Area</vt:lpstr>
      <vt:lpstr>Takbeer!Print_Titles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2025-04-22T04:41:18Z</dcterms:created>
  <dcterms:modified xsi:type="dcterms:W3CDTF">2025-04-23T07:10:40Z</dcterms:modified>
</cp:coreProperties>
</file>