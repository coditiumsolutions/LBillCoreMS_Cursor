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mmad\Desktop\Import Reading\01-Reading\"/>
    </mc:Choice>
  </mc:AlternateContent>
  <bookViews>
    <workbookView xWindow="0" yWindow="0" windowWidth="24000" windowHeight="9735"/>
  </bookViews>
  <sheets>
    <sheet name="Executive Lodge" sheetId="1" r:id="rId1"/>
  </sheets>
  <definedNames>
    <definedName name="_xlnm.Print_Area" localSheetId="0">'Executive Lodge'!$A$1:$T$166</definedName>
    <definedName name="_xlnm.Print_Titles" localSheetId="0">'Executive Lodge'!$4:$5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7" i="1" l="1"/>
  <c r="B78" i="1"/>
  <c r="B52" i="1"/>
  <c r="B44" i="1"/>
  <c r="B40" i="1"/>
  <c r="R166" i="1" l="1"/>
  <c r="P166" i="1"/>
  <c r="N166" i="1"/>
  <c r="L166" i="1"/>
  <c r="F166" i="1" s="1"/>
  <c r="B166" i="1"/>
  <c r="R165" i="1"/>
  <c r="P165" i="1"/>
  <c r="N165" i="1"/>
  <c r="B165" i="1"/>
  <c r="L165" i="1" s="1"/>
  <c r="F165" i="1" s="1"/>
  <c r="R164" i="1"/>
  <c r="P164" i="1"/>
  <c r="N164" i="1"/>
  <c r="B164" i="1"/>
  <c r="L164" i="1" s="1"/>
  <c r="F164" i="1" s="1"/>
  <c r="R163" i="1"/>
  <c r="P163" i="1"/>
  <c r="N163" i="1"/>
  <c r="B163" i="1"/>
  <c r="L163" i="1" s="1"/>
  <c r="F163" i="1" s="1"/>
  <c r="R162" i="1"/>
  <c r="P162" i="1"/>
  <c r="N162" i="1"/>
  <c r="B162" i="1"/>
  <c r="L162" i="1" s="1"/>
  <c r="F162" i="1" s="1"/>
  <c r="R161" i="1"/>
  <c r="P161" i="1"/>
  <c r="N161" i="1"/>
  <c r="G161" i="1"/>
  <c r="G162" i="1" s="1"/>
  <c r="G163" i="1" s="1"/>
  <c r="G164" i="1" s="1"/>
  <c r="G165" i="1" s="1"/>
  <c r="G166" i="1" s="1"/>
  <c r="B161" i="1"/>
  <c r="L161" i="1" s="1"/>
  <c r="F161" i="1" s="1"/>
  <c r="R160" i="1"/>
  <c r="P160" i="1"/>
  <c r="N160" i="1"/>
  <c r="G160" i="1"/>
  <c r="L160" i="1"/>
  <c r="F160" i="1" s="1"/>
  <c r="R159" i="1"/>
  <c r="P159" i="1"/>
  <c r="N159" i="1"/>
  <c r="B159" i="1"/>
  <c r="L159" i="1" s="1"/>
  <c r="F159" i="1" s="1"/>
  <c r="R158" i="1"/>
  <c r="P158" i="1"/>
  <c r="N158" i="1"/>
  <c r="B158" i="1"/>
  <c r="L158" i="1" s="1"/>
  <c r="F158" i="1" s="1"/>
  <c r="R157" i="1"/>
  <c r="P157" i="1"/>
  <c r="N157" i="1"/>
  <c r="B157" i="1"/>
  <c r="L157" i="1" s="1"/>
  <c r="F157" i="1" s="1"/>
  <c r="R156" i="1"/>
  <c r="P156" i="1"/>
  <c r="N156" i="1"/>
  <c r="B156" i="1"/>
  <c r="L156" i="1" s="1"/>
  <c r="F156" i="1" s="1"/>
  <c r="R155" i="1"/>
  <c r="P155" i="1"/>
  <c r="N155" i="1"/>
  <c r="B155" i="1"/>
  <c r="L155" i="1" s="1"/>
  <c r="F155" i="1" s="1"/>
  <c r="R154" i="1"/>
  <c r="P154" i="1"/>
  <c r="N154" i="1"/>
  <c r="B154" i="1"/>
  <c r="L154" i="1" s="1"/>
  <c r="F154" i="1" s="1"/>
  <c r="R153" i="1"/>
  <c r="P153" i="1"/>
  <c r="N153" i="1"/>
  <c r="F153" i="1"/>
  <c r="B153" i="1"/>
  <c r="L153" i="1" s="1"/>
  <c r="R152" i="1"/>
  <c r="P152" i="1"/>
  <c r="N152" i="1"/>
  <c r="B152" i="1"/>
  <c r="L152" i="1" s="1"/>
  <c r="F152" i="1" s="1"/>
  <c r="R151" i="1"/>
  <c r="P151" i="1"/>
  <c r="N151" i="1"/>
  <c r="L151" i="1"/>
  <c r="F151" i="1" s="1"/>
  <c r="B151" i="1"/>
  <c r="R150" i="1"/>
  <c r="P150" i="1"/>
  <c r="N150" i="1"/>
  <c r="B150" i="1"/>
  <c r="L150" i="1" s="1"/>
  <c r="F150" i="1" s="1"/>
  <c r="R149" i="1"/>
  <c r="P149" i="1"/>
  <c r="N149" i="1"/>
  <c r="B149" i="1"/>
  <c r="L149" i="1" s="1"/>
  <c r="F149" i="1" s="1"/>
  <c r="R148" i="1"/>
  <c r="P148" i="1"/>
  <c r="N148" i="1"/>
  <c r="L148" i="1"/>
  <c r="F148" i="1" s="1"/>
  <c r="R147" i="1"/>
  <c r="P147" i="1"/>
  <c r="N147" i="1"/>
  <c r="B147" i="1"/>
  <c r="L147" i="1" s="1"/>
  <c r="F147" i="1" s="1"/>
  <c r="R146" i="1"/>
  <c r="P146" i="1"/>
  <c r="N146" i="1"/>
  <c r="B146" i="1"/>
  <c r="L146" i="1" s="1"/>
  <c r="F146" i="1" s="1"/>
  <c r="R145" i="1"/>
  <c r="P145" i="1"/>
  <c r="N145" i="1"/>
  <c r="L145" i="1"/>
  <c r="F145" i="1" s="1"/>
  <c r="R144" i="1"/>
  <c r="P144" i="1"/>
  <c r="N144" i="1"/>
  <c r="L144" i="1"/>
  <c r="F144" i="1" s="1"/>
  <c r="R143" i="1"/>
  <c r="P143" i="1"/>
  <c r="N143" i="1"/>
  <c r="L143" i="1"/>
  <c r="F143" i="1" s="1"/>
  <c r="B143" i="1"/>
  <c r="R142" i="1"/>
  <c r="P142" i="1"/>
  <c r="N142" i="1"/>
  <c r="L142" i="1"/>
  <c r="F142" i="1" s="1"/>
  <c r="R141" i="1"/>
  <c r="P141" i="1"/>
  <c r="N141" i="1"/>
  <c r="B141" i="1"/>
  <c r="L141" i="1" s="1"/>
  <c r="F141" i="1" s="1"/>
  <c r="R140" i="1"/>
  <c r="P140" i="1"/>
  <c r="N140" i="1"/>
  <c r="L140" i="1"/>
  <c r="F140" i="1" s="1"/>
  <c r="R139" i="1"/>
  <c r="P139" i="1"/>
  <c r="N139" i="1"/>
  <c r="B139" i="1"/>
  <c r="L139" i="1" s="1"/>
  <c r="F139" i="1" s="1"/>
  <c r="R138" i="1"/>
  <c r="P138" i="1"/>
  <c r="N138" i="1"/>
  <c r="L138" i="1"/>
  <c r="F138" i="1" s="1"/>
  <c r="R137" i="1"/>
  <c r="P137" i="1"/>
  <c r="N137" i="1"/>
  <c r="B137" i="1"/>
  <c r="L137" i="1" s="1"/>
  <c r="F137" i="1" s="1"/>
  <c r="R136" i="1"/>
  <c r="P136" i="1"/>
  <c r="N136" i="1"/>
  <c r="B136" i="1"/>
  <c r="L136" i="1" s="1"/>
  <c r="F136" i="1" s="1"/>
  <c r="R135" i="1"/>
  <c r="P135" i="1"/>
  <c r="N135" i="1"/>
  <c r="B135" i="1"/>
  <c r="L135" i="1" s="1"/>
  <c r="F135" i="1" s="1"/>
  <c r="R134" i="1"/>
  <c r="P134" i="1"/>
  <c r="N134" i="1"/>
  <c r="B134" i="1"/>
  <c r="L134" i="1" s="1"/>
  <c r="F134" i="1" s="1"/>
  <c r="R133" i="1"/>
  <c r="P133" i="1"/>
  <c r="N133" i="1"/>
  <c r="B133" i="1"/>
  <c r="L133" i="1" s="1"/>
  <c r="F133" i="1" s="1"/>
  <c r="R132" i="1"/>
  <c r="P132" i="1"/>
  <c r="N132" i="1"/>
  <c r="B132" i="1"/>
  <c r="L132" i="1" s="1"/>
  <c r="F132" i="1" s="1"/>
  <c r="R131" i="1"/>
  <c r="P131" i="1"/>
  <c r="N131" i="1"/>
  <c r="L131" i="1"/>
  <c r="F131" i="1" s="1"/>
  <c r="B131" i="1"/>
  <c r="R130" i="1"/>
  <c r="P130" i="1"/>
  <c r="N130" i="1"/>
  <c r="B130" i="1"/>
  <c r="L130" i="1" s="1"/>
  <c r="F130" i="1" s="1"/>
  <c r="R129" i="1"/>
  <c r="P129" i="1"/>
  <c r="N129" i="1"/>
  <c r="F129" i="1"/>
  <c r="B129" i="1"/>
  <c r="L129" i="1" s="1"/>
  <c r="R128" i="1"/>
  <c r="P128" i="1"/>
  <c r="N128" i="1"/>
  <c r="B128" i="1"/>
  <c r="L128" i="1" s="1"/>
  <c r="F128" i="1" s="1"/>
  <c r="R127" i="1"/>
  <c r="P127" i="1"/>
  <c r="N127" i="1"/>
  <c r="L127" i="1"/>
  <c r="F127" i="1" s="1"/>
  <c r="R126" i="1"/>
  <c r="P126" i="1"/>
  <c r="N126" i="1"/>
  <c r="L126" i="1"/>
  <c r="F126" i="1" s="1"/>
  <c r="R125" i="1"/>
  <c r="P125" i="1"/>
  <c r="N125" i="1"/>
  <c r="B125" i="1"/>
  <c r="L125" i="1" s="1"/>
  <c r="F125" i="1" s="1"/>
  <c r="R124" i="1"/>
  <c r="P124" i="1"/>
  <c r="N124" i="1"/>
  <c r="L124" i="1"/>
  <c r="F124" i="1" s="1"/>
  <c r="R123" i="1"/>
  <c r="P123" i="1"/>
  <c r="N123" i="1"/>
  <c r="B123" i="1"/>
  <c r="L123" i="1" s="1"/>
  <c r="F123" i="1" s="1"/>
  <c r="R122" i="1"/>
  <c r="P122" i="1"/>
  <c r="N122" i="1"/>
  <c r="B122" i="1"/>
  <c r="L122" i="1" s="1"/>
  <c r="F122" i="1" s="1"/>
  <c r="R121" i="1"/>
  <c r="P121" i="1"/>
  <c r="N121" i="1"/>
  <c r="F121" i="1"/>
  <c r="B121" i="1"/>
  <c r="L121" i="1" s="1"/>
  <c r="R120" i="1"/>
  <c r="P120" i="1"/>
  <c r="N120" i="1"/>
  <c r="B120" i="1"/>
  <c r="L120" i="1" s="1"/>
  <c r="F120" i="1" s="1"/>
  <c r="R119" i="1"/>
  <c r="P119" i="1"/>
  <c r="N119" i="1"/>
  <c r="B119" i="1"/>
  <c r="L119" i="1" s="1"/>
  <c r="F119" i="1" s="1"/>
  <c r="R118" i="1"/>
  <c r="P118" i="1"/>
  <c r="N118" i="1"/>
  <c r="B118" i="1"/>
  <c r="L118" i="1" s="1"/>
  <c r="F118" i="1" s="1"/>
  <c r="R117" i="1"/>
  <c r="P117" i="1"/>
  <c r="N117" i="1"/>
  <c r="B117" i="1"/>
  <c r="L117" i="1" s="1"/>
  <c r="F117" i="1" s="1"/>
  <c r="R116" i="1"/>
  <c r="P116" i="1"/>
  <c r="N116" i="1"/>
  <c r="B116" i="1"/>
  <c r="L116" i="1" s="1"/>
  <c r="F116" i="1" s="1"/>
  <c r="R115" i="1"/>
  <c r="P115" i="1"/>
  <c r="N115" i="1"/>
  <c r="B115" i="1"/>
  <c r="L115" i="1" s="1"/>
  <c r="F115" i="1" s="1"/>
  <c r="R114" i="1"/>
  <c r="P114" i="1"/>
  <c r="N114" i="1"/>
  <c r="B114" i="1"/>
  <c r="L114" i="1" s="1"/>
  <c r="F114" i="1" s="1"/>
  <c r="R113" i="1"/>
  <c r="P113" i="1"/>
  <c r="N113" i="1"/>
  <c r="B113" i="1"/>
  <c r="L113" i="1" s="1"/>
  <c r="F113" i="1" s="1"/>
  <c r="R112" i="1"/>
  <c r="P112" i="1"/>
  <c r="N112" i="1"/>
  <c r="B112" i="1"/>
  <c r="L112" i="1" s="1"/>
  <c r="F112" i="1" s="1"/>
  <c r="R111" i="1"/>
  <c r="P111" i="1"/>
  <c r="N111" i="1"/>
  <c r="B111" i="1"/>
  <c r="L111" i="1" s="1"/>
  <c r="F111" i="1" s="1"/>
  <c r="R110" i="1"/>
  <c r="P110" i="1"/>
  <c r="N110" i="1"/>
  <c r="B110" i="1"/>
  <c r="L110" i="1" s="1"/>
  <c r="F110" i="1" s="1"/>
  <c r="R109" i="1"/>
  <c r="P109" i="1"/>
  <c r="N109" i="1"/>
  <c r="B109" i="1"/>
  <c r="L109" i="1" s="1"/>
  <c r="F109" i="1" s="1"/>
  <c r="R108" i="1"/>
  <c r="P108" i="1"/>
  <c r="N108" i="1"/>
  <c r="B108" i="1"/>
  <c r="L108" i="1" s="1"/>
  <c r="F108" i="1" s="1"/>
  <c r="R107" i="1"/>
  <c r="P107" i="1"/>
  <c r="N107" i="1"/>
  <c r="B107" i="1"/>
  <c r="L107" i="1" s="1"/>
  <c r="F107" i="1" s="1"/>
  <c r="R106" i="1"/>
  <c r="P106" i="1"/>
  <c r="N106" i="1"/>
  <c r="B106" i="1"/>
  <c r="L106" i="1" s="1"/>
  <c r="F106" i="1" s="1"/>
  <c r="R105" i="1"/>
  <c r="P105" i="1"/>
  <c r="N105" i="1"/>
  <c r="B105" i="1"/>
  <c r="L105" i="1" s="1"/>
  <c r="F105" i="1" s="1"/>
  <c r="R104" i="1"/>
  <c r="P104" i="1"/>
  <c r="N104" i="1"/>
  <c r="B104" i="1"/>
  <c r="L104" i="1" s="1"/>
  <c r="F104" i="1" s="1"/>
  <c r="R103" i="1"/>
  <c r="P103" i="1"/>
  <c r="N103" i="1"/>
  <c r="B103" i="1"/>
  <c r="L103" i="1" s="1"/>
  <c r="F103" i="1" s="1"/>
  <c r="R102" i="1"/>
  <c r="P102" i="1"/>
  <c r="N102" i="1"/>
  <c r="L102" i="1"/>
  <c r="F102" i="1" s="1"/>
  <c r="R101" i="1"/>
  <c r="P101" i="1"/>
  <c r="N101" i="1"/>
  <c r="B101" i="1"/>
  <c r="L101" i="1" s="1"/>
  <c r="F101" i="1" s="1"/>
  <c r="R100" i="1"/>
  <c r="P100" i="1"/>
  <c r="N100" i="1"/>
  <c r="B100" i="1"/>
  <c r="L100" i="1" s="1"/>
  <c r="F100" i="1" s="1"/>
  <c r="R99" i="1"/>
  <c r="P99" i="1"/>
  <c r="N99" i="1"/>
  <c r="L99" i="1"/>
  <c r="F99" i="1" s="1"/>
  <c r="B99" i="1"/>
  <c r="R98" i="1"/>
  <c r="P98" i="1"/>
  <c r="N98" i="1"/>
  <c r="L98" i="1"/>
  <c r="F98" i="1" s="1"/>
  <c r="R97" i="1"/>
  <c r="P97" i="1"/>
  <c r="N97" i="1"/>
  <c r="B97" i="1"/>
  <c r="L97" i="1" s="1"/>
  <c r="F97" i="1" s="1"/>
  <c r="R96" i="1"/>
  <c r="P96" i="1"/>
  <c r="N96" i="1"/>
  <c r="B96" i="1"/>
  <c r="L96" i="1" s="1"/>
  <c r="F96" i="1" s="1"/>
  <c r="R95" i="1"/>
  <c r="P95" i="1"/>
  <c r="N95" i="1"/>
  <c r="B95" i="1"/>
  <c r="L95" i="1" s="1"/>
  <c r="F95" i="1" s="1"/>
  <c r="R94" i="1"/>
  <c r="P94" i="1"/>
  <c r="N94" i="1"/>
  <c r="B94" i="1"/>
  <c r="L94" i="1" s="1"/>
  <c r="F94" i="1" s="1"/>
  <c r="R93" i="1"/>
  <c r="P93" i="1"/>
  <c r="N93" i="1"/>
  <c r="L93" i="1"/>
  <c r="F93" i="1" s="1"/>
  <c r="R92" i="1"/>
  <c r="P92" i="1"/>
  <c r="N92" i="1"/>
  <c r="L92" i="1"/>
  <c r="F92" i="1" s="1"/>
  <c r="R91" i="1"/>
  <c r="P91" i="1"/>
  <c r="N91" i="1"/>
  <c r="L91" i="1"/>
  <c r="F91" i="1" s="1"/>
  <c r="R90" i="1"/>
  <c r="P90" i="1"/>
  <c r="N90" i="1"/>
  <c r="L90" i="1"/>
  <c r="F90" i="1" s="1"/>
  <c r="R89" i="1"/>
  <c r="P89" i="1"/>
  <c r="N89" i="1"/>
  <c r="F89" i="1"/>
  <c r="B89" i="1"/>
  <c r="L89" i="1" s="1"/>
  <c r="R88" i="1"/>
  <c r="P88" i="1"/>
  <c r="N88" i="1"/>
  <c r="B88" i="1"/>
  <c r="L88" i="1" s="1"/>
  <c r="F88" i="1" s="1"/>
  <c r="R87" i="1"/>
  <c r="P87" i="1"/>
  <c r="N87" i="1"/>
  <c r="K87" i="1"/>
  <c r="B87" i="1"/>
  <c r="L87" i="1" s="1"/>
  <c r="F87" i="1" s="1"/>
  <c r="R86" i="1"/>
  <c r="P86" i="1"/>
  <c r="N86" i="1"/>
  <c r="B86" i="1"/>
  <c r="L86" i="1" s="1"/>
  <c r="F86" i="1" s="1"/>
  <c r="R85" i="1"/>
  <c r="P85" i="1"/>
  <c r="N85" i="1"/>
  <c r="K85" i="1"/>
  <c r="B85" i="1"/>
  <c r="R84" i="1"/>
  <c r="P84" i="1"/>
  <c r="N84" i="1"/>
  <c r="B84" i="1"/>
  <c r="L84" i="1" s="1"/>
  <c r="F84" i="1" s="1"/>
  <c r="R83" i="1"/>
  <c r="P83" i="1"/>
  <c r="N83" i="1"/>
  <c r="B83" i="1"/>
  <c r="L83" i="1" s="1"/>
  <c r="F83" i="1" s="1"/>
  <c r="R82" i="1"/>
  <c r="P82" i="1"/>
  <c r="N82" i="1"/>
  <c r="B82" i="1"/>
  <c r="L82" i="1" s="1"/>
  <c r="F82" i="1" s="1"/>
  <c r="R81" i="1"/>
  <c r="P81" i="1"/>
  <c r="N81" i="1"/>
  <c r="B81" i="1"/>
  <c r="L81" i="1" s="1"/>
  <c r="F81" i="1" s="1"/>
  <c r="R80" i="1"/>
  <c r="P80" i="1"/>
  <c r="N80" i="1"/>
  <c r="B80" i="1"/>
  <c r="L80" i="1" s="1"/>
  <c r="F80" i="1" s="1"/>
  <c r="R79" i="1"/>
  <c r="P79" i="1"/>
  <c r="N79" i="1"/>
  <c r="K79" i="1"/>
  <c r="B79" i="1"/>
  <c r="L79" i="1" s="1"/>
  <c r="F79" i="1" s="1"/>
  <c r="R78" i="1"/>
  <c r="P78" i="1"/>
  <c r="N78" i="1"/>
  <c r="L78" i="1"/>
  <c r="F78" i="1" s="1"/>
  <c r="R77" i="1"/>
  <c r="P77" i="1"/>
  <c r="N77" i="1"/>
  <c r="B77" i="1"/>
  <c r="L77" i="1" s="1"/>
  <c r="F77" i="1" s="1"/>
  <c r="R76" i="1"/>
  <c r="P76" i="1"/>
  <c r="N76" i="1"/>
  <c r="L76" i="1"/>
  <c r="F76" i="1" s="1"/>
  <c r="K76" i="1"/>
  <c r="B76" i="1"/>
  <c r="R75" i="1"/>
  <c r="P75" i="1"/>
  <c r="N75" i="1"/>
  <c r="K75" i="1"/>
  <c r="B75" i="1"/>
  <c r="L75" i="1" s="1"/>
  <c r="F75" i="1" s="1"/>
  <c r="R74" i="1"/>
  <c r="P74" i="1"/>
  <c r="N74" i="1"/>
  <c r="K74" i="1"/>
  <c r="B74" i="1"/>
  <c r="L74" i="1" s="1"/>
  <c r="F74" i="1" s="1"/>
  <c r="R73" i="1"/>
  <c r="P73" i="1"/>
  <c r="N73" i="1"/>
  <c r="B73" i="1"/>
  <c r="L73" i="1" s="1"/>
  <c r="F73" i="1" s="1"/>
  <c r="R72" i="1"/>
  <c r="P72" i="1"/>
  <c r="N72" i="1"/>
  <c r="B72" i="1"/>
  <c r="L72" i="1" s="1"/>
  <c r="F72" i="1" s="1"/>
  <c r="R71" i="1"/>
  <c r="P71" i="1"/>
  <c r="N71" i="1"/>
  <c r="B71" i="1"/>
  <c r="L71" i="1" s="1"/>
  <c r="F71" i="1" s="1"/>
  <c r="R70" i="1"/>
  <c r="P70" i="1"/>
  <c r="N70" i="1"/>
  <c r="B70" i="1"/>
  <c r="L70" i="1" s="1"/>
  <c r="F70" i="1" s="1"/>
  <c r="R69" i="1"/>
  <c r="P69" i="1"/>
  <c r="N69" i="1"/>
  <c r="B69" i="1"/>
  <c r="L69" i="1" s="1"/>
  <c r="F69" i="1" s="1"/>
  <c r="R68" i="1"/>
  <c r="P68" i="1"/>
  <c r="N68" i="1"/>
  <c r="B68" i="1"/>
  <c r="L68" i="1" s="1"/>
  <c r="F68" i="1" s="1"/>
  <c r="R67" i="1"/>
  <c r="P67" i="1"/>
  <c r="N67" i="1"/>
  <c r="B67" i="1"/>
  <c r="L67" i="1" s="1"/>
  <c r="F67" i="1" s="1"/>
  <c r="R66" i="1"/>
  <c r="P66" i="1"/>
  <c r="N66" i="1"/>
  <c r="B66" i="1"/>
  <c r="L66" i="1" s="1"/>
  <c r="F66" i="1" s="1"/>
  <c r="R65" i="1"/>
  <c r="P65" i="1"/>
  <c r="N65" i="1"/>
  <c r="L65" i="1"/>
  <c r="F65" i="1" s="1"/>
  <c r="K65" i="1"/>
  <c r="B65" i="1"/>
  <c r="R64" i="1"/>
  <c r="P64" i="1"/>
  <c r="N64" i="1"/>
  <c r="K64" i="1"/>
  <c r="B64" i="1"/>
  <c r="L64" i="1" s="1"/>
  <c r="F64" i="1" s="1"/>
  <c r="R63" i="1"/>
  <c r="P63" i="1"/>
  <c r="N63" i="1"/>
  <c r="K63" i="1"/>
  <c r="B63" i="1"/>
  <c r="L63" i="1" s="1"/>
  <c r="F63" i="1" s="1"/>
  <c r="R62" i="1"/>
  <c r="P62" i="1"/>
  <c r="N62" i="1"/>
  <c r="B62" i="1"/>
  <c r="L62" i="1" s="1"/>
  <c r="F62" i="1" s="1"/>
  <c r="R61" i="1"/>
  <c r="P61" i="1"/>
  <c r="N61" i="1"/>
  <c r="B61" i="1"/>
  <c r="L61" i="1" s="1"/>
  <c r="F61" i="1" s="1"/>
  <c r="R60" i="1"/>
  <c r="P60" i="1"/>
  <c r="N60" i="1"/>
  <c r="B60" i="1"/>
  <c r="L60" i="1" s="1"/>
  <c r="F60" i="1" s="1"/>
  <c r="R59" i="1"/>
  <c r="P59" i="1"/>
  <c r="N59" i="1"/>
  <c r="K59" i="1"/>
  <c r="F59" i="1"/>
  <c r="B59" i="1"/>
  <c r="L59" i="1" s="1"/>
  <c r="R58" i="1"/>
  <c r="P58" i="1"/>
  <c r="N58" i="1"/>
  <c r="B58" i="1"/>
  <c r="L58" i="1" s="1"/>
  <c r="F58" i="1" s="1"/>
  <c r="R57" i="1"/>
  <c r="P57" i="1"/>
  <c r="N57" i="1"/>
  <c r="B57" i="1"/>
  <c r="L57" i="1" s="1"/>
  <c r="F57" i="1" s="1"/>
  <c r="R56" i="1"/>
  <c r="P56" i="1"/>
  <c r="N56" i="1"/>
  <c r="K56" i="1"/>
  <c r="B56" i="1"/>
  <c r="R55" i="1"/>
  <c r="P55" i="1"/>
  <c r="N55" i="1"/>
  <c r="B55" i="1"/>
  <c r="L55" i="1" s="1"/>
  <c r="F55" i="1" s="1"/>
  <c r="R54" i="1"/>
  <c r="P54" i="1"/>
  <c r="N54" i="1"/>
  <c r="B54" i="1"/>
  <c r="L54" i="1" s="1"/>
  <c r="F54" i="1" s="1"/>
  <c r="R53" i="1"/>
  <c r="P53" i="1"/>
  <c r="N53" i="1"/>
  <c r="K53" i="1"/>
  <c r="B53" i="1"/>
  <c r="L53" i="1" s="1"/>
  <c r="F53" i="1" s="1"/>
  <c r="R52" i="1"/>
  <c r="P52" i="1"/>
  <c r="N52" i="1"/>
  <c r="K52" i="1"/>
  <c r="L52" i="1"/>
  <c r="F52" i="1" s="1"/>
  <c r="R51" i="1"/>
  <c r="P51" i="1"/>
  <c r="N51" i="1"/>
  <c r="B51" i="1"/>
  <c r="L51" i="1" s="1"/>
  <c r="F51" i="1" s="1"/>
  <c r="R50" i="1"/>
  <c r="P50" i="1"/>
  <c r="N50" i="1"/>
  <c r="B50" i="1"/>
  <c r="L50" i="1" s="1"/>
  <c r="F50" i="1" s="1"/>
  <c r="R49" i="1"/>
  <c r="P49" i="1"/>
  <c r="N49" i="1"/>
  <c r="B49" i="1"/>
  <c r="L49" i="1" s="1"/>
  <c r="F49" i="1" s="1"/>
  <c r="R48" i="1"/>
  <c r="P48" i="1"/>
  <c r="N48" i="1"/>
  <c r="L48" i="1"/>
  <c r="F48" i="1" s="1"/>
  <c r="B48" i="1"/>
  <c r="R47" i="1"/>
  <c r="P47" i="1"/>
  <c r="N47" i="1"/>
  <c r="B47" i="1"/>
  <c r="L47" i="1" s="1"/>
  <c r="F47" i="1" s="1"/>
  <c r="R46" i="1"/>
  <c r="P46" i="1"/>
  <c r="N46" i="1"/>
  <c r="B46" i="1"/>
  <c r="L46" i="1" s="1"/>
  <c r="F46" i="1" s="1"/>
  <c r="R45" i="1"/>
  <c r="P45" i="1"/>
  <c r="N45" i="1"/>
  <c r="B45" i="1"/>
  <c r="L45" i="1" s="1"/>
  <c r="F45" i="1" s="1"/>
  <c r="R44" i="1"/>
  <c r="P44" i="1"/>
  <c r="N44" i="1"/>
  <c r="K44" i="1"/>
  <c r="L44" i="1"/>
  <c r="F44" i="1" s="1"/>
  <c r="R43" i="1"/>
  <c r="P43" i="1"/>
  <c r="N43" i="1"/>
  <c r="L43" i="1"/>
  <c r="F43" i="1" s="1"/>
  <c r="B43" i="1"/>
  <c r="R42" i="1"/>
  <c r="P42" i="1"/>
  <c r="N42" i="1"/>
  <c r="B42" i="1"/>
  <c r="L42" i="1" s="1"/>
  <c r="F42" i="1" s="1"/>
  <c r="R41" i="1"/>
  <c r="P41" i="1"/>
  <c r="N41" i="1"/>
  <c r="B41" i="1"/>
  <c r="L41" i="1" s="1"/>
  <c r="F41" i="1" s="1"/>
  <c r="R40" i="1"/>
  <c r="P40" i="1"/>
  <c r="N40" i="1"/>
  <c r="K40" i="1"/>
  <c r="L40" i="1"/>
  <c r="F40" i="1" s="1"/>
  <c r="R39" i="1"/>
  <c r="P39" i="1"/>
  <c r="N39" i="1"/>
  <c r="B39" i="1"/>
  <c r="L39" i="1" s="1"/>
  <c r="F39" i="1" s="1"/>
  <c r="R38" i="1"/>
  <c r="P38" i="1"/>
  <c r="N38" i="1"/>
  <c r="K38" i="1"/>
  <c r="B38" i="1"/>
  <c r="L38" i="1" s="1"/>
  <c r="F38" i="1" s="1"/>
  <c r="R37" i="1"/>
  <c r="P37" i="1"/>
  <c r="N37" i="1"/>
  <c r="K37" i="1"/>
  <c r="B37" i="1"/>
  <c r="L37" i="1" s="1"/>
  <c r="F37" i="1" s="1"/>
  <c r="R36" i="1"/>
  <c r="P36" i="1"/>
  <c r="N36" i="1"/>
  <c r="L36" i="1"/>
  <c r="F36" i="1" s="1"/>
  <c r="B36" i="1"/>
  <c r="R35" i="1"/>
  <c r="P35" i="1"/>
  <c r="N35" i="1"/>
  <c r="B35" i="1"/>
  <c r="L35" i="1" s="1"/>
  <c r="F35" i="1" s="1"/>
  <c r="R34" i="1"/>
  <c r="P34" i="1"/>
  <c r="N34" i="1"/>
  <c r="K34" i="1"/>
  <c r="B34" i="1"/>
  <c r="L34" i="1" s="1"/>
  <c r="F34" i="1" s="1"/>
  <c r="R33" i="1"/>
  <c r="P33" i="1"/>
  <c r="N33" i="1"/>
  <c r="K33" i="1"/>
  <c r="B33" i="1"/>
  <c r="L33" i="1" s="1"/>
  <c r="F33" i="1" s="1"/>
  <c r="R32" i="1"/>
  <c r="P32" i="1"/>
  <c r="N32" i="1"/>
  <c r="B32" i="1"/>
  <c r="L32" i="1" s="1"/>
  <c r="F32" i="1" s="1"/>
  <c r="R31" i="1"/>
  <c r="P31" i="1"/>
  <c r="N31" i="1"/>
  <c r="B31" i="1"/>
  <c r="L31" i="1" s="1"/>
  <c r="F31" i="1" s="1"/>
  <c r="R30" i="1"/>
  <c r="P30" i="1"/>
  <c r="N30" i="1"/>
  <c r="K30" i="1"/>
  <c r="B30" i="1"/>
  <c r="L30" i="1" s="1"/>
  <c r="F30" i="1" s="1"/>
  <c r="R29" i="1"/>
  <c r="P29" i="1"/>
  <c r="N29" i="1"/>
  <c r="B29" i="1"/>
  <c r="L29" i="1" s="1"/>
  <c r="F29" i="1" s="1"/>
  <c r="R28" i="1"/>
  <c r="P28" i="1"/>
  <c r="N28" i="1"/>
  <c r="B28" i="1"/>
  <c r="L28" i="1" s="1"/>
  <c r="F28" i="1" s="1"/>
  <c r="R27" i="1"/>
  <c r="P27" i="1"/>
  <c r="N27" i="1"/>
  <c r="B27" i="1"/>
  <c r="L27" i="1" s="1"/>
  <c r="F27" i="1" s="1"/>
  <c r="R26" i="1"/>
  <c r="P26" i="1"/>
  <c r="N26" i="1"/>
  <c r="B26" i="1"/>
  <c r="L26" i="1" s="1"/>
  <c r="F26" i="1" s="1"/>
  <c r="R25" i="1"/>
  <c r="P25" i="1"/>
  <c r="N25" i="1"/>
  <c r="K25" i="1"/>
  <c r="B25" i="1"/>
  <c r="L25" i="1" s="1"/>
  <c r="F25" i="1" s="1"/>
  <c r="R24" i="1"/>
  <c r="P24" i="1"/>
  <c r="N24" i="1"/>
  <c r="K24" i="1"/>
  <c r="B24" i="1"/>
  <c r="L24" i="1" s="1"/>
  <c r="F24" i="1" s="1"/>
  <c r="R23" i="1"/>
  <c r="P23" i="1"/>
  <c r="N23" i="1"/>
  <c r="B23" i="1"/>
  <c r="L23" i="1" s="1"/>
  <c r="F23" i="1" s="1"/>
  <c r="R22" i="1"/>
  <c r="P22" i="1"/>
  <c r="N22" i="1"/>
  <c r="K22" i="1"/>
  <c r="B22" i="1"/>
  <c r="L22" i="1" s="1"/>
  <c r="F22" i="1" s="1"/>
  <c r="R21" i="1"/>
  <c r="P21" i="1"/>
  <c r="N21" i="1"/>
  <c r="K21" i="1"/>
  <c r="B21" i="1"/>
  <c r="L21" i="1" s="1"/>
  <c r="F21" i="1" s="1"/>
  <c r="R20" i="1"/>
  <c r="P20" i="1"/>
  <c r="N20" i="1"/>
  <c r="K20" i="1"/>
  <c r="B20" i="1"/>
  <c r="L20" i="1" s="1"/>
  <c r="F20" i="1" s="1"/>
  <c r="R19" i="1"/>
  <c r="P19" i="1"/>
  <c r="N19" i="1"/>
  <c r="B19" i="1"/>
  <c r="L19" i="1" s="1"/>
  <c r="F19" i="1" s="1"/>
  <c r="R18" i="1"/>
  <c r="P18" i="1"/>
  <c r="N18" i="1"/>
  <c r="K18" i="1"/>
  <c r="B18" i="1"/>
  <c r="L18" i="1" s="1"/>
  <c r="F18" i="1" s="1"/>
  <c r="R17" i="1"/>
  <c r="P17" i="1"/>
  <c r="N17" i="1"/>
  <c r="B17" i="1"/>
  <c r="L17" i="1" s="1"/>
  <c r="F17" i="1" s="1"/>
  <c r="R16" i="1"/>
  <c r="P16" i="1"/>
  <c r="N16" i="1"/>
  <c r="B16" i="1"/>
  <c r="L16" i="1" s="1"/>
  <c r="F16" i="1" s="1"/>
  <c r="R15" i="1"/>
  <c r="P15" i="1"/>
  <c r="N15" i="1"/>
  <c r="K15" i="1"/>
  <c r="B15" i="1"/>
  <c r="L15" i="1" s="1"/>
  <c r="F15" i="1" s="1"/>
  <c r="R14" i="1"/>
  <c r="P14" i="1"/>
  <c r="N14" i="1"/>
  <c r="K14" i="1"/>
  <c r="B14" i="1"/>
  <c r="L14" i="1" s="1"/>
  <c r="F14" i="1" s="1"/>
  <c r="R13" i="1"/>
  <c r="P13" i="1"/>
  <c r="N13" i="1"/>
  <c r="B13" i="1"/>
  <c r="L13" i="1" s="1"/>
  <c r="F13" i="1" s="1"/>
  <c r="R12" i="1"/>
  <c r="P12" i="1"/>
  <c r="N12" i="1"/>
  <c r="B12" i="1"/>
  <c r="L12" i="1" s="1"/>
  <c r="F12" i="1" s="1"/>
  <c r="R11" i="1"/>
  <c r="P11" i="1"/>
  <c r="N11" i="1"/>
  <c r="B11" i="1"/>
  <c r="L11" i="1" s="1"/>
  <c r="F11" i="1" s="1"/>
  <c r="R10" i="1"/>
  <c r="P10" i="1"/>
  <c r="N10" i="1"/>
  <c r="B10" i="1"/>
  <c r="L10" i="1" s="1"/>
  <c r="F10" i="1" s="1"/>
  <c r="R9" i="1"/>
  <c r="P9" i="1"/>
  <c r="N9" i="1"/>
  <c r="B9" i="1"/>
  <c r="L9" i="1" s="1"/>
  <c r="F9" i="1" s="1"/>
  <c r="R8" i="1"/>
  <c r="P8" i="1"/>
  <c r="N8" i="1"/>
  <c r="G8" i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B8" i="1"/>
  <c r="L8" i="1" s="1"/>
  <c r="F8" i="1" s="1"/>
  <c r="R7" i="1"/>
  <c r="P7" i="1"/>
  <c r="N7" i="1"/>
  <c r="G7" i="1"/>
  <c r="B7" i="1"/>
  <c r="L7" i="1" s="1"/>
  <c r="F7" i="1" s="1"/>
  <c r="R6" i="1"/>
  <c r="P6" i="1"/>
  <c r="N6" i="1"/>
  <c r="L6" i="1"/>
  <c r="F6" i="1" s="1"/>
  <c r="L56" i="1" l="1"/>
  <c r="F56" i="1" s="1"/>
  <c r="L85" i="1"/>
  <c r="F85" i="1" s="1"/>
</calcChain>
</file>

<file path=xl/sharedStrings.xml><?xml version="1.0" encoding="utf-8"?>
<sst xmlns="http://schemas.openxmlformats.org/spreadsheetml/2006/main" count="620" uniqueCount="287">
  <si>
    <t>Bahria Town (Pvt) Ltd. Lahore</t>
  </si>
  <si>
    <t>Electricity Meter Reading Sheet April-2025</t>
  </si>
  <si>
    <t>Executive Lodges</t>
  </si>
  <si>
    <t>Reading Date :___________________________</t>
  </si>
  <si>
    <t>S#</t>
  </si>
  <si>
    <t>Meter No.</t>
  </si>
  <si>
    <t>House No.</t>
  </si>
  <si>
    <t>MDI Reading</t>
  </si>
  <si>
    <t>Accumulated Reading</t>
  </si>
  <si>
    <t>Peak Time Reading</t>
  </si>
  <si>
    <t>Off Peak Time Reading</t>
  </si>
  <si>
    <t>Export Reading</t>
  </si>
  <si>
    <t>Remarks From Electric Dept</t>
  </si>
  <si>
    <t>Remarks</t>
  </si>
  <si>
    <t xml:space="preserve">Previous </t>
  </si>
  <si>
    <t>Current</t>
  </si>
  <si>
    <t>S.Slip</t>
  </si>
  <si>
    <t>BTL-18900</t>
  </si>
  <si>
    <t>Residential</t>
  </si>
  <si>
    <t>BTL-22561</t>
  </si>
  <si>
    <t>3-A</t>
  </si>
  <si>
    <t>BTL-12230</t>
  </si>
  <si>
    <t>3-B</t>
  </si>
  <si>
    <t>BTL-20757</t>
  </si>
  <si>
    <t>4-A</t>
  </si>
  <si>
    <t>BTL-33758</t>
  </si>
  <si>
    <t>BTL-23922</t>
  </si>
  <si>
    <t>5-B</t>
  </si>
  <si>
    <t>BTL-30287</t>
  </si>
  <si>
    <t>5-B (2nd METER -BASMENT )</t>
  </si>
  <si>
    <t>BTL-23093</t>
  </si>
  <si>
    <t>6-A</t>
  </si>
  <si>
    <t>BTL-15549</t>
  </si>
  <si>
    <t>BTL-11083</t>
  </si>
  <si>
    <t>BTL-14071</t>
  </si>
  <si>
    <t>11-E</t>
  </si>
  <si>
    <t>BTL-13363</t>
  </si>
  <si>
    <t>BTL-12681</t>
  </si>
  <si>
    <t>BTL-17877</t>
  </si>
  <si>
    <t>BTL-11084</t>
  </si>
  <si>
    <t>BTL-11085</t>
  </si>
  <si>
    <t>15-B</t>
  </si>
  <si>
    <t>BTL-15020</t>
  </si>
  <si>
    <t>16-A</t>
  </si>
  <si>
    <t>BTL-31857</t>
  </si>
  <si>
    <t>BTL-12088</t>
  </si>
  <si>
    <t>BTL-19003</t>
  </si>
  <si>
    <t>BTL-11617</t>
  </si>
  <si>
    <t>BTL-12396</t>
  </si>
  <si>
    <t>BTL-14560</t>
  </si>
  <si>
    <t>BTL-16704</t>
  </si>
  <si>
    <t>22 3rd meter</t>
  </si>
  <si>
    <t>BTL-16703</t>
  </si>
  <si>
    <t>22 2nd meter</t>
  </si>
  <si>
    <t>BTL-22685</t>
  </si>
  <si>
    <t>BTL-26855</t>
  </si>
  <si>
    <t>29 (BASMENT)</t>
  </si>
  <si>
    <t>BTL-19634</t>
  </si>
  <si>
    <t>BTL-26856</t>
  </si>
  <si>
    <t>29 (G/F)</t>
  </si>
  <si>
    <t>BTL-11097</t>
  </si>
  <si>
    <t>BTL-19460</t>
  </si>
  <si>
    <t>BTL-20745</t>
  </si>
  <si>
    <t>BTL-13442</t>
  </si>
  <si>
    <t>BTL-12173</t>
  </si>
  <si>
    <t>35-A</t>
  </si>
  <si>
    <t>BTL-15829</t>
  </si>
  <si>
    <t>35-A 2nd Mete</t>
  </si>
  <si>
    <t>BTL-15899</t>
  </si>
  <si>
    <t>BTL-23782</t>
  </si>
  <si>
    <t>36 (2nd METER)</t>
  </si>
  <si>
    <t>BTL-11779</t>
  </si>
  <si>
    <t>BTL-11098</t>
  </si>
  <si>
    <t>BTL-14260</t>
  </si>
  <si>
    <t>39-A</t>
  </si>
  <si>
    <t>BTL-33135</t>
  </si>
  <si>
    <t>39-B</t>
  </si>
  <si>
    <t>BTL-14585</t>
  </si>
  <si>
    <t>39-C</t>
  </si>
  <si>
    <t>BTL-11086</t>
  </si>
  <si>
    <t>BTL-11087</t>
  </si>
  <si>
    <t>BTL-11088</t>
  </si>
  <si>
    <t>BTL-11089</t>
  </si>
  <si>
    <t>BTL-11904</t>
  </si>
  <si>
    <t>BTL-18106</t>
  </si>
  <si>
    <t>72 2nd Meter</t>
  </si>
  <si>
    <t>BTL-11434</t>
  </si>
  <si>
    <t>77-A</t>
  </si>
  <si>
    <t>BTL-27341</t>
  </si>
  <si>
    <t>77-B</t>
  </si>
  <si>
    <t>BTL-22481</t>
  </si>
  <si>
    <t>BTL-11090</t>
  </si>
  <si>
    <t>BTL-32595</t>
  </si>
  <si>
    <t>BTL-12541</t>
  </si>
  <si>
    <t>BTL-11091</t>
  </si>
  <si>
    <t>BTL-12682</t>
  </si>
  <si>
    <t>BTL-15579</t>
  </si>
  <si>
    <t>BTL-11092</t>
  </si>
  <si>
    <t>BTL-11099</t>
  </si>
  <si>
    <t>BTL-22474</t>
  </si>
  <si>
    <t>97 2nd METER</t>
  </si>
  <si>
    <t>BTL-19011</t>
  </si>
  <si>
    <t>BTL-33556</t>
  </si>
  <si>
    <t>98 (2nd Meter)</t>
  </si>
  <si>
    <t>BTL-33557</t>
  </si>
  <si>
    <t>98 (3rd Meter)</t>
  </si>
  <si>
    <t>BTL-33558</t>
  </si>
  <si>
    <t>98 (4th Meter)</t>
  </si>
  <si>
    <t>BTL-11780</t>
  </si>
  <si>
    <t>102-A</t>
  </si>
  <si>
    <t>BTL-15586</t>
  </si>
  <si>
    <t>102-A 2nd Meter</t>
  </si>
  <si>
    <t>BTL-26264</t>
  </si>
  <si>
    <t>102-A 3rd Meter</t>
  </si>
  <si>
    <t>BTL-15120</t>
  </si>
  <si>
    <t>103-A</t>
  </si>
  <si>
    <t>BTL-19620</t>
  </si>
  <si>
    <t>BTL-31401</t>
  </si>
  <si>
    <t>BTL-13801</t>
  </si>
  <si>
    <t>105-C</t>
  </si>
  <si>
    <t>BTL-20516</t>
  </si>
  <si>
    <t>106-A</t>
  </si>
  <si>
    <t>BTL-27160</t>
  </si>
  <si>
    <t>106-A (2nd METER)</t>
  </si>
  <si>
    <t>BTL-15156</t>
  </si>
  <si>
    <t>BTL-11100</t>
  </si>
  <si>
    <t>BTL-11101</t>
  </si>
  <si>
    <t>BTL-11102</t>
  </si>
  <si>
    <t>BTL-11103</t>
  </si>
  <si>
    <t>BTL-11104</t>
  </si>
  <si>
    <t>BTL-13646</t>
  </si>
  <si>
    <t>BTL-11093</t>
  </si>
  <si>
    <t>BTL-19524</t>
  </si>
  <si>
    <t>112-A</t>
  </si>
  <si>
    <t>BTL-11094</t>
  </si>
  <si>
    <t>BTL-11096</t>
  </si>
  <si>
    <t>BTL-25182</t>
  </si>
  <si>
    <t>AL-FALAH MOSQUE (MOAZAN)</t>
  </si>
  <si>
    <t>BTL-29990</t>
  </si>
  <si>
    <t>ALFALAH MASJID (KHATEEB MASJID)</t>
  </si>
  <si>
    <t>BTL-29977</t>
  </si>
  <si>
    <t>ALFALAH MASJID (MOAZAN)</t>
  </si>
  <si>
    <t>BTL-19535</t>
  </si>
  <si>
    <t>NEAR-104-B</t>
  </si>
  <si>
    <t>BTL-19536</t>
  </si>
  <si>
    <t>BTL-21254</t>
  </si>
  <si>
    <t>BTL-20570</t>
  </si>
  <si>
    <t>NEAR -104</t>
  </si>
  <si>
    <t>BTL-19402</t>
  </si>
  <si>
    <t>NEAR 104-A</t>
  </si>
  <si>
    <t>BTL-31724</t>
  </si>
  <si>
    <t>3-SITE (NEAR H-01)</t>
  </si>
  <si>
    <t>Commercial</t>
  </si>
  <si>
    <t>BTL-32711</t>
  </si>
  <si>
    <t>06,07 (PLAZA) 2nd/F APP-201</t>
  </si>
  <si>
    <t>BTL-24280</t>
  </si>
  <si>
    <t>06,07 (PLAZA)</t>
  </si>
  <si>
    <t>BTL-33423</t>
  </si>
  <si>
    <t>6 -7 PLAZA (B/F SHOP-B-03)</t>
  </si>
  <si>
    <t>BTL-33424</t>
  </si>
  <si>
    <t>6 -7 PLAZA (G/F SHOP-G-03)</t>
  </si>
  <si>
    <t>BTL-33377</t>
  </si>
  <si>
    <t>09-PLAZA (1st/F OFFICE-101)</t>
  </si>
  <si>
    <t>BTL-33378</t>
  </si>
  <si>
    <t>09-PLAZA (2nd/F OFFICE-S-01)</t>
  </si>
  <si>
    <t>BTL-13527</t>
  </si>
  <si>
    <t>09 (PLAZA)</t>
  </si>
  <si>
    <t>BTL-26836</t>
  </si>
  <si>
    <t>09(PLAZA) F/F-SHOP-F-2</t>
  </si>
  <si>
    <t>BTL-20858</t>
  </si>
  <si>
    <t>09(PLAZA) SHOP-G-2</t>
  </si>
  <si>
    <t>BTL-20859</t>
  </si>
  <si>
    <t>09(PLAZA) SHOP-S-2</t>
  </si>
  <si>
    <t>BTL-33422</t>
  </si>
  <si>
    <t>10-PLAZA (1st/F OFFICE F-2)</t>
  </si>
  <si>
    <t>BTL-16063</t>
  </si>
  <si>
    <t>10 (Plaza)</t>
  </si>
  <si>
    <t>BTL-30162</t>
  </si>
  <si>
    <t>10 (Plaza) 2nd/F OFFICE-S-01</t>
  </si>
  <si>
    <t>BTL-30161</t>
  </si>
  <si>
    <t>10 (Plaza) F/F OFFICE-F-01</t>
  </si>
  <si>
    <t>BTL-30160</t>
  </si>
  <si>
    <t>10 (Plaza) G/F OFFICE-G-01</t>
  </si>
  <si>
    <t>BTL-18895</t>
  </si>
  <si>
    <t>11-SHOP G-2</t>
  </si>
  <si>
    <t>BTL-16060</t>
  </si>
  <si>
    <t>11 (Plaza)</t>
  </si>
  <si>
    <t>BTL-31779</t>
  </si>
  <si>
    <t>11 (Plaza) F/F OFFICE-F-01</t>
  </si>
  <si>
    <t>BTL-16061</t>
  </si>
  <si>
    <t>12 (Plaza)</t>
  </si>
  <si>
    <t>BTL-26932</t>
  </si>
  <si>
    <t>13 (Plaza) (2nd/F APP-201)</t>
  </si>
  <si>
    <t>BTL-26931</t>
  </si>
  <si>
    <t>13 (Plaza) (2nd/F APP-202)</t>
  </si>
  <si>
    <t>BTL-16062</t>
  </si>
  <si>
    <t>13 (Plaza)</t>
  </si>
  <si>
    <t>BTL-11809</t>
  </si>
  <si>
    <t>BAHRIA GRAND HOTEL</t>
  </si>
  <si>
    <t>BTL-21607</t>
  </si>
  <si>
    <t>BAHRIA GRAND HOTEL (2ND METER)</t>
  </si>
  <si>
    <t>BTL-26149</t>
  </si>
  <si>
    <t>BAHRIA GRAND HOTEL (3rd Meter)</t>
  </si>
  <si>
    <t>BTL-31402</t>
  </si>
  <si>
    <t>BUS (CONTAINER) (NEAR PARK)</t>
  </si>
  <si>
    <t>BTL-13203</t>
  </si>
  <si>
    <t>CEO HOUSE (UN ENTERPRISES)</t>
  </si>
  <si>
    <t>BTL-33516</t>
  </si>
  <si>
    <t>MALIK FORM HOUSE (NEAR FORM HOUSE)</t>
  </si>
  <si>
    <t>BTL-11167</t>
  </si>
  <si>
    <t>SCHOOL</t>
  </si>
  <si>
    <t>BTL-14286</t>
  </si>
  <si>
    <t>SCHOOL 2nd Meter</t>
  </si>
  <si>
    <t>BTL-14703</t>
  </si>
  <si>
    <t>SCHOOL 3rd Meter</t>
  </si>
  <si>
    <t>BTL-13012</t>
  </si>
  <si>
    <t>TAJ BANQUET-1</t>
  </si>
  <si>
    <t>BTL-13795</t>
  </si>
  <si>
    <t>TAJ BANQUET-2</t>
  </si>
  <si>
    <t>BTL-12864</t>
  </si>
  <si>
    <t>TELENOR TOWER</t>
  </si>
  <si>
    <t>BTL-22459</t>
  </si>
  <si>
    <t>ZONG TOWER</t>
  </si>
  <si>
    <t>BTL-32842</t>
  </si>
  <si>
    <t>03-Executive Lodges</t>
  </si>
  <si>
    <t>Bahria Self Consumption</t>
  </si>
  <si>
    <t>BTL-21482</t>
  </si>
  <si>
    <t>100' LIGHT (NR CM HOUSE)</t>
  </si>
  <si>
    <t>BTL-13344</t>
  </si>
  <si>
    <t>ACCOM NR H-110(CARE TAKER)</t>
  </si>
  <si>
    <t>BTL-13316</t>
  </si>
  <si>
    <t>ALFALAH MASJID (NR H-22)</t>
  </si>
  <si>
    <t>BTL-29989</t>
  </si>
  <si>
    <t>ALFALAH MASJID (PUBLIC WASH ROOM)</t>
  </si>
  <si>
    <t>BTL-21232</t>
  </si>
  <si>
    <t>ALFALAH PLAZA (LAND DEPARTMENT)</t>
  </si>
  <si>
    <t>BTL-13204</t>
  </si>
  <si>
    <t>ALFLAH PLAZA</t>
  </si>
  <si>
    <t>BTL-18016</t>
  </si>
  <si>
    <t>ALFLAH PLAZA (COMPLAINT OFFICE)</t>
  </si>
  <si>
    <t>BTL-13201</t>
  </si>
  <si>
    <t>CHAIRMAN HOUSE</t>
  </si>
  <si>
    <t>BTL-26274</t>
  </si>
  <si>
    <t>DISPOSAL (NR-SCHOOL)</t>
  </si>
  <si>
    <t>BTL-13470</t>
  </si>
  <si>
    <t>HARITAGE CLUB SITE</t>
  </si>
  <si>
    <t>BTL-18195</t>
  </si>
  <si>
    <t>BTL-21608</t>
  </si>
  <si>
    <t>HARITAGE CLUB SITE 3rd METER</t>
  </si>
  <si>
    <t>BTL-21481</t>
  </si>
  <si>
    <t>PARK NEAR -114</t>
  </si>
  <si>
    <t>BTL-13338</t>
  </si>
  <si>
    <t>PARK NR-H-85</t>
  </si>
  <si>
    <t>BTL-17837</t>
  </si>
  <si>
    <t>PARK (NR ALFALAH)</t>
  </si>
  <si>
    <t>BTL-23993</t>
  </si>
  <si>
    <t>SECURITY CHECK POST (H-03)</t>
  </si>
  <si>
    <t>BTL-13275</t>
  </si>
  <si>
    <t>SLP NR PLAZA-01</t>
  </si>
  <si>
    <t>BTL-13258</t>
  </si>
  <si>
    <t>SLP NR (H-108)</t>
  </si>
  <si>
    <t>BTL-13257</t>
  </si>
  <si>
    <t>SLP NR (H-2-A)</t>
  </si>
  <si>
    <t>BTL-14205</t>
  </si>
  <si>
    <t>SLP NR (H-77)</t>
  </si>
  <si>
    <t>BTL-13750</t>
  </si>
  <si>
    <t>SLP NR (H-85)</t>
  </si>
  <si>
    <t>BTL-14320</t>
  </si>
  <si>
    <t>SLP NR (TAJ BANQUET)</t>
  </si>
  <si>
    <t>BTL-17836</t>
  </si>
  <si>
    <t>SPRINKLER NR ALFALAH</t>
  </si>
  <si>
    <t>BTL-13303</t>
  </si>
  <si>
    <t>WATER TANK NR H-85</t>
  </si>
  <si>
    <t>BTL-11168</t>
  </si>
  <si>
    <t>PETROL PUMP (PSO)</t>
  </si>
  <si>
    <t>BTL-12704</t>
  </si>
  <si>
    <t>BTL-27192</t>
  </si>
  <si>
    <t>BTL-29565</t>
  </si>
  <si>
    <t>REST ROOM</t>
  </si>
  <si>
    <t>BTL-15422</t>
  </si>
  <si>
    <t>TUC SHOP</t>
  </si>
  <si>
    <t>BTL-25449</t>
  </si>
  <si>
    <t>TUC SHOP (2nd METER)</t>
  </si>
  <si>
    <t>BTL-11268</t>
  </si>
  <si>
    <t>TYRE SHOP</t>
  </si>
  <si>
    <t>BTL-20887</t>
  </si>
  <si>
    <t>TYRE SHOP (NEW)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</si>
</sst>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0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name val="Calibri"/>
      <family val="2"/>
      <scheme val="minor"/>
    </font>
    <font>
      <b/>
      <sz val="2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Rockwell"/>
      <family val="1"/>
    </font>
    <font>
      <b/>
      <sz val="12"/>
      <name val="Rockwell"/>
      <family val="1"/>
    </font>
    <font>
      <b/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name val="Calibri"/>
      <family val="2"/>
      <scheme val="minor"/>
    </font>
    <font>
      <sz val="8"/>
      <color rgb="FFC7C7C7"/>
      <name val="Calibri"/>
      <family val="2"/>
      <scheme val="minor"/>
    </font>
    <font>
      <sz val="9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color theme="0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rgb="FF6F6F6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6F6F6F"/>
      </patternFill>
    </fill>
    <fill>
      <patternFill patternType="solid">
        <fgColor indexed="65"/>
        <bgColor rgb="FF6F6F6F"/>
      </patternFill>
    </fill>
  </fills>
  <borders count="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4" fillId="2" borderId="1" xfId="0" applyFont="1" applyFill="1" applyBorder="1"/>
    <xf numFmtId="0" fontId="2" fillId="3" borderId="2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8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0" fontId="9" fillId="4" borderId="0" xfId="0" applyFont="1" applyFill="1"/>
    <xf numFmtId="0" fontId="8" fillId="4" borderId="0" xfId="0" applyFont="1" applyFill="1"/>
    <xf numFmtId="0" fontId="8" fillId="4" borderId="1" xfId="0" applyFont="1" applyFill="1" applyBorder="1"/>
    <xf numFmtId="0" fontId="4" fillId="6" borderId="6" xfId="0" applyFont="1" applyFill="1" applyBorder="1" applyAlignment="1">
      <alignment horizontal="center" vertical="center" wrapText="1"/>
    </xf>
    <xf numFmtId="0" fontId="8" fillId="5" borderId="14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5" borderId="15" xfId="0" applyFont="1" applyFill="1" applyBorder="1" applyAlignment="1">
      <alignment horizontal="center" vertical="center" wrapText="1"/>
    </xf>
    <xf numFmtId="0" fontId="8" fillId="5" borderId="13" xfId="0" applyFont="1" applyFill="1" applyBorder="1" applyAlignment="1">
      <alignment horizontal="center" vertical="center" wrapText="1"/>
    </xf>
    <xf numFmtId="0" fontId="4" fillId="5" borderId="16" xfId="0" applyFont="1" applyFill="1" applyBorder="1" applyAlignment="1">
      <alignment horizontal="center" vertical="center" wrapText="1"/>
    </xf>
    <xf numFmtId="0" fontId="13" fillId="2" borderId="17" xfId="0" applyFont="1" applyFill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/>
    </xf>
    <xf numFmtId="164" fontId="15" fillId="4" borderId="17" xfId="0" applyNumberFormat="1" applyFont="1" applyFill="1" applyBorder="1" applyAlignment="1">
      <alignment horizontal="center" vertical="center"/>
    </xf>
    <xf numFmtId="0" fontId="16" fillId="0" borderId="17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9" fillId="5" borderId="17" xfId="0" applyFont="1" applyFill="1" applyBorder="1" applyAlignment="1">
      <alignment horizontal="center" vertical="center"/>
    </xf>
    <xf numFmtId="0" fontId="18" fillId="4" borderId="17" xfId="0" applyFont="1" applyFill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9" fillId="3" borderId="17" xfId="0" applyFont="1" applyFill="1" applyBorder="1" applyAlignment="1">
      <alignment vertical="center"/>
    </xf>
    <xf numFmtId="0" fontId="15" fillId="3" borderId="17" xfId="0" applyFont="1" applyFill="1" applyBorder="1" applyAlignment="1">
      <alignment vertical="center"/>
    </xf>
    <xf numFmtId="0" fontId="21" fillId="7" borderId="0" xfId="0" applyFont="1" applyFill="1"/>
    <xf numFmtId="0" fontId="19" fillId="0" borderId="0" xfId="0" applyFont="1"/>
    <xf numFmtId="0" fontId="0" fillId="4" borderId="0" xfId="0" applyFill="1"/>
    <xf numFmtId="0" fontId="11" fillId="0" borderId="0" xfId="0" applyFont="1" applyAlignment="1">
      <alignment wrapText="1"/>
    </xf>
    <xf numFmtId="0" fontId="9" fillId="5" borderId="18" xfId="0" applyFont="1" applyFill="1" applyBorder="1"/>
    <xf numFmtId="0" fontId="15" fillId="0" borderId="19" xfId="0" applyFont="1" applyBorder="1" applyAlignment="1">
      <alignment horizontal="center" vertical="center"/>
    </xf>
    <xf numFmtId="0" fontId="9" fillId="5" borderId="0" xfId="0" applyFont="1" applyFill="1"/>
    <xf numFmtId="0" fontId="9" fillId="0" borderId="0" xfId="0" applyFont="1"/>
    <xf numFmtId="0" fontId="22" fillId="4" borderId="0" xfId="0" applyFont="1" applyFill="1" applyAlignment="1">
      <alignment horizontal="left" wrapText="1"/>
    </xf>
    <xf numFmtId="0" fontId="12" fillId="5" borderId="3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0" fillId="5" borderId="5" xfId="0" applyFont="1" applyFill="1" applyBorder="1" applyAlignment="1">
      <alignment horizontal="center" vertical="center" wrapText="1"/>
    </xf>
    <xf numFmtId="0" fontId="10" fillId="5" borderId="11" xfId="0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11" fillId="4" borderId="12" xfId="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 wrapText="1"/>
    </xf>
    <xf numFmtId="0" fontId="11" fillId="5" borderId="13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182"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33617</xdr:colOff>
      <xdr:row>0</xdr:row>
      <xdr:rowOff>1</xdr:rowOff>
    </xdr:from>
    <xdr:to>
      <xdr:col>2</xdr:col>
      <xdr:colOff>141194</xdr:colOff>
      <xdr:row>2</xdr:row>
      <xdr:rowOff>6725</xdr:rowOff>
    </xdr:to>
    <xdr:pic>
      <xdr:nvPicPr>
        <xdr:cNvPr id="2" name="Picture 1" descr="logo bahria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6092" y="1"/>
          <a:ext cx="717177" cy="778249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Z1157"/>
  <sheetViews>
    <sheetView tabSelected="1" view="pageBreakPreview" topLeftCell="A157" zoomScaleSheetLayoutView="100" workbookViewId="0">
      <selection activeCell="H167" sqref="H167"/>
    </sheetView>
  </sheetViews>
  <sheetFormatPr defaultRowHeight="15.75" x14ac:dyDescent="0.25"/>
  <cols>
    <col min="1" max="1" width="11.28515625" style="32" customWidth="1"/>
    <col min="7" max="7" width="4.28515625" style="33" customWidth="1"/>
    <col min="8" max="8" width="13.5703125" style="34" customWidth="1"/>
    <col min="9" max="9" width="14.7109375" style="35" customWidth="1"/>
    <col min="10" max="10" width="8.5703125" customWidth="1"/>
    <col min="11" max="11" width="7.7109375" style="36" customWidth="1"/>
    <col min="12" max="12" width="13" customWidth="1"/>
    <col min="13" max="13" width="7.7109375" style="38" customWidth="1"/>
    <col min="14" max="14" width="13" customWidth="1"/>
    <col min="15" max="15" width="7.7109375" style="38" customWidth="1"/>
    <col min="16" max="16" width="13" customWidth="1"/>
    <col min="17" max="17" width="7.7109375" style="39" customWidth="1"/>
    <col min="18" max="18" width="13" customWidth="1"/>
    <col min="19" max="19" width="14.140625" style="40" customWidth="1"/>
    <col min="20" max="20" width="11.28515625" style="32" customWidth="1"/>
  </cols>
  <sheetData>
    <row r="1" spans="1:20" ht="31.5" customHeight="1" x14ac:dyDescent="0.25">
      <c r="A1"/>
      <c r="G1" s="43" t="s">
        <v>0</v>
      </c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</row>
    <row r="2" spans="1:20" ht="29.25" customHeight="1" thickBot="1" x14ac:dyDescent="0.3">
      <c r="A2"/>
      <c r="G2" s="44" t="s">
        <v>1</v>
      </c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</row>
    <row r="3" spans="1:20" ht="27.75" customHeight="1" thickBot="1" x14ac:dyDescent="0.3">
      <c r="A3" s="1"/>
      <c r="G3" s="2" t="s">
        <v>2</v>
      </c>
      <c r="H3" s="3"/>
      <c r="I3" s="4"/>
      <c r="J3" s="5"/>
      <c r="K3" s="6"/>
      <c r="L3" s="7"/>
      <c r="M3" s="8"/>
      <c r="N3" s="9"/>
      <c r="O3" s="10"/>
      <c r="Q3" s="11" t="s">
        <v>3</v>
      </c>
      <c r="R3" s="11"/>
      <c r="S3" s="12"/>
      <c r="T3" s="1"/>
    </row>
    <row r="4" spans="1:20" ht="21.75" customHeight="1" thickBot="1" x14ac:dyDescent="0.3">
      <c r="A4"/>
      <c r="G4" s="45" t="s">
        <v>4</v>
      </c>
      <c r="H4" s="47" t="s">
        <v>5</v>
      </c>
      <c r="I4" s="49" t="s">
        <v>6</v>
      </c>
      <c r="J4" s="51" t="s">
        <v>7</v>
      </c>
      <c r="K4" s="53" t="s">
        <v>8</v>
      </c>
      <c r="L4" s="54"/>
      <c r="M4" s="55" t="s">
        <v>9</v>
      </c>
      <c r="N4" s="53"/>
      <c r="O4" s="56" t="s">
        <v>10</v>
      </c>
      <c r="P4" s="57"/>
      <c r="Q4" s="56" t="s">
        <v>11</v>
      </c>
      <c r="R4" s="58"/>
      <c r="S4" s="41" t="s">
        <v>12</v>
      </c>
      <c r="T4" s="42"/>
    </row>
    <row r="5" spans="1:20" ht="31.5" customHeight="1" thickBot="1" x14ac:dyDescent="0.3">
      <c r="A5" s="13" t="s">
        <v>13</v>
      </c>
      <c r="G5" s="46"/>
      <c r="H5" s="48" t="s">
        <v>5</v>
      </c>
      <c r="I5" s="50" t="s">
        <v>6</v>
      </c>
      <c r="J5" s="52"/>
      <c r="K5" s="14" t="s">
        <v>14</v>
      </c>
      <c r="L5" s="14" t="s">
        <v>15</v>
      </c>
      <c r="M5" s="14" t="s">
        <v>14</v>
      </c>
      <c r="N5" s="14" t="s">
        <v>15</v>
      </c>
      <c r="O5" s="14" t="s">
        <v>14</v>
      </c>
      <c r="P5" s="15" t="s">
        <v>15</v>
      </c>
      <c r="Q5" s="16" t="s">
        <v>14</v>
      </c>
      <c r="R5" s="17" t="s">
        <v>15</v>
      </c>
      <c r="S5" s="18" t="s">
        <v>16</v>
      </c>
      <c r="T5" s="13" t="s">
        <v>13</v>
      </c>
    </row>
    <row r="6" spans="1:20" ht="37.5" customHeight="1" x14ac:dyDescent="0.25">
      <c r="A6" s="19" t="s">
        <v>17</v>
      </c>
      <c r="F6">
        <f>L6</f>
        <v>-3051</v>
      </c>
      <c r="G6" s="20">
        <v>1</v>
      </c>
      <c r="H6" s="21">
        <v>23015010764</v>
      </c>
      <c r="I6" s="22">
        <v>3</v>
      </c>
      <c r="J6" s="23"/>
      <c r="K6" s="24">
        <v>3051</v>
      </c>
      <c r="L6" s="23">
        <f>B6-K6</f>
        <v>-3051</v>
      </c>
      <c r="M6" s="24">
        <v>438</v>
      </c>
      <c r="N6" s="25">
        <f>C6-M6</f>
        <v>-438</v>
      </c>
      <c r="O6" s="24">
        <v>2613</v>
      </c>
      <c r="P6" s="23">
        <f>D6-O6</f>
        <v>-2613</v>
      </c>
      <c r="Q6" s="26"/>
      <c r="R6" s="23">
        <f>E6-Q6</f>
        <v>0</v>
      </c>
      <c r="S6" s="27" t="s">
        <v>18</v>
      </c>
      <c r="T6" s="19" t="s">
        <v>17</v>
      </c>
    </row>
    <row r="7" spans="1:20" ht="37.5" customHeight="1" x14ac:dyDescent="0.25">
      <c r="A7" s="19" t="s">
        <v>19</v>
      </c>
      <c r="B7">
        <f t="shared" ref="B7:B70" si="0">C7+D7</f>
        <v>142824</v>
      </c>
      <c r="C7">
        <v>25528</v>
      </c>
      <c r="D7">
        <v>117296</v>
      </c>
      <c r="F7">
        <f t="shared" ref="F7:F70" si="1">L7</f>
        <v>2913</v>
      </c>
      <c r="G7" s="20">
        <f>G6+1</f>
        <v>2</v>
      </c>
      <c r="H7" s="21">
        <v>88818030277</v>
      </c>
      <c r="I7" s="22" t="s">
        <v>20</v>
      </c>
      <c r="J7" s="23"/>
      <c r="K7" s="24">
        <v>139911</v>
      </c>
      <c r="L7" s="23">
        <f t="shared" ref="L7:L70" si="2">B7-K7</f>
        <v>2913</v>
      </c>
      <c r="M7" s="24">
        <v>24929</v>
      </c>
      <c r="N7" s="25">
        <f t="shared" ref="N7:N70" si="3">C7-M7</f>
        <v>599</v>
      </c>
      <c r="O7" s="24">
        <v>114982</v>
      </c>
      <c r="P7" s="23">
        <f t="shared" ref="P7:P70" si="4">D7-O7</f>
        <v>2314</v>
      </c>
      <c r="Q7" s="26"/>
      <c r="R7" s="23">
        <f t="shared" ref="R7:R70" si="5">E7-Q7</f>
        <v>0</v>
      </c>
      <c r="S7" s="27" t="s">
        <v>18</v>
      </c>
      <c r="T7" s="19" t="s">
        <v>19</v>
      </c>
    </row>
    <row r="8" spans="1:20" ht="37.5" customHeight="1" x14ac:dyDescent="0.25">
      <c r="A8" s="19" t="s">
        <v>21</v>
      </c>
      <c r="B8">
        <f t="shared" si="0"/>
        <v>11043</v>
      </c>
      <c r="C8">
        <v>2039</v>
      </c>
      <c r="D8">
        <v>9004</v>
      </c>
      <c r="F8">
        <f t="shared" si="1"/>
        <v>459</v>
      </c>
      <c r="G8" s="20">
        <f t="shared" ref="G8:G71" si="6">G7+1</f>
        <v>3</v>
      </c>
      <c r="H8" s="21">
        <v>66619040169</v>
      </c>
      <c r="I8" s="22" t="s">
        <v>22</v>
      </c>
      <c r="J8" s="23"/>
      <c r="K8" s="24">
        <v>10584</v>
      </c>
      <c r="L8" s="23">
        <f t="shared" si="2"/>
        <v>459</v>
      </c>
      <c r="M8" s="24">
        <v>1954</v>
      </c>
      <c r="N8" s="25">
        <f t="shared" si="3"/>
        <v>85</v>
      </c>
      <c r="O8" s="24">
        <v>8630</v>
      </c>
      <c r="P8" s="23">
        <f t="shared" si="4"/>
        <v>374</v>
      </c>
      <c r="Q8" s="26"/>
      <c r="R8" s="23">
        <f t="shared" si="5"/>
        <v>0</v>
      </c>
      <c r="S8" s="27" t="s">
        <v>18</v>
      </c>
      <c r="T8" s="19" t="s">
        <v>21</v>
      </c>
    </row>
    <row r="9" spans="1:20" ht="37.5" customHeight="1" x14ac:dyDescent="0.25">
      <c r="A9" s="19" t="s">
        <v>23</v>
      </c>
      <c r="B9">
        <f t="shared" si="0"/>
        <v>36884</v>
      </c>
      <c r="C9">
        <v>5455</v>
      </c>
      <c r="D9">
        <v>31429</v>
      </c>
      <c r="F9">
        <f t="shared" si="1"/>
        <v>659</v>
      </c>
      <c r="G9" s="20">
        <f t="shared" si="6"/>
        <v>4</v>
      </c>
      <c r="H9" s="21">
        <v>66617010076</v>
      </c>
      <c r="I9" s="22" t="s">
        <v>24</v>
      </c>
      <c r="J9" s="23"/>
      <c r="K9" s="24">
        <v>36225</v>
      </c>
      <c r="L9" s="23">
        <f t="shared" si="2"/>
        <v>659</v>
      </c>
      <c r="M9" s="24">
        <v>5350</v>
      </c>
      <c r="N9" s="25">
        <f t="shared" si="3"/>
        <v>105</v>
      </c>
      <c r="O9" s="24">
        <v>30875</v>
      </c>
      <c r="P9" s="23">
        <f t="shared" si="4"/>
        <v>554</v>
      </c>
      <c r="Q9" s="26"/>
      <c r="R9" s="23">
        <f t="shared" si="5"/>
        <v>0</v>
      </c>
      <c r="S9" s="27" t="s">
        <v>18</v>
      </c>
      <c r="T9" s="19" t="s">
        <v>23</v>
      </c>
    </row>
    <row r="10" spans="1:20" ht="37.5" customHeight="1" x14ac:dyDescent="0.25">
      <c r="A10" s="19" t="s">
        <v>25</v>
      </c>
      <c r="B10">
        <f t="shared" si="0"/>
        <v>301</v>
      </c>
      <c r="C10">
        <v>47</v>
      </c>
      <c r="D10">
        <v>254</v>
      </c>
      <c r="F10">
        <f t="shared" si="1"/>
        <v>158</v>
      </c>
      <c r="G10" s="20">
        <f t="shared" si="6"/>
        <v>5</v>
      </c>
      <c r="H10" s="21">
        <v>66625010189</v>
      </c>
      <c r="I10" s="22">
        <v>5</v>
      </c>
      <c r="J10" s="23"/>
      <c r="K10" s="24">
        <v>143</v>
      </c>
      <c r="L10" s="23">
        <f t="shared" si="2"/>
        <v>158</v>
      </c>
      <c r="M10" s="24"/>
      <c r="N10" s="25">
        <f t="shared" si="3"/>
        <v>47</v>
      </c>
      <c r="O10" s="24"/>
      <c r="P10" s="23">
        <f t="shared" si="4"/>
        <v>254</v>
      </c>
      <c r="Q10" s="26"/>
      <c r="R10" s="23">
        <f t="shared" si="5"/>
        <v>0</v>
      </c>
      <c r="S10" s="27" t="s">
        <v>18</v>
      </c>
      <c r="T10" s="19" t="s">
        <v>25</v>
      </c>
    </row>
    <row r="11" spans="1:20" ht="37.5" customHeight="1" x14ac:dyDescent="0.25">
      <c r="A11" s="19" t="s">
        <v>26</v>
      </c>
      <c r="B11">
        <f t="shared" si="0"/>
        <v>39782</v>
      </c>
      <c r="C11">
        <v>7246</v>
      </c>
      <c r="D11">
        <v>32536</v>
      </c>
      <c r="F11">
        <f t="shared" si="1"/>
        <v>1635</v>
      </c>
      <c r="G11" s="20">
        <f t="shared" si="6"/>
        <v>6</v>
      </c>
      <c r="H11" s="21">
        <v>66623011137</v>
      </c>
      <c r="I11" s="22" t="s">
        <v>27</v>
      </c>
      <c r="J11" s="23"/>
      <c r="K11" s="24">
        <v>38147</v>
      </c>
      <c r="L11" s="23">
        <f t="shared" si="2"/>
        <v>1635</v>
      </c>
      <c r="M11" s="24">
        <v>6915</v>
      </c>
      <c r="N11" s="25">
        <f t="shared" si="3"/>
        <v>331</v>
      </c>
      <c r="O11" s="24">
        <v>31232</v>
      </c>
      <c r="P11" s="23">
        <f t="shared" si="4"/>
        <v>1304</v>
      </c>
      <c r="Q11" s="26"/>
      <c r="R11" s="23">
        <f t="shared" si="5"/>
        <v>0</v>
      </c>
      <c r="S11" s="27" t="s">
        <v>18</v>
      </c>
      <c r="T11" s="19" t="s">
        <v>26</v>
      </c>
    </row>
    <row r="12" spans="1:20" ht="37.5" customHeight="1" x14ac:dyDescent="0.25">
      <c r="A12" s="19" t="s">
        <v>28</v>
      </c>
      <c r="B12">
        <f t="shared" si="0"/>
        <v>4</v>
      </c>
      <c r="C12">
        <v>3</v>
      </c>
      <c r="D12">
        <v>1</v>
      </c>
      <c r="F12">
        <f t="shared" si="1"/>
        <v>0</v>
      </c>
      <c r="G12" s="20">
        <f t="shared" si="6"/>
        <v>7</v>
      </c>
      <c r="H12" s="21">
        <v>66622060693</v>
      </c>
      <c r="I12" s="22" t="s">
        <v>29</v>
      </c>
      <c r="J12" s="23"/>
      <c r="K12" s="24">
        <v>4</v>
      </c>
      <c r="L12" s="23">
        <f t="shared" si="2"/>
        <v>0</v>
      </c>
      <c r="M12" s="24">
        <v>3</v>
      </c>
      <c r="N12" s="25">
        <f t="shared" si="3"/>
        <v>0</v>
      </c>
      <c r="O12" s="24">
        <v>1</v>
      </c>
      <c r="P12" s="23">
        <f t="shared" si="4"/>
        <v>0</v>
      </c>
      <c r="Q12" s="26"/>
      <c r="R12" s="23">
        <f t="shared" si="5"/>
        <v>0</v>
      </c>
      <c r="S12" s="27" t="s">
        <v>18</v>
      </c>
      <c r="T12" s="19" t="s">
        <v>28</v>
      </c>
    </row>
    <row r="13" spans="1:20" ht="37.5" customHeight="1" x14ac:dyDescent="0.25">
      <c r="A13" s="19" t="s">
        <v>30</v>
      </c>
      <c r="B13">
        <f t="shared" si="0"/>
        <v>16873</v>
      </c>
      <c r="C13">
        <v>1980</v>
      </c>
      <c r="D13">
        <v>14893</v>
      </c>
      <c r="F13">
        <f t="shared" si="1"/>
        <v>4</v>
      </c>
      <c r="G13" s="20">
        <f t="shared" si="6"/>
        <v>8</v>
      </c>
      <c r="H13" s="21">
        <v>88819020150</v>
      </c>
      <c r="I13" s="22" t="s">
        <v>31</v>
      </c>
      <c r="J13" s="23"/>
      <c r="K13" s="24">
        <v>16869</v>
      </c>
      <c r="L13" s="23">
        <f t="shared" si="2"/>
        <v>4</v>
      </c>
      <c r="M13" s="24">
        <v>1979</v>
      </c>
      <c r="N13" s="25">
        <f t="shared" si="3"/>
        <v>1</v>
      </c>
      <c r="O13" s="24">
        <v>14890</v>
      </c>
      <c r="P13" s="23">
        <f t="shared" si="4"/>
        <v>3</v>
      </c>
      <c r="Q13" s="26"/>
      <c r="R13" s="23">
        <f t="shared" si="5"/>
        <v>0</v>
      </c>
      <c r="S13" s="27" t="s">
        <v>18</v>
      </c>
      <c r="T13" s="19" t="s">
        <v>30</v>
      </c>
    </row>
    <row r="14" spans="1:20" ht="37.5" customHeight="1" x14ac:dyDescent="0.25">
      <c r="A14" s="19" t="s">
        <v>32</v>
      </c>
      <c r="B14">
        <f t="shared" si="0"/>
        <v>6631</v>
      </c>
      <c r="C14">
        <v>1240</v>
      </c>
      <c r="D14">
        <v>5391</v>
      </c>
      <c r="E14">
        <v>14244</v>
      </c>
      <c r="F14">
        <f t="shared" si="1"/>
        <v>578</v>
      </c>
      <c r="G14" s="20">
        <f t="shared" si="6"/>
        <v>9</v>
      </c>
      <c r="H14" s="21">
        <v>99623080271</v>
      </c>
      <c r="I14" s="22">
        <v>7</v>
      </c>
      <c r="J14" s="23"/>
      <c r="K14" s="24">
        <f>M14+O14</f>
        <v>6053</v>
      </c>
      <c r="L14" s="23">
        <f t="shared" si="2"/>
        <v>578</v>
      </c>
      <c r="M14" s="24">
        <v>1149</v>
      </c>
      <c r="N14" s="25">
        <f t="shared" si="3"/>
        <v>91</v>
      </c>
      <c r="O14" s="24">
        <v>4904</v>
      </c>
      <c r="P14" s="23">
        <f t="shared" si="4"/>
        <v>487</v>
      </c>
      <c r="Q14" s="26">
        <v>13019</v>
      </c>
      <c r="R14" s="23">
        <f t="shared" si="5"/>
        <v>1225</v>
      </c>
      <c r="S14" s="27" t="s">
        <v>18</v>
      </c>
      <c r="T14" s="19" t="s">
        <v>32</v>
      </c>
    </row>
    <row r="15" spans="1:20" ht="37.5" customHeight="1" x14ac:dyDescent="0.25">
      <c r="A15" s="19" t="s">
        <v>33</v>
      </c>
      <c r="B15">
        <f t="shared" si="0"/>
        <v>6367</v>
      </c>
      <c r="C15">
        <v>1606</v>
      </c>
      <c r="D15">
        <v>4761</v>
      </c>
      <c r="E15">
        <v>9039</v>
      </c>
      <c r="F15">
        <f t="shared" si="1"/>
        <v>1100</v>
      </c>
      <c r="G15" s="20">
        <f t="shared" si="6"/>
        <v>10</v>
      </c>
      <c r="H15" s="21">
        <v>99624040275</v>
      </c>
      <c r="I15" s="22">
        <v>9</v>
      </c>
      <c r="J15" s="23"/>
      <c r="K15" s="24">
        <f>M15+O15</f>
        <v>5267</v>
      </c>
      <c r="L15" s="23">
        <f t="shared" si="2"/>
        <v>1100</v>
      </c>
      <c r="M15" s="24">
        <v>1312</v>
      </c>
      <c r="N15" s="25">
        <f t="shared" si="3"/>
        <v>294</v>
      </c>
      <c r="O15" s="24">
        <v>3955</v>
      </c>
      <c r="P15" s="23">
        <f t="shared" si="4"/>
        <v>806</v>
      </c>
      <c r="Q15" s="26">
        <v>7141</v>
      </c>
      <c r="R15" s="23">
        <f t="shared" si="5"/>
        <v>1898</v>
      </c>
      <c r="S15" s="27" t="s">
        <v>18</v>
      </c>
      <c r="T15" s="19" t="s">
        <v>33</v>
      </c>
    </row>
    <row r="16" spans="1:20" ht="37.5" customHeight="1" x14ac:dyDescent="0.25">
      <c r="A16" s="19" t="s">
        <v>34</v>
      </c>
      <c r="B16">
        <f t="shared" si="0"/>
        <v>27778</v>
      </c>
      <c r="C16">
        <v>4661</v>
      </c>
      <c r="D16">
        <v>23117</v>
      </c>
      <c r="F16">
        <f t="shared" si="1"/>
        <v>632</v>
      </c>
      <c r="G16" s="20">
        <f t="shared" si="6"/>
        <v>11</v>
      </c>
      <c r="H16" s="21">
        <v>66622020253</v>
      </c>
      <c r="I16" s="22" t="s">
        <v>35</v>
      </c>
      <c r="J16" s="23"/>
      <c r="K16" s="24">
        <v>27146</v>
      </c>
      <c r="L16" s="23">
        <f t="shared" si="2"/>
        <v>632</v>
      </c>
      <c r="M16" s="24">
        <v>4521</v>
      </c>
      <c r="N16" s="25">
        <f t="shared" si="3"/>
        <v>140</v>
      </c>
      <c r="O16" s="24">
        <v>22625</v>
      </c>
      <c r="P16" s="23">
        <f t="shared" si="4"/>
        <v>492</v>
      </c>
      <c r="Q16" s="26"/>
      <c r="R16" s="23">
        <f t="shared" si="5"/>
        <v>0</v>
      </c>
      <c r="S16" s="27" t="s">
        <v>18</v>
      </c>
      <c r="T16" s="19" t="s">
        <v>34</v>
      </c>
    </row>
    <row r="17" spans="1:20" ht="37.5" customHeight="1" x14ac:dyDescent="0.25">
      <c r="A17" s="19" t="s">
        <v>36</v>
      </c>
      <c r="B17">
        <f t="shared" si="0"/>
        <v>7234</v>
      </c>
      <c r="C17">
        <v>1378</v>
      </c>
      <c r="D17">
        <v>5856</v>
      </c>
      <c r="F17">
        <f t="shared" si="1"/>
        <v>128</v>
      </c>
      <c r="G17" s="20">
        <f t="shared" si="6"/>
        <v>12</v>
      </c>
      <c r="H17" s="21">
        <v>66621040254</v>
      </c>
      <c r="I17" s="22">
        <v>12</v>
      </c>
      <c r="J17" s="23"/>
      <c r="K17" s="24">
        <v>7106</v>
      </c>
      <c r="L17" s="23">
        <f t="shared" si="2"/>
        <v>128</v>
      </c>
      <c r="M17" s="24">
        <v>1358</v>
      </c>
      <c r="N17" s="25">
        <f t="shared" si="3"/>
        <v>20</v>
      </c>
      <c r="O17" s="24">
        <v>5748</v>
      </c>
      <c r="P17" s="23">
        <f t="shared" si="4"/>
        <v>108</v>
      </c>
      <c r="Q17" s="26"/>
      <c r="R17" s="23">
        <f t="shared" si="5"/>
        <v>0</v>
      </c>
      <c r="S17" s="27" t="s">
        <v>18</v>
      </c>
      <c r="T17" s="19" t="s">
        <v>36</v>
      </c>
    </row>
    <row r="18" spans="1:20" ht="37.5" customHeight="1" x14ac:dyDescent="0.25">
      <c r="A18" s="19" t="s">
        <v>37</v>
      </c>
      <c r="B18">
        <f t="shared" si="0"/>
        <v>23497</v>
      </c>
      <c r="C18">
        <v>6007</v>
      </c>
      <c r="D18">
        <v>17490</v>
      </c>
      <c r="E18">
        <v>13333</v>
      </c>
      <c r="F18">
        <f t="shared" si="1"/>
        <v>1537</v>
      </c>
      <c r="G18" s="20">
        <f t="shared" si="6"/>
        <v>13</v>
      </c>
      <c r="H18" s="21">
        <v>99624010226</v>
      </c>
      <c r="I18" s="22">
        <v>13</v>
      </c>
      <c r="J18" s="23"/>
      <c r="K18" s="24">
        <f>M18+O18</f>
        <v>21960</v>
      </c>
      <c r="L18" s="23">
        <f t="shared" si="2"/>
        <v>1537</v>
      </c>
      <c r="M18" s="24">
        <v>5624</v>
      </c>
      <c r="N18" s="25">
        <f t="shared" si="3"/>
        <v>383</v>
      </c>
      <c r="O18" s="24">
        <v>16336</v>
      </c>
      <c r="P18" s="23">
        <f t="shared" si="4"/>
        <v>1154</v>
      </c>
      <c r="Q18" s="26">
        <v>11627</v>
      </c>
      <c r="R18" s="23">
        <f t="shared" si="5"/>
        <v>1706</v>
      </c>
      <c r="S18" s="27" t="s">
        <v>18</v>
      </c>
      <c r="T18" s="19" t="s">
        <v>37</v>
      </c>
    </row>
    <row r="19" spans="1:20" ht="37.5" customHeight="1" x14ac:dyDescent="0.25">
      <c r="A19" s="19" t="s">
        <v>38</v>
      </c>
      <c r="B19">
        <f t="shared" si="0"/>
        <v>7552</v>
      </c>
      <c r="C19">
        <v>1137</v>
      </c>
      <c r="D19">
        <v>6415</v>
      </c>
      <c r="F19">
        <f t="shared" si="1"/>
        <v>90</v>
      </c>
      <c r="G19" s="20">
        <f t="shared" si="6"/>
        <v>14</v>
      </c>
      <c r="H19" s="21">
        <v>88820010456</v>
      </c>
      <c r="I19" s="22">
        <v>14</v>
      </c>
      <c r="J19" s="23"/>
      <c r="K19" s="24">
        <v>7462</v>
      </c>
      <c r="L19" s="23">
        <f t="shared" si="2"/>
        <v>90</v>
      </c>
      <c r="M19" s="24">
        <v>1126</v>
      </c>
      <c r="N19" s="25">
        <f t="shared" si="3"/>
        <v>11</v>
      </c>
      <c r="O19" s="24">
        <v>6336</v>
      </c>
      <c r="P19" s="23">
        <f t="shared" si="4"/>
        <v>79</v>
      </c>
      <c r="Q19" s="26"/>
      <c r="R19" s="23">
        <f t="shared" si="5"/>
        <v>0</v>
      </c>
      <c r="S19" s="27" t="s">
        <v>18</v>
      </c>
      <c r="T19" s="19" t="s">
        <v>38</v>
      </c>
    </row>
    <row r="20" spans="1:20" ht="37.5" customHeight="1" x14ac:dyDescent="0.25">
      <c r="A20" s="19" t="s">
        <v>39</v>
      </c>
      <c r="B20">
        <f t="shared" si="0"/>
        <v>12242</v>
      </c>
      <c r="C20">
        <v>3022</v>
      </c>
      <c r="D20">
        <v>9220</v>
      </c>
      <c r="E20">
        <v>14576</v>
      </c>
      <c r="F20">
        <f t="shared" si="1"/>
        <v>688</v>
      </c>
      <c r="G20" s="20">
        <f t="shared" si="6"/>
        <v>15</v>
      </c>
      <c r="H20" s="21">
        <v>99623080247</v>
      </c>
      <c r="I20" s="22">
        <v>15</v>
      </c>
      <c r="J20" s="23"/>
      <c r="K20" s="24">
        <f>M20+O20</f>
        <v>11554</v>
      </c>
      <c r="L20" s="23">
        <f t="shared" si="2"/>
        <v>688</v>
      </c>
      <c r="M20" s="24">
        <v>2829</v>
      </c>
      <c r="N20" s="25">
        <f t="shared" si="3"/>
        <v>193</v>
      </c>
      <c r="O20" s="24">
        <v>8725</v>
      </c>
      <c r="P20" s="23">
        <f t="shared" si="4"/>
        <v>495</v>
      </c>
      <c r="Q20" s="26">
        <v>13342</v>
      </c>
      <c r="R20" s="23">
        <f t="shared" si="5"/>
        <v>1234</v>
      </c>
      <c r="S20" s="27" t="s">
        <v>18</v>
      </c>
      <c r="T20" s="19" t="s">
        <v>39</v>
      </c>
    </row>
    <row r="21" spans="1:20" ht="37.5" customHeight="1" x14ac:dyDescent="0.25">
      <c r="A21" s="19" t="s">
        <v>40</v>
      </c>
      <c r="B21">
        <f t="shared" si="0"/>
        <v>25296</v>
      </c>
      <c r="C21">
        <v>6270</v>
      </c>
      <c r="D21">
        <v>19026</v>
      </c>
      <c r="E21">
        <v>27135</v>
      </c>
      <c r="F21">
        <f t="shared" si="1"/>
        <v>701</v>
      </c>
      <c r="G21" s="20">
        <f t="shared" si="6"/>
        <v>16</v>
      </c>
      <c r="H21" s="21">
        <v>99722008215</v>
      </c>
      <c r="I21" s="22" t="s">
        <v>41</v>
      </c>
      <c r="J21" s="23"/>
      <c r="K21" s="24">
        <f>M21+O21</f>
        <v>24595</v>
      </c>
      <c r="L21" s="23">
        <f t="shared" si="2"/>
        <v>701</v>
      </c>
      <c r="M21" s="24">
        <v>6104</v>
      </c>
      <c r="N21" s="25">
        <f t="shared" si="3"/>
        <v>166</v>
      </c>
      <c r="O21" s="24">
        <v>18491</v>
      </c>
      <c r="P21" s="23">
        <f t="shared" si="4"/>
        <v>535</v>
      </c>
      <c r="Q21" s="26">
        <v>26041</v>
      </c>
      <c r="R21" s="23">
        <f t="shared" si="5"/>
        <v>1094</v>
      </c>
      <c r="S21" s="27" t="s">
        <v>18</v>
      </c>
      <c r="T21" s="19" t="s">
        <v>40</v>
      </c>
    </row>
    <row r="22" spans="1:20" ht="37.5" customHeight="1" x14ac:dyDescent="0.25">
      <c r="A22" s="19" t="s">
        <v>42</v>
      </c>
      <c r="B22">
        <f t="shared" si="0"/>
        <v>19498</v>
      </c>
      <c r="C22">
        <v>4438</v>
      </c>
      <c r="D22">
        <v>15060</v>
      </c>
      <c r="E22">
        <v>16385</v>
      </c>
      <c r="F22">
        <f t="shared" si="1"/>
        <v>616</v>
      </c>
      <c r="G22" s="20">
        <f t="shared" si="6"/>
        <v>17</v>
      </c>
      <c r="H22" s="21">
        <v>99723050126</v>
      </c>
      <c r="I22" s="22" t="s">
        <v>43</v>
      </c>
      <c r="J22" s="23"/>
      <c r="K22" s="24">
        <f>M22+O22</f>
        <v>18882</v>
      </c>
      <c r="L22" s="23">
        <f t="shared" si="2"/>
        <v>616</v>
      </c>
      <c r="M22" s="24">
        <v>4298</v>
      </c>
      <c r="N22" s="25">
        <f t="shared" si="3"/>
        <v>140</v>
      </c>
      <c r="O22" s="24">
        <v>14584</v>
      </c>
      <c r="P22" s="23">
        <f t="shared" si="4"/>
        <v>476</v>
      </c>
      <c r="Q22" s="26">
        <v>15181</v>
      </c>
      <c r="R22" s="23">
        <f t="shared" si="5"/>
        <v>1204</v>
      </c>
      <c r="S22" s="27" t="s">
        <v>18</v>
      </c>
      <c r="T22" s="19" t="s">
        <v>42</v>
      </c>
    </row>
    <row r="23" spans="1:20" ht="37.5" customHeight="1" x14ac:dyDescent="0.25">
      <c r="A23" s="19" t="s">
        <v>44</v>
      </c>
      <c r="B23">
        <f t="shared" si="0"/>
        <v>23064</v>
      </c>
      <c r="C23">
        <v>3935</v>
      </c>
      <c r="D23">
        <v>19129</v>
      </c>
      <c r="F23">
        <f t="shared" si="1"/>
        <v>279</v>
      </c>
      <c r="G23" s="20">
        <f t="shared" si="6"/>
        <v>18</v>
      </c>
      <c r="H23" s="21">
        <v>66621060498</v>
      </c>
      <c r="I23" s="22">
        <v>17</v>
      </c>
      <c r="J23" s="23"/>
      <c r="K23" s="24">
        <v>22785</v>
      </c>
      <c r="L23" s="23">
        <f t="shared" si="2"/>
        <v>279</v>
      </c>
      <c r="M23" s="24">
        <v>0</v>
      </c>
      <c r="N23" s="25">
        <f t="shared" si="3"/>
        <v>3935</v>
      </c>
      <c r="O23" s="24">
        <v>0</v>
      </c>
      <c r="P23" s="23">
        <f t="shared" si="4"/>
        <v>19129</v>
      </c>
      <c r="Q23" s="26"/>
      <c r="R23" s="23">
        <f t="shared" si="5"/>
        <v>0</v>
      </c>
      <c r="S23" s="27" t="s">
        <v>18</v>
      </c>
      <c r="T23" s="19" t="s">
        <v>44</v>
      </c>
    </row>
    <row r="24" spans="1:20" ht="37.5" customHeight="1" x14ac:dyDescent="0.25">
      <c r="A24" s="19" t="s">
        <v>45</v>
      </c>
      <c r="B24">
        <f t="shared" si="0"/>
        <v>4166</v>
      </c>
      <c r="C24">
        <v>1043</v>
      </c>
      <c r="D24">
        <v>3123</v>
      </c>
      <c r="E24">
        <v>14319</v>
      </c>
      <c r="F24">
        <f t="shared" si="1"/>
        <v>107</v>
      </c>
      <c r="G24" s="20">
        <f t="shared" si="6"/>
        <v>19</v>
      </c>
      <c r="H24" s="21">
        <v>99723050188</v>
      </c>
      <c r="I24" s="22">
        <v>17</v>
      </c>
      <c r="J24" s="23"/>
      <c r="K24" s="24">
        <f>M24+O24</f>
        <v>4059</v>
      </c>
      <c r="L24" s="23">
        <f t="shared" si="2"/>
        <v>107</v>
      </c>
      <c r="M24" s="24">
        <v>1011</v>
      </c>
      <c r="N24" s="25">
        <f t="shared" si="3"/>
        <v>32</v>
      </c>
      <c r="O24" s="24">
        <v>3048</v>
      </c>
      <c r="P24" s="23">
        <f t="shared" si="4"/>
        <v>75</v>
      </c>
      <c r="Q24" s="26">
        <v>13406</v>
      </c>
      <c r="R24" s="23">
        <f t="shared" si="5"/>
        <v>913</v>
      </c>
      <c r="S24" s="27" t="s">
        <v>18</v>
      </c>
      <c r="T24" s="19" t="s">
        <v>45</v>
      </c>
    </row>
    <row r="25" spans="1:20" ht="37.5" customHeight="1" x14ac:dyDescent="0.25">
      <c r="A25" s="19" t="s">
        <v>46</v>
      </c>
      <c r="B25">
        <f t="shared" si="0"/>
        <v>623</v>
      </c>
      <c r="C25">
        <v>137</v>
      </c>
      <c r="D25">
        <v>486</v>
      </c>
      <c r="E25">
        <v>404</v>
      </c>
      <c r="F25">
        <f t="shared" si="1"/>
        <v>143</v>
      </c>
      <c r="G25" s="20">
        <f t="shared" si="6"/>
        <v>20</v>
      </c>
      <c r="H25" s="21">
        <v>52521704286</v>
      </c>
      <c r="I25" s="22">
        <v>19</v>
      </c>
      <c r="J25" s="23"/>
      <c r="K25" s="24">
        <f>M25+O25</f>
        <v>480</v>
      </c>
      <c r="L25" s="23">
        <f t="shared" si="2"/>
        <v>143</v>
      </c>
      <c r="M25" s="24">
        <v>119</v>
      </c>
      <c r="N25" s="25">
        <f t="shared" si="3"/>
        <v>18</v>
      </c>
      <c r="O25" s="24">
        <v>361</v>
      </c>
      <c r="P25" s="23">
        <f t="shared" si="4"/>
        <v>125</v>
      </c>
      <c r="Q25" s="26">
        <v>355</v>
      </c>
      <c r="R25" s="23">
        <f t="shared" si="5"/>
        <v>49</v>
      </c>
      <c r="S25" s="27" t="s">
        <v>18</v>
      </c>
      <c r="T25" s="19" t="s">
        <v>46</v>
      </c>
    </row>
    <row r="26" spans="1:20" ht="37.5" customHeight="1" x14ac:dyDescent="0.25">
      <c r="A26" s="19" t="s">
        <v>47</v>
      </c>
      <c r="B26">
        <f t="shared" si="0"/>
        <v>254389</v>
      </c>
      <c r="C26">
        <v>41498</v>
      </c>
      <c r="D26">
        <v>212891</v>
      </c>
      <c r="F26">
        <f t="shared" si="1"/>
        <v>2526</v>
      </c>
      <c r="G26" s="20">
        <f t="shared" si="6"/>
        <v>21</v>
      </c>
      <c r="H26" s="21">
        <v>23011100201</v>
      </c>
      <c r="I26" s="22">
        <v>20</v>
      </c>
      <c r="J26" s="23"/>
      <c r="K26" s="24">
        <v>251863</v>
      </c>
      <c r="L26" s="23">
        <f t="shared" si="2"/>
        <v>2526</v>
      </c>
      <c r="M26" s="24">
        <v>41051</v>
      </c>
      <c r="N26" s="25">
        <f t="shared" si="3"/>
        <v>447</v>
      </c>
      <c r="O26" s="24">
        <v>210812</v>
      </c>
      <c r="P26" s="23">
        <f t="shared" si="4"/>
        <v>2079</v>
      </c>
      <c r="Q26" s="26"/>
      <c r="R26" s="23">
        <f t="shared" si="5"/>
        <v>0</v>
      </c>
      <c r="S26" s="27" t="s">
        <v>18</v>
      </c>
      <c r="T26" s="19" t="s">
        <v>47</v>
      </c>
    </row>
    <row r="27" spans="1:20" ht="37.5" customHeight="1" x14ac:dyDescent="0.25">
      <c r="A27" s="19" t="s">
        <v>48</v>
      </c>
      <c r="B27">
        <f t="shared" si="0"/>
        <v>95292</v>
      </c>
      <c r="C27">
        <v>22432</v>
      </c>
      <c r="D27">
        <v>72860</v>
      </c>
      <c r="F27">
        <f t="shared" si="1"/>
        <v>123</v>
      </c>
      <c r="G27" s="20">
        <f t="shared" si="6"/>
        <v>22</v>
      </c>
      <c r="H27" s="21">
        <v>23011090056</v>
      </c>
      <c r="I27" s="22">
        <v>21</v>
      </c>
      <c r="J27" s="23"/>
      <c r="K27" s="24">
        <v>95169</v>
      </c>
      <c r="L27" s="23">
        <f t="shared" si="2"/>
        <v>123</v>
      </c>
      <c r="M27" s="24">
        <v>22406</v>
      </c>
      <c r="N27" s="25">
        <f t="shared" si="3"/>
        <v>26</v>
      </c>
      <c r="O27" s="24">
        <v>72763</v>
      </c>
      <c r="P27" s="23">
        <f t="shared" si="4"/>
        <v>97</v>
      </c>
      <c r="Q27" s="26"/>
      <c r="R27" s="23">
        <f t="shared" si="5"/>
        <v>0</v>
      </c>
      <c r="S27" s="27" t="s">
        <v>18</v>
      </c>
      <c r="T27" s="19" t="s">
        <v>48</v>
      </c>
    </row>
    <row r="28" spans="1:20" ht="37.5" customHeight="1" x14ac:dyDescent="0.25">
      <c r="A28" s="19" t="s">
        <v>49</v>
      </c>
      <c r="B28">
        <f t="shared" si="0"/>
        <v>54341</v>
      </c>
      <c r="C28">
        <v>10018</v>
      </c>
      <c r="D28">
        <v>44323</v>
      </c>
      <c r="F28">
        <f t="shared" si="1"/>
        <v>255</v>
      </c>
      <c r="G28" s="20">
        <f t="shared" si="6"/>
        <v>23</v>
      </c>
      <c r="H28" s="21">
        <v>88820050166</v>
      </c>
      <c r="I28" s="22">
        <v>22</v>
      </c>
      <c r="J28" s="23"/>
      <c r="K28" s="24">
        <v>54086</v>
      </c>
      <c r="L28" s="23">
        <f t="shared" si="2"/>
        <v>255</v>
      </c>
      <c r="M28" s="24">
        <v>9958</v>
      </c>
      <c r="N28" s="25">
        <f t="shared" si="3"/>
        <v>60</v>
      </c>
      <c r="O28" s="24">
        <v>44128</v>
      </c>
      <c r="P28" s="23">
        <f t="shared" si="4"/>
        <v>195</v>
      </c>
      <c r="Q28" s="26"/>
      <c r="R28" s="23">
        <f t="shared" si="5"/>
        <v>0</v>
      </c>
      <c r="S28" s="27" t="s">
        <v>18</v>
      </c>
      <c r="T28" s="19" t="s">
        <v>49</v>
      </c>
    </row>
    <row r="29" spans="1:20" ht="37.5" customHeight="1" x14ac:dyDescent="0.25">
      <c r="A29" s="19" t="s">
        <v>50</v>
      </c>
      <c r="B29">
        <f t="shared" si="0"/>
        <v>35453</v>
      </c>
      <c r="C29">
        <v>5469</v>
      </c>
      <c r="D29">
        <v>29984</v>
      </c>
      <c r="F29">
        <f t="shared" si="1"/>
        <v>81</v>
      </c>
      <c r="G29" s="20">
        <f t="shared" si="6"/>
        <v>24</v>
      </c>
      <c r="H29" s="21">
        <v>23014060275</v>
      </c>
      <c r="I29" s="22" t="s">
        <v>51</v>
      </c>
      <c r="J29" s="23"/>
      <c r="K29" s="24">
        <v>35372</v>
      </c>
      <c r="L29" s="23">
        <f t="shared" si="2"/>
        <v>81</v>
      </c>
      <c r="M29" s="24">
        <v>5462</v>
      </c>
      <c r="N29" s="25">
        <f t="shared" si="3"/>
        <v>7</v>
      </c>
      <c r="O29" s="24">
        <v>29910</v>
      </c>
      <c r="P29" s="23">
        <f t="shared" si="4"/>
        <v>74</v>
      </c>
      <c r="Q29" s="26"/>
      <c r="R29" s="23">
        <f t="shared" si="5"/>
        <v>0</v>
      </c>
      <c r="S29" s="27" t="s">
        <v>18</v>
      </c>
      <c r="T29" s="19" t="s">
        <v>50</v>
      </c>
    </row>
    <row r="30" spans="1:20" ht="37.5" customHeight="1" x14ac:dyDescent="0.25">
      <c r="A30" s="19" t="s">
        <v>52</v>
      </c>
      <c r="B30">
        <f t="shared" si="0"/>
        <v>24336</v>
      </c>
      <c r="C30">
        <v>6463</v>
      </c>
      <c r="D30">
        <v>17873</v>
      </c>
      <c r="E30">
        <v>17075</v>
      </c>
      <c r="F30">
        <f t="shared" si="1"/>
        <v>848</v>
      </c>
      <c r="G30" s="20">
        <f t="shared" si="6"/>
        <v>25</v>
      </c>
      <c r="H30" s="21">
        <v>99623080291</v>
      </c>
      <c r="I30" s="22" t="s">
        <v>53</v>
      </c>
      <c r="J30" s="23"/>
      <c r="K30" s="24">
        <f>M30+O30</f>
        <v>23488</v>
      </c>
      <c r="L30" s="23">
        <f t="shared" si="2"/>
        <v>848</v>
      </c>
      <c r="M30" s="24">
        <v>6219</v>
      </c>
      <c r="N30" s="25">
        <f t="shared" si="3"/>
        <v>244</v>
      </c>
      <c r="O30" s="24">
        <v>17269</v>
      </c>
      <c r="P30" s="23">
        <f t="shared" si="4"/>
        <v>604</v>
      </c>
      <c r="Q30" s="26">
        <v>15266</v>
      </c>
      <c r="R30" s="23">
        <f t="shared" si="5"/>
        <v>1809</v>
      </c>
      <c r="S30" s="27" t="s">
        <v>18</v>
      </c>
      <c r="T30" s="19" t="s">
        <v>52</v>
      </c>
    </row>
    <row r="31" spans="1:20" ht="37.5" customHeight="1" x14ac:dyDescent="0.25">
      <c r="A31" s="19" t="s">
        <v>54</v>
      </c>
      <c r="B31">
        <f t="shared" si="0"/>
        <v>115673</v>
      </c>
      <c r="C31">
        <v>18341</v>
      </c>
      <c r="D31">
        <v>97332</v>
      </c>
      <c r="F31">
        <f t="shared" si="1"/>
        <v>1517</v>
      </c>
      <c r="G31" s="20">
        <f t="shared" si="6"/>
        <v>26</v>
      </c>
      <c r="H31" s="21">
        <v>88819010030</v>
      </c>
      <c r="I31" s="22">
        <v>28</v>
      </c>
      <c r="J31" s="23"/>
      <c r="K31" s="24">
        <v>114156</v>
      </c>
      <c r="L31" s="23">
        <f t="shared" si="2"/>
        <v>1517</v>
      </c>
      <c r="M31" s="24">
        <v>18048</v>
      </c>
      <c r="N31" s="25">
        <f t="shared" si="3"/>
        <v>293</v>
      </c>
      <c r="O31" s="24">
        <v>96108</v>
      </c>
      <c r="P31" s="23">
        <f t="shared" si="4"/>
        <v>1224</v>
      </c>
      <c r="Q31" s="26"/>
      <c r="R31" s="23">
        <f t="shared" si="5"/>
        <v>0</v>
      </c>
      <c r="S31" s="27" t="s">
        <v>18</v>
      </c>
      <c r="T31" s="19" t="s">
        <v>54</v>
      </c>
    </row>
    <row r="32" spans="1:20" ht="37.5" customHeight="1" x14ac:dyDescent="0.25">
      <c r="A32" s="19" t="s">
        <v>55</v>
      </c>
      <c r="B32">
        <f t="shared" si="0"/>
        <v>10812</v>
      </c>
      <c r="C32">
        <v>1975</v>
      </c>
      <c r="D32">
        <v>8837</v>
      </c>
      <c r="F32">
        <f t="shared" si="1"/>
        <v>189</v>
      </c>
      <c r="G32" s="20">
        <f t="shared" si="6"/>
        <v>27</v>
      </c>
      <c r="H32" s="21">
        <v>66622010690</v>
      </c>
      <c r="I32" s="22" t="s">
        <v>56</v>
      </c>
      <c r="J32" s="23"/>
      <c r="K32" s="24">
        <v>10623</v>
      </c>
      <c r="L32" s="23">
        <f t="shared" si="2"/>
        <v>189</v>
      </c>
      <c r="M32" s="24">
        <v>1933</v>
      </c>
      <c r="N32" s="25">
        <f t="shared" si="3"/>
        <v>42</v>
      </c>
      <c r="O32" s="24">
        <v>8690</v>
      </c>
      <c r="P32" s="23">
        <f t="shared" si="4"/>
        <v>147</v>
      </c>
      <c r="Q32" s="26"/>
      <c r="R32" s="23">
        <f t="shared" si="5"/>
        <v>0</v>
      </c>
      <c r="S32" s="27" t="s">
        <v>18</v>
      </c>
      <c r="T32" s="19" t="s">
        <v>55</v>
      </c>
    </row>
    <row r="33" spans="1:20" ht="37.5" customHeight="1" x14ac:dyDescent="0.25">
      <c r="A33" s="19" t="s">
        <v>57</v>
      </c>
      <c r="B33">
        <f t="shared" si="0"/>
        <v>10709</v>
      </c>
      <c r="C33">
        <v>3451</v>
      </c>
      <c r="D33">
        <v>7258</v>
      </c>
      <c r="E33">
        <v>21101</v>
      </c>
      <c r="F33">
        <f t="shared" si="1"/>
        <v>642</v>
      </c>
      <c r="G33" s="20">
        <f t="shared" si="6"/>
        <v>28</v>
      </c>
      <c r="H33" s="21">
        <v>99623080310</v>
      </c>
      <c r="I33" s="22">
        <v>29</v>
      </c>
      <c r="J33" s="23"/>
      <c r="K33" s="24">
        <f>M33+O33</f>
        <v>10067</v>
      </c>
      <c r="L33" s="23">
        <f t="shared" si="2"/>
        <v>642</v>
      </c>
      <c r="M33" s="24">
        <v>3306</v>
      </c>
      <c r="N33" s="25">
        <f t="shared" si="3"/>
        <v>145</v>
      </c>
      <c r="O33" s="24">
        <v>6761</v>
      </c>
      <c r="P33" s="23">
        <f t="shared" si="4"/>
        <v>497</v>
      </c>
      <c r="Q33" s="26">
        <v>21101</v>
      </c>
      <c r="R33" s="23">
        <f t="shared" si="5"/>
        <v>0</v>
      </c>
      <c r="S33" s="27" t="s">
        <v>18</v>
      </c>
      <c r="T33" s="19" t="s">
        <v>57</v>
      </c>
    </row>
    <row r="34" spans="1:20" ht="37.5" customHeight="1" x14ac:dyDescent="0.25">
      <c r="A34" s="19" t="s">
        <v>58</v>
      </c>
      <c r="B34">
        <f t="shared" si="0"/>
        <v>36552</v>
      </c>
      <c r="C34">
        <v>8903</v>
      </c>
      <c r="D34">
        <v>27649</v>
      </c>
      <c r="E34">
        <v>6243</v>
      </c>
      <c r="F34">
        <f t="shared" si="1"/>
        <v>1677</v>
      </c>
      <c r="G34" s="20">
        <f t="shared" si="6"/>
        <v>29</v>
      </c>
      <c r="H34" s="21">
        <v>99623080309</v>
      </c>
      <c r="I34" s="22" t="s">
        <v>59</v>
      </c>
      <c r="J34" s="23"/>
      <c r="K34" s="24">
        <f>M34+O34</f>
        <v>34875</v>
      </c>
      <c r="L34" s="23">
        <f t="shared" si="2"/>
        <v>1677</v>
      </c>
      <c r="M34" s="24">
        <v>8396</v>
      </c>
      <c r="N34" s="25">
        <f t="shared" si="3"/>
        <v>507</v>
      </c>
      <c r="O34" s="24">
        <v>26479</v>
      </c>
      <c r="P34" s="23">
        <f t="shared" si="4"/>
        <v>1170</v>
      </c>
      <c r="Q34" s="26">
        <v>5309</v>
      </c>
      <c r="R34" s="23">
        <f t="shared" si="5"/>
        <v>934</v>
      </c>
      <c r="S34" s="27" t="s">
        <v>18</v>
      </c>
      <c r="T34" s="19" t="s">
        <v>58</v>
      </c>
    </row>
    <row r="35" spans="1:20" ht="37.5" customHeight="1" x14ac:dyDescent="0.25">
      <c r="A35" s="19" t="s">
        <v>60</v>
      </c>
      <c r="B35">
        <f t="shared" si="0"/>
        <v>15753</v>
      </c>
      <c r="C35">
        <v>3143</v>
      </c>
      <c r="D35">
        <v>12610</v>
      </c>
      <c r="F35">
        <f t="shared" si="1"/>
        <v>973</v>
      </c>
      <c r="G35" s="20">
        <f t="shared" si="6"/>
        <v>30</v>
      </c>
      <c r="H35" s="21">
        <v>66621050401</v>
      </c>
      <c r="I35" s="22">
        <v>30</v>
      </c>
      <c r="J35" s="23"/>
      <c r="K35" s="24">
        <v>14780</v>
      </c>
      <c r="L35" s="23">
        <f t="shared" si="2"/>
        <v>973</v>
      </c>
      <c r="M35" s="24">
        <v>2987</v>
      </c>
      <c r="N35" s="25">
        <f t="shared" si="3"/>
        <v>156</v>
      </c>
      <c r="O35" s="24">
        <v>11793</v>
      </c>
      <c r="P35" s="23">
        <f t="shared" si="4"/>
        <v>817</v>
      </c>
      <c r="Q35" s="26"/>
      <c r="R35" s="23">
        <f t="shared" si="5"/>
        <v>0</v>
      </c>
      <c r="S35" s="27" t="s">
        <v>18</v>
      </c>
      <c r="T35" s="19" t="s">
        <v>60</v>
      </c>
    </row>
    <row r="36" spans="1:20" ht="37.5" customHeight="1" x14ac:dyDescent="0.25">
      <c r="A36" s="19" t="s">
        <v>61</v>
      </c>
      <c r="B36">
        <f t="shared" si="0"/>
        <v>27585</v>
      </c>
      <c r="C36">
        <v>4287</v>
      </c>
      <c r="D36">
        <v>23298</v>
      </c>
      <c r="F36">
        <f t="shared" si="1"/>
        <v>4001</v>
      </c>
      <c r="G36" s="20">
        <f t="shared" si="6"/>
        <v>31</v>
      </c>
      <c r="H36" s="21">
        <v>66601102524</v>
      </c>
      <c r="I36" s="22">
        <v>32</v>
      </c>
      <c r="J36" s="23"/>
      <c r="K36" s="24">
        <v>23584</v>
      </c>
      <c r="L36" s="23">
        <f t="shared" si="2"/>
        <v>4001</v>
      </c>
      <c r="M36" s="24">
        <v>3607</v>
      </c>
      <c r="N36" s="25">
        <f t="shared" si="3"/>
        <v>680</v>
      </c>
      <c r="O36" s="24">
        <v>19977</v>
      </c>
      <c r="P36" s="23">
        <f t="shared" si="4"/>
        <v>3321</v>
      </c>
      <c r="Q36" s="26"/>
      <c r="R36" s="23">
        <f t="shared" si="5"/>
        <v>0</v>
      </c>
      <c r="S36" s="27" t="s">
        <v>18</v>
      </c>
      <c r="T36" s="19" t="s">
        <v>61</v>
      </c>
    </row>
    <row r="37" spans="1:20" ht="37.5" customHeight="1" x14ac:dyDescent="0.25">
      <c r="A37" s="19" t="s">
        <v>62</v>
      </c>
      <c r="B37">
        <f t="shared" si="0"/>
        <v>17891</v>
      </c>
      <c r="C37">
        <v>4536</v>
      </c>
      <c r="D37">
        <v>13355</v>
      </c>
      <c r="E37">
        <v>32226</v>
      </c>
      <c r="F37">
        <f t="shared" si="1"/>
        <v>557</v>
      </c>
      <c r="G37" s="20">
        <f t="shared" si="6"/>
        <v>32</v>
      </c>
      <c r="H37" s="21">
        <v>99723010016</v>
      </c>
      <c r="I37" s="22">
        <v>33</v>
      </c>
      <c r="J37" s="23"/>
      <c r="K37" s="24">
        <f>M37+O37</f>
        <v>17334</v>
      </c>
      <c r="L37" s="23">
        <f t="shared" si="2"/>
        <v>557</v>
      </c>
      <c r="M37" s="24">
        <v>4475</v>
      </c>
      <c r="N37" s="25">
        <f t="shared" si="3"/>
        <v>61</v>
      </c>
      <c r="O37" s="24">
        <v>12859</v>
      </c>
      <c r="P37" s="23">
        <f t="shared" si="4"/>
        <v>496</v>
      </c>
      <c r="Q37" s="26">
        <v>30595</v>
      </c>
      <c r="R37" s="23">
        <f t="shared" si="5"/>
        <v>1631</v>
      </c>
      <c r="S37" s="27" t="s">
        <v>18</v>
      </c>
      <c r="T37" s="19" t="s">
        <v>62</v>
      </c>
    </row>
    <row r="38" spans="1:20" ht="37.5" customHeight="1" x14ac:dyDescent="0.25">
      <c r="A38" s="19" t="s">
        <v>63</v>
      </c>
      <c r="B38">
        <f t="shared" si="0"/>
        <v>54633</v>
      </c>
      <c r="C38">
        <v>15155</v>
      </c>
      <c r="D38">
        <v>39478</v>
      </c>
      <c r="E38">
        <v>33737</v>
      </c>
      <c r="F38">
        <f t="shared" si="1"/>
        <v>1741</v>
      </c>
      <c r="G38" s="20">
        <f t="shared" si="6"/>
        <v>33</v>
      </c>
      <c r="H38" s="21">
        <v>99723010097</v>
      </c>
      <c r="I38" s="22">
        <v>34</v>
      </c>
      <c r="J38" s="23"/>
      <c r="K38" s="24">
        <f>M38+O38</f>
        <v>52892</v>
      </c>
      <c r="L38" s="23">
        <f t="shared" si="2"/>
        <v>1741</v>
      </c>
      <c r="M38" s="24">
        <v>14608</v>
      </c>
      <c r="N38" s="25">
        <f t="shared" si="3"/>
        <v>547</v>
      </c>
      <c r="O38" s="24">
        <v>38284</v>
      </c>
      <c r="P38" s="23">
        <f t="shared" si="4"/>
        <v>1194</v>
      </c>
      <c r="Q38" s="26">
        <v>30859</v>
      </c>
      <c r="R38" s="23">
        <f t="shared" si="5"/>
        <v>2878</v>
      </c>
      <c r="S38" s="27" t="s">
        <v>18</v>
      </c>
      <c r="T38" s="19" t="s">
        <v>63</v>
      </c>
    </row>
    <row r="39" spans="1:20" ht="37.5" customHeight="1" x14ac:dyDescent="0.25">
      <c r="A39" s="19" t="s">
        <v>64</v>
      </c>
      <c r="B39">
        <f t="shared" si="0"/>
        <v>10752</v>
      </c>
      <c r="C39">
        <v>2113</v>
      </c>
      <c r="D39">
        <v>8639</v>
      </c>
      <c r="F39">
        <f t="shared" si="1"/>
        <v>29</v>
      </c>
      <c r="G39" s="20">
        <f t="shared" si="6"/>
        <v>34</v>
      </c>
      <c r="H39" s="21">
        <v>66622040007</v>
      </c>
      <c r="I39" s="22" t="s">
        <v>65</v>
      </c>
      <c r="J39" s="23"/>
      <c r="K39" s="24">
        <v>10723</v>
      </c>
      <c r="L39" s="23">
        <f t="shared" si="2"/>
        <v>29</v>
      </c>
      <c r="M39" s="24">
        <v>2106</v>
      </c>
      <c r="N39" s="25">
        <f t="shared" si="3"/>
        <v>7</v>
      </c>
      <c r="O39" s="24">
        <v>8617</v>
      </c>
      <c r="P39" s="23">
        <f t="shared" si="4"/>
        <v>22</v>
      </c>
      <c r="Q39" s="26"/>
      <c r="R39" s="23">
        <f t="shared" si="5"/>
        <v>0</v>
      </c>
      <c r="S39" s="27" t="s">
        <v>18</v>
      </c>
      <c r="T39" s="19" t="s">
        <v>64</v>
      </c>
    </row>
    <row r="40" spans="1:20" ht="37.5" customHeight="1" x14ac:dyDescent="0.25">
      <c r="A40" s="19" t="s">
        <v>66</v>
      </c>
      <c r="B40">
        <f t="shared" si="0"/>
        <v>51343</v>
      </c>
      <c r="C40">
        <v>13999</v>
      </c>
      <c r="D40">
        <v>37344</v>
      </c>
      <c r="E40">
        <v>39612</v>
      </c>
      <c r="F40">
        <f t="shared" si="1"/>
        <v>1911</v>
      </c>
      <c r="G40" s="20">
        <f t="shared" si="6"/>
        <v>35</v>
      </c>
      <c r="H40" s="21">
        <v>99622010049</v>
      </c>
      <c r="I40" s="22" t="s">
        <v>67</v>
      </c>
      <c r="J40" s="23"/>
      <c r="K40" s="24">
        <f>M40+O40</f>
        <v>49432</v>
      </c>
      <c r="L40" s="23">
        <f t="shared" si="2"/>
        <v>1911</v>
      </c>
      <c r="M40" s="24">
        <v>13498</v>
      </c>
      <c r="N40" s="25">
        <f t="shared" si="3"/>
        <v>501</v>
      </c>
      <c r="O40" s="24">
        <v>35934</v>
      </c>
      <c r="P40" s="23">
        <f t="shared" si="4"/>
        <v>1410</v>
      </c>
      <c r="Q40" s="26">
        <v>37948</v>
      </c>
      <c r="R40" s="23">
        <f t="shared" si="5"/>
        <v>1664</v>
      </c>
      <c r="S40" s="27" t="s">
        <v>18</v>
      </c>
      <c r="T40" s="19" t="s">
        <v>66</v>
      </c>
    </row>
    <row r="41" spans="1:20" ht="37.5" customHeight="1" x14ac:dyDescent="0.25">
      <c r="A41" s="19" t="s">
        <v>68</v>
      </c>
      <c r="B41">
        <f t="shared" si="0"/>
        <v>511731</v>
      </c>
      <c r="C41">
        <v>93378</v>
      </c>
      <c r="D41">
        <v>418353</v>
      </c>
      <c r="F41">
        <f t="shared" si="1"/>
        <v>6133</v>
      </c>
      <c r="G41" s="20">
        <f t="shared" si="6"/>
        <v>36</v>
      </c>
      <c r="H41" s="21">
        <v>23011050159</v>
      </c>
      <c r="I41" s="22">
        <v>36</v>
      </c>
      <c r="J41" s="23"/>
      <c r="K41" s="24">
        <v>505598</v>
      </c>
      <c r="L41" s="23">
        <f t="shared" si="2"/>
        <v>6133</v>
      </c>
      <c r="M41" s="24">
        <v>92175</v>
      </c>
      <c r="N41" s="25">
        <f t="shared" si="3"/>
        <v>1203</v>
      </c>
      <c r="O41" s="24">
        <v>413423</v>
      </c>
      <c r="P41" s="23">
        <f t="shared" si="4"/>
        <v>4930</v>
      </c>
      <c r="Q41" s="26"/>
      <c r="R41" s="23">
        <f t="shared" si="5"/>
        <v>0</v>
      </c>
      <c r="S41" s="27" t="s">
        <v>18</v>
      </c>
      <c r="T41" s="19" t="s">
        <v>68</v>
      </c>
    </row>
    <row r="42" spans="1:20" ht="37.5" customHeight="1" x14ac:dyDescent="0.25">
      <c r="A42" s="19" t="s">
        <v>69</v>
      </c>
      <c r="B42">
        <f t="shared" si="0"/>
        <v>340867</v>
      </c>
      <c r="C42">
        <v>66517</v>
      </c>
      <c r="D42">
        <v>274350</v>
      </c>
      <c r="F42">
        <f t="shared" si="1"/>
        <v>5380</v>
      </c>
      <c r="G42" s="20">
        <f t="shared" si="6"/>
        <v>37</v>
      </c>
      <c r="H42" s="21">
        <v>66619040440</v>
      </c>
      <c r="I42" s="22" t="s">
        <v>70</v>
      </c>
      <c r="J42" s="23"/>
      <c r="K42" s="24">
        <v>335487</v>
      </c>
      <c r="L42" s="23">
        <f t="shared" si="2"/>
        <v>5380</v>
      </c>
      <c r="M42" s="24">
        <v>65369</v>
      </c>
      <c r="N42" s="25">
        <f t="shared" si="3"/>
        <v>1148</v>
      </c>
      <c r="O42" s="24">
        <v>270118</v>
      </c>
      <c r="P42" s="23">
        <f t="shared" si="4"/>
        <v>4232</v>
      </c>
      <c r="Q42" s="26"/>
      <c r="R42" s="23">
        <f t="shared" si="5"/>
        <v>0</v>
      </c>
      <c r="S42" s="27" t="s">
        <v>18</v>
      </c>
      <c r="T42" s="19" t="s">
        <v>69</v>
      </c>
    </row>
    <row r="43" spans="1:20" ht="37.5" customHeight="1" x14ac:dyDescent="0.25">
      <c r="A43" s="19" t="s">
        <v>71</v>
      </c>
      <c r="B43">
        <f t="shared" si="0"/>
        <v>14751</v>
      </c>
      <c r="C43">
        <v>1754</v>
      </c>
      <c r="D43">
        <v>12997</v>
      </c>
      <c r="F43">
        <f t="shared" si="1"/>
        <v>72</v>
      </c>
      <c r="G43" s="20">
        <f t="shared" si="6"/>
        <v>38</v>
      </c>
      <c r="H43" s="21">
        <v>23015100603</v>
      </c>
      <c r="I43" s="22">
        <v>37</v>
      </c>
      <c r="J43" s="23"/>
      <c r="K43" s="24">
        <v>14679</v>
      </c>
      <c r="L43" s="23">
        <f t="shared" si="2"/>
        <v>72</v>
      </c>
      <c r="M43" s="24">
        <v>1743</v>
      </c>
      <c r="N43" s="25">
        <f t="shared" si="3"/>
        <v>11</v>
      </c>
      <c r="O43" s="24">
        <v>12936</v>
      </c>
      <c r="P43" s="23">
        <f t="shared" si="4"/>
        <v>61</v>
      </c>
      <c r="Q43" s="26"/>
      <c r="R43" s="23">
        <f t="shared" si="5"/>
        <v>0</v>
      </c>
      <c r="S43" s="27" t="s">
        <v>18</v>
      </c>
      <c r="T43" s="19" t="s">
        <v>71</v>
      </c>
    </row>
    <row r="44" spans="1:20" ht="37.5" customHeight="1" x14ac:dyDescent="0.25">
      <c r="A44" s="19" t="s">
        <v>72</v>
      </c>
      <c r="B44">
        <f t="shared" si="0"/>
        <v>27773</v>
      </c>
      <c r="C44">
        <v>6167</v>
      </c>
      <c r="D44">
        <v>21606</v>
      </c>
      <c r="E44">
        <v>13913</v>
      </c>
      <c r="F44">
        <f t="shared" si="1"/>
        <v>2693</v>
      </c>
      <c r="G44" s="20">
        <f t="shared" si="6"/>
        <v>39</v>
      </c>
      <c r="H44" s="21">
        <v>99624010152</v>
      </c>
      <c r="I44" s="22">
        <v>38</v>
      </c>
      <c r="J44" s="23"/>
      <c r="K44" s="24">
        <f>M44+O44</f>
        <v>25080</v>
      </c>
      <c r="L44" s="23">
        <f t="shared" si="2"/>
        <v>2693</v>
      </c>
      <c r="M44" s="24">
        <v>5669</v>
      </c>
      <c r="N44" s="25">
        <f t="shared" si="3"/>
        <v>498</v>
      </c>
      <c r="O44" s="24">
        <v>19411</v>
      </c>
      <c r="P44" s="23">
        <f t="shared" si="4"/>
        <v>2195</v>
      </c>
      <c r="Q44" s="26">
        <v>12311</v>
      </c>
      <c r="R44" s="23">
        <f t="shared" si="5"/>
        <v>1602</v>
      </c>
      <c r="S44" s="27" t="s">
        <v>18</v>
      </c>
      <c r="T44" s="19" t="s">
        <v>72</v>
      </c>
    </row>
    <row r="45" spans="1:20" ht="37.5" customHeight="1" x14ac:dyDescent="0.25">
      <c r="A45" s="19" t="s">
        <v>73</v>
      </c>
      <c r="B45">
        <f t="shared" si="0"/>
        <v>43661</v>
      </c>
      <c r="C45">
        <v>6007</v>
      </c>
      <c r="D45">
        <v>37654</v>
      </c>
      <c r="F45">
        <f t="shared" si="1"/>
        <v>693</v>
      </c>
      <c r="G45" s="20">
        <f t="shared" si="6"/>
        <v>40</v>
      </c>
      <c r="H45" s="21">
        <v>66621030229</v>
      </c>
      <c r="I45" s="22" t="s">
        <v>74</v>
      </c>
      <c r="J45" s="23"/>
      <c r="K45" s="24">
        <v>42968</v>
      </c>
      <c r="L45" s="23">
        <f t="shared" si="2"/>
        <v>693</v>
      </c>
      <c r="M45" s="24">
        <v>5893</v>
      </c>
      <c r="N45" s="25">
        <f t="shared" si="3"/>
        <v>114</v>
      </c>
      <c r="O45" s="24">
        <v>37075</v>
      </c>
      <c r="P45" s="23">
        <f t="shared" si="4"/>
        <v>579</v>
      </c>
      <c r="Q45" s="26"/>
      <c r="R45" s="23">
        <f t="shared" si="5"/>
        <v>0</v>
      </c>
      <c r="S45" s="27" t="s">
        <v>18</v>
      </c>
      <c r="T45" s="19" t="s">
        <v>73</v>
      </c>
    </row>
    <row r="46" spans="1:20" ht="37.5" customHeight="1" x14ac:dyDescent="0.25">
      <c r="A46" s="19" t="s">
        <v>75</v>
      </c>
      <c r="B46">
        <f t="shared" si="0"/>
        <v>36608</v>
      </c>
      <c r="C46">
        <v>6205</v>
      </c>
      <c r="D46">
        <v>30403</v>
      </c>
      <c r="F46">
        <f t="shared" si="1"/>
        <v>88</v>
      </c>
      <c r="G46" s="20">
        <f t="shared" si="6"/>
        <v>41</v>
      </c>
      <c r="H46" s="21">
        <v>66601102585</v>
      </c>
      <c r="I46" s="22" t="s">
        <v>76</v>
      </c>
      <c r="J46" s="23"/>
      <c r="K46" s="24">
        <v>36520</v>
      </c>
      <c r="L46" s="23">
        <f t="shared" si="2"/>
        <v>88</v>
      </c>
      <c r="M46" s="24">
        <v>6186</v>
      </c>
      <c r="N46" s="25">
        <f t="shared" si="3"/>
        <v>19</v>
      </c>
      <c r="O46" s="24">
        <v>30334</v>
      </c>
      <c r="P46" s="23">
        <f t="shared" si="4"/>
        <v>69</v>
      </c>
      <c r="Q46" s="26"/>
      <c r="R46" s="23">
        <f t="shared" si="5"/>
        <v>0</v>
      </c>
      <c r="S46" s="27" t="s">
        <v>18</v>
      </c>
      <c r="T46" s="19" t="s">
        <v>75</v>
      </c>
    </row>
    <row r="47" spans="1:20" ht="37.5" customHeight="1" x14ac:dyDescent="0.25">
      <c r="A47" s="19" t="s">
        <v>77</v>
      </c>
      <c r="B47">
        <f t="shared" si="0"/>
        <v>61768</v>
      </c>
      <c r="C47">
        <v>14482</v>
      </c>
      <c r="D47">
        <v>47286</v>
      </c>
      <c r="F47">
        <f t="shared" si="1"/>
        <v>640</v>
      </c>
      <c r="G47" s="20">
        <f t="shared" si="6"/>
        <v>42</v>
      </c>
      <c r="H47" s="21">
        <v>88819030027</v>
      </c>
      <c r="I47" s="22" t="s">
        <v>78</v>
      </c>
      <c r="J47" s="23"/>
      <c r="K47" s="24">
        <v>61128</v>
      </c>
      <c r="L47" s="23">
        <f t="shared" si="2"/>
        <v>640</v>
      </c>
      <c r="M47" s="24">
        <v>14346</v>
      </c>
      <c r="N47" s="25">
        <f t="shared" si="3"/>
        <v>136</v>
      </c>
      <c r="O47" s="24">
        <v>46782</v>
      </c>
      <c r="P47" s="23">
        <f t="shared" si="4"/>
        <v>504</v>
      </c>
      <c r="Q47" s="26"/>
      <c r="R47" s="23">
        <f t="shared" si="5"/>
        <v>0</v>
      </c>
      <c r="S47" s="27" t="s">
        <v>18</v>
      </c>
      <c r="T47" s="19" t="s">
        <v>77</v>
      </c>
    </row>
    <row r="48" spans="1:20" ht="37.5" customHeight="1" x14ac:dyDescent="0.25">
      <c r="A48" s="19" t="s">
        <v>79</v>
      </c>
      <c r="B48">
        <f t="shared" si="0"/>
        <v>26861</v>
      </c>
      <c r="C48">
        <v>4648</v>
      </c>
      <c r="D48">
        <v>22213</v>
      </c>
      <c r="F48">
        <f t="shared" si="1"/>
        <v>503</v>
      </c>
      <c r="G48" s="20">
        <f t="shared" si="6"/>
        <v>43</v>
      </c>
      <c r="H48" s="21">
        <v>66619040425</v>
      </c>
      <c r="I48" s="22">
        <v>45</v>
      </c>
      <c r="J48" s="23"/>
      <c r="K48" s="24">
        <v>26358</v>
      </c>
      <c r="L48" s="23">
        <f t="shared" si="2"/>
        <v>503</v>
      </c>
      <c r="M48" s="24">
        <v>4579</v>
      </c>
      <c r="N48" s="25">
        <f t="shared" si="3"/>
        <v>69</v>
      </c>
      <c r="O48" s="24">
        <v>21779</v>
      </c>
      <c r="P48" s="23">
        <f t="shared" si="4"/>
        <v>434</v>
      </c>
      <c r="Q48" s="26"/>
      <c r="R48" s="23">
        <f t="shared" si="5"/>
        <v>0</v>
      </c>
      <c r="S48" s="27" t="s">
        <v>18</v>
      </c>
      <c r="T48" s="19" t="s">
        <v>79</v>
      </c>
    </row>
    <row r="49" spans="1:20" ht="37.5" customHeight="1" x14ac:dyDescent="0.25">
      <c r="A49" s="19" t="s">
        <v>80</v>
      </c>
      <c r="B49">
        <f t="shared" si="0"/>
        <v>143935</v>
      </c>
      <c r="C49">
        <v>26017</v>
      </c>
      <c r="D49">
        <v>117918</v>
      </c>
      <c r="F49">
        <f t="shared" si="1"/>
        <v>2644</v>
      </c>
      <c r="G49" s="20">
        <f t="shared" si="6"/>
        <v>44</v>
      </c>
      <c r="H49" s="21">
        <v>66621090151</v>
      </c>
      <c r="I49" s="22">
        <v>69</v>
      </c>
      <c r="J49" s="23"/>
      <c r="K49" s="24">
        <v>141291</v>
      </c>
      <c r="L49" s="23">
        <f t="shared" si="2"/>
        <v>2644</v>
      </c>
      <c r="M49" s="24">
        <v>25578</v>
      </c>
      <c r="N49" s="25">
        <f t="shared" si="3"/>
        <v>439</v>
      </c>
      <c r="O49" s="24">
        <v>115713</v>
      </c>
      <c r="P49" s="23">
        <f t="shared" si="4"/>
        <v>2205</v>
      </c>
      <c r="Q49" s="26"/>
      <c r="R49" s="23">
        <f t="shared" si="5"/>
        <v>0</v>
      </c>
      <c r="S49" s="27" t="s">
        <v>18</v>
      </c>
      <c r="T49" s="19" t="s">
        <v>80</v>
      </c>
    </row>
    <row r="50" spans="1:20" ht="37.5" customHeight="1" x14ac:dyDescent="0.25">
      <c r="A50" s="19" t="s">
        <v>81</v>
      </c>
      <c r="B50">
        <f t="shared" si="0"/>
        <v>41892</v>
      </c>
      <c r="C50">
        <v>9666</v>
      </c>
      <c r="D50">
        <v>32226</v>
      </c>
      <c r="F50">
        <f t="shared" si="1"/>
        <v>2486</v>
      </c>
      <c r="G50" s="20">
        <f t="shared" si="6"/>
        <v>45</v>
      </c>
      <c r="H50" s="21">
        <v>66622030432</v>
      </c>
      <c r="I50" s="22">
        <v>70</v>
      </c>
      <c r="J50" s="23"/>
      <c r="K50" s="24">
        <v>39406</v>
      </c>
      <c r="L50" s="23">
        <f t="shared" si="2"/>
        <v>2486</v>
      </c>
      <c r="M50" s="24">
        <v>9132</v>
      </c>
      <c r="N50" s="25">
        <f t="shared" si="3"/>
        <v>534</v>
      </c>
      <c r="O50" s="24">
        <v>30274</v>
      </c>
      <c r="P50" s="23">
        <f t="shared" si="4"/>
        <v>1952</v>
      </c>
      <c r="Q50" s="26"/>
      <c r="R50" s="23">
        <f t="shared" si="5"/>
        <v>0</v>
      </c>
      <c r="S50" s="27" t="s">
        <v>18</v>
      </c>
      <c r="T50" s="19" t="s">
        <v>81</v>
      </c>
    </row>
    <row r="51" spans="1:20" ht="37.5" customHeight="1" x14ac:dyDescent="0.25">
      <c r="A51" s="19" t="s">
        <v>82</v>
      </c>
      <c r="B51">
        <f t="shared" si="0"/>
        <v>39333</v>
      </c>
      <c r="C51">
        <v>7453</v>
      </c>
      <c r="D51">
        <v>31880</v>
      </c>
      <c r="F51">
        <f t="shared" si="1"/>
        <v>1123</v>
      </c>
      <c r="G51" s="20">
        <f t="shared" si="6"/>
        <v>46</v>
      </c>
      <c r="H51" s="21">
        <v>88819010484</v>
      </c>
      <c r="I51" s="22">
        <v>71</v>
      </c>
      <c r="J51" s="23"/>
      <c r="K51" s="24">
        <v>38210</v>
      </c>
      <c r="L51" s="23">
        <f t="shared" si="2"/>
        <v>1123</v>
      </c>
      <c r="M51" s="24">
        <v>7324</v>
      </c>
      <c r="N51" s="25">
        <f t="shared" si="3"/>
        <v>129</v>
      </c>
      <c r="O51" s="24">
        <v>30886</v>
      </c>
      <c r="P51" s="23">
        <f t="shared" si="4"/>
        <v>994</v>
      </c>
      <c r="Q51" s="26"/>
      <c r="R51" s="23">
        <f t="shared" si="5"/>
        <v>0</v>
      </c>
      <c r="S51" s="27" t="s">
        <v>18</v>
      </c>
      <c r="T51" s="19" t="s">
        <v>82</v>
      </c>
    </row>
    <row r="52" spans="1:20" ht="37.5" customHeight="1" x14ac:dyDescent="0.25">
      <c r="A52" s="19" t="s">
        <v>83</v>
      </c>
      <c r="B52">
        <f t="shared" si="0"/>
        <v>40025</v>
      </c>
      <c r="C52">
        <v>11648</v>
      </c>
      <c r="D52">
        <v>28377</v>
      </c>
      <c r="E52">
        <v>14756</v>
      </c>
      <c r="F52">
        <f t="shared" si="1"/>
        <v>1691</v>
      </c>
      <c r="G52" s="20">
        <f t="shared" si="6"/>
        <v>47</v>
      </c>
      <c r="H52" s="21">
        <v>99823080386</v>
      </c>
      <c r="I52" s="22">
        <v>72</v>
      </c>
      <c r="J52" s="23"/>
      <c r="K52" s="24">
        <f>M52+O52</f>
        <v>38334</v>
      </c>
      <c r="L52" s="23">
        <f t="shared" si="2"/>
        <v>1691</v>
      </c>
      <c r="M52" s="24">
        <v>11092</v>
      </c>
      <c r="N52" s="25">
        <f t="shared" si="3"/>
        <v>556</v>
      </c>
      <c r="O52" s="24">
        <v>27242</v>
      </c>
      <c r="P52" s="23">
        <f t="shared" si="4"/>
        <v>1135</v>
      </c>
      <c r="Q52" s="26">
        <v>13126</v>
      </c>
      <c r="R52" s="23">
        <f t="shared" si="5"/>
        <v>1630</v>
      </c>
      <c r="S52" s="27" t="s">
        <v>18</v>
      </c>
      <c r="T52" s="19" t="s">
        <v>83</v>
      </c>
    </row>
    <row r="53" spans="1:20" ht="37.5" customHeight="1" x14ac:dyDescent="0.25">
      <c r="A53" s="19" t="s">
        <v>84</v>
      </c>
      <c r="B53">
        <f t="shared" si="0"/>
        <v>35931</v>
      </c>
      <c r="C53">
        <v>8855</v>
      </c>
      <c r="D53">
        <v>27076</v>
      </c>
      <c r="E53">
        <v>16208</v>
      </c>
      <c r="F53">
        <f t="shared" si="1"/>
        <v>1350</v>
      </c>
      <c r="G53" s="20">
        <f t="shared" si="6"/>
        <v>48</v>
      </c>
      <c r="H53" s="21">
        <v>99623080387</v>
      </c>
      <c r="I53" s="22" t="s">
        <v>85</v>
      </c>
      <c r="J53" s="23"/>
      <c r="K53" s="24">
        <f>M53+O53</f>
        <v>34581</v>
      </c>
      <c r="L53" s="23">
        <f t="shared" si="2"/>
        <v>1350</v>
      </c>
      <c r="M53" s="24">
        <v>8479</v>
      </c>
      <c r="N53" s="25">
        <f t="shared" si="3"/>
        <v>376</v>
      </c>
      <c r="O53" s="24">
        <v>26102</v>
      </c>
      <c r="P53" s="23">
        <f t="shared" si="4"/>
        <v>974</v>
      </c>
      <c r="Q53" s="26">
        <v>14619</v>
      </c>
      <c r="R53" s="23">
        <f t="shared" si="5"/>
        <v>1589</v>
      </c>
      <c r="S53" s="27" t="s">
        <v>18</v>
      </c>
      <c r="T53" s="19" t="s">
        <v>84</v>
      </c>
    </row>
    <row r="54" spans="1:20" ht="37.5" customHeight="1" x14ac:dyDescent="0.25">
      <c r="A54" s="19" t="s">
        <v>86</v>
      </c>
      <c r="B54">
        <f t="shared" si="0"/>
        <v>68038</v>
      </c>
      <c r="C54">
        <v>14130</v>
      </c>
      <c r="D54">
        <v>53908</v>
      </c>
      <c r="F54">
        <f t="shared" si="1"/>
        <v>1496</v>
      </c>
      <c r="G54" s="20">
        <f t="shared" si="6"/>
        <v>49</v>
      </c>
      <c r="H54" s="21">
        <v>88820010308</v>
      </c>
      <c r="I54" s="22" t="s">
        <v>87</v>
      </c>
      <c r="J54" s="23"/>
      <c r="K54" s="24">
        <v>66542</v>
      </c>
      <c r="L54" s="23">
        <f t="shared" si="2"/>
        <v>1496</v>
      </c>
      <c r="M54" s="24">
        <v>13835</v>
      </c>
      <c r="N54" s="25">
        <f t="shared" si="3"/>
        <v>295</v>
      </c>
      <c r="O54" s="24">
        <v>52707</v>
      </c>
      <c r="P54" s="23">
        <f t="shared" si="4"/>
        <v>1201</v>
      </c>
      <c r="Q54" s="26"/>
      <c r="R54" s="23">
        <f t="shared" si="5"/>
        <v>0</v>
      </c>
      <c r="S54" s="27" t="s">
        <v>18</v>
      </c>
      <c r="T54" s="19" t="s">
        <v>86</v>
      </c>
    </row>
    <row r="55" spans="1:20" ht="37.5" customHeight="1" x14ac:dyDescent="0.25">
      <c r="A55" s="19" t="s">
        <v>88</v>
      </c>
      <c r="B55">
        <f t="shared" si="0"/>
        <v>7825</v>
      </c>
      <c r="C55">
        <v>1098</v>
      </c>
      <c r="D55">
        <v>6727</v>
      </c>
      <c r="F55">
        <f t="shared" si="1"/>
        <v>0</v>
      </c>
      <c r="G55" s="20">
        <f t="shared" si="6"/>
        <v>50</v>
      </c>
      <c r="H55" s="21">
        <v>88821080330</v>
      </c>
      <c r="I55" s="22" t="s">
        <v>89</v>
      </c>
      <c r="J55" s="23"/>
      <c r="K55" s="24">
        <v>7825</v>
      </c>
      <c r="L55" s="23">
        <f t="shared" si="2"/>
        <v>0</v>
      </c>
      <c r="M55" s="24">
        <v>1098</v>
      </c>
      <c r="N55" s="25">
        <f t="shared" si="3"/>
        <v>0</v>
      </c>
      <c r="O55" s="24">
        <v>6727</v>
      </c>
      <c r="P55" s="23">
        <f t="shared" si="4"/>
        <v>0</v>
      </c>
      <c r="Q55" s="26"/>
      <c r="R55" s="23">
        <f t="shared" si="5"/>
        <v>0</v>
      </c>
      <c r="S55" s="27" t="s">
        <v>18</v>
      </c>
      <c r="T55" s="19" t="s">
        <v>88</v>
      </c>
    </row>
    <row r="56" spans="1:20" ht="37.5" customHeight="1" x14ac:dyDescent="0.25">
      <c r="A56" s="19" t="s">
        <v>90</v>
      </c>
      <c r="B56">
        <f t="shared" si="0"/>
        <v>64776</v>
      </c>
      <c r="C56">
        <v>13172</v>
      </c>
      <c r="D56">
        <v>51604</v>
      </c>
      <c r="E56">
        <v>21411</v>
      </c>
      <c r="F56">
        <f t="shared" si="1"/>
        <v>1559</v>
      </c>
      <c r="G56" s="20">
        <f t="shared" si="6"/>
        <v>51</v>
      </c>
      <c r="H56" s="21">
        <v>99722020020</v>
      </c>
      <c r="I56" s="22">
        <v>77</v>
      </c>
      <c r="J56" s="23"/>
      <c r="K56" s="24">
        <f>M56+O56</f>
        <v>63217</v>
      </c>
      <c r="L56" s="23">
        <f t="shared" si="2"/>
        <v>1559</v>
      </c>
      <c r="M56" s="24">
        <v>12831</v>
      </c>
      <c r="N56" s="25">
        <f t="shared" si="3"/>
        <v>341</v>
      </c>
      <c r="O56" s="24">
        <v>50386</v>
      </c>
      <c r="P56" s="23">
        <f t="shared" si="4"/>
        <v>1218</v>
      </c>
      <c r="Q56" s="26">
        <v>20159</v>
      </c>
      <c r="R56" s="23">
        <f t="shared" si="5"/>
        <v>1252</v>
      </c>
      <c r="S56" s="27" t="s">
        <v>18</v>
      </c>
      <c r="T56" s="19" t="s">
        <v>90</v>
      </c>
    </row>
    <row r="57" spans="1:20" ht="37.5" customHeight="1" x14ac:dyDescent="0.25">
      <c r="A57" s="19" t="s">
        <v>91</v>
      </c>
      <c r="B57">
        <f t="shared" si="0"/>
        <v>20354</v>
      </c>
      <c r="C57">
        <v>3163</v>
      </c>
      <c r="D57">
        <v>17191</v>
      </c>
      <c r="F57">
        <f t="shared" si="1"/>
        <v>0</v>
      </c>
      <c r="G57" s="20">
        <f t="shared" si="6"/>
        <v>52</v>
      </c>
      <c r="H57" s="21">
        <v>88819020201</v>
      </c>
      <c r="I57" s="22">
        <v>78</v>
      </c>
      <c r="J57" s="23"/>
      <c r="K57" s="24">
        <v>20354</v>
      </c>
      <c r="L57" s="23">
        <f t="shared" si="2"/>
        <v>0</v>
      </c>
      <c r="M57" s="24">
        <v>3163</v>
      </c>
      <c r="N57" s="25">
        <f t="shared" si="3"/>
        <v>0</v>
      </c>
      <c r="O57" s="24">
        <v>17191</v>
      </c>
      <c r="P57" s="23">
        <f t="shared" si="4"/>
        <v>0</v>
      </c>
      <c r="Q57" s="26"/>
      <c r="R57" s="23">
        <f t="shared" si="5"/>
        <v>0</v>
      </c>
      <c r="S57" s="27" t="s">
        <v>18</v>
      </c>
      <c r="T57" s="19" t="s">
        <v>91</v>
      </c>
    </row>
    <row r="58" spans="1:20" ht="37.5" customHeight="1" x14ac:dyDescent="0.25">
      <c r="A58" s="19" t="s">
        <v>92</v>
      </c>
      <c r="B58">
        <f t="shared" si="0"/>
        <v>345</v>
      </c>
      <c r="C58">
        <v>55</v>
      </c>
      <c r="D58">
        <v>290</v>
      </c>
      <c r="F58">
        <f t="shared" si="1"/>
        <v>30</v>
      </c>
      <c r="G58" s="20">
        <f t="shared" si="6"/>
        <v>53</v>
      </c>
      <c r="H58" s="21">
        <v>52521705854</v>
      </c>
      <c r="I58" s="22">
        <v>80</v>
      </c>
      <c r="J58" s="23"/>
      <c r="K58" s="24">
        <v>315</v>
      </c>
      <c r="L58" s="23">
        <f t="shared" si="2"/>
        <v>30</v>
      </c>
      <c r="M58" s="24">
        <v>50</v>
      </c>
      <c r="N58" s="25">
        <f t="shared" si="3"/>
        <v>5</v>
      </c>
      <c r="O58" s="24">
        <v>265</v>
      </c>
      <c r="P58" s="23">
        <f t="shared" si="4"/>
        <v>25</v>
      </c>
      <c r="Q58" s="26"/>
      <c r="R58" s="23">
        <f t="shared" si="5"/>
        <v>0</v>
      </c>
      <c r="S58" s="27" t="s">
        <v>18</v>
      </c>
      <c r="T58" s="19" t="s">
        <v>92</v>
      </c>
    </row>
    <row r="59" spans="1:20" ht="37.5" customHeight="1" x14ac:dyDescent="0.25">
      <c r="A59" s="19" t="s">
        <v>93</v>
      </c>
      <c r="B59">
        <f t="shared" si="0"/>
        <v>72495</v>
      </c>
      <c r="C59">
        <v>19005</v>
      </c>
      <c r="D59">
        <v>53490</v>
      </c>
      <c r="E59">
        <v>34513</v>
      </c>
      <c r="F59">
        <f t="shared" si="1"/>
        <v>1622</v>
      </c>
      <c r="G59" s="20">
        <f t="shared" si="6"/>
        <v>54</v>
      </c>
      <c r="H59" s="21">
        <v>99622010001</v>
      </c>
      <c r="I59" s="22">
        <v>85</v>
      </c>
      <c r="J59" s="23"/>
      <c r="K59" s="24">
        <f>M59+O59</f>
        <v>70873</v>
      </c>
      <c r="L59" s="23">
        <f t="shared" si="2"/>
        <v>1622</v>
      </c>
      <c r="M59" s="24">
        <v>18492</v>
      </c>
      <c r="N59" s="25">
        <f t="shared" si="3"/>
        <v>513</v>
      </c>
      <c r="O59" s="24">
        <v>52381</v>
      </c>
      <c r="P59" s="23">
        <f t="shared" si="4"/>
        <v>1109</v>
      </c>
      <c r="Q59" s="26">
        <v>31816</v>
      </c>
      <c r="R59" s="23">
        <f t="shared" si="5"/>
        <v>2697</v>
      </c>
      <c r="S59" s="27" t="s">
        <v>18</v>
      </c>
      <c r="T59" s="19" t="s">
        <v>93</v>
      </c>
    </row>
    <row r="60" spans="1:20" ht="37.5" customHeight="1" x14ac:dyDescent="0.25">
      <c r="A60" s="19" t="s">
        <v>94</v>
      </c>
      <c r="B60">
        <f t="shared" si="0"/>
        <v>15804</v>
      </c>
      <c r="C60">
        <v>3467</v>
      </c>
      <c r="D60">
        <v>12337</v>
      </c>
      <c r="F60">
        <f t="shared" si="1"/>
        <v>496</v>
      </c>
      <c r="G60" s="20">
        <f t="shared" si="6"/>
        <v>55</v>
      </c>
      <c r="H60" s="21">
        <v>66622010282</v>
      </c>
      <c r="I60" s="22">
        <v>86</v>
      </c>
      <c r="J60" s="23"/>
      <c r="K60" s="24">
        <v>15308</v>
      </c>
      <c r="L60" s="23">
        <f t="shared" si="2"/>
        <v>496</v>
      </c>
      <c r="M60" s="24">
        <v>3361</v>
      </c>
      <c r="N60" s="25">
        <f t="shared" si="3"/>
        <v>106</v>
      </c>
      <c r="O60" s="24">
        <v>11947</v>
      </c>
      <c r="P60" s="23">
        <f t="shared" si="4"/>
        <v>390</v>
      </c>
      <c r="Q60" s="26"/>
      <c r="R60" s="23">
        <f t="shared" si="5"/>
        <v>0</v>
      </c>
      <c r="S60" s="27" t="s">
        <v>18</v>
      </c>
      <c r="T60" s="19" t="s">
        <v>94</v>
      </c>
    </row>
    <row r="61" spans="1:20" ht="37.5" customHeight="1" x14ac:dyDescent="0.25">
      <c r="A61" s="19" t="s">
        <v>95</v>
      </c>
      <c r="B61">
        <f t="shared" si="0"/>
        <v>9193</v>
      </c>
      <c r="C61">
        <v>1353</v>
      </c>
      <c r="D61">
        <v>7840</v>
      </c>
      <c r="F61">
        <f t="shared" si="1"/>
        <v>108</v>
      </c>
      <c r="G61" s="20">
        <f t="shared" si="6"/>
        <v>56</v>
      </c>
      <c r="H61" s="21">
        <v>66622010136</v>
      </c>
      <c r="I61" s="22">
        <v>88</v>
      </c>
      <c r="J61" s="23"/>
      <c r="K61" s="24">
        <v>9085</v>
      </c>
      <c r="L61" s="23">
        <f t="shared" si="2"/>
        <v>108</v>
      </c>
      <c r="M61" s="24">
        <v>1314</v>
      </c>
      <c r="N61" s="25">
        <f t="shared" si="3"/>
        <v>39</v>
      </c>
      <c r="O61" s="24">
        <v>7771</v>
      </c>
      <c r="P61" s="23">
        <f t="shared" si="4"/>
        <v>69</v>
      </c>
      <c r="Q61" s="26"/>
      <c r="R61" s="23">
        <f t="shared" si="5"/>
        <v>0</v>
      </c>
      <c r="S61" s="27" t="s">
        <v>18</v>
      </c>
      <c r="T61" s="19" t="s">
        <v>95</v>
      </c>
    </row>
    <row r="62" spans="1:20" ht="37.5" customHeight="1" x14ac:dyDescent="0.25">
      <c r="A62" s="19" t="s">
        <v>96</v>
      </c>
      <c r="B62">
        <f t="shared" si="0"/>
        <v>102914</v>
      </c>
      <c r="C62">
        <v>20808</v>
      </c>
      <c r="D62">
        <v>82106</v>
      </c>
      <c r="F62">
        <f t="shared" si="1"/>
        <v>913</v>
      </c>
      <c r="G62" s="20">
        <f t="shared" si="6"/>
        <v>57</v>
      </c>
      <c r="H62" s="21">
        <v>23014010054</v>
      </c>
      <c r="I62" s="22">
        <v>95</v>
      </c>
      <c r="J62" s="23"/>
      <c r="K62" s="24">
        <v>102001</v>
      </c>
      <c r="L62" s="23">
        <f t="shared" si="2"/>
        <v>913</v>
      </c>
      <c r="M62" s="24">
        <v>20662</v>
      </c>
      <c r="N62" s="25">
        <f t="shared" si="3"/>
        <v>146</v>
      </c>
      <c r="O62" s="24">
        <v>81339</v>
      </c>
      <c r="P62" s="23">
        <f t="shared" si="4"/>
        <v>767</v>
      </c>
      <c r="Q62" s="26"/>
      <c r="R62" s="23">
        <f t="shared" si="5"/>
        <v>0</v>
      </c>
      <c r="S62" s="27" t="s">
        <v>18</v>
      </c>
      <c r="T62" s="19" t="s">
        <v>96</v>
      </c>
    </row>
    <row r="63" spans="1:20" ht="37.5" customHeight="1" x14ac:dyDescent="0.25">
      <c r="A63" s="19" t="s">
        <v>97</v>
      </c>
      <c r="B63">
        <f t="shared" si="0"/>
        <v>53786</v>
      </c>
      <c r="C63">
        <v>14063</v>
      </c>
      <c r="D63">
        <v>39723</v>
      </c>
      <c r="E63">
        <v>19101</v>
      </c>
      <c r="F63">
        <f t="shared" si="1"/>
        <v>2196</v>
      </c>
      <c r="G63" s="20">
        <f t="shared" si="6"/>
        <v>58</v>
      </c>
      <c r="H63" s="21">
        <v>99723070096</v>
      </c>
      <c r="I63" s="22">
        <v>96</v>
      </c>
      <c r="J63" s="23"/>
      <c r="K63" s="24">
        <f>M63+O63</f>
        <v>51590</v>
      </c>
      <c r="L63" s="23">
        <f t="shared" si="2"/>
        <v>2196</v>
      </c>
      <c r="M63" s="24">
        <v>13482</v>
      </c>
      <c r="N63" s="25">
        <f t="shared" si="3"/>
        <v>581</v>
      </c>
      <c r="O63" s="24">
        <v>38108</v>
      </c>
      <c r="P63" s="23">
        <f t="shared" si="4"/>
        <v>1615</v>
      </c>
      <c r="Q63" s="26">
        <v>17428</v>
      </c>
      <c r="R63" s="23">
        <f t="shared" si="5"/>
        <v>1673</v>
      </c>
      <c r="S63" s="27" t="s">
        <v>18</v>
      </c>
      <c r="T63" s="19" t="s">
        <v>97</v>
      </c>
    </row>
    <row r="64" spans="1:20" ht="37.5" customHeight="1" x14ac:dyDescent="0.25">
      <c r="A64" s="19" t="s">
        <v>98</v>
      </c>
      <c r="B64">
        <f t="shared" si="0"/>
        <v>12679</v>
      </c>
      <c r="C64">
        <v>3370</v>
      </c>
      <c r="D64">
        <v>9309</v>
      </c>
      <c r="E64">
        <v>10305</v>
      </c>
      <c r="F64">
        <f t="shared" si="1"/>
        <v>767</v>
      </c>
      <c r="G64" s="20">
        <f t="shared" si="6"/>
        <v>59</v>
      </c>
      <c r="H64" s="21">
        <v>99624020114</v>
      </c>
      <c r="I64" s="22">
        <v>97</v>
      </c>
      <c r="J64" s="23"/>
      <c r="K64" s="24">
        <f>M64+O64</f>
        <v>11912</v>
      </c>
      <c r="L64" s="23">
        <f t="shared" si="2"/>
        <v>767</v>
      </c>
      <c r="M64" s="24">
        <v>3126</v>
      </c>
      <c r="N64" s="25">
        <f t="shared" si="3"/>
        <v>244</v>
      </c>
      <c r="O64" s="24">
        <v>8786</v>
      </c>
      <c r="P64" s="23">
        <f t="shared" si="4"/>
        <v>523</v>
      </c>
      <c r="Q64" s="26">
        <v>8739</v>
      </c>
      <c r="R64" s="23">
        <f t="shared" si="5"/>
        <v>1566</v>
      </c>
      <c r="S64" s="27" t="s">
        <v>18</v>
      </c>
      <c r="T64" s="19" t="s">
        <v>98</v>
      </c>
    </row>
    <row r="65" spans="1:20" ht="37.5" customHeight="1" x14ac:dyDescent="0.25">
      <c r="A65" s="19" t="s">
        <v>99</v>
      </c>
      <c r="B65">
        <f t="shared" si="0"/>
        <v>23171</v>
      </c>
      <c r="C65">
        <v>6265</v>
      </c>
      <c r="D65">
        <v>16906</v>
      </c>
      <c r="E65">
        <v>9576</v>
      </c>
      <c r="F65">
        <f t="shared" si="1"/>
        <v>1527</v>
      </c>
      <c r="G65" s="20">
        <f t="shared" si="6"/>
        <v>60</v>
      </c>
      <c r="H65" s="21">
        <v>99624020115</v>
      </c>
      <c r="I65" s="22" t="s">
        <v>100</v>
      </c>
      <c r="J65" s="23"/>
      <c r="K65" s="24">
        <f>M65+O65</f>
        <v>21644</v>
      </c>
      <c r="L65" s="23">
        <f t="shared" si="2"/>
        <v>1527</v>
      </c>
      <c r="M65" s="24">
        <v>5814</v>
      </c>
      <c r="N65" s="25">
        <f t="shared" si="3"/>
        <v>451</v>
      </c>
      <c r="O65" s="24">
        <v>15830</v>
      </c>
      <c r="P65" s="23">
        <f t="shared" si="4"/>
        <v>1076</v>
      </c>
      <c r="Q65" s="26">
        <v>8060</v>
      </c>
      <c r="R65" s="23">
        <f t="shared" si="5"/>
        <v>1516</v>
      </c>
      <c r="S65" s="27" t="s">
        <v>18</v>
      </c>
      <c r="T65" s="19" t="s">
        <v>99</v>
      </c>
    </row>
    <row r="66" spans="1:20" ht="37.5" customHeight="1" x14ac:dyDescent="0.25">
      <c r="A66" s="19" t="s">
        <v>101</v>
      </c>
      <c r="B66">
        <f t="shared" si="0"/>
        <v>48641</v>
      </c>
      <c r="C66">
        <v>7144</v>
      </c>
      <c r="D66">
        <v>41497</v>
      </c>
      <c r="F66">
        <f t="shared" si="1"/>
        <v>1030</v>
      </c>
      <c r="G66" s="20">
        <f t="shared" si="6"/>
        <v>61</v>
      </c>
      <c r="H66" s="21">
        <v>23009070156</v>
      </c>
      <c r="I66" s="22">
        <v>98</v>
      </c>
      <c r="J66" s="23"/>
      <c r="K66" s="24">
        <v>47611</v>
      </c>
      <c r="L66" s="23">
        <f t="shared" si="2"/>
        <v>1030</v>
      </c>
      <c r="M66" s="24">
        <v>6962</v>
      </c>
      <c r="N66" s="25">
        <f t="shared" si="3"/>
        <v>182</v>
      </c>
      <c r="O66" s="24">
        <v>40649</v>
      </c>
      <c r="P66" s="23">
        <f t="shared" si="4"/>
        <v>848</v>
      </c>
      <c r="Q66" s="26"/>
      <c r="R66" s="23">
        <f t="shared" si="5"/>
        <v>0</v>
      </c>
      <c r="S66" s="27" t="s">
        <v>18</v>
      </c>
      <c r="T66" s="19" t="s">
        <v>101</v>
      </c>
    </row>
    <row r="67" spans="1:20" ht="37.5" customHeight="1" x14ac:dyDescent="0.25">
      <c r="A67" s="19" t="s">
        <v>102</v>
      </c>
      <c r="B67">
        <f t="shared" si="0"/>
        <v>527</v>
      </c>
      <c r="C67">
        <v>106</v>
      </c>
      <c r="D67">
        <v>421</v>
      </c>
      <c r="F67">
        <f t="shared" si="1"/>
        <v>320</v>
      </c>
      <c r="G67" s="20">
        <f t="shared" si="6"/>
        <v>62</v>
      </c>
      <c r="H67" s="21">
        <v>66624030175</v>
      </c>
      <c r="I67" s="22" t="s">
        <v>103</v>
      </c>
      <c r="J67" s="23"/>
      <c r="K67" s="24">
        <v>207</v>
      </c>
      <c r="L67" s="23">
        <f t="shared" si="2"/>
        <v>320</v>
      </c>
      <c r="M67" s="24">
        <v>44</v>
      </c>
      <c r="N67" s="25">
        <f t="shared" si="3"/>
        <v>62</v>
      </c>
      <c r="O67" s="24">
        <v>163</v>
      </c>
      <c r="P67" s="23">
        <f t="shared" si="4"/>
        <v>258</v>
      </c>
      <c r="Q67" s="26"/>
      <c r="R67" s="23">
        <f t="shared" si="5"/>
        <v>0</v>
      </c>
      <c r="S67" s="27" t="s">
        <v>18</v>
      </c>
      <c r="T67" s="19" t="s">
        <v>102</v>
      </c>
    </row>
    <row r="68" spans="1:20" ht="37.5" customHeight="1" x14ac:dyDescent="0.25">
      <c r="A68" s="19" t="s">
        <v>104</v>
      </c>
      <c r="B68">
        <f t="shared" si="0"/>
        <v>249</v>
      </c>
      <c r="C68">
        <v>44</v>
      </c>
      <c r="D68">
        <v>205</v>
      </c>
      <c r="F68">
        <f t="shared" si="1"/>
        <v>143</v>
      </c>
      <c r="G68" s="20">
        <f t="shared" si="6"/>
        <v>63</v>
      </c>
      <c r="H68" s="21">
        <v>66624030176</v>
      </c>
      <c r="I68" s="22" t="s">
        <v>105</v>
      </c>
      <c r="J68" s="23"/>
      <c r="K68" s="24">
        <v>106</v>
      </c>
      <c r="L68" s="23">
        <f t="shared" si="2"/>
        <v>143</v>
      </c>
      <c r="M68" s="24">
        <v>23</v>
      </c>
      <c r="N68" s="25">
        <f t="shared" si="3"/>
        <v>21</v>
      </c>
      <c r="O68" s="24">
        <v>83</v>
      </c>
      <c r="P68" s="23">
        <f t="shared" si="4"/>
        <v>122</v>
      </c>
      <c r="Q68" s="26"/>
      <c r="R68" s="23">
        <f t="shared" si="5"/>
        <v>0</v>
      </c>
      <c r="S68" s="27" t="s">
        <v>18</v>
      </c>
      <c r="T68" s="19" t="s">
        <v>104</v>
      </c>
    </row>
    <row r="69" spans="1:20" ht="37.5" customHeight="1" x14ac:dyDescent="0.25">
      <c r="A69" s="19" t="s">
        <v>106</v>
      </c>
      <c r="B69">
        <f t="shared" si="0"/>
        <v>5668</v>
      </c>
      <c r="C69">
        <v>1362</v>
      </c>
      <c r="D69">
        <v>4306</v>
      </c>
      <c r="F69">
        <f t="shared" si="1"/>
        <v>1487</v>
      </c>
      <c r="G69" s="20">
        <f t="shared" si="6"/>
        <v>64</v>
      </c>
      <c r="H69" s="21">
        <v>66624030177</v>
      </c>
      <c r="I69" s="22" t="s">
        <v>107</v>
      </c>
      <c r="J69" s="23"/>
      <c r="K69" s="24">
        <v>4181</v>
      </c>
      <c r="L69" s="23">
        <f t="shared" si="2"/>
        <v>1487</v>
      </c>
      <c r="M69" s="24">
        <v>1008</v>
      </c>
      <c r="N69" s="25">
        <f t="shared" si="3"/>
        <v>354</v>
      </c>
      <c r="O69" s="24">
        <v>3173</v>
      </c>
      <c r="P69" s="23">
        <f t="shared" si="4"/>
        <v>1133</v>
      </c>
      <c r="Q69" s="26"/>
      <c r="R69" s="23">
        <f t="shared" si="5"/>
        <v>0</v>
      </c>
      <c r="S69" s="27" t="s">
        <v>18</v>
      </c>
      <c r="T69" s="19" t="s">
        <v>106</v>
      </c>
    </row>
    <row r="70" spans="1:20" ht="37.5" customHeight="1" x14ac:dyDescent="0.25">
      <c r="A70" s="19" t="s">
        <v>108</v>
      </c>
      <c r="B70">
        <f t="shared" si="0"/>
        <v>59513</v>
      </c>
      <c r="C70">
        <v>15111</v>
      </c>
      <c r="D70">
        <v>44402</v>
      </c>
      <c r="F70">
        <f t="shared" si="1"/>
        <v>650</v>
      </c>
      <c r="G70" s="20">
        <f t="shared" si="6"/>
        <v>65</v>
      </c>
      <c r="H70" s="21">
        <v>23010090158</v>
      </c>
      <c r="I70" s="22" t="s">
        <v>109</v>
      </c>
      <c r="J70" s="23"/>
      <c r="K70" s="24">
        <v>58863</v>
      </c>
      <c r="L70" s="23">
        <f t="shared" si="2"/>
        <v>650</v>
      </c>
      <c r="M70" s="24">
        <v>15015</v>
      </c>
      <c r="N70" s="25">
        <f t="shared" si="3"/>
        <v>96</v>
      </c>
      <c r="O70" s="24">
        <v>43848</v>
      </c>
      <c r="P70" s="23">
        <f t="shared" si="4"/>
        <v>554</v>
      </c>
      <c r="Q70" s="26"/>
      <c r="R70" s="23">
        <f t="shared" si="5"/>
        <v>0</v>
      </c>
      <c r="S70" s="27" t="s">
        <v>18</v>
      </c>
      <c r="T70" s="19" t="s">
        <v>108</v>
      </c>
    </row>
    <row r="71" spans="1:20" ht="37.5" customHeight="1" x14ac:dyDescent="0.25">
      <c r="A71" s="19" t="s">
        <v>110</v>
      </c>
      <c r="B71">
        <f t="shared" ref="B71:B134" si="7">C71+D71</f>
        <v>33461</v>
      </c>
      <c r="C71">
        <v>6898</v>
      </c>
      <c r="D71">
        <v>26563</v>
      </c>
      <c r="F71">
        <f t="shared" ref="F71:F134" si="8">L71</f>
        <v>289</v>
      </c>
      <c r="G71" s="20">
        <f t="shared" si="6"/>
        <v>66</v>
      </c>
      <c r="H71" s="21">
        <v>23014010063</v>
      </c>
      <c r="I71" s="22" t="s">
        <v>111</v>
      </c>
      <c r="J71" s="23"/>
      <c r="K71" s="24">
        <v>33172</v>
      </c>
      <c r="L71" s="23">
        <f t="shared" ref="L71:L134" si="9">B71-K71</f>
        <v>289</v>
      </c>
      <c r="M71" s="24">
        <v>6842</v>
      </c>
      <c r="N71" s="25">
        <f t="shared" ref="N71:N134" si="10">C71-M71</f>
        <v>56</v>
      </c>
      <c r="O71" s="24">
        <v>26330</v>
      </c>
      <c r="P71" s="23">
        <f t="shared" ref="P71:P134" si="11">D71-O71</f>
        <v>233</v>
      </c>
      <c r="Q71" s="26"/>
      <c r="R71" s="23">
        <f t="shared" ref="R71:R134" si="12">E71-Q71</f>
        <v>0</v>
      </c>
      <c r="S71" s="27" t="s">
        <v>18</v>
      </c>
      <c r="T71" s="19" t="s">
        <v>110</v>
      </c>
    </row>
    <row r="72" spans="1:20" ht="37.5" customHeight="1" x14ac:dyDescent="0.25">
      <c r="A72" s="19" t="s">
        <v>112</v>
      </c>
      <c r="B72">
        <f t="shared" si="7"/>
        <v>26068</v>
      </c>
      <c r="C72">
        <v>4324</v>
      </c>
      <c r="D72">
        <v>21744</v>
      </c>
      <c r="F72">
        <f t="shared" si="8"/>
        <v>453</v>
      </c>
      <c r="G72" s="20">
        <f t="shared" ref="G72:G135" si="13">G71+1</f>
        <v>67</v>
      </c>
      <c r="H72" s="21">
        <v>66621040429</v>
      </c>
      <c r="I72" s="22" t="s">
        <v>113</v>
      </c>
      <c r="J72" s="23"/>
      <c r="K72" s="24">
        <v>25615</v>
      </c>
      <c r="L72" s="23">
        <f t="shared" si="9"/>
        <v>453</v>
      </c>
      <c r="M72" s="24">
        <v>4231</v>
      </c>
      <c r="N72" s="25">
        <f t="shared" si="10"/>
        <v>93</v>
      </c>
      <c r="O72" s="24">
        <v>21384</v>
      </c>
      <c r="P72" s="23">
        <f t="shared" si="11"/>
        <v>360</v>
      </c>
      <c r="Q72" s="26"/>
      <c r="R72" s="23">
        <f t="shared" si="12"/>
        <v>0</v>
      </c>
      <c r="S72" s="27" t="s">
        <v>18</v>
      </c>
      <c r="T72" s="19" t="s">
        <v>112</v>
      </c>
    </row>
    <row r="73" spans="1:20" ht="37.5" customHeight="1" x14ac:dyDescent="0.25">
      <c r="A73" s="19" t="s">
        <v>114</v>
      </c>
      <c r="B73">
        <f t="shared" si="7"/>
        <v>13408</v>
      </c>
      <c r="C73">
        <v>1789</v>
      </c>
      <c r="D73">
        <v>11619</v>
      </c>
      <c r="F73">
        <f t="shared" si="8"/>
        <v>305</v>
      </c>
      <c r="G73" s="20">
        <f t="shared" si="13"/>
        <v>68</v>
      </c>
      <c r="H73" s="21">
        <v>88820040246</v>
      </c>
      <c r="I73" s="22" t="s">
        <v>115</v>
      </c>
      <c r="J73" s="23"/>
      <c r="K73" s="24">
        <v>13103</v>
      </c>
      <c r="L73" s="23">
        <f t="shared" si="9"/>
        <v>305</v>
      </c>
      <c r="M73" s="24">
        <v>1735</v>
      </c>
      <c r="N73" s="25">
        <f t="shared" si="10"/>
        <v>54</v>
      </c>
      <c r="O73" s="24">
        <v>11368</v>
      </c>
      <c r="P73" s="23">
        <f t="shared" si="11"/>
        <v>251</v>
      </c>
      <c r="Q73" s="26"/>
      <c r="R73" s="23">
        <f t="shared" si="12"/>
        <v>0</v>
      </c>
      <c r="S73" s="27" t="s">
        <v>18</v>
      </c>
      <c r="T73" s="19" t="s">
        <v>114</v>
      </c>
    </row>
    <row r="74" spans="1:20" ht="37.5" customHeight="1" x14ac:dyDescent="0.25">
      <c r="A74" s="19" t="s">
        <v>116</v>
      </c>
      <c r="B74">
        <f t="shared" si="7"/>
        <v>42070</v>
      </c>
      <c r="C74">
        <v>11539</v>
      </c>
      <c r="D74">
        <v>30531</v>
      </c>
      <c r="E74">
        <v>9234</v>
      </c>
      <c r="F74">
        <f t="shared" si="8"/>
        <v>1800</v>
      </c>
      <c r="G74" s="20">
        <f t="shared" si="13"/>
        <v>69</v>
      </c>
      <c r="H74" s="21">
        <v>99723070194</v>
      </c>
      <c r="I74" s="22">
        <v>105</v>
      </c>
      <c r="J74" s="23"/>
      <c r="K74" s="24">
        <f>M74+O74</f>
        <v>40270</v>
      </c>
      <c r="L74" s="23">
        <f t="shared" si="9"/>
        <v>1800</v>
      </c>
      <c r="M74" s="24">
        <v>11063</v>
      </c>
      <c r="N74" s="25">
        <f t="shared" si="10"/>
        <v>476</v>
      </c>
      <c r="O74" s="24">
        <v>29207</v>
      </c>
      <c r="P74" s="23">
        <f t="shared" si="11"/>
        <v>1324</v>
      </c>
      <c r="Q74" s="26">
        <v>8232</v>
      </c>
      <c r="R74" s="23">
        <f t="shared" si="12"/>
        <v>1002</v>
      </c>
      <c r="S74" s="27" t="s">
        <v>18</v>
      </c>
      <c r="T74" s="19" t="s">
        <v>116</v>
      </c>
    </row>
    <row r="75" spans="1:20" ht="37.5" customHeight="1" x14ac:dyDescent="0.25">
      <c r="A75" s="19" t="s">
        <v>117</v>
      </c>
      <c r="B75">
        <f t="shared" si="7"/>
        <v>15974</v>
      </c>
      <c r="C75">
        <v>2740</v>
      </c>
      <c r="D75">
        <v>13234</v>
      </c>
      <c r="E75">
        <v>15820</v>
      </c>
      <c r="F75">
        <f t="shared" si="8"/>
        <v>1068</v>
      </c>
      <c r="G75" s="20">
        <f t="shared" si="13"/>
        <v>70</v>
      </c>
      <c r="H75" s="21">
        <v>99723070196</v>
      </c>
      <c r="I75" s="22">
        <v>105</v>
      </c>
      <c r="J75" s="23"/>
      <c r="K75" s="24">
        <f>M75+O75</f>
        <v>14906</v>
      </c>
      <c r="L75" s="23">
        <f t="shared" si="9"/>
        <v>1068</v>
      </c>
      <c r="M75" s="24">
        <v>2563</v>
      </c>
      <c r="N75" s="25">
        <f t="shared" si="10"/>
        <v>177</v>
      </c>
      <c r="O75" s="24">
        <v>12343</v>
      </c>
      <c r="P75" s="23">
        <f t="shared" si="11"/>
        <v>891</v>
      </c>
      <c r="Q75" s="26">
        <v>14914</v>
      </c>
      <c r="R75" s="23">
        <f t="shared" si="12"/>
        <v>906</v>
      </c>
      <c r="S75" s="27" t="s">
        <v>18</v>
      </c>
      <c r="T75" s="19" t="s">
        <v>117</v>
      </c>
    </row>
    <row r="76" spans="1:20" ht="37.5" customHeight="1" x14ac:dyDescent="0.25">
      <c r="A76" s="19" t="s">
        <v>118</v>
      </c>
      <c r="B76">
        <f t="shared" si="7"/>
        <v>60388</v>
      </c>
      <c r="C76">
        <v>14731</v>
      </c>
      <c r="D76">
        <v>45657</v>
      </c>
      <c r="E76">
        <v>15118</v>
      </c>
      <c r="F76">
        <f t="shared" si="8"/>
        <v>1632</v>
      </c>
      <c r="G76" s="20">
        <f t="shared" si="13"/>
        <v>71</v>
      </c>
      <c r="H76" s="21">
        <v>99623080170</v>
      </c>
      <c r="I76" s="22" t="s">
        <v>119</v>
      </c>
      <c r="J76" s="23"/>
      <c r="K76" s="24">
        <f>M76+O76</f>
        <v>58756</v>
      </c>
      <c r="L76" s="23">
        <f t="shared" si="9"/>
        <v>1632</v>
      </c>
      <c r="M76" s="24">
        <v>14292</v>
      </c>
      <c r="N76" s="25">
        <f t="shared" si="10"/>
        <v>439</v>
      </c>
      <c r="O76" s="24">
        <v>44464</v>
      </c>
      <c r="P76" s="23">
        <f t="shared" si="11"/>
        <v>1193</v>
      </c>
      <c r="Q76" s="26">
        <v>13384</v>
      </c>
      <c r="R76" s="23">
        <f t="shared" si="12"/>
        <v>1734</v>
      </c>
      <c r="S76" s="27" t="s">
        <v>18</v>
      </c>
      <c r="T76" s="19" t="s">
        <v>118</v>
      </c>
    </row>
    <row r="77" spans="1:20" ht="37.5" customHeight="1" x14ac:dyDescent="0.25">
      <c r="A77" s="19" t="s">
        <v>120</v>
      </c>
      <c r="B77">
        <f t="shared" si="7"/>
        <v>11938</v>
      </c>
      <c r="C77">
        <v>2476</v>
      </c>
      <c r="D77">
        <v>9462</v>
      </c>
      <c r="F77">
        <f t="shared" si="8"/>
        <v>382</v>
      </c>
      <c r="G77" s="20">
        <f t="shared" si="13"/>
        <v>72</v>
      </c>
      <c r="H77" s="21">
        <v>66621050421</v>
      </c>
      <c r="I77" s="22" t="s">
        <v>121</v>
      </c>
      <c r="J77" s="23"/>
      <c r="K77" s="24">
        <v>11556</v>
      </c>
      <c r="L77" s="23">
        <f t="shared" si="9"/>
        <v>382</v>
      </c>
      <c r="M77" s="24"/>
      <c r="N77" s="25">
        <f t="shared" si="10"/>
        <v>2476</v>
      </c>
      <c r="O77" s="24"/>
      <c r="P77" s="23">
        <f t="shared" si="11"/>
        <v>9462</v>
      </c>
      <c r="Q77" s="26"/>
      <c r="R77" s="23">
        <f t="shared" si="12"/>
        <v>0</v>
      </c>
      <c r="S77" s="27" t="s">
        <v>18</v>
      </c>
      <c r="T77" s="19" t="s">
        <v>120</v>
      </c>
    </row>
    <row r="78" spans="1:20" ht="37.5" customHeight="1" x14ac:dyDescent="0.25">
      <c r="A78" s="19" t="s">
        <v>122</v>
      </c>
      <c r="B78">
        <f t="shared" si="7"/>
        <v>25258</v>
      </c>
      <c r="C78">
        <v>5022</v>
      </c>
      <c r="D78">
        <v>20236</v>
      </c>
      <c r="F78">
        <f t="shared" si="8"/>
        <v>1658</v>
      </c>
      <c r="G78" s="20">
        <f t="shared" si="13"/>
        <v>73</v>
      </c>
      <c r="H78" s="21">
        <v>66621070300</v>
      </c>
      <c r="I78" s="22" t="s">
        <v>123</v>
      </c>
      <c r="J78" s="23"/>
      <c r="K78" s="24">
        <v>23600</v>
      </c>
      <c r="L78" s="23">
        <f t="shared" si="9"/>
        <v>1658</v>
      </c>
      <c r="M78" s="24">
        <v>4769</v>
      </c>
      <c r="N78" s="25">
        <f t="shared" si="10"/>
        <v>253</v>
      </c>
      <c r="O78" s="24">
        <v>18831</v>
      </c>
      <c r="P78" s="23">
        <f t="shared" si="11"/>
        <v>1405</v>
      </c>
      <c r="Q78" s="26"/>
      <c r="R78" s="23">
        <f t="shared" si="12"/>
        <v>0</v>
      </c>
      <c r="S78" s="27" t="s">
        <v>18</v>
      </c>
      <c r="T78" s="19" t="s">
        <v>122</v>
      </c>
    </row>
    <row r="79" spans="1:20" ht="37.5" customHeight="1" x14ac:dyDescent="0.25">
      <c r="A79" s="19" t="s">
        <v>124</v>
      </c>
      <c r="B79">
        <f t="shared" si="7"/>
        <v>13953</v>
      </c>
      <c r="C79">
        <v>3948</v>
      </c>
      <c r="D79">
        <v>10005</v>
      </c>
      <c r="E79">
        <v>28318</v>
      </c>
      <c r="F79">
        <f t="shared" si="8"/>
        <v>952</v>
      </c>
      <c r="G79" s="20">
        <f t="shared" si="13"/>
        <v>74</v>
      </c>
      <c r="H79" s="21">
        <v>99623080165</v>
      </c>
      <c r="I79" s="22">
        <v>106</v>
      </c>
      <c r="J79" s="23"/>
      <c r="K79" s="24">
        <f>M79+O79</f>
        <v>13001</v>
      </c>
      <c r="L79" s="23">
        <f t="shared" si="9"/>
        <v>952</v>
      </c>
      <c r="M79" s="24">
        <v>3680</v>
      </c>
      <c r="N79" s="25">
        <f t="shared" si="10"/>
        <v>268</v>
      </c>
      <c r="O79" s="24">
        <v>9321</v>
      </c>
      <c r="P79" s="23">
        <f t="shared" si="11"/>
        <v>684</v>
      </c>
      <c r="Q79" s="26">
        <v>26303</v>
      </c>
      <c r="R79" s="23">
        <f t="shared" si="12"/>
        <v>2015</v>
      </c>
      <c r="S79" s="27" t="s">
        <v>18</v>
      </c>
      <c r="T79" s="19" t="s">
        <v>124</v>
      </c>
    </row>
    <row r="80" spans="1:20" ht="37.5" customHeight="1" x14ac:dyDescent="0.25">
      <c r="A80" s="19" t="s">
        <v>125</v>
      </c>
      <c r="B80">
        <f t="shared" si="7"/>
        <v>78238</v>
      </c>
      <c r="C80">
        <v>14599</v>
      </c>
      <c r="D80">
        <v>63639</v>
      </c>
      <c r="F80">
        <f t="shared" si="8"/>
        <v>386</v>
      </c>
      <c r="G80" s="20">
        <f t="shared" si="13"/>
        <v>75</v>
      </c>
      <c r="H80" s="21">
        <v>2307040071</v>
      </c>
      <c r="I80" s="22">
        <v>108</v>
      </c>
      <c r="J80" s="23"/>
      <c r="K80" s="24">
        <v>77852</v>
      </c>
      <c r="L80" s="23">
        <f t="shared" si="9"/>
        <v>386</v>
      </c>
      <c r="M80" s="24">
        <v>14532</v>
      </c>
      <c r="N80" s="25">
        <f t="shared" si="10"/>
        <v>67</v>
      </c>
      <c r="O80" s="24">
        <v>63320</v>
      </c>
      <c r="P80" s="23">
        <f t="shared" si="11"/>
        <v>319</v>
      </c>
      <c r="Q80" s="26"/>
      <c r="R80" s="23">
        <f t="shared" si="12"/>
        <v>0</v>
      </c>
      <c r="S80" s="27" t="s">
        <v>18</v>
      </c>
      <c r="T80" s="19" t="s">
        <v>125</v>
      </c>
    </row>
    <row r="81" spans="1:20" ht="37.5" customHeight="1" x14ac:dyDescent="0.25">
      <c r="A81" s="19" t="s">
        <v>126</v>
      </c>
      <c r="B81">
        <f t="shared" si="7"/>
        <v>14274</v>
      </c>
      <c r="C81">
        <v>2379</v>
      </c>
      <c r="D81">
        <v>11895</v>
      </c>
      <c r="F81">
        <f t="shared" si="8"/>
        <v>200</v>
      </c>
      <c r="G81" s="20">
        <f t="shared" si="13"/>
        <v>76</v>
      </c>
      <c r="H81" s="21">
        <v>66623010471</v>
      </c>
      <c r="I81" s="22">
        <v>108</v>
      </c>
      <c r="J81" s="23"/>
      <c r="K81" s="24">
        <v>14074</v>
      </c>
      <c r="L81" s="23">
        <f t="shared" si="9"/>
        <v>200</v>
      </c>
      <c r="M81" s="24">
        <v>2346</v>
      </c>
      <c r="N81" s="25">
        <f t="shared" si="10"/>
        <v>33</v>
      </c>
      <c r="O81" s="24">
        <v>11728</v>
      </c>
      <c r="P81" s="23">
        <f t="shared" si="11"/>
        <v>167</v>
      </c>
      <c r="Q81" s="26"/>
      <c r="R81" s="23">
        <f t="shared" si="12"/>
        <v>0</v>
      </c>
      <c r="S81" s="27" t="s">
        <v>18</v>
      </c>
      <c r="T81" s="19" t="s">
        <v>126</v>
      </c>
    </row>
    <row r="82" spans="1:20" ht="37.5" customHeight="1" x14ac:dyDescent="0.25">
      <c r="A82" s="19" t="s">
        <v>127</v>
      </c>
      <c r="B82">
        <f t="shared" si="7"/>
        <v>12786</v>
      </c>
      <c r="C82">
        <v>2164</v>
      </c>
      <c r="D82">
        <v>10622</v>
      </c>
      <c r="F82">
        <f t="shared" si="8"/>
        <v>388</v>
      </c>
      <c r="G82" s="20">
        <f t="shared" si="13"/>
        <v>77</v>
      </c>
      <c r="H82" s="21">
        <v>66622050162</v>
      </c>
      <c r="I82" s="22">
        <v>108</v>
      </c>
      <c r="J82" s="23"/>
      <c r="K82" s="24">
        <v>12398</v>
      </c>
      <c r="L82" s="23">
        <f t="shared" si="9"/>
        <v>388</v>
      </c>
      <c r="M82" s="24">
        <v>2105</v>
      </c>
      <c r="N82" s="25">
        <f t="shared" si="10"/>
        <v>59</v>
      </c>
      <c r="O82" s="24">
        <v>10293</v>
      </c>
      <c r="P82" s="23">
        <f t="shared" si="11"/>
        <v>329</v>
      </c>
      <c r="Q82" s="26"/>
      <c r="R82" s="23">
        <f t="shared" si="12"/>
        <v>0</v>
      </c>
      <c r="S82" s="27" t="s">
        <v>18</v>
      </c>
      <c r="T82" s="19" t="s">
        <v>127</v>
      </c>
    </row>
    <row r="83" spans="1:20" ht="37.5" customHeight="1" x14ac:dyDescent="0.25">
      <c r="A83" s="19" t="s">
        <v>128</v>
      </c>
      <c r="B83">
        <f t="shared" si="7"/>
        <v>56237</v>
      </c>
      <c r="C83">
        <v>10757</v>
      </c>
      <c r="D83">
        <v>45480</v>
      </c>
      <c r="F83">
        <f t="shared" si="8"/>
        <v>8</v>
      </c>
      <c r="G83" s="20">
        <f t="shared" si="13"/>
        <v>78</v>
      </c>
      <c r="H83" s="21">
        <v>2308030040</v>
      </c>
      <c r="I83" s="22">
        <v>108</v>
      </c>
      <c r="J83" s="23"/>
      <c r="K83" s="24">
        <v>56229</v>
      </c>
      <c r="L83" s="23">
        <f t="shared" si="9"/>
        <v>8</v>
      </c>
      <c r="M83" s="24">
        <v>10756</v>
      </c>
      <c r="N83" s="25">
        <f t="shared" si="10"/>
        <v>1</v>
      </c>
      <c r="O83" s="24">
        <v>45473</v>
      </c>
      <c r="P83" s="23">
        <f t="shared" si="11"/>
        <v>7</v>
      </c>
      <c r="Q83" s="26"/>
      <c r="R83" s="23">
        <f t="shared" si="12"/>
        <v>0</v>
      </c>
      <c r="S83" s="27" t="s">
        <v>18</v>
      </c>
      <c r="T83" s="19" t="s">
        <v>128</v>
      </c>
    </row>
    <row r="84" spans="1:20" ht="37.5" customHeight="1" x14ac:dyDescent="0.25">
      <c r="A84" s="19" t="s">
        <v>129</v>
      </c>
      <c r="B84">
        <f t="shared" si="7"/>
        <v>43075</v>
      </c>
      <c r="C84">
        <v>6921</v>
      </c>
      <c r="D84">
        <v>36154</v>
      </c>
      <c r="F84">
        <f t="shared" si="8"/>
        <v>291</v>
      </c>
      <c r="G84" s="20">
        <f t="shared" si="13"/>
        <v>79</v>
      </c>
      <c r="H84" s="21">
        <v>23013010344</v>
      </c>
      <c r="I84" s="22">
        <v>108</v>
      </c>
      <c r="J84" s="23"/>
      <c r="K84" s="24">
        <v>42784</v>
      </c>
      <c r="L84" s="23">
        <f t="shared" si="9"/>
        <v>291</v>
      </c>
      <c r="M84" s="24">
        <v>6883</v>
      </c>
      <c r="N84" s="25">
        <f t="shared" si="10"/>
        <v>38</v>
      </c>
      <c r="O84" s="24">
        <v>35901</v>
      </c>
      <c r="P84" s="23">
        <f t="shared" si="11"/>
        <v>253</v>
      </c>
      <c r="Q84" s="26"/>
      <c r="R84" s="23">
        <f t="shared" si="12"/>
        <v>0</v>
      </c>
      <c r="S84" s="27" t="s">
        <v>18</v>
      </c>
      <c r="T84" s="19" t="s">
        <v>129</v>
      </c>
    </row>
    <row r="85" spans="1:20" ht="37.5" customHeight="1" x14ac:dyDescent="0.25">
      <c r="A85" s="19" t="s">
        <v>130</v>
      </c>
      <c r="B85">
        <f t="shared" si="7"/>
        <v>3250</v>
      </c>
      <c r="C85">
        <v>866</v>
      </c>
      <c r="D85">
        <v>2384</v>
      </c>
      <c r="E85">
        <v>4341</v>
      </c>
      <c r="F85">
        <f t="shared" si="8"/>
        <v>1159</v>
      </c>
      <c r="G85" s="20">
        <f t="shared" si="13"/>
        <v>80</v>
      </c>
      <c r="H85" s="21">
        <v>99624050240</v>
      </c>
      <c r="I85" s="22">
        <v>109</v>
      </c>
      <c r="J85" s="23"/>
      <c r="K85" s="24">
        <f>M85+O85</f>
        <v>2091</v>
      </c>
      <c r="L85" s="23">
        <f t="shared" si="9"/>
        <v>1159</v>
      </c>
      <c r="M85" s="24">
        <v>519</v>
      </c>
      <c r="N85" s="25">
        <f t="shared" si="10"/>
        <v>347</v>
      </c>
      <c r="O85" s="24">
        <v>1572</v>
      </c>
      <c r="P85" s="23">
        <f t="shared" si="11"/>
        <v>812</v>
      </c>
      <c r="Q85" s="26">
        <v>2754</v>
      </c>
      <c r="R85" s="23">
        <f t="shared" si="12"/>
        <v>1587</v>
      </c>
      <c r="S85" s="27" t="s">
        <v>18</v>
      </c>
      <c r="T85" s="19" t="s">
        <v>130</v>
      </c>
    </row>
    <row r="86" spans="1:20" ht="37.5" customHeight="1" x14ac:dyDescent="0.25">
      <c r="A86" s="19" t="s">
        <v>131</v>
      </c>
      <c r="B86">
        <f t="shared" si="7"/>
        <v>44779</v>
      </c>
      <c r="C86">
        <v>9093</v>
      </c>
      <c r="D86">
        <v>35686</v>
      </c>
      <c r="F86">
        <f t="shared" si="8"/>
        <v>239</v>
      </c>
      <c r="G86" s="20">
        <f t="shared" si="13"/>
        <v>81</v>
      </c>
      <c r="H86" s="21">
        <v>23012110133</v>
      </c>
      <c r="I86" s="22">
        <v>110</v>
      </c>
      <c r="J86" s="23"/>
      <c r="K86" s="24">
        <v>44540</v>
      </c>
      <c r="L86" s="23">
        <f t="shared" si="9"/>
        <v>239</v>
      </c>
      <c r="M86" s="24">
        <v>9048</v>
      </c>
      <c r="N86" s="25">
        <f t="shared" si="10"/>
        <v>45</v>
      </c>
      <c r="O86" s="24">
        <v>35492</v>
      </c>
      <c r="P86" s="23">
        <f t="shared" si="11"/>
        <v>194</v>
      </c>
      <c r="Q86" s="26"/>
      <c r="R86" s="23">
        <f t="shared" si="12"/>
        <v>0</v>
      </c>
      <c r="S86" s="27" t="s">
        <v>18</v>
      </c>
      <c r="T86" s="19" t="s">
        <v>131</v>
      </c>
    </row>
    <row r="87" spans="1:20" ht="37.5" customHeight="1" x14ac:dyDescent="0.25">
      <c r="A87" s="19" t="s">
        <v>132</v>
      </c>
      <c r="B87">
        <f t="shared" si="7"/>
        <v>13158</v>
      </c>
      <c r="C87">
        <v>3249</v>
      </c>
      <c r="D87">
        <v>9909</v>
      </c>
      <c r="E87">
        <v>8234</v>
      </c>
      <c r="F87">
        <f t="shared" si="8"/>
        <v>254</v>
      </c>
      <c r="G87" s="20">
        <f t="shared" si="13"/>
        <v>82</v>
      </c>
      <c r="H87" s="21">
        <v>99624010261</v>
      </c>
      <c r="I87" s="22" t="s">
        <v>133</v>
      </c>
      <c r="J87" s="23"/>
      <c r="K87" s="24">
        <f>M87+O87</f>
        <v>12904</v>
      </c>
      <c r="L87" s="23">
        <f t="shared" si="9"/>
        <v>254</v>
      </c>
      <c r="M87" s="24">
        <v>3173</v>
      </c>
      <c r="N87" s="25">
        <f t="shared" si="10"/>
        <v>76</v>
      </c>
      <c r="O87" s="24">
        <v>9731</v>
      </c>
      <c r="P87" s="23">
        <f t="shared" si="11"/>
        <v>178</v>
      </c>
      <c r="Q87" s="26">
        <v>6863</v>
      </c>
      <c r="R87" s="23">
        <f t="shared" si="12"/>
        <v>1371</v>
      </c>
      <c r="S87" s="27" t="s">
        <v>18</v>
      </c>
      <c r="T87" s="19" t="s">
        <v>132</v>
      </c>
    </row>
    <row r="88" spans="1:20" ht="37.5" customHeight="1" x14ac:dyDescent="0.25">
      <c r="A88" s="19" t="s">
        <v>134</v>
      </c>
      <c r="B88">
        <f t="shared" si="7"/>
        <v>6809</v>
      </c>
      <c r="C88">
        <v>1548</v>
      </c>
      <c r="D88">
        <v>5261</v>
      </c>
      <c r="F88">
        <f t="shared" si="8"/>
        <v>45</v>
      </c>
      <c r="G88" s="20">
        <f t="shared" si="13"/>
        <v>83</v>
      </c>
      <c r="H88" s="21">
        <v>23013010135</v>
      </c>
      <c r="I88" s="22">
        <v>114</v>
      </c>
      <c r="J88" s="23"/>
      <c r="K88" s="24">
        <v>6764</v>
      </c>
      <c r="L88" s="23">
        <f t="shared" si="9"/>
        <v>45</v>
      </c>
      <c r="M88" s="24">
        <v>1543</v>
      </c>
      <c r="N88" s="25">
        <f t="shared" si="10"/>
        <v>5</v>
      </c>
      <c r="O88" s="24">
        <v>5221</v>
      </c>
      <c r="P88" s="23">
        <f t="shared" si="11"/>
        <v>40</v>
      </c>
      <c r="Q88" s="26"/>
      <c r="R88" s="23">
        <f t="shared" si="12"/>
        <v>0</v>
      </c>
      <c r="S88" s="27" t="s">
        <v>18</v>
      </c>
      <c r="T88" s="19" t="s">
        <v>134</v>
      </c>
    </row>
    <row r="89" spans="1:20" ht="37.5" customHeight="1" x14ac:dyDescent="0.25">
      <c r="A89" s="19" t="s">
        <v>135</v>
      </c>
      <c r="B89">
        <f t="shared" si="7"/>
        <v>371578</v>
      </c>
      <c r="C89">
        <v>60826</v>
      </c>
      <c r="D89">
        <v>310752</v>
      </c>
      <c r="F89">
        <f t="shared" si="8"/>
        <v>1943</v>
      </c>
      <c r="G89" s="20">
        <f t="shared" si="13"/>
        <v>84</v>
      </c>
      <c r="H89" s="21">
        <v>23013010059</v>
      </c>
      <c r="I89" s="22">
        <v>123</v>
      </c>
      <c r="J89" s="23"/>
      <c r="K89" s="24">
        <v>369635</v>
      </c>
      <c r="L89" s="23">
        <f t="shared" si="9"/>
        <v>1943</v>
      </c>
      <c r="M89" s="24">
        <v>60493</v>
      </c>
      <c r="N89" s="25">
        <f t="shared" si="10"/>
        <v>333</v>
      </c>
      <c r="O89" s="24">
        <v>309142</v>
      </c>
      <c r="P89" s="23">
        <f t="shared" si="11"/>
        <v>1610</v>
      </c>
      <c r="Q89" s="26"/>
      <c r="R89" s="23">
        <f t="shared" si="12"/>
        <v>0</v>
      </c>
      <c r="S89" s="27" t="s">
        <v>18</v>
      </c>
      <c r="T89" s="19" t="s">
        <v>135</v>
      </c>
    </row>
    <row r="90" spans="1:20" ht="37.5" customHeight="1" x14ac:dyDescent="0.25">
      <c r="A90" s="19" t="s">
        <v>136</v>
      </c>
      <c r="B90">
        <v>10172</v>
      </c>
      <c r="F90">
        <f t="shared" si="8"/>
        <v>241</v>
      </c>
      <c r="G90" s="20">
        <f t="shared" si="13"/>
        <v>85</v>
      </c>
      <c r="H90" s="21">
        <v>11820010010</v>
      </c>
      <c r="I90" s="22" t="s">
        <v>137</v>
      </c>
      <c r="J90" s="23"/>
      <c r="K90" s="24">
        <v>9931</v>
      </c>
      <c r="L90" s="23">
        <f t="shared" si="9"/>
        <v>241</v>
      </c>
      <c r="M90" s="24"/>
      <c r="N90" s="25">
        <f t="shared" si="10"/>
        <v>0</v>
      </c>
      <c r="O90" s="24"/>
      <c r="P90" s="23">
        <f t="shared" si="11"/>
        <v>0</v>
      </c>
      <c r="Q90" s="26"/>
      <c r="R90" s="23">
        <f t="shared" si="12"/>
        <v>0</v>
      </c>
      <c r="S90" s="27" t="s">
        <v>18</v>
      </c>
      <c r="T90" s="19" t="s">
        <v>136</v>
      </c>
    </row>
    <row r="91" spans="1:20" ht="37.5" customHeight="1" x14ac:dyDescent="0.25">
      <c r="A91" s="19" t="s">
        <v>138</v>
      </c>
      <c r="B91">
        <v>9145</v>
      </c>
      <c r="F91">
        <f t="shared" si="8"/>
        <v>178</v>
      </c>
      <c r="G91" s="20">
        <f t="shared" si="13"/>
        <v>86</v>
      </c>
      <c r="H91" s="21">
        <v>11821010087</v>
      </c>
      <c r="I91" s="22" t="s">
        <v>139</v>
      </c>
      <c r="J91" s="23"/>
      <c r="K91" s="24">
        <v>8967</v>
      </c>
      <c r="L91" s="23">
        <f t="shared" si="9"/>
        <v>178</v>
      </c>
      <c r="M91" s="24"/>
      <c r="N91" s="25">
        <f t="shared" si="10"/>
        <v>0</v>
      </c>
      <c r="O91" s="24"/>
      <c r="P91" s="23">
        <f t="shared" si="11"/>
        <v>0</v>
      </c>
      <c r="Q91" s="26"/>
      <c r="R91" s="23">
        <f t="shared" si="12"/>
        <v>0</v>
      </c>
      <c r="S91" s="27" t="s">
        <v>18</v>
      </c>
      <c r="T91" s="19" t="s">
        <v>138</v>
      </c>
    </row>
    <row r="92" spans="1:20" ht="37.5" customHeight="1" x14ac:dyDescent="0.25">
      <c r="A92" s="19" t="s">
        <v>140</v>
      </c>
      <c r="B92">
        <v>5984</v>
      </c>
      <c r="F92">
        <f t="shared" si="8"/>
        <v>152</v>
      </c>
      <c r="G92" s="20">
        <f t="shared" si="13"/>
        <v>87</v>
      </c>
      <c r="H92" s="21">
        <v>11821010088</v>
      </c>
      <c r="I92" s="22" t="s">
        <v>141</v>
      </c>
      <c r="J92" s="23"/>
      <c r="K92" s="24">
        <v>5832</v>
      </c>
      <c r="L92" s="23">
        <f t="shared" si="9"/>
        <v>152</v>
      </c>
      <c r="M92" s="24"/>
      <c r="N92" s="25">
        <f t="shared" si="10"/>
        <v>0</v>
      </c>
      <c r="O92" s="24"/>
      <c r="P92" s="23">
        <f t="shared" si="11"/>
        <v>0</v>
      </c>
      <c r="Q92" s="26"/>
      <c r="R92" s="23">
        <f t="shared" si="12"/>
        <v>0</v>
      </c>
      <c r="S92" s="27" t="s">
        <v>18</v>
      </c>
      <c r="T92" s="19" t="s">
        <v>140</v>
      </c>
    </row>
    <row r="93" spans="1:20" ht="37.5" customHeight="1" x14ac:dyDescent="0.25">
      <c r="A93" s="19" t="s">
        <v>142</v>
      </c>
      <c r="B93">
        <v>157141</v>
      </c>
      <c r="C93">
        <v>27338</v>
      </c>
      <c r="D93">
        <v>129473</v>
      </c>
      <c r="F93">
        <f t="shared" si="8"/>
        <v>0</v>
      </c>
      <c r="G93" s="20">
        <f t="shared" si="13"/>
        <v>88</v>
      </c>
      <c r="H93" s="21">
        <v>66601102582</v>
      </c>
      <c r="I93" s="22" t="s">
        <v>143</v>
      </c>
      <c r="J93" s="23"/>
      <c r="K93" s="24">
        <v>157141</v>
      </c>
      <c r="L93" s="23">
        <f t="shared" si="9"/>
        <v>0</v>
      </c>
      <c r="M93" s="24">
        <v>27730</v>
      </c>
      <c r="N93" s="25">
        <f t="shared" si="10"/>
        <v>-392</v>
      </c>
      <c r="O93" s="24">
        <v>129411</v>
      </c>
      <c r="P93" s="23">
        <f t="shared" si="11"/>
        <v>62</v>
      </c>
      <c r="Q93" s="26"/>
      <c r="R93" s="23">
        <f t="shared" si="12"/>
        <v>0</v>
      </c>
      <c r="S93" s="27" t="s">
        <v>18</v>
      </c>
      <c r="T93" s="19" t="s">
        <v>142</v>
      </c>
    </row>
    <row r="94" spans="1:20" ht="37.5" customHeight="1" x14ac:dyDescent="0.25">
      <c r="A94" s="19" t="s">
        <v>144</v>
      </c>
      <c r="B94">
        <f t="shared" si="7"/>
        <v>251201</v>
      </c>
      <c r="C94">
        <v>74124</v>
      </c>
      <c r="D94">
        <v>177077</v>
      </c>
      <c r="F94">
        <f t="shared" si="8"/>
        <v>185</v>
      </c>
      <c r="G94" s="20">
        <f t="shared" si="13"/>
        <v>89</v>
      </c>
      <c r="H94" s="21">
        <v>66601102513</v>
      </c>
      <c r="I94" s="22" t="s">
        <v>143</v>
      </c>
      <c r="J94" s="23"/>
      <c r="K94" s="24">
        <v>251016</v>
      </c>
      <c r="L94" s="23">
        <f t="shared" si="9"/>
        <v>185</v>
      </c>
      <c r="M94" s="24">
        <v>74095</v>
      </c>
      <c r="N94" s="25">
        <f t="shared" si="10"/>
        <v>29</v>
      </c>
      <c r="O94" s="24">
        <v>176921</v>
      </c>
      <c r="P94" s="23">
        <f t="shared" si="11"/>
        <v>156</v>
      </c>
      <c r="Q94" s="26"/>
      <c r="R94" s="23">
        <f t="shared" si="12"/>
        <v>0</v>
      </c>
      <c r="S94" s="27" t="s">
        <v>18</v>
      </c>
      <c r="T94" s="19" t="s">
        <v>144</v>
      </c>
    </row>
    <row r="95" spans="1:20" ht="37.5" customHeight="1" x14ac:dyDescent="0.25">
      <c r="A95" s="19" t="s">
        <v>145</v>
      </c>
      <c r="B95">
        <f t="shared" si="7"/>
        <v>40523</v>
      </c>
      <c r="C95">
        <v>6821</v>
      </c>
      <c r="D95">
        <v>33702</v>
      </c>
      <c r="F95">
        <f t="shared" si="8"/>
        <v>745</v>
      </c>
      <c r="G95" s="20">
        <f t="shared" si="13"/>
        <v>90</v>
      </c>
      <c r="H95" s="21">
        <v>88820010459</v>
      </c>
      <c r="I95" s="22" t="s">
        <v>143</v>
      </c>
      <c r="J95" s="23"/>
      <c r="K95" s="24">
        <v>39778</v>
      </c>
      <c r="L95" s="23">
        <f t="shared" si="9"/>
        <v>745</v>
      </c>
      <c r="M95" s="24">
        <v>6566</v>
      </c>
      <c r="N95" s="25">
        <f t="shared" si="10"/>
        <v>255</v>
      </c>
      <c r="O95" s="24">
        <v>33212</v>
      </c>
      <c r="P95" s="23">
        <f t="shared" si="11"/>
        <v>490</v>
      </c>
      <c r="Q95" s="26"/>
      <c r="R95" s="23">
        <f t="shared" si="12"/>
        <v>0</v>
      </c>
      <c r="S95" s="27" t="s">
        <v>18</v>
      </c>
      <c r="T95" s="19" t="s">
        <v>145</v>
      </c>
    </row>
    <row r="96" spans="1:20" ht="37.5" customHeight="1" x14ac:dyDescent="0.25">
      <c r="A96" s="19" t="s">
        <v>146</v>
      </c>
      <c r="B96">
        <f t="shared" si="7"/>
        <v>78776</v>
      </c>
      <c r="C96">
        <v>14754</v>
      </c>
      <c r="D96">
        <v>64022</v>
      </c>
      <c r="F96">
        <f t="shared" si="8"/>
        <v>1</v>
      </c>
      <c r="G96" s="20">
        <f t="shared" si="13"/>
        <v>91</v>
      </c>
      <c r="H96" s="21">
        <v>66617010336</v>
      </c>
      <c r="I96" s="22" t="s">
        <v>147</v>
      </c>
      <c r="J96" s="23"/>
      <c r="K96" s="24">
        <v>78775</v>
      </c>
      <c r="L96" s="23">
        <f t="shared" si="9"/>
        <v>1</v>
      </c>
      <c r="M96" s="24">
        <v>14754</v>
      </c>
      <c r="N96" s="25">
        <f t="shared" si="10"/>
        <v>0</v>
      </c>
      <c r="O96" s="24">
        <v>64021</v>
      </c>
      <c r="P96" s="23">
        <f t="shared" si="11"/>
        <v>1</v>
      </c>
      <c r="Q96" s="26"/>
      <c r="R96" s="23">
        <f t="shared" si="12"/>
        <v>0</v>
      </c>
      <c r="S96" s="27" t="s">
        <v>18</v>
      </c>
      <c r="T96" s="19" t="s">
        <v>146</v>
      </c>
    </row>
    <row r="97" spans="1:20" ht="37.5" customHeight="1" x14ac:dyDescent="0.25">
      <c r="A97" s="19" t="s">
        <v>148</v>
      </c>
      <c r="B97">
        <f t="shared" si="7"/>
        <v>8076</v>
      </c>
      <c r="C97">
        <v>1026</v>
      </c>
      <c r="D97">
        <v>7050</v>
      </c>
      <c r="F97">
        <f t="shared" si="8"/>
        <v>30</v>
      </c>
      <c r="G97" s="20">
        <f t="shared" si="13"/>
        <v>92</v>
      </c>
      <c r="H97" s="21">
        <v>66622040019</v>
      </c>
      <c r="I97" s="22" t="s">
        <v>149</v>
      </c>
      <c r="J97" s="23"/>
      <c r="K97" s="24">
        <v>8046</v>
      </c>
      <c r="L97" s="23">
        <f t="shared" si="9"/>
        <v>30</v>
      </c>
      <c r="M97" s="24">
        <v>1020</v>
      </c>
      <c r="N97" s="25">
        <f t="shared" si="10"/>
        <v>6</v>
      </c>
      <c r="O97" s="24">
        <v>7026</v>
      </c>
      <c r="P97" s="23">
        <f t="shared" si="11"/>
        <v>24</v>
      </c>
      <c r="Q97" s="26"/>
      <c r="R97" s="23">
        <f t="shared" si="12"/>
        <v>0</v>
      </c>
      <c r="S97" s="27" t="s">
        <v>18</v>
      </c>
      <c r="T97" s="19" t="s">
        <v>148</v>
      </c>
    </row>
    <row r="98" spans="1:20" ht="37.5" customHeight="1" x14ac:dyDescent="0.25">
      <c r="A98" s="19" t="s">
        <v>150</v>
      </c>
      <c r="B98">
        <v>2883</v>
      </c>
      <c r="F98">
        <f t="shared" si="8"/>
        <v>1</v>
      </c>
      <c r="G98" s="20">
        <f t="shared" si="13"/>
        <v>93</v>
      </c>
      <c r="H98" s="21">
        <v>11820010060</v>
      </c>
      <c r="I98" s="22" t="s">
        <v>151</v>
      </c>
      <c r="J98" s="23"/>
      <c r="K98" s="24">
        <v>2882</v>
      </c>
      <c r="L98" s="23">
        <f t="shared" si="9"/>
        <v>1</v>
      </c>
      <c r="M98" s="24">
        <v>0</v>
      </c>
      <c r="N98" s="25">
        <f t="shared" si="10"/>
        <v>0</v>
      </c>
      <c r="O98" s="24">
        <v>0</v>
      </c>
      <c r="P98" s="23">
        <f t="shared" si="11"/>
        <v>0</v>
      </c>
      <c r="Q98" s="26"/>
      <c r="R98" s="23">
        <f t="shared" si="12"/>
        <v>0</v>
      </c>
      <c r="S98" s="27" t="s">
        <v>152</v>
      </c>
      <c r="T98" s="19" t="s">
        <v>150</v>
      </c>
    </row>
    <row r="99" spans="1:20" ht="37.5" customHeight="1" x14ac:dyDescent="0.25">
      <c r="A99" s="19" t="s">
        <v>153</v>
      </c>
      <c r="B99">
        <f t="shared" si="7"/>
        <v>572</v>
      </c>
      <c r="C99">
        <v>104</v>
      </c>
      <c r="D99">
        <v>468</v>
      </c>
      <c r="F99">
        <f t="shared" si="8"/>
        <v>217</v>
      </c>
      <c r="G99" s="20">
        <f t="shared" si="13"/>
        <v>94</v>
      </c>
      <c r="H99" s="21">
        <v>66624010239</v>
      </c>
      <c r="I99" s="22" t="s">
        <v>154</v>
      </c>
      <c r="J99" s="23"/>
      <c r="K99" s="24">
        <v>355</v>
      </c>
      <c r="L99" s="23">
        <f t="shared" si="9"/>
        <v>217</v>
      </c>
      <c r="M99" s="24">
        <v>68</v>
      </c>
      <c r="N99" s="25">
        <f t="shared" si="10"/>
        <v>36</v>
      </c>
      <c r="O99" s="24">
        <v>287</v>
      </c>
      <c r="P99" s="23">
        <f t="shared" si="11"/>
        <v>181</v>
      </c>
      <c r="Q99" s="26"/>
      <c r="R99" s="23">
        <f t="shared" si="12"/>
        <v>0</v>
      </c>
      <c r="S99" s="27" t="s">
        <v>18</v>
      </c>
      <c r="T99" s="19" t="s">
        <v>153</v>
      </c>
    </row>
    <row r="100" spans="1:20" ht="37.5" customHeight="1" x14ac:dyDescent="0.25">
      <c r="A100" s="19" t="s">
        <v>155</v>
      </c>
      <c r="B100">
        <f t="shared" si="7"/>
        <v>19050</v>
      </c>
      <c r="C100">
        <v>4837</v>
      </c>
      <c r="D100">
        <v>14213</v>
      </c>
      <c r="F100">
        <f t="shared" si="8"/>
        <v>16</v>
      </c>
      <c r="G100" s="20">
        <f t="shared" si="13"/>
        <v>95</v>
      </c>
      <c r="H100" s="21">
        <v>88820010226</v>
      </c>
      <c r="I100" s="22" t="s">
        <v>156</v>
      </c>
      <c r="J100" s="23"/>
      <c r="K100" s="24">
        <v>19034</v>
      </c>
      <c r="L100" s="23">
        <f t="shared" si="9"/>
        <v>16</v>
      </c>
      <c r="M100" s="24">
        <v>4834</v>
      </c>
      <c r="N100" s="25">
        <f t="shared" si="10"/>
        <v>3</v>
      </c>
      <c r="O100" s="24">
        <v>14200</v>
      </c>
      <c r="P100" s="23">
        <f t="shared" si="11"/>
        <v>13</v>
      </c>
      <c r="Q100" s="26"/>
      <c r="R100" s="23">
        <f t="shared" si="12"/>
        <v>0</v>
      </c>
      <c r="S100" s="27" t="s">
        <v>152</v>
      </c>
      <c r="T100" s="19" t="s">
        <v>155</v>
      </c>
    </row>
    <row r="101" spans="1:20" ht="37.5" customHeight="1" x14ac:dyDescent="0.25">
      <c r="A101" s="19" t="s">
        <v>157</v>
      </c>
      <c r="B101">
        <f t="shared" si="7"/>
        <v>548</v>
      </c>
      <c r="C101">
        <v>33</v>
      </c>
      <c r="D101">
        <v>515</v>
      </c>
      <c r="F101">
        <f t="shared" si="8"/>
        <v>228</v>
      </c>
      <c r="G101" s="20">
        <f t="shared" si="13"/>
        <v>96</v>
      </c>
      <c r="H101" s="21">
        <v>66624030139</v>
      </c>
      <c r="I101" s="22" t="s">
        <v>158</v>
      </c>
      <c r="J101" s="23"/>
      <c r="K101" s="24">
        <v>320</v>
      </c>
      <c r="L101" s="23">
        <f t="shared" si="9"/>
        <v>228</v>
      </c>
      <c r="M101" s="24">
        <v>18</v>
      </c>
      <c r="N101" s="25">
        <f t="shared" si="10"/>
        <v>15</v>
      </c>
      <c r="O101" s="24">
        <v>302</v>
      </c>
      <c r="P101" s="23">
        <f t="shared" si="11"/>
        <v>213</v>
      </c>
      <c r="Q101" s="26"/>
      <c r="R101" s="23">
        <f t="shared" si="12"/>
        <v>0</v>
      </c>
      <c r="S101" s="27" t="s">
        <v>152</v>
      </c>
      <c r="T101" s="19" t="s">
        <v>157</v>
      </c>
    </row>
    <row r="102" spans="1:20" ht="37.5" customHeight="1" x14ac:dyDescent="0.25">
      <c r="A102" s="19" t="s">
        <v>159</v>
      </c>
      <c r="B102">
        <v>277</v>
      </c>
      <c r="C102">
        <v>65</v>
      </c>
      <c r="D102">
        <v>123</v>
      </c>
      <c r="F102">
        <f t="shared" si="8"/>
        <v>0</v>
      </c>
      <c r="G102" s="20">
        <f t="shared" si="13"/>
        <v>97</v>
      </c>
      <c r="H102" s="21">
        <v>66624030140</v>
      </c>
      <c r="I102" s="22" t="s">
        <v>160</v>
      </c>
      <c r="J102" s="23"/>
      <c r="K102" s="24">
        <v>277</v>
      </c>
      <c r="L102" s="23">
        <f t="shared" si="9"/>
        <v>0</v>
      </c>
      <c r="M102" s="24">
        <v>59</v>
      </c>
      <c r="N102" s="25">
        <f t="shared" si="10"/>
        <v>6</v>
      </c>
      <c r="O102" s="24">
        <v>224</v>
      </c>
      <c r="P102" s="23">
        <f t="shared" si="11"/>
        <v>-101</v>
      </c>
      <c r="Q102" s="26"/>
      <c r="R102" s="23">
        <f t="shared" si="12"/>
        <v>0</v>
      </c>
      <c r="S102" s="27" t="s">
        <v>152</v>
      </c>
      <c r="T102" s="19" t="s">
        <v>159</v>
      </c>
    </row>
    <row r="103" spans="1:20" ht="37.5" customHeight="1" x14ac:dyDescent="0.25">
      <c r="A103" s="19" t="s">
        <v>161</v>
      </c>
      <c r="B103">
        <f t="shared" si="7"/>
        <v>309</v>
      </c>
      <c r="C103">
        <v>75</v>
      </c>
      <c r="D103">
        <v>234</v>
      </c>
      <c r="F103">
        <f t="shared" si="8"/>
        <v>78</v>
      </c>
      <c r="G103" s="20">
        <f t="shared" si="13"/>
        <v>98</v>
      </c>
      <c r="H103" s="21">
        <v>66624020250</v>
      </c>
      <c r="I103" s="22" t="s">
        <v>162</v>
      </c>
      <c r="J103" s="23"/>
      <c r="K103" s="24">
        <v>231</v>
      </c>
      <c r="L103" s="23">
        <f t="shared" si="9"/>
        <v>78</v>
      </c>
      <c r="M103" s="24">
        <v>63</v>
      </c>
      <c r="N103" s="25">
        <f t="shared" si="10"/>
        <v>12</v>
      </c>
      <c r="O103" s="24">
        <v>168</v>
      </c>
      <c r="P103" s="23">
        <f t="shared" si="11"/>
        <v>66</v>
      </c>
      <c r="Q103" s="26"/>
      <c r="R103" s="23">
        <f t="shared" si="12"/>
        <v>0</v>
      </c>
      <c r="S103" s="27" t="s">
        <v>152</v>
      </c>
      <c r="T103" s="19" t="s">
        <v>161</v>
      </c>
    </row>
    <row r="104" spans="1:20" ht="37.5" customHeight="1" x14ac:dyDescent="0.25">
      <c r="A104" s="19" t="s">
        <v>163</v>
      </c>
      <c r="B104">
        <f t="shared" si="7"/>
        <v>28</v>
      </c>
      <c r="C104">
        <v>4</v>
      </c>
      <c r="D104">
        <v>24</v>
      </c>
      <c r="F104">
        <f t="shared" si="8"/>
        <v>4</v>
      </c>
      <c r="G104" s="20">
        <f t="shared" si="13"/>
        <v>99</v>
      </c>
      <c r="H104" s="21">
        <v>66624020249</v>
      </c>
      <c r="I104" s="22" t="s">
        <v>164</v>
      </c>
      <c r="J104" s="23"/>
      <c r="K104" s="24">
        <v>24</v>
      </c>
      <c r="L104" s="23">
        <f t="shared" si="9"/>
        <v>4</v>
      </c>
      <c r="M104" s="24">
        <v>3</v>
      </c>
      <c r="N104" s="25">
        <f t="shared" si="10"/>
        <v>1</v>
      </c>
      <c r="O104" s="24">
        <v>21</v>
      </c>
      <c r="P104" s="23">
        <f t="shared" si="11"/>
        <v>3</v>
      </c>
      <c r="Q104" s="26"/>
      <c r="R104" s="23">
        <f t="shared" si="12"/>
        <v>0</v>
      </c>
      <c r="S104" s="27" t="s">
        <v>152</v>
      </c>
      <c r="T104" s="19" t="s">
        <v>163</v>
      </c>
    </row>
    <row r="105" spans="1:20" ht="37.5" customHeight="1" x14ac:dyDescent="0.25">
      <c r="A105" s="19" t="s">
        <v>165</v>
      </c>
      <c r="B105">
        <f t="shared" si="7"/>
        <v>34007</v>
      </c>
      <c r="C105">
        <v>5899</v>
      </c>
      <c r="D105">
        <v>28108</v>
      </c>
      <c r="F105">
        <f t="shared" si="8"/>
        <v>21</v>
      </c>
      <c r="G105" s="20">
        <f t="shared" si="13"/>
        <v>100</v>
      </c>
      <c r="H105" s="21">
        <v>88820030285</v>
      </c>
      <c r="I105" s="22" t="s">
        <v>166</v>
      </c>
      <c r="J105" s="23"/>
      <c r="K105" s="24">
        <v>33986</v>
      </c>
      <c r="L105" s="23">
        <f t="shared" si="9"/>
        <v>21</v>
      </c>
      <c r="M105" s="24">
        <v>5893</v>
      </c>
      <c r="N105" s="25">
        <f t="shared" si="10"/>
        <v>6</v>
      </c>
      <c r="O105" s="24">
        <v>28093</v>
      </c>
      <c r="P105" s="23">
        <f t="shared" si="11"/>
        <v>15</v>
      </c>
      <c r="Q105" s="26"/>
      <c r="R105" s="23">
        <f t="shared" si="12"/>
        <v>0</v>
      </c>
      <c r="S105" s="27" t="s">
        <v>152</v>
      </c>
      <c r="T105" s="19" t="s">
        <v>165</v>
      </c>
    </row>
    <row r="106" spans="1:20" ht="37.5" customHeight="1" x14ac:dyDescent="0.25">
      <c r="A106" s="19" t="s">
        <v>167</v>
      </c>
      <c r="B106">
        <f t="shared" si="7"/>
        <v>9893</v>
      </c>
      <c r="C106">
        <v>783</v>
      </c>
      <c r="D106">
        <v>9110</v>
      </c>
      <c r="F106">
        <f t="shared" si="8"/>
        <v>52</v>
      </c>
      <c r="G106" s="20">
        <f t="shared" si="13"/>
        <v>101</v>
      </c>
      <c r="H106" s="21">
        <v>66621060295</v>
      </c>
      <c r="I106" s="22" t="s">
        <v>168</v>
      </c>
      <c r="J106" s="23"/>
      <c r="K106" s="24">
        <v>9841</v>
      </c>
      <c r="L106" s="23">
        <f t="shared" si="9"/>
        <v>52</v>
      </c>
      <c r="M106" s="24">
        <v>776</v>
      </c>
      <c r="N106" s="25">
        <f t="shared" si="10"/>
        <v>7</v>
      </c>
      <c r="O106" s="24">
        <v>9065</v>
      </c>
      <c r="P106" s="23">
        <f t="shared" si="11"/>
        <v>45</v>
      </c>
      <c r="Q106" s="26"/>
      <c r="R106" s="23">
        <f t="shared" si="12"/>
        <v>0</v>
      </c>
      <c r="S106" s="27" t="s">
        <v>152</v>
      </c>
      <c r="T106" s="19" t="s">
        <v>167</v>
      </c>
    </row>
    <row r="107" spans="1:20" ht="37.5" customHeight="1" x14ac:dyDescent="0.25">
      <c r="A107" s="19" t="s">
        <v>169</v>
      </c>
      <c r="B107">
        <f t="shared" si="7"/>
        <v>16716</v>
      </c>
      <c r="C107">
        <v>4845</v>
      </c>
      <c r="D107">
        <v>11871</v>
      </c>
      <c r="F107">
        <f t="shared" si="8"/>
        <v>0</v>
      </c>
      <c r="G107" s="20">
        <f t="shared" si="13"/>
        <v>102</v>
      </c>
      <c r="H107" s="21">
        <v>66617010205</v>
      </c>
      <c r="I107" s="22" t="s">
        <v>170</v>
      </c>
      <c r="J107" s="23"/>
      <c r="K107" s="24">
        <v>16716</v>
      </c>
      <c r="L107" s="23">
        <f t="shared" si="9"/>
        <v>0</v>
      </c>
      <c r="M107" s="24">
        <v>4845</v>
      </c>
      <c r="N107" s="25">
        <f t="shared" si="10"/>
        <v>0</v>
      </c>
      <c r="O107" s="24">
        <v>11871</v>
      </c>
      <c r="P107" s="23">
        <f t="shared" si="11"/>
        <v>0</v>
      </c>
      <c r="Q107" s="26"/>
      <c r="R107" s="23">
        <f t="shared" si="12"/>
        <v>0</v>
      </c>
      <c r="S107" s="27" t="s">
        <v>152</v>
      </c>
      <c r="T107" s="19" t="s">
        <v>169</v>
      </c>
    </row>
    <row r="108" spans="1:20" ht="37.5" customHeight="1" x14ac:dyDescent="0.25">
      <c r="A108" s="19" t="s">
        <v>171</v>
      </c>
      <c r="B108">
        <f t="shared" si="7"/>
        <v>23668</v>
      </c>
      <c r="C108">
        <v>3915</v>
      </c>
      <c r="D108">
        <v>19753</v>
      </c>
      <c r="F108">
        <f t="shared" si="8"/>
        <v>274</v>
      </c>
      <c r="G108" s="20">
        <f t="shared" si="13"/>
        <v>103</v>
      </c>
      <c r="H108" s="21">
        <v>66617010204</v>
      </c>
      <c r="I108" s="22" t="s">
        <v>172</v>
      </c>
      <c r="J108" s="23"/>
      <c r="K108" s="24">
        <v>23394</v>
      </c>
      <c r="L108" s="23">
        <f t="shared" si="9"/>
        <v>274</v>
      </c>
      <c r="M108" s="24">
        <v>3843</v>
      </c>
      <c r="N108" s="25">
        <f t="shared" si="10"/>
        <v>72</v>
      </c>
      <c r="O108" s="24">
        <v>19551</v>
      </c>
      <c r="P108" s="23">
        <f t="shared" si="11"/>
        <v>202</v>
      </c>
      <c r="Q108" s="26"/>
      <c r="R108" s="23">
        <f t="shared" si="12"/>
        <v>0</v>
      </c>
      <c r="S108" s="27" t="s">
        <v>152</v>
      </c>
      <c r="T108" s="19" t="s">
        <v>171</v>
      </c>
    </row>
    <row r="109" spans="1:20" ht="37.5" customHeight="1" x14ac:dyDescent="0.25">
      <c r="A109" s="19" t="s">
        <v>173</v>
      </c>
      <c r="B109">
        <f t="shared" si="7"/>
        <v>9023</v>
      </c>
      <c r="C109">
        <v>1757</v>
      </c>
      <c r="D109">
        <v>7266</v>
      </c>
      <c r="F109">
        <f t="shared" si="8"/>
        <v>17</v>
      </c>
      <c r="G109" s="20">
        <f t="shared" si="13"/>
        <v>104</v>
      </c>
      <c r="H109" s="21">
        <v>66622050144</v>
      </c>
      <c r="I109" s="22" t="s">
        <v>174</v>
      </c>
      <c r="J109" s="23"/>
      <c r="K109" s="24">
        <v>9006</v>
      </c>
      <c r="L109" s="23">
        <f t="shared" si="9"/>
        <v>17</v>
      </c>
      <c r="M109" s="24">
        <v>1755</v>
      </c>
      <c r="N109" s="25">
        <f t="shared" si="10"/>
        <v>2</v>
      </c>
      <c r="O109" s="24">
        <v>7251</v>
      </c>
      <c r="P109" s="23">
        <f t="shared" si="11"/>
        <v>15</v>
      </c>
      <c r="Q109" s="26"/>
      <c r="R109" s="23">
        <f t="shared" si="12"/>
        <v>0</v>
      </c>
      <c r="S109" s="27" t="s">
        <v>152</v>
      </c>
      <c r="T109" s="19" t="s">
        <v>173</v>
      </c>
    </row>
    <row r="110" spans="1:20" ht="37.5" customHeight="1" x14ac:dyDescent="0.25">
      <c r="A110" s="19" t="s">
        <v>175</v>
      </c>
      <c r="B110">
        <f t="shared" si="7"/>
        <v>25481</v>
      </c>
      <c r="C110">
        <v>4043</v>
      </c>
      <c r="D110">
        <v>21438</v>
      </c>
      <c r="F110">
        <f t="shared" si="8"/>
        <v>126</v>
      </c>
      <c r="G110" s="20">
        <f t="shared" si="13"/>
        <v>105</v>
      </c>
      <c r="H110" s="21">
        <v>88820020246</v>
      </c>
      <c r="I110" s="22" t="s">
        <v>176</v>
      </c>
      <c r="J110" s="23"/>
      <c r="K110" s="24">
        <v>25355</v>
      </c>
      <c r="L110" s="23">
        <f t="shared" si="9"/>
        <v>126</v>
      </c>
      <c r="M110" s="24">
        <v>4035</v>
      </c>
      <c r="N110" s="25">
        <f t="shared" si="10"/>
        <v>8</v>
      </c>
      <c r="O110" s="24">
        <v>21320</v>
      </c>
      <c r="P110" s="23">
        <f t="shared" si="11"/>
        <v>118</v>
      </c>
      <c r="Q110" s="26"/>
      <c r="R110" s="23">
        <f t="shared" si="12"/>
        <v>0</v>
      </c>
      <c r="S110" s="27" t="s">
        <v>152</v>
      </c>
      <c r="T110" s="19" t="s">
        <v>175</v>
      </c>
    </row>
    <row r="111" spans="1:20" ht="37.5" customHeight="1" x14ac:dyDescent="0.25">
      <c r="A111" s="19" t="s">
        <v>177</v>
      </c>
      <c r="B111">
        <f t="shared" si="7"/>
        <v>1796</v>
      </c>
      <c r="C111">
        <v>268</v>
      </c>
      <c r="D111">
        <v>1528</v>
      </c>
      <c r="F111">
        <f t="shared" si="8"/>
        <v>0</v>
      </c>
      <c r="G111" s="20">
        <f t="shared" si="13"/>
        <v>106</v>
      </c>
      <c r="H111" s="21">
        <v>66621010052</v>
      </c>
      <c r="I111" s="22" t="s">
        <v>178</v>
      </c>
      <c r="J111" s="23"/>
      <c r="K111" s="24">
        <v>1796</v>
      </c>
      <c r="L111" s="23">
        <f t="shared" si="9"/>
        <v>0</v>
      </c>
      <c r="M111" s="24">
        <v>268</v>
      </c>
      <c r="N111" s="25">
        <f t="shared" si="10"/>
        <v>0</v>
      </c>
      <c r="O111" s="24">
        <v>1528</v>
      </c>
      <c r="P111" s="23">
        <f t="shared" si="11"/>
        <v>0</v>
      </c>
      <c r="Q111" s="26"/>
      <c r="R111" s="23">
        <f t="shared" si="12"/>
        <v>0</v>
      </c>
      <c r="S111" s="27" t="s">
        <v>152</v>
      </c>
      <c r="T111" s="19" t="s">
        <v>177</v>
      </c>
    </row>
    <row r="112" spans="1:20" ht="37.5" customHeight="1" x14ac:dyDescent="0.25">
      <c r="A112" s="19" t="s">
        <v>179</v>
      </c>
      <c r="B112">
        <f t="shared" si="7"/>
        <v>2281</v>
      </c>
      <c r="C112">
        <v>446</v>
      </c>
      <c r="D112">
        <v>1835</v>
      </c>
      <c r="F112">
        <f t="shared" si="8"/>
        <v>153</v>
      </c>
      <c r="G112" s="20">
        <f t="shared" si="13"/>
        <v>107</v>
      </c>
      <c r="H112" s="21">
        <v>66619040172</v>
      </c>
      <c r="I112" s="22" t="s">
        <v>180</v>
      </c>
      <c r="J112" s="23"/>
      <c r="K112" s="24">
        <v>2128</v>
      </c>
      <c r="L112" s="23">
        <f t="shared" si="9"/>
        <v>153</v>
      </c>
      <c r="M112" s="24">
        <v>433</v>
      </c>
      <c r="N112" s="25">
        <f t="shared" si="10"/>
        <v>13</v>
      </c>
      <c r="O112" s="24">
        <v>1695</v>
      </c>
      <c r="P112" s="23">
        <f t="shared" si="11"/>
        <v>140</v>
      </c>
      <c r="Q112" s="26"/>
      <c r="R112" s="23">
        <f t="shared" si="12"/>
        <v>0</v>
      </c>
      <c r="S112" s="27" t="s">
        <v>152</v>
      </c>
      <c r="T112" s="19" t="s">
        <v>179</v>
      </c>
    </row>
    <row r="113" spans="1:20" ht="37.5" customHeight="1" x14ac:dyDescent="0.25">
      <c r="A113" s="19" t="s">
        <v>181</v>
      </c>
      <c r="B113">
        <f t="shared" si="7"/>
        <v>1297</v>
      </c>
      <c r="C113">
        <v>428</v>
      </c>
      <c r="D113">
        <v>869</v>
      </c>
      <c r="F113">
        <f t="shared" si="8"/>
        <v>51</v>
      </c>
      <c r="G113" s="20">
        <f t="shared" si="13"/>
        <v>108</v>
      </c>
      <c r="H113" s="21">
        <v>66622050525</v>
      </c>
      <c r="I113" s="22" t="s">
        <v>182</v>
      </c>
      <c r="J113" s="23"/>
      <c r="K113" s="24">
        <v>1246</v>
      </c>
      <c r="L113" s="23">
        <f t="shared" si="9"/>
        <v>51</v>
      </c>
      <c r="M113" s="24">
        <v>410</v>
      </c>
      <c r="N113" s="25">
        <f t="shared" si="10"/>
        <v>18</v>
      </c>
      <c r="O113" s="24">
        <v>836</v>
      </c>
      <c r="P113" s="23">
        <f t="shared" si="11"/>
        <v>33</v>
      </c>
      <c r="Q113" s="26"/>
      <c r="R113" s="23">
        <f t="shared" si="12"/>
        <v>0</v>
      </c>
      <c r="S113" s="27" t="s">
        <v>152</v>
      </c>
      <c r="T113" s="19" t="s">
        <v>181</v>
      </c>
    </row>
    <row r="114" spans="1:20" ht="37.5" customHeight="1" x14ac:dyDescent="0.25">
      <c r="A114" s="19" t="s">
        <v>183</v>
      </c>
      <c r="B114">
        <f t="shared" si="7"/>
        <v>8343</v>
      </c>
      <c r="C114">
        <v>1906</v>
      </c>
      <c r="D114">
        <v>6437</v>
      </c>
      <c r="F114">
        <f t="shared" si="8"/>
        <v>423</v>
      </c>
      <c r="G114" s="20">
        <f t="shared" si="13"/>
        <v>109</v>
      </c>
      <c r="H114" s="21">
        <v>66623011226</v>
      </c>
      <c r="I114" s="22" t="s">
        <v>184</v>
      </c>
      <c r="J114" s="23"/>
      <c r="K114" s="24">
        <v>7920</v>
      </c>
      <c r="L114" s="23">
        <f t="shared" si="9"/>
        <v>423</v>
      </c>
      <c r="M114" s="24">
        <v>1793</v>
      </c>
      <c r="N114" s="25">
        <f t="shared" si="10"/>
        <v>113</v>
      </c>
      <c r="O114" s="24">
        <v>6127</v>
      </c>
      <c r="P114" s="23">
        <f t="shared" si="11"/>
        <v>310</v>
      </c>
      <c r="Q114" s="26"/>
      <c r="R114" s="23">
        <f t="shared" si="12"/>
        <v>0</v>
      </c>
      <c r="S114" s="27" t="s">
        <v>152</v>
      </c>
      <c r="T114" s="19" t="s">
        <v>183</v>
      </c>
    </row>
    <row r="115" spans="1:20" ht="37.5" customHeight="1" x14ac:dyDescent="0.25">
      <c r="A115" s="19" t="s">
        <v>185</v>
      </c>
      <c r="B115">
        <f t="shared" si="7"/>
        <v>6797</v>
      </c>
      <c r="C115">
        <v>1180</v>
      </c>
      <c r="D115">
        <v>5617</v>
      </c>
      <c r="F115">
        <f t="shared" si="8"/>
        <v>0</v>
      </c>
      <c r="G115" s="20">
        <f t="shared" si="13"/>
        <v>110</v>
      </c>
      <c r="H115" s="21">
        <v>66622050158</v>
      </c>
      <c r="I115" s="22" t="s">
        <v>186</v>
      </c>
      <c r="J115" s="23"/>
      <c r="K115" s="24">
        <v>6797</v>
      </c>
      <c r="L115" s="23">
        <f t="shared" si="9"/>
        <v>0</v>
      </c>
      <c r="M115" s="24">
        <v>1180</v>
      </c>
      <c r="N115" s="25">
        <f t="shared" si="10"/>
        <v>0</v>
      </c>
      <c r="O115" s="24">
        <v>5617</v>
      </c>
      <c r="P115" s="23">
        <f t="shared" si="11"/>
        <v>0</v>
      </c>
      <c r="Q115" s="26"/>
      <c r="R115" s="23">
        <f t="shared" si="12"/>
        <v>0</v>
      </c>
      <c r="S115" s="27" t="s">
        <v>152</v>
      </c>
      <c r="T115" s="19" t="s">
        <v>185</v>
      </c>
    </row>
    <row r="116" spans="1:20" ht="37.5" customHeight="1" x14ac:dyDescent="0.25">
      <c r="A116" s="19" t="s">
        <v>187</v>
      </c>
      <c r="B116">
        <f t="shared" si="7"/>
        <v>1058</v>
      </c>
      <c r="C116">
        <v>165</v>
      </c>
      <c r="D116">
        <v>893</v>
      </c>
      <c r="F116">
        <f t="shared" si="8"/>
        <v>176</v>
      </c>
      <c r="G116" s="20">
        <f t="shared" si="13"/>
        <v>111</v>
      </c>
      <c r="H116" s="21">
        <v>66623030298</v>
      </c>
      <c r="I116" s="22" t="s">
        <v>188</v>
      </c>
      <c r="J116" s="23"/>
      <c r="K116" s="24">
        <v>882</v>
      </c>
      <c r="L116" s="23">
        <f t="shared" si="9"/>
        <v>176</v>
      </c>
      <c r="M116" s="24">
        <v>140</v>
      </c>
      <c r="N116" s="25">
        <f t="shared" si="10"/>
        <v>25</v>
      </c>
      <c r="O116" s="24">
        <v>742</v>
      </c>
      <c r="P116" s="23">
        <f t="shared" si="11"/>
        <v>151</v>
      </c>
      <c r="Q116" s="26"/>
      <c r="R116" s="23">
        <f t="shared" si="12"/>
        <v>0</v>
      </c>
      <c r="S116" s="27" t="s">
        <v>152</v>
      </c>
      <c r="T116" s="19" t="s">
        <v>187</v>
      </c>
    </row>
    <row r="117" spans="1:20" ht="37.5" customHeight="1" x14ac:dyDescent="0.25">
      <c r="A117" s="19" t="s">
        <v>189</v>
      </c>
      <c r="B117">
        <f t="shared" si="7"/>
        <v>80640</v>
      </c>
      <c r="C117">
        <v>16604</v>
      </c>
      <c r="D117">
        <v>64036</v>
      </c>
      <c r="F117">
        <f t="shared" si="8"/>
        <v>1097</v>
      </c>
      <c r="G117" s="20">
        <f t="shared" si="13"/>
        <v>112</v>
      </c>
      <c r="H117" s="21">
        <v>23014040124</v>
      </c>
      <c r="I117" s="22" t="s">
        <v>190</v>
      </c>
      <c r="J117" s="23"/>
      <c r="K117" s="24">
        <v>79543</v>
      </c>
      <c r="L117" s="23">
        <f t="shared" si="9"/>
        <v>1097</v>
      </c>
      <c r="M117" s="24">
        <v>16436</v>
      </c>
      <c r="N117" s="25">
        <f t="shared" si="10"/>
        <v>168</v>
      </c>
      <c r="O117" s="24">
        <v>63107</v>
      </c>
      <c r="P117" s="23">
        <f t="shared" si="11"/>
        <v>929</v>
      </c>
      <c r="Q117" s="26"/>
      <c r="R117" s="23">
        <f t="shared" si="12"/>
        <v>0</v>
      </c>
      <c r="S117" s="27" t="s">
        <v>152</v>
      </c>
      <c r="T117" s="19" t="s">
        <v>189</v>
      </c>
    </row>
    <row r="118" spans="1:20" ht="37.5" customHeight="1" x14ac:dyDescent="0.25">
      <c r="A118" s="19" t="s">
        <v>191</v>
      </c>
      <c r="B118">
        <f t="shared" si="7"/>
        <v>5378</v>
      </c>
      <c r="C118">
        <v>1376</v>
      </c>
      <c r="D118">
        <v>4002</v>
      </c>
      <c r="F118">
        <f t="shared" si="8"/>
        <v>90</v>
      </c>
      <c r="G118" s="20">
        <f t="shared" si="13"/>
        <v>113</v>
      </c>
      <c r="H118" s="21">
        <v>66621060304</v>
      </c>
      <c r="I118" s="22" t="s">
        <v>192</v>
      </c>
      <c r="J118" s="23"/>
      <c r="K118" s="24">
        <v>5288</v>
      </c>
      <c r="L118" s="23">
        <f t="shared" si="9"/>
        <v>90</v>
      </c>
      <c r="M118" s="24">
        <v>1368</v>
      </c>
      <c r="N118" s="25">
        <f t="shared" si="10"/>
        <v>8</v>
      </c>
      <c r="O118" s="24">
        <v>3920</v>
      </c>
      <c r="P118" s="23">
        <f t="shared" si="11"/>
        <v>82</v>
      </c>
      <c r="Q118" s="26"/>
      <c r="R118" s="23">
        <f t="shared" si="12"/>
        <v>0</v>
      </c>
      <c r="S118" s="27" t="s">
        <v>18</v>
      </c>
      <c r="T118" s="19" t="s">
        <v>191</v>
      </c>
    </row>
    <row r="119" spans="1:20" ht="37.5" customHeight="1" x14ac:dyDescent="0.25">
      <c r="A119" s="19" t="s">
        <v>193</v>
      </c>
      <c r="B119">
        <f t="shared" si="7"/>
        <v>2457</v>
      </c>
      <c r="C119">
        <v>246</v>
      </c>
      <c r="D119">
        <v>2211</v>
      </c>
      <c r="F119">
        <f t="shared" si="8"/>
        <v>39</v>
      </c>
      <c r="G119" s="20">
        <f t="shared" si="13"/>
        <v>114</v>
      </c>
      <c r="H119" s="21">
        <v>66621060305</v>
      </c>
      <c r="I119" s="22" t="s">
        <v>194</v>
      </c>
      <c r="J119" s="23"/>
      <c r="K119" s="24">
        <v>2418</v>
      </c>
      <c r="L119" s="23">
        <f t="shared" si="9"/>
        <v>39</v>
      </c>
      <c r="M119" s="24">
        <v>244</v>
      </c>
      <c r="N119" s="25">
        <f t="shared" si="10"/>
        <v>2</v>
      </c>
      <c r="O119" s="24">
        <v>2174</v>
      </c>
      <c r="P119" s="23">
        <f t="shared" si="11"/>
        <v>37</v>
      </c>
      <c r="Q119" s="26"/>
      <c r="R119" s="23">
        <f t="shared" si="12"/>
        <v>0</v>
      </c>
      <c r="S119" s="27" t="s">
        <v>18</v>
      </c>
      <c r="T119" s="19" t="s">
        <v>193</v>
      </c>
    </row>
    <row r="120" spans="1:20" ht="37.5" customHeight="1" x14ac:dyDescent="0.25">
      <c r="A120" s="19" t="s">
        <v>195</v>
      </c>
      <c r="B120">
        <f t="shared" si="7"/>
        <v>111273</v>
      </c>
      <c r="C120">
        <v>22787</v>
      </c>
      <c r="D120">
        <v>88486</v>
      </c>
      <c r="F120">
        <f t="shared" si="8"/>
        <v>1945</v>
      </c>
      <c r="G120" s="20">
        <f t="shared" si="13"/>
        <v>115</v>
      </c>
      <c r="H120" s="21">
        <v>66618010363</v>
      </c>
      <c r="I120" s="22" t="s">
        <v>196</v>
      </c>
      <c r="J120" s="23"/>
      <c r="K120" s="24">
        <v>109328</v>
      </c>
      <c r="L120" s="23">
        <f t="shared" si="9"/>
        <v>1945</v>
      </c>
      <c r="M120" s="24">
        <v>22366</v>
      </c>
      <c r="N120" s="25">
        <f t="shared" si="10"/>
        <v>421</v>
      </c>
      <c r="O120" s="24">
        <v>86962</v>
      </c>
      <c r="P120" s="23">
        <f t="shared" si="11"/>
        <v>1524</v>
      </c>
      <c r="Q120" s="26"/>
      <c r="R120" s="23">
        <f t="shared" si="12"/>
        <v>0</v>
      </c>
      <c r="S120" s="27" t="s">
        <v>152</v>
      </c>
      <c r="T120" s="19" t="s">
        <v>195</v>
      </c>
    </row>
    <row r="121" spans="1:20" ht="37.5" customHeight="1" x14ac:dyDescent="0.25">
      <c r="A121" s="19" t="s">
        <v>197</v>
      </c>
      <c r="B121">
        <f t="shared" si="7"/>
        <v>11345</v>
      </c>
      <c r="C121">
        <v>2157</v>
      </c>
      <c r="D121">
        <v>9188</v>
      </c>
      <c r="F121">
        <f t="shared" si="8"/>
        <v>409</v>
      </c>
      <c r="G121" s="20">
        <f t="shared" si="13"/>
        <v>116</v>
      </c>
      <c r="H121" s="21">
        <v>52521705727</v>
      </c>
      <c r="I121" s="22" t="s">
        <v>198</v>
      </c>
      <c r="J121" s="23"/>
      <c r="K121" s="24">
        <v>10936</v>
      </c>
      <c r="L121" s="23">
        <f t="shared" si="9"/>
        <v>409</v>
      </c>
      <c r="M121" s="24">
        <v>2076</v>
      </c>
      <c r="N121" s="25">
        <f t="shared" si="10"/>
        <v>81</v>
      </c>
      <c r="O121" s="24">
        <v>8860</v>
      </c>
      <c r="P121" s="23">
        <f t="shared" si="11"/>
        <v>328</v>
      </c>
      <c r="Q121" s="26"/>
      <c r="R121" s="23">
        <f t="shared" si="12"/>
        <v>0</v>
      </c>
      <c r="S121" s="27" t="s">
        <v>152</v>
      </c>
      <c r="T121" s="19" t="s">
        <v>197</v>
      </c>
    </row>
    <row r="122" spans="1:20" ht="37.5" customHeight="1" x14ac:dyDescent="0.25">
      <c r="A122" s="19" t="s">
        <v>199</v>
      </c>
      <c r="B122">
        <f t="shared" si="7"/>
        <v>3790</v>
      </c>
      <c r="C122">
        <v>1136</v>
      </c>
      <c r="D122">
        <v>2654</v>
      </c>
      <c r="F122">
        <f t="shared" si="8"/>
        <v>4</v>
      </c>
      <c r="G122" s="20">
        <f t="shared" si="13"/>
        <v>117</v>
      </c>
      <c r="H122" s="21">
        <v>52521702930</v>
      </c>
      <c r="I122" s="22" t="s">
        <v>200</v>
      </c>
      <c r="J122" s="23"/>
      <c r="K122" s="24">
        <v>3786</v>
      </c>
      <c r="L122" s="23">
        <f t="shared" si="9"/>
        <v>4</v>
      </c>
      <c r="M122" s="24">
        <v>1134</v>
      </c>
      <c r="N122" s="25">
        <f t="shared" si="10"/>
        <v>2</v>
      </c>
      <c r="O122" s="24">
        <v>2652</v>
      </c>
      <c r="P122" s="23">
        <f t="shared" si="11"/>
        <v>2</v>
      </c>
      <c r="Q122" s="26"/>
      <c r="R122" s="23">
        <f t="shared" si="12"/>
        <v>0</v>
      </c>
      <c r="S122" s="27" t="s">
        <v>152</v>
      </c>
      <c r="T122" s="19" t="s">
        <v>199</v>
      </c>
    </row>
    <row r="123" spans="1:20" ht="37.5" customHeight="1" x14ac:dyDescent="0.25">
      <c r="A123" s="19" t="s">
        <v>201</v>
      </c>
      <c r="B123">
        <f t="shared" si="7"/>
        <v>1363</v>
      </c>
      <c r="C123">
        <v>256</v>
      </c>
      <c r="D123">
        <v>1107</v>
      </c>
      <c r="F123">
        <f t="shared" si="8"/>
        <v>0</v>
      </c>
      <c r="G123" s="20">
        <f t="shared" si="13"/>
        <v>118</v>
      </c>
      <c r="H123" s="21">
        <v>66621040265</v>
      </c>
      <c r="I123" s="22" t="s">
        <v>202</v>
      </c>
      <c r="J123" s="23"/>
      <c r="K123" s="24">
        <v>1363</v>
      </c>
      <c r="L123" s="23">
        <f t="shared" si="9"/>
        <v>0</v>
      </c>
      <c r="M123" s="24">
        <v>256</v>
      </c>
      <c r="N123" s="25">
        <f t="shared" si="10"/>
        <v>0</v>
      </c>
      <c r="O123" s="24">
        <v>1107</v>
      </c>
      <c r="P123" s="23">
        <f t="shared" si="11"/>
        <v>0</v>
      </c>
      <c r="Q123" s="26"/>
      <c r="R123" s="23">
        <f t="shared" si="12"/>
        <v>0</v>
      </c>
      <c r="S123" s="27" t="s">
        <v>152</v>
      </c>
      <c r="T123" s="19" t="s">
        <v>201</v>
      </c>
    </row>
    <row r="124" spans="1:20" ht="37.5" customHeight="1" x14ac:dyDescent="0.25">
      <c r="A124" s="19" t="s">
        <v>203</v>
      </c>
      <c r="B124">
        <v>9512</v>
      </c>
      <c r="F124">
        <f t="shared" si="8"/>
        <v>0</v>
      </c>
      <c r="G124" s="20">
        <f t="shared" si="13"/>
        <v>119</v>
      </c>
      <c r="H124" s="21">
        <v>11818020130</v>
      </c>
      <c r="I124" s="22" t="s">
        <v>204</v>
      </c>
      <c r="J124" s="23"/>
      <c r="K124" s="24">
        <v>9512</v>
      </c>
      <c r="L124" s="23">
        <f t="shared" si="9"/>
        <v>0</v>
      </c>
      <c r="M124" s="24">
        <v>0</v>
      </c>
      <c r="N124" s="25">
        <f t="shared" si="10"/>
        <v>0</v>
      </c>
      <c r="O124" s="24">
        <v>0</v>
      </c>
      <c r="P124" s="23">
        <f t="shared" si="11"/>
        <v>0</v>
      </c>
      <c r="Q124" s="26"/>
      <c r="R124" s="23">
        <f t="shared" si="12"/>
        <v>0</v>
      </c>
      <c r="S124" s="27" t="s">
        <v>152</v>
      </c>
      <c r="T124" s="19" t="s">
        <v>203</v>
      </c>
    </row>
    <row r="125" spans="1:20" ht="37.5" customHeight="1" x14ac:dyDescent="0.25">
      <c r="A125" s="19" t="s">
        <v>205</v>
      </c>
      <c r="B125">
        <f t="shared" si="7"/>
        <v>516090</v>
      </c>
      <c r="C125">
        <v>144977</v>
      </c>
      <c r="D125">
        <v>371113</v>
      </c>
      <c r="F125">
        <f t="shared" si="8"/>
        <v>644</v>
      </c>
      <c r="G125" s="20">
        <f t="shared" si="13"/>
        <v>120</v>
      </c>
      <c r="H125" s="21">
        <v>23010090141</v>
      </c>
      <c r="I125" s="22" t="s">
        <v>206</v>
      </c>
      <c r="J125" s="23"/>
      <c r="K125" s="24">
        <v>515446</v>
      </c>
      <c r="L125" s="23">
        <f t="shared" si="9"/>
        <v>644</v>
      </c>
      <c r="M125" s="24">
        <v>144875</v>
      </c>
      <c r="N125" s="25">
        <f t="shared" si="10"/>
        <v>102</v>
      </c>
      <c r="O125" s="24">
        <v>370571</v>
      </c>
      <c r="P125" s="23">
        <f t="shared" si="11"/>
        <v>542</v>
      </c>
      <c r="Q125" s="26"/>
      <c r="R125" s="23">
        <f t="shared" si="12"/>
        <v>0</v>
      </c>
      <c r="S125" s="27" t="s">
        <v>152</v>
      </c>
      <c r="T125" s="19" t="s">
        <v>205</v>
      </c>
    </row>
    <row r="126" spans="1:20" ht="37.5" customHeight="1" x14ac:dyDescent="0.25">
      <c r="A126" s="19" t="s">
        <v>207</v>
      </c>
      <c r="B126">
        <v>421</v>
      </c>
      <c r="F126">
        <f t="shared" si="8"/>
        <v>97</v>
      </c>
      <c r="G126" s="20">
        <f t="shared" si="13"/>
        <v>121</v>
      </c>
      <c r="H126" s="21">
        <v>11818020190</v>
      </c>
      <c r="I126" s="22" t="s">
        <v>208</v>
      </c>
      <c r="J126" s="23"/>
      <c r="K126" s="24">
        <v>324</v>
      </c>
      <c r="L126" s="23">
        <f t="shared" si="9"/>
        <v>97</v>
      </c>
      <c r="M126" s="24">
        <v>0</v>
      </c>
      <c r="N126" s="25">
        <f t="shared" si="10"/>
        <v>0</v>
      </c>
      <c r="O126" s="24">
        <v>0</v>
      </c>
      <c r="P126" s="23">
        <f t="shared" si="11"/>
        <v>0</v>
      </c>
      <c r="Q126" s="26"/>
      <c r="R126" s="23">
        <f t="shared" si="12"/>
        <v>0</v>
      </c>
      <c r="S126" s="27" t="s">
        <v>152</v>
      </c>
      <c r="T126" s="19" t="s">
        <v>207</v>
      </c>
    </row>
    <row r="127" spans="1:20" ht="37.5" customHeight="1" x14ac:dyDescent="0.25">
      <c r="A127" s="19" t="s">
        <v>209</v>
      </c>
      <c r="B127">
        <f t="shared" si="7"/>
        <v>503881</v>
      </c>
      <c r="C127">
        <v>31030</v>
      </c>
      <c r="D127">
        <v>472851</v>
      </c>
      <c r="F127">
        <f t="shared" si="8"/>
        <v>3581</v>
      </c>
      <c r="G127" s="20">
        <f t="shared" si="13"/>
        <v>122</v>
      </c>
      <c r="H127" s="21">
        <v>23015101299</v>
      </c>
      <c r="I127" s="22" t="s">
        <v>210</v>
      </c>
      <c r="J127" s="23"/>
      <c r="K127" s="24">
        <v>500300</v>
      </c>
      <c r="L127" s="23">
        <f t="shared" si="9"/>
        <v>3581</v>
      </c>
      <c r="M127" s="24">
        <v>30797</v>
      </c>
      <c r="N127" s="25">
        <f t="shared" si="10"/>
        <v>233</v>
      </c>
      <c r="O127" s="24">
        <v>469503</v>
      </c>
      <c r="P127" s="23">
        <f t="shared" si="11"/>
        <v>3348</v>
      </c>
      <c r="Q127" s="26"/>
      <c r="R127" s="23">
        <f t="shared" si="12"/>
        <v>0</v>
      </c>
      <c r="S127" s="27" t="s">
        <v>152</v>
      </c>
      <c r="T127" s="19" t="s">
        <v>209</v>
      </c>
    </row>
    <row r="128" spans="1:20" ht="37.5" customHeight="1" x14ac:dyDescent="0.25">
      <c r="A128" s="19" t="s">
        <v>211</v>
      </c>
      <c r="B128">
        <f t="shared" si="7"/>
        <v>4483</v>
      </c>
      <c r="C128">
        <v>225</v>
      </c>
      <c r="D128">
        <v>4258</v>
      </c>
      <c r="F128">
        <f t="shared" si="8"/>
        <v>89</v>
      </c>
      <c r="G128" s="20">
        <f t="shared" si="13"/>
        <v>123</v>
      </c>
      <c r="H128" s="21">
        <v>52521703733</v>
      </c>
      <c r="I128" s="22" t="s">
        <v>212</v>
      </c>
      <c r="J128" s="23"/>
      <c r="K128" s="24">
        <v>4394</v>
      </c>
      <c r="L128" s="23">
        <f t="shared" si="9"/>
        <v>89</v>
      </c>
      <c r="M128" s="24">
        <v>221</v>
      </c>
      <c r="N128" s="25">
        <f t="shared" si="10"/>
        <v>4</v>
      </c>
      <c r="O128" s="24">
        <v>4173</v>
      </c>
      <c r="P128" s="23">
        <f t="shared" si="11"/>
        <v>85</v>
      </c>
      <c r="Q128" s="26"/>
      <c r="R128" s="23">
        <f t="shared" si="12"/>
        <v>0</v>
      </c>
      <c r="S128" s="27" t="s">
        <v>152</v>
      </c>
      <c r="T128" s="19" t="s">
        <v>211</v>
      </c>
    </row>
    <row r="129" spans="1:20" ht="37.5" customHeight="1" x14ac:dyDescent="0.25">
      <c r="A129" s="19" t="s">
        <v>213</v>
      </c>
      <c r="B129">
        <f t="shared" si="7"/>
        <v>344683</v>
      </c>
      <c r="C129">
        <v>21387</v>
      </c>
      <c r="D129">
        <v>323296</v>
      </c>
      <c r="F129">
        <f t="shared" si="8"/>
        <v>2073</v>
      </c>
      <c r="G129" s="20">
        <f t="shared" si="13"/>
        <v>124</v>
      </c>
      <c r="H129" s="21">
        <v>23011100205</v>
      </c>
      <c r="I129" s="22" t="s">
        <v>214</v>
      </c>
      <c r="J129" s="23"/>
      <c r="K129" s="24">
        <v>342610</v>
      </c>
      <c r="L129" s="23">
        <f t="shared" si="9"/>
        <v>2073</v>
      </c>
      <c r="M129" s="24">
        <v>21212</v>
      </c>
      <c r="N129" s="25">
        <f t="shared" si="10"/>
        <v>175</v>
      </c>
      <c r="O129" s="24">
        <v>321398</v>
      </c>
      <c r="P129" s="23">
        <f t="shared" si="11"/>
        <v>1898</v>
      </c>
      <c r="Q129" s="26"/>
      <c r="R129" s="23">
        <f t="shared" si="12"/>
        <v>0</v>
      </c>
      <c r="S129" s="27" t="s">
        <v>152</v>
      </c>
      <c r="T129" s="19" t="s">
        <v>213</v>
      </c>
    </row>
    <row r="130" spans="1:20" ht="37.5" customHeight="1" x14ac:dyDescent="0.25">
      <c r="A130" s="19" t="s">
        <v>215</v>
      </c>
      <c r="B130">
        <f t="shared" si="7"/>
        <v>326219</v>
      </c>
      <c r="C130">
        <v>99911</v>
      </c>
      <c r="D130">
        <v>226308</v>
      </c>
      <c r="F130">
        <f t="shared" si="8"/>
        <v>1022</v>
      </c>
      <c r="G130" s="20">
        <f t="shared" si="13"/>
        <v>125</v>
      </c>
      <c r="H130" s="21">
        <v>23014010510</v>
      </c>
      <c r="I130" s="22" t="s">
        <v>216</v>
      </c>
      <c r="J130" s="23"/>
      <c r="K130" s="24">
        <v>325197</v>
      </c>
      <c r="L130" s="23">
        <f t="shared" si="9"/>
        <v>1022</v>
      </c>
      <c r="M130" s="24">
        <v>99852</v>
      </c>
      <c r="N130" s="25">
        <f t="shared" si="10"/>
        <v>59</v>
      </c>
      <c r="O130" s="24">
        <v>225345</v>
      </c>
      <c r="P130" s="23">
        <f t="shared" si="11"/>
        <v>963</v>
      </c>
      <c r="Q130" s="26"/>
      <c r="R130" s="23">
        <f t="shared" si="12"/>
        <v>0</v>
      </c>
      <c r="S130" s="27" t="s">
        <v>152</v>
      </c>
      <c r="T130" s="19" t="s">
        <v>215</v>
      </c>
    </row>
    <row r="131" spans="1:20" ht="37.5" customHeight="1" x14ac:dyDescent="0.25">
      <c r="A131" s="19" t="s">
        <v>217</v>
      </c>
      <c r="B131">
        <f t="shared" si="7"/>
        <v>1083</v>
      </c>
      <c r="C131">
        <v>572</v>
      </c>
      <c r="D131">
        <v>511</v>
      </c>
      <c r="F131">
        <f t="shared" si="8"/>
        <v>47</v>
      </c>
      <c r="G131" s="20">
        <f t="shared" si="13"/>
        <v>126</v>
      </c>
      <c r="H131" s="21">
        <v>52521704272</v>
      </c>
      <c r="I131" s="22" t="s">
        <v>218</v>
      </c>
      <c r="J131" s="23"/>
      <c r="K131" s="24">
        <v>1036</v>
      </c>
      <c r="L131" s="23">
        <f t="shared" si="9"/>
        <v>47</v>
      </c>
      <c r="M131" s="24">
        <v>553</v>
      </c>
      <c r="N131" s="25">
        <f t="shared" si="10"/>
        <v>19</v>
      </c>
      <c r="O131" s="24">
        <v>483</v>
      </c>
      <c r="P131" s="23">
        <f t="shared" si="11"/>
        <v>28</v>
      </c>
      <c r="Q131" s="26"/>
      <c r="R131" s="23">
        <f t="shared" si="12"/>
        <v>0</v>
      </c>
      <c r="S131" s="27" t="s">
        <v>152</v>
      </c>
      <c r="T131" s="19" t="s">
        <v>217</v>
      </c>
    </row>
    <row r="132" spans="1:20" ht="37.5" customHeight="1" x14ac:dyDescent="0.25">
      <c r="A132" s="19" t="s">
        <v>219</v>
      </c>
      <c r="B132">
        <f t="shared" si="7"/>
        <v>67155</v>
      </c>
      <c r="C132">
        <v>11849</v>
      </c>
      <c r="D132">
        <v>55306</v>
      </c>
      <c r="F132">
        <f t="shared" si="8"/>
        <v>2082</v>
      </c>
      <c r="G132" s="20">
        <f t="shared" si="13"/>
        <v>127</v>
      </c>
      <c r="H132" s="21">
        <v>66622040675</v>
      </c>
      <c r="I132" s="22" t="s">
        <v>220</v>
      </c>
      <c r="J132" s="23"/>
      <c r="K132" s="24">
        <v>65073</v>
      </c>
      <c r="L132" s="23">
        <f t="shared" si="9"/>
        <v>2082</v>
      </c>
      <c r="M132" s="24">
        <v>11478</v>
      </c>
      <c r="N132" s="25">
        <f t="shared" si="10"/>
        <v>371</v>
      </c>
      <c r="O132" s="24">
        <v>53595</v>
      </c>
      <c r="P132" s="23">
        <f t="shared" si="11"/>
        <v>1711</v>
      </c>
      <c r="Q132" s="26"/>
      <c r="R132" s="23">
        <f t="shared" si="12"/>
        <v>0</v>
      </c>
      <c r="S132" s="27" t="s">
        <v>152</v>
      </c>
      <c r="T132" s="19" t="s">
        <v>219</v>
      </c>
    </row>
    <row r="133" spans="1:20" ht="37.5" customHeight="1" x14ac:dyDescent="0.25">
      <c r="A133" s="19" t="s">
        <v>221</v>
      </c>
      <c r="B133">
        <f t="shared" si="7"/>
        <v>127503</v>
      </c>
      <c r="C133">
        <v>23105</v>
      </c>
      <c r="D133">
        <v>104398</v>
      </c>
      <c r="F133">
        <f t="shared" si="8"/>
        <v>1782</v>
      </c>
      <c r="G133" s="20">
        <f t="shared" si="13"/>
        <v>128</v>
      </c>
      <c r="H133" s="21">
        <v>88818030171</v>
      </c>
      <c r="I133" s="22" t="s">
        <v>222</v>
      </c>
      <c r="J133" s="23"/>
      <c r="K133" s="24">
        <v>125721</v>
      </c>
      <c r="L133" s="23">
        <f t="shared" si="9"/>
        <v>1782</v>
      </c>
      <c r="M133" s="24">
        <v>22788</v>
      </c>
      <c r="N133" s="25">
        <f t="shared" si="10"/>
        <v>317</v>
      </c>
      <c r="O133" s="24">
        <v>102933</v>
      </c>
      <c r="P133" s="23">
        <f t="shared" si="11"/>
        <v>1465</v>
      </c>
      <c r="Q133" s="26"/>
      <c r="R133" s="23">
        <f t="shared" si="12"/>
        <v>0</v>
      </c>
      <c r="S133" s="27" t="s">
        <v>152</v>
      </c>
      <c r="T133" s="19" t="s">
        <v>221</v>
      </c>
    </row>
    <row r="134" spans="1:20" ht="37.5" customHeight="1" x14ac:dyDescent="0.25">
      <c r="A134" s="19" t="s">
        <v>223</v>
      </c>
      <c r="B134">
        <f t="shared" si="7"/>
        <v>6202</v>
      </c>
      <c r="C134">
        <v>717</v>
      </c>
      <c r="D134">
        <v>5485</v>
      </c>
      <c r="F134">
        <f t="shared" si="8"/>
        <v>9</v>
      </c>
      <c r="G134" s="20">
        <f t="shared" si="13"/>
        <v>129</v>
      </c>
      <c r="H134" s="21">
        <v>68228106733</v>
      </c>
      <c r="I134" s="22" t="s">
        <v>224</v>
      </c>
      <c r="J134" s="23"/>
      <c r="K134" s="24">
        <v>6193</v>
      </c>
      <c r="L134" s="23">
        <f t="shared" si="9"/>
        <v>9</v>
      </c>
      <c r="M134" s="24">
        <v>715</v>
      </c>
      <c r="N134" s="25">
        <f t="shared" si="10"/>
        <v>2</v>
      </c>
      <c r="O134" s="24">
        <v>5478</v>
      </c>
      <c r="P134" s="23">
        <f t="shared" si="11"/>
        <v>7</v>
      </c>
      <c r="Q134" s="26"/>
      <c r="R134" s="23">
        <f t="shared" si="12"/>
        <v>0</v>
      </c>
      <c r="S134" s="27" t="s">
        <v>225</v>
      </c>
      <c r="T134" s="19" t="s">
        <v>223</v>
      </c>
    </row>
    <row r="135" spans="1:20" ht="37.5" customHeight="1" x14ac:dyDescent="0.25">
      <c r="A135" s="19" t="s">
        <v>226</v>
      </c>
      <c r="B135">
        <f t="shared" ref="B135:B166" si="14">C135+D135</f>
        <v>812517</v>
      </c>
      <c r="C135">
        <v>120202</v>
      </c>
      <c r="D135">
        <v>692315</v>
      </c>
      <c r="F135">
        <f t="shared" ref="F135:F166" si="15">L135</f>
        <v>794</v>
      </c>
      <c r="G135" s="20">
        <f t="shared" si="13"/>
        <v>130</v>
      </c>
      <c r="H135" s="21">
        <v>23011100208</v>
      </c>
      <c r="I135" s="22" t="s">
        <v>227</v>
      </c>
      <c r="J135" s="23"/>
      <c r="K135" s="24">
        <v>811723</v>
      </c>
      <c r="L135" s="23">
        <f t="shared" ref="L135:L166" si="16">B135-K135</f>
        <v>794</v>
      </c>
      <c r="M135" s="24">
        <v>119984</v>
      </c>
      <c r="N135" s="25">
        <f t="shared" ref="N135:N166" si="17">C135-M135</f>
        <v>218</v>
      </c>
      <c r="O135" s="24">
        <v>691739</v>
      </c>
      <c r="P135" s="23">
        <f t="shared" ref="P135:P166" si="18">D135-O135</f>
        <v>576</v>
      </c>
      <c r="Q135" s="26"/>
      <c r="R135" s="23">
        <f t="shared" ref="R135:R166" si="19">E135-Q135</f>
        <v>0</v>
      </c>
      <c r="S135" s="27" t="s">
        <v>225</v>
      </c>
      <c r="T135" s="19" t="s">
        <v>226</v>
      </c>
    </row>
    <row r="136" spans="1:20" ht="37.5" customHeight="1" x14ac:dyDescent="0.25">
      <c r="A136" s="19" t="s">
        <v>228</v>
      </c>
      <c r="B136">
        <f t="shared" si="14"/>
        <v>119051</v>
      </c>
      <c r="C136">
        <v>25254</v>
      </c>
      <c r="D136">
        <v>93797</v>
      </c>
      <c r="F136">
        <f t="shared" si="15"/>
        <v>770</v>
      </c>
      <c r="G136" s="20">
        <f t="shared" ref="G136:G158" si="20">G135+1</f>
        <v>131</v>
      </c>
      <c r="H136" s="21">
        <v>23011020057</v>
      </c>
      <c r="I136" s="22" t="s">
        <v>229</v>
      </c>
      <c r="J136" s="23"/>
      <c r="K136" s="24">
        <v>118281</v>
      </c>
      <c r="L136" s="23">
        <f t="shared" si="16"/>
        <v>770</v>
      </c>
      <c r="M136" s="24">
        <v>25104</v>
      </c>
      <c r="N136" s="25">
        <f t="shared" si="17"/>
        <v>150</v>
      </c>
      <c r="O136" s="24">
        <v>93177</v>
      </c>
      <c r="P136" s="23">
        <f t="shared" si="18"/>
        <v>620</v>
      </c>
      <c r="Q136" s="26"/>
      <c r="R136" s="23">
        <f t="shared" si="19"/>
        <v>0</v>
      </c>
      <c r="S136" s="27" t="s">
        <v>225</v>
      </c>
      <c r="T136" s="19" t="s">
        <v>228</v>
      </c>
    </row>
    <row r="137" spans="1:20" ht="37.5" customHeight="1" x14ac:dyDescent="0.25">
      <c r="A137" s="19" t="s">
        <v>230</v>
      </c>
      <c r="B137">
        <f t="shared" si="14"/>
        <v>223027</v>
      </c>
      <c r="C137">
        <v>61928</v>
      </c>
      <c r="D137">
        <v>161099</v>
      </c>
      <c r="F137">
        <f t="shared" si="15"/>
        <v>2219</v>
      </c>
      <c r="G137" s="20">
        <f t="shared" si="20"/>
        <v>132</v>
      </c>
      <c r="H137" s="21">
        <v>88818030325</v>
      </c>
      <c r="I137" s="22" t="s">
        <v>231</v>
      </c>
      <c r="J137" s="23"/>
      <c r="K137" s="24">
        <v>220808</v>
      </c>
      <c r="L137" s="23">
        <f t="shared" si="16"/>
        <v>2219</v>
      </c>
      <c r="M137" s="24">
        <v>61283</v>
      </c>
      <c r="N137" s="25">
        <f t="shared" si="17"/>
        <v>645</v>
      </c>
      <c r="O137" s="24">
        <v>159525</v>
      </c>
      <c r="P137" s="23">
        <f t="shared" si="18"/>
        <v>1574</v>
      </c>
      <c r="Q137" s="26"/>
      <c r="R137" s="23">
        <f t="shared" si="19"/>
        <v>0</v>
      </c>
      <c r="S137" s="27" t="s">
        <v>225</v>
      </c>
      <c r="T137" s="19" t="s">
        <v>230</v>
      </c>
    </row>
    <row r="138" spans="1:20" ht="37.5" customHeight="1" x14ac:dyDescent="0.25">
      <c r="A138" s="19" t="s">
        <v>232</v>
      </c>
      <c r="B138">
        <v>592</v>
      </c>
      <c r="F138">
        <f t="shared" si="15"/>
        <v>15</v>
      </c>
      <c r="G138" s="20">
        <f t="shared" si="20"/>
        <v>133</v>
      </c>
      <c r="H138" s="21">
        <v>11821010086</v>
      </c>
      <c r="I138" s="22" t="s">
        <v>233</v>
      </c>
      <c r="J138" s="23"/>
      <c r="K138" s="24">
        <v>577</v>
      </c>
      <c r="L138" s="23">
        <f t="shared" si="16"/>
        <v>15</v>
      </c>
      <c r="M138" s="24"/>
      <c r="N138" s="25">
        <f t="shared" si="17"/>
        <v>0</v>
      </c>
      <c r="O138" s="24"/>
      <c r="P138" s="23">
        <f t="shared" si="18"/>
        <v>0</v>
      </c>
      <c r="Q138" s="26"/>
      <c r="R138" s="23">
        <f t="shared" si="19"/>
        <v>0</v>
      </c>
      <c r="S138" s="27" t="s">
        <v>225</v>
      </c>
      <c r="T138" s="19" t="s">
        <v>232</v>
      </c>
    </row>
    <row r="139" spans="1:20" ht="37.5" customHeight="1" x14ac:dyDescent="0.25">
      <c r="A139" s="19" t="s">
        <v>234</v>
      </c>
      <c r="B139">
        <f t="shared" si="14"/>
        <v>11173</v>
      </c>
      <c r="C139">
        <v>1034</v>
      </c>
      <c r="D139">
        <v>10139</v>
      </c>
      <c r="F139">
        <f t="shared" si="15"/>
        <v>84</v>
      </c>
      <c r="G139" s="20">
        <f t="shared" si="20"/>
        <v>134</v>
      </c>
      <c r="H139" s="21">
        <v>52521702794</v>
      </c>
      <c r="I139" s="22" t="s">
        <v>235</v>
      </c>
      <c r="J139" s="23"/>
      <c r="K139" s="24">
        <v>11089</v>
      </c>
      <c r="L139" s="23">
        <f t="shared" si="16"/>
        <v>84</v>
      </c>
      <c r="M139" s="24">
        <v>1031</v>
      </c>
      <c r="N139" s="25">
        <f t="shared" si="17"/>
        <v>3</v>
      </c>
      <c r="O139" s="24">
        <v>10058</v>
      </c>
      <c r="P139" s="23">
        <f t="shared" si="18"/>
        <v>81</v>
      </c>
      <c r="Q139" s="26"/>
      <c r="R139" s="23">
        <f t="shared" si="19"/>
        <v>0</v>
      </c>
      <c r="S139" s="27" t="s">
        <v>225</v>
      </c>
      <c r="T139" s="19" t="s">
        <v>234</v>
      </c>
    </row>
    <row r="140" spans="1:20" ht="37.5" customHeight="1" x14ac:dyDescent="0.25">
      <c r="A140" s="19" t="s">
        <v>236</v>
      </c>
      <c r="B140">
        <v>3067045</v>
      </c>
      <c r="F140">
        <f t="shared" si="15"/>
        <v>13589</v>
      </c>
      <c r="G140" s="20">
        <f t="shared" si="20"/>
        <v>135</v>
      </c>
      <c r="H140" s="21">
        <v>23011020108</v>
      </c>
      <c r="I140" s="22" t="s">
        <v>237</v>
      </c>
      <c r="J140" s="23"/>
      <c r="K140" s="24">
        <v>3053456</v>
      </c>
      <c r="L140" s="23">
        <f t="shared" si="16"/>
        <v>13589</v>
      </c>
      <c r="M140" s="24"/>
      <c r="N140" s="25">
        <f t="shared" si="17"/>
        <v>0</v>
      </c>
      <c r="O140" s="24"/>
      <c r="P140" s="23">
        <f t="shared" si="18"/>
        <v>0</v>
      </c>
      <c r="Q140" s="26"/>
      <c r="R140" s="23">
        <f t="shared" si="19"/>
        <v>0</v>
      </c>
      <c r="S140" s="27" t="s">
        <v>225</v>
      </c>
      <c r="T140" s="19" t="s">
        <v>236</v>
      </c>
    </row>
    <row r="141" spans="1:20" ht="37.5" customHeight="1" x14ac:dyDescent="0.25">
      <c r="A141" s="19" t="s">
        <v>238</v>
      </c>
      <c r="B141">
        <f t="shared" si="14"/>
        <v>97201</v>
      </c>
      <c r="C141">
        <v>13637</v>
      </c>
      <c r="D141">
        <v>83564</v>
      </c>
      <c r="F141">
        <f t="shared" si="15"/>
        <v>2075</v>
      </c>
      <c r="G141" s="20">
        <f t="shared" si="20"/>
        <v>136</v>
      </c>
      <c r="H141" s="21">
        <v>66622030034</v>
      </c>
      <c r="I141" s="22" t="s">
        <v>239</v>
      </c>
      <c r="J141" s="23"/>
      <c r="K141" s="24">
        <v>95126</v>
      </c>
      <c r="L141" s="23">
        <f t="shared" si="16"/>
        <v>2075</v>
      </c>
      <c r="M141" s="24">
        <v>13312</v>
      </c>
      <c r="N141" s="25">
        <f t="shared" si="17"/>
        <v>325</v>
      </c>
      <c r="O141" s="24">
        <v>81814</v>
      </c>
      <c r="P141" s="23">
        <f t="shared" si="18"/>
        <v>1750</v>
      </c>
      <c r="Q141" s="26"/>
      <c r="R141" s="23">
        <f t="shared" si="19"/>
        <v>0</v>
      </c>
      <c r="S141" s="27" t="s">
        <v>225</v>
      </c>
      <c r="T141" s="19" t="s">
        <v>238</v>
      </c>
    </row>
    <row r="142" spans="1:20" ht="37.5" customHeight="1" x14ac:dyDescent="0.25">
      <c r="A142" s="19" t="s">
        <v>240</v>
      </c>
      <c r="F142">
        <f t="shared" si="15"/>
        <v>-1001493</v>
      </c>
      <c r="G142" s="20">
        <f t="shared" si="20"/>
        <v>137</v>
      </c>
      <c r="H142" s="21">
        <v>9505291</v>
      </c>
      <c r="I142" s="22" t="s">
        <v>241</v>
      </c>
      <c r="J142" s="23"/>
      <c r="K142" s="24">
        <v>1001493</v>
      </c>
      <c r="L142" s="23">
        <f t="shared" si="16"/>
        <v>-1001493</v>
      </c>
      <c r="M142" s="24"/>
      <c r="N142" s="25">
        <f t="shared" si="17"/>
        <v>0</v>
      </c>
      <c r="O142" s="24"/>
      <c r="P142" s="23">
        <f t="shared" si="18"/>
        <v>0</v>
      </c>
      <c r="Q142" s="26"/>
      <c r="R142" s="23">
        <f t="shared" si="19"/>
        <v>0</v>
      </c>
      <c r="S142" s="27" t="s">
        <v>225</v>
      </c>
      <c r="T142" s="19" t="s">
        <v>240</v>
      </c>
    </row>
    <row r="143" spans="1:20" ht="37.5" customHeight="1" x14ac:dyDescent="0.25">
      <c r="A143" s="19" t="s">
        <v>242</v>
      </c>
      <c r="B143">
        <f t="shared" si="14"/>
        <v>104</v>
      </c>
      <c r="C143">
        <v>4</v>
      </c>
      <c r="D143">
        <v>100</v>
      </c>
      <c r="F143">
        <f t="shared" si="15"/>
        <v>0</v>
      </c>
      <c r="G143" s="20">
        <f t="shared" si="20"/>
        <v>138</v>
      </c>
      <c r="H143" s="21">
        <v>52521704276</v>
      </c>
      <c r="I143" s="22" t="s">
        <v>243</v>
      </c>
      <c r="J143" s="23"/>
      <c r="K143" s="24">
        <v>104</v>
      </c>
      <c r="L143" s="23">
        <f t="shared" si="16"/>
        <v>0</v>
      </c>
      <c r="M143" s="24">
        <v>4</v>
      </c>
      <c r="N143" s="25">
        <f t="shared" si="17"/>
        <v>0</v>
      </c>
      <c r="O143" s="24">
        <v>100</v>
      </c>
      <c r="P143" s="23">
        <f t="shared" si="18"/>
        <v>0</v>
      </c>
      <c r="Q143" s="26"/>
      <c r="R143" s="23">
        <f t="shared" si="19"/>
        <v>0</v>
      </c>
      <c r="S143" s="27" t="s">
        <v>225</v>
      </c>
      <c r="T143" s="19" t="s">
        <v>242</v>
      </c>
    </row>
    <row r="144" spans="1:20" ht="37.5" customHeight="1" x14ac:dyDescent="0.25">
      <c r="A144" s="19" t="s">
        <v>244</v>
      </c>
      <c r="B144">
        <v>315192</v>
      </c>
      <c r="F144">
        <f t="shared" si="15"/>
        <v>0</v>
      </c>
      <c r="G144" s="20">
        <f t="shared" si="20"/>
        <v>139</v>
      </c>
      <c r="H144" s="21">
        <v>23014010529</v>
      </c>
      <c r="I144" s="22" t="s">
        <v>245</v>
      </c>
      <c r="J144" s="23"/>
      <c r="K144" s="24">
        <v>315192</v>
      </c>
      <c r="L144" s="23">
        <f t="shared" si="16"/>
        <v>0</v>
      </c>
      <c r="M144" s="24"/>
      <c r="N144" s="25">
        <f t="shared" si="17"/>
        <v>0</v>
      </c>
      <c r="O144" s="24"/>
      <c r="P144" s="23">
        <f t="shared" si="18"/>
        <v>0</v>
      </c>
      <c r="Q144" s="26"/>
      <c r="R144" s="23">
        <f t="shared" si="19"/>
        <v>0</v>
      </c>
      <c r="S144" s="27" t="s">
        <v>225</v>
      </c>
      <c r="T144" s="19" t="s">
        <v>244</v>
      </c>
    </row>
    <row r="145" spans="1:20" ht="37.5" customHeight="1" x14ac:dyDescent="0.25">
      <c r="A145" s="19" t="s">
        <v>246</v>
      </c>
      <c r="B145">
        <v>219</v>
      </c>
      <c r="F145">
        <f t="shared" si="15"/>
        <v>0</v>
      </c>
      <c r="G145" s="20">
        <f t="shared" si="20"/>
        <v>140</v>
      </c>
      <c r="H145" s="21">
        <v>52521705706</v>
      </c>
      <c r="I145" s="22" t="s">
        <v>245</v>
      </c>
      <c r="J145" s="23"/>
      <c r="K145" s="24">
        <v>219</v>
      </c>
      <c r="L145" s="23">
        <f t="shared" si="16"/>
        <v>0</v>
      </c>
      <c r="M145" s="24"/>
      <c r="N145" s="25">
        <f t="shared" si="17"/>
        <v>0</v>
      </c>
      <c r="O145" s="24"/>
      <c r="P145" s="23">
        <f t="shared" si="18"/>
        <v>0</v>
      </c>
      <c r="Q145" s="26"/>
      <c r="R145" s="23">
        <f t="shared" si="19"/>
        <v>0</v>
      </c>
      <c r="S145" s="27" t="s">
        <v>225</v>
      </c>
      <c r="T145" s="19" t="s">
        <v>246</v>
      </c>
    </row>
    <row r="146" spans="1:20" ht="37.5" customHeight="1" x14ac:dyDescent="0.25">
      <c r="A146" s="19" t="s">
        <v>247</v>
      </c>
      <c r="B146">
        <f t="shared" si="14"/>
        <v>4239</v>
      </c>
      <c r="C146">
        <v>1112</v>
      </c>
      <c r="D146">
        <v>3127</v>
      </c>
      <c r="F146">
        <f t="shared" si="15"/>
        <v>3</v>
      </c>
      <c r="G146" s="20">
        <f t="shared" si="20"/>
        <v>141</v>
      </c>
      <c r="H146" s="21">
        <v>52521702950</v>
      </c>
      <c r="I146" s="22" t="s">
        <v>248</v>
      </c>
      <c r="J146" s="23"/>
      <c r="K146" s="24">
        <v>4236</v>
      </c>
      <c r="L146" s="23">
        <f t="shared" si="16"/>
        <v>3</v>
      </c>
      <c r="M146" s="24">
        <v>1112</v>
      </c>
      <c r="N146" s="25">
        <f t="shared" si="17"/>
        <v>0</v>
      </c>
      <c r="O146" s="24">
        <v>3124</v>
      </c>
      <c r="P146" s="23">
        <f t="shared" si="18"/>
        <v>3</v>
      </c>
      <c r="Q146" s="26"/>
      <c r="R146" s="23">
        <f t="shared" si="19"/>
        <v>0</v>
      </c>
      <c r="S146" s="27" t="s">
        <v>225</v>
      </c>
      <c r="T146" s="19" t="s">
        <v>247</v>
      </c>
    </row>
    <row r="147" spans="1:20" ht="37.5" customHeight="1" x14ac:dyDescent="0.25">
      <c r="A147" s="19" t="s">
        <v>249</v>
      </c>
      <c r="B147">
        <f t="shared" si="14"/>
        <v>83686</v>
      </c>
      <c r="C147">
        <v>23940</v>
      </c>
      <c r="D147">
        <v>59746</v>
      </c>
      <c r="F147">
        <f t="shared" si="15"/>
        <v>1285</v>
      </c>
      <c r="G147" s="20">
        <f t="shared" si="20"/>
        <v>142</v>
      </c>
      <c r="H147" s="21">
        <v>66601102488</v>
      </c>
      <c r="I147" s="22" t="s">
        <v>250</v>
      </c>
      <c r="J147" s="23"/>
      <c r="K147" s="24">
        <v>82401</v>
      </c>
      <c r="L147" s="23">
        <f t="shared" si="16"/>
        <v>1285</v>
      </c>
      <c r="M147" s="24">
        <v>23749</v>
      </c>
      <c r="N147" s="25">
        <f t="shared" si="17"/>
        <v>191</v>
      </c>
      <c r="O147" s="24">
        <v>58652</v>
      </c>
      <c r="P147" s="23">
        <f t="shared" si="18"/>
        <v>1094</v>
      </c>
      <c r="Q147" s="26"/>
      <c r="R147" s="23">
        <f t="shared" si="19"/>
        <v>0</v>
      </c>
      <c r="S147" s="27" t="s">
        <v>225</v>
      </c>
      <c r="T147" s="19" t="s">
        <v>249</v>
      </c>
    </row>
    <row r="148" spans="1:20" ht="37.5" customHeight="1" x14ac:dyDescent="0.25">
      <c r="A148" s="19" t="s">
        <v>251</v>
      </c>
      <c r="B148">
        <v>3508</v>
      </c>
      <c r="F148">
        <f t="shared" si="15"/>
        <v>56</v>
      </c>
      <c r="G148" s="20">
        <f t="shared" si="20"/>
        <v>143</v>
      </c>
      <c r="H148" s="21">
        <v>160</v>
      </c>
      <c r="I148" s="22" t="s">
        <v>252</v>
      </c>
      <c r="J148" s="23"/>
      <c r="K148" s="24">
        <v>3452</v>
      </c>
      <c r="L148" s="23">
        <f t="shared" si="16"/>
        <v>56</v>
      </c>
      <c r="M148" s="24"/>
      <c r="N148" s="25">
        <f t="shared" si="17"/>
        <v>0</v>
      </c>
      <c r="O148" s="24"/>
      <c r="P148" s="23">
        <f t="shared" si="18"/>
        <v>0</v>
      </c>
      <c r="Q148" s="26"/>
      <c r="R148" s="23">
        <f t="shared" si="19"/>
        <v>0</v>
      </c>
      <c r="S148" s="27" t="s">
        <v>225</v>
      </c>
      <c r="T148" s="19" t="s">
        <v>251</v>
      </c>
    </row>
    <row r="149" spans="1:20" ht="37.5" customHeight="1" x14ac:dyDescent="0.25">
      <c r="A149" s="19" t="s">
        <v>253</v>
      </c>
      <c r="B149">
        <f t="shared" si="14"/>
        <v>32254</v>
      </c>
      <c r="C149">
        <v>7297</v>
      </c>
      <c r="D149">
        <v>24957</v>
      </c>
      <c r="F149">
        <f t="shared" si="15"/>
        <v>19</v>
      </c>
      <c r="G149" s="20">
        <f t="shared" si="20"/>
        <v>144</v>
      </c>
      <c r="H149" s="21">
        <v>23013090133</v>
      </c>
      <c r="I149" s="22" t="s">
        <v>254</v>
      </c>
      <c r="J149" s="23"/>
      <c r="K149" s="24">
        <v>32235</v>
      </c>
      <c r="L149" s="23">
        <f t="shared" si="16"/>
        <v>19</v>
      </c>
      <c r="M149" s="24">
        <v>7297</v>
      </c>
      <c r="N149" s="25">
        <f t="shared" si="17"/>
        <v>0</v>
      </c>
      <c r="O149" s="24">
        <v>24938</v>
      </c>
      <c r="P149" s="23">
        <f t="shared" si="18"/>
        <v>19</v>
      </c>
      <c r="Q149" s="26"/>
      <c r="R149" s="23">
        <f t="shared" si="19"/>
        <v>0</v>
      </c>
      <c r="S149" s="27" t="s">
        <v>225</v>
      </c>
      <c r="T149" s="19" t="s">
        <v>253</v>
      </c>
    </row>
    <row r="150" spans="1:20" ht="37.5" customHeight="1" x14ac:dyDescent="0.25">
      <c r="A150" s="19" t="s">
        <v>255</v>
      </c>
      <c r="B150">
        <f t="shared" si="14"/>
        <v>55533</v>
      </c>
      <c r="C150">
        <v>8570</v>
      </c>
      <c r="D150">
        <v>46963</v>
      </c>
      <c r="F150">
        <f t="shared" si="15"/>
        <v>35</v>
      </c>
      <c r="G150" s="20">
        <f t="shared" si="20"/>
        <v>145</v>
      </c>
      <c r="H150" s="21">
        <v>23013040340</v>
      </c>
      <c r="I150" s="22" t="s">
        <v>256</v>
      </c>
      <c r="J150" s="23"/>
      <c r="K150" s="24">
        <v>55498</v>
      </c>
      <c r="L150" s="23">
        <f t="shared" si="16"/>
        <v>35</v>
      </c>
      <c r="M150" s="24">
        <v>8565</v>
      </c>
      <c r="N150" s="25">
        <f t="shared" si="17"/>
        <v>5</v>
      </c>
      <c r="O150" s="24">
        <v>46933</v>
      </c>
      <c r="P150" s="23">
        <f t="shared" si="18"/>
        <v>30</v>
      </c>
      <c r="Q150" s="26"/>
      <c r="R150" s="23">
        <f t="shared" si="19"/>
        <v>0</v>
      </c>
      <c r="S150" s="27" t="s">
        <v>225</v>
      </c>
      <c r="T150" s="19" t="s">
        <v>255</v>
      </c>
    </row>
    <row r="151" spans="1:20" ht="37.5" customHeight="1" x14ac:dyDescent="0.25">
      <c r="A151" s="19" t="s">
        <v>257</v>
      </c>
      <c r="B151">
        <f t="shared" si="14"/>
        <v>91561</v>
      </c>
      <c r="C151">
        <v>18269</v>
      </c>
      <c r="D151">
        <v>73292</v>
      </c>
      <c r="F151">
        <f t="shared" si="15"/>
        <v>490</v>
      </c>
      <c r="G151" s="20">
        <f t="shared" si="20"/>
        <v>146</v>
      </c>
      <c r="H151" s="21">
        <v>23014060874</v>
      </c>
      <c r="I151" s="22" t="s">
        <v>258</v>
      </c>
      <c r="J151" s="23"/>
      <c r="K151" s="24">
        <v>91071</v>
      </c>
      <c r="L151" s="23">
        <f t="shared" si="16"/>
        <v>490</v>
      </c>
      <c r="M151" s="24">
        <v>18101</v>
      </c>
      <c r="N151" s="25">
        <f t="shared" si="17"/>
        <v>168</v>
      </c>
      <c r="O151" s="24">
        <v>72970</v>
      </c>
      <c r="P151" s="23">
        <f t="shared" si="18"/>
        <v>322</v>
      </c>
      <c r="Q151" s="26"/>
      <c r="R151" s="23">
        <f t="shared" si="19"/>
        <v>0</v>
      </c>
      <c r="S151" s="27" t="s">
        <v>225</v>
      </c>
      <c r="T151" s="19" t="s">
        <v>257</v>
      </c>
    </row>
    <row r="152" spans="1:20" ht="37.5" customHeight="1" x14ac:dyDescent="0.25">
      <c r="A152" s="19" t="s">
        <v>259</v>
      </c>
      <c r="B152">
        <f t="shared" si="14"/>
        <v>69490</v>
      </c>
      <c r="C152">
        <v>22155</v>
      </c>
      <c r="D152">
        <v>47335</v>
      </c>
      <c r="F152">
        <f t="shared" si="15"/>
        <v>1047</v>
      </c>
      <c r="G152" s="20">
        <f t="shared" si="20"/>
        <v>147</v>
      </c>
      <c r="H152" s="21">
        <v>88820010365</v>
      </c>
      <c r="I152" s="22" t="s">
        <v>260</v>
      </c>
      <c r="J152" s="23"/>
      <c r="K152" s="24">
        <v>68443</v>
      </c>
      <c r="L152" s="23">
        <f t="shared" si="16"/>
        <v>1047</v>
      </c>
      <c r="M152" s="24">
        <v>21830</v>
      </c>
      <c r="N152" s="25">
        <f t="shared" si="17"/>
        <v>325</v>
      </c>
      <c r="O152" s="24">
        <v>46613</v>
      </c>
      <c r="P152" s="23">
        <f t="shared" si="18"/>
        <v>722</v>
      </c>
      <c r="Q152" s="26"/>
      <c r="R152" s="23">
        <f t="shared" si="19"/>
        <v>0</v>
      </c>
      <c r="S152" s="27" t="s">
        <v>225</v>
      </c>
      <c r="T152" s="19" t="s">
        <v>259</v>
      </c>
    </row>
    <row r="153" spans="1:20" ht="37.5" customHeight="1" x14ac:dyDescent="0.25">
      <c r="A153" s="19" t="s">
        <v>261</v>
      </c>
      <c r="B153">
        <f t="shared" si="14"/>
        <v>59703</v>
      </c>
      <c r="C153">
        <v>18470</v>
      </c>
      <c r="D153">
        <v>41233</v>
      </c>
      <c r="F153">
        <f t="shared" si="15"/>
        <v>633</v>
      </c>
      <c r="G153" s="20">
        <f t="shared" si="20"/>
        <v>148</v>
      </c>
      <c r="H153" s="21">
        <v>66621100086</v>
      </c>
      <c r="I153" s="22" t="s">
        <v>262</v>
      </c>
      <c r="J153" s="23"/>
      <c r="K153" s="24">
        <v>59070</v>
      </c>
      <c r="L153" s="23">
        <f t="shared" si="16"/>
        <v>633</v>
      </c>
      <c r="M153" s="24">
        <v>18272</v>
      </c>
      <c r="N153" s="25">
        <f t="shared" si="17"/>
        <v>198</v>
      </c>
      <c r="O153" s="24">
        <v>40798</v>
      </c>
      <c r="P153" s="23">
        <f t="shared" si="18"/>
        <v>435</v>
      </c>
      <c r="Q153" s="26"/>
      <c r="R153" s="23">
        <f t="shared" si="19"/>
        <v>0</v>
      </c>
      <c r="S153" s="27" t="s">
        <v>225</v>
      </c>
      <c r="T153" s="19" t="s">
        <v>261</v>
      </c>
    </row>
    <row r="154" spans="1:20" ht="37.5" customHeight="1" x14ac:dyDescent="0.25">
      <c r="A154" s="19" t="s">
        <v>263</v>
      </c>
      <c r="B154">
        <f t="shared" si="14"/>
        <v>276605</v>
      </c>
      <c r="C154">
        <v>70916</v>
      </c>
      <c r="D154">
        <v>205689</v>
      </c>
      <c r="F154">
        <f t="shared" si="15"/>
        <v>1401</v>
      </c>
      <c r="G154" s="20">
        <f t="shared" si="20"/>
        <v>149</v>
      </c>
      <c r="H154" s="21">
        <v>23011100043</v>
      </c>
      <c r="I154" s="22" t="s">
        <v>264</v>
      </c>
      <c r="J154" s="23"/>
      <c r="K154" s="24">
        <v>275204</v>
      </c>
      <c r="L154" s="23">
        <f t="shared" si="16"/>
        <v>1401</v>
      </c>
      <c r="M154" s="24">
        <v>70916</v>
      </c>
      <c r="N154" s="25">
        <f t="shared" si="17"/>
        <v>0</v>
      </c>
      <c r="O154" s="24">
        <v>204288</v>
      </c>
      <c r="P154" s="23">
        <f t="shared" si="18"/>
        <v>1401</v>
      </c>
      <c r="Q154" s="26"/>
      <c r="R154" s="23">
        <f t="shared" si="19"/>
        <v>0</v>
      </c>
      <c r="S154" s="27" t="s">
        <v>225</v>
      </c>
      <c r="T154" s="19" t="s">
        <v>263</v>
      </c>
    </row>
    <row r="155" spans="1:20" ht="37.5" customHeight="1" x14ac:dyDescent="0.25">
      <c r="A155" s="19" t="s">
        <v>265</v>
      </c>
      <c r="B155">
        <f t="shared" si="14"/>
        <v>13927</v>
      </c>
      <c r="C155">
        <v>4478</v>
      </c>
      <c r="D155">
        <v>9449</v>
      </c>
      <c r="F155">
        <f t="shared" si="15"/>
        <v>134</v>
      </c>
      <c r="G155" s="20">
        <f t="shared" si="20"/>
        <v>150</v>
      </c>
      <c r="H155" s="21">
        <v>52521702788</v>
      </c>
      <c r="I155" s="22" t="s">
        <v>266</v>
      </c>
      <c r="J155" s="23"/>
      <c r="K155" s="24">
        <v>13793</v>
      </c>
      <c r="L155" s="23">
        <f t="shared" si="16"/>
        <v>134</v>
      </c>
      <c r="M155" s="24">
        <v>4436</v>
      </c>
      <c r="N155" s="25">
        <f t="shared" si="17"/>
        <v>42</v>
      </c>
      <c r="O155" s="24">
        <v>9357</v>
      </c>
      <c r="P155" s="23">
        <f t="shared" si="18"/>
        <v>92</v>
      </c>
      <c r="Q155" s="26"/>
      <c r="R155" s="23">
        <f t="shared" si="19"/>
        <v>0</v>
      </c>
      <c r="S155" s="27" t="s">
        <v>225</v>
      </c>
      <c r="T155" s="19" t="s">
        <v>265</v>
      </c>
    </row>
    <row r="156" spans="1:20" ht="37.5" customHeight="1" x14ac:dyDescent="0.25">
      <c r="A156" s="19" t="s">
        <v>267</v>
      </c>
      <c r="B156">
        <f t="shared" si="14"/>
        <v>100903</v>
      </c>
      <c r="C156">
        <v>18902</v>
      </c>
      <c r="D156">
        <v>82001</v>
      </c>
      <c r="F156">
        <f t="shared" si="15"/>
        <v>233</v>
      </c>
      <c r="G156" s="20">
        <f t="shared" si="20"/>
        <v>151</v>
      </c>
      <c r="H156" s="21">
        <v>23012010040</v>
      </c>
      <c r="I156" s="22" t="s">
        <v>268</v>
      </c>
      <c r="J156" s="23"/>
      <c r="K156" s="24">
        <v>100670</v>
      </c>
      <c r="L156" s="23">
        <f t="shared" si="16"/>
        <v>233</v>
      </c>
      <c r="M156" s="24">
        <v>18866</v>
      </c>
      <c r="N156" s="25">
        <f t="shared" si="17"/>
        <v>36</v>
      </c>
      <c r="O156" s="24">
        <v>81804</v>
      </c>
      <c r="P156" s="23">
        <f t="shared" si="18"/>
        <v>197</v>
      </c>
      <c r="Q156" s="26"/>
      <c r="R156" s="23">
        <f t="shared" si="19"/>
        <v>0</v>
      </c>
      <c r="S156" s="27" t="s">
        <v>225</v>
      </c>
      <c r="T156" s="19" t="s">
        <v>267</v>
      </c>
    </row>
    <row r="157" spans="1:20" ht="37.5" customHeight="1" x14ac:dyDescent="0.25">
      <c r="A157" s="19" t="s">
        <v>269</v>
      </c>
      <c r="B157">
        <f t="shared" si="14"/>
        <v>83720</v>
      </c>
      <c r="C157">
        <v>16231</v>
      </c>
      <c r="D157">
        <v>67489</v>
      </c>
      <c r="F157">
        <f t="shared" si="15"/>
        <v>118</v>
      </c>
      <c r="G157" s="20">
        <f t="shared" si="20"/>
        <v>152</v>
      </c>
      <c r="H157" s="21">
        <v>23014010278</v>
      </c>
      <c r="I157" s="22" t="s">
        <v>270</v>
      </c>
      <c r="J157" s="23"/>
      <c r="K157" s="24">
        <v>83602</v>
      </c>
      <c r="L157" s="23">
        <f t="shared" si="16"/>
        <v>118</v>
      </c>
      <c r="M157" s="24">
        <v>16231</v>
      </c>
      <c r="N157" s="25">
        <f t="shared" si="17"/>
        <v>0</v>
      </c>
      <c r="O157" s="24">
        <v>67371</v>
      </c>
      <c r="P157" s="23">
        <f t="shared" si="18"/>
        <v>118</v>
      </c>
      <c r="Q157" s="26"/>
      <c r="R157" s="23">
        <f t="shared" si="19"/>
        <v>0</v>
      </c>
      <c r="S157" s="27" t="s">
        <v>225</v>
      </c>
      <c r="T157" s="19" t="s">
        <v>269</v>
      </c>
    </row>
    <row r="158" spans="1:20" ht="37.5" customHeight="1" x14ac:dyDescent="0.25">
      <c r="A158" s="19" t="s">
        <v>271</v>
      </c>
      <c r="B158">
        <f t="shared" si="14"/>
        <v>11437</v>
      </c>
      <c r="C158">
        <v>1853</v>
      </c>
      <c r="D158">
        <v>9584</v>
      </c>
      <c r="F158">
        <f t="shared" si="15"/>
        <v>722</v>
      </c>
      <c r="G158" s="20">
        <f t="shared" si="20"/>
        <v>153</v>
      </c>
      <c r="H158" s="21">
        <v>68228116313</v>
      </c>
      <c r="I158" s="22" t="s">
        <v>272</v>
      </c>
      <c r="J158" s="23"/>
      <c r="K158" s="24">
        <v>10715</v>
      </c>
      <c r="L158" s="23">
        <f t="shared" si="16"/>
        <v>722</v>
      </c>
      <c r="M158" s="24">
        <v>1727</v>
      </c>
      <c r="N158" s="25">
        <f t="shared" si="17"/>
        <v>126</v>
      </c>
      <c r="O158" s="24">
        <v>8988</v>
      </c>
      <c r="P158" s="23">
        <f t="shared" si="18"/>
        <v>596</v>
      </c>
      <c r="Q158" s="26"/>
      <c r="R158" s="23">
        <f t="shared" si="19"/>
        <v>0</v>
      </c>
      <c r="S158" s="27" t="s">
        <v>225</v>
      </c>
      <c r="T158" s="19" t="s">
        <v>271</v>
      </c>
    </row>
    <row r="159" spans="1:20" ht="37.5" customHeight="1" x14ac:dyDescent="0.25">
      <c r="A159" s="19" t="s">
        <v>273</v>
      </c>
      <c r="B159">
        <f t="shared" si="14"/>
        <v>124938</v>
      </c>
      <c r="C159">
        <v>31902</v>
      </c>
      <c r="D159">
        <v>93036</v>
      </c>
      <c r="F159">
        <f t="shared" si="15"/>
        <v>1357</v>
      </c>
      <c r="G159" s="20">
        <v>1</v>
      </c>
      <c r="H159" s="21">
        <v>66622020270</v>
      </c>
      <c r="I159" s="22" t="s">
        <v>274</v>
      </c>
      <c r="J159" s="23"/>
      <c r="K159" s="24">
        <v>123581</v>
      </c>
      <c r="L159" s="23">
        <f t="shared" si="16"/>
        <v>1357</v>
      </c>
      <c r="M159" s="24">
        <v>31466</v>
      </c>
      <c r="N159" s="25">
        <f t="shared" si="17"/>
        <v>436</v>
      </c>
      <c r="O159" s="24">
        <v>92115</v>
      </c>
      <c r="P159" s="23">
        <f t="shared" si="18"/>
        <v>921</v>
      </c>
      <c r="Q159" s="26"/>
      <c r="R159" s="23">
        <f t="shared" si="19"/>
        <v>0</v>
      </c>
      <c r="S159" s="27" t="s">
        <v>152</v>
      </c>
      <c r="T159" s="19" t="s">
        <v>273</v>
      </c>
    </row>
    <row r="160" spans="1:20" ht="37.5" customHeight="1" x14ac:dyDescent="0.25">
      <c r="A160" s="19" t="s">
        <v>275</v>
      </c>
      <c r="B160">
        <v>463134</v>
      </c>
      <c r="F160">
        <f t="shared" si="15"/>
        <v>0</v>
      </c>
      <c r="G160" s="20">
        <f>G159+1</f>
        <v>2</v>
      </c>
      <c r="H160" s="21">
        <v>23011070208</v>
      </c>
      <c r="I160" s="22" t="s">
        <v>274</v>
      </c>
      <c r="J160" s="23"/>
      <c r="K160" s="24">
        <v>463134</v>
      </c>
      <c r="L160" s="23">
        <f t="shared" si="16"/>
        <v>0</v>
      </c>
      <c r="M160" s="24"/>
      <c r="N160" s="25">
        <f t="shared" si="17"/>
        <v>0</v>
      </c>
      <c r="O160" s="24"/>
      <c r="P160" s="23">
        <f t="shared" si="18"/>
        <v>0</v>
      </c>
      <c r="Q160" s="26"/>
      <c r="R160" s="23">
        <f t="shared" si="19"/>
        <v>0</v>
      </c>
      <c r="S160" s="27" t="s">
        <v>152</v>
      </c>
      <c r="T160" s="19" t="s">
        <v>275</v>
      </c>
    </row>
    <row r="161" spans="1:20" ht="37.5" customHeight="1" x14ac:dyDescent="0.25">
      <c r="A161" s="19" t="s">
        <v>276</v>
      </c>
      <c r="B161">
        <f t="shared" si="14"/>
        <v>75746</v>
      </c>
      <c r="C161">
        <v>12675</v>
      </c>
      <c r="D161">
        <v>63071</v>
      </c>
      <c r="F161">
        <f t="shared" si="15"/>
        <v>2169</v>
      </c>
      <c r="G161" s="20">
        <f t="shared" ref="G161:G166" si="21">G160+1</f>
        <v>3</v>
      </c>
      <c r="H161" s="21">
        <v>66621070410</v>
      </c>
      <c r="I161" s="22" t="s">
        <v>274</v>
      </c>
      <c r="J161" s="23"/>
      <c r="K161" s="24">
        <v>73577</v>
      </c>
      <c r="L161" s="23">
        <f t="shared" si="16"/>
        <v>2169</v>
      </c>
      <c r="M161" s="24">
        <v>12298</v>
      </c>
      <c r="N161" s="25">
        <f t="shared" si="17"/>
        <v>377</v>
      </c>
      <c r="O161" s="24">
        <v>61279</v>
      </c>
      <c r="P161" s="23">
        <f t="shared" si="18"/>
        <v>1792</v>
      </c>
      <c r="Q161" s="26"/>
      <c r="R161" s="23">
        <f t="shared" si="19"/>
        <v>0</v>
      </c>
      <c r="S161" s="27" t="s">
        <v>152</v>
      </c>
      <c r="T161" s="19" t="s">
        <v>276</v>
      </c>
    </row>
    <row r="162" spans="1:20" ht="37.5" customHeight="1" x14ac:dyDescent="0.25">
      <c r="A162" s="19" t="s">
        <v>277</v>
      </c>
      <c r="B162">
        <f t="shared" si="14"/>
        <v>18891</v>
      </c>
      <c r="C162">
        <v>3974</v>
      </c>
      <c r="D162">
        <v>14917</v>
      </c>
      <c r="F162">
        <f t="shared" si="15"/>
        <v>1123</v>
      </c>
      <c r="G162" s="20">
        <f t="shared" si="21"/>
        <v>4</v>
      </c>
      <c r="H162" s="21">
        <v>66622050591</v>
      </c>
      <c r="I162" s="22" t="s">
        <v>278</v>
      </c>
      <c r="J162" s="23"/>
      <c r="K162" s="24">
        <v>17768</v>
      </c>
      <c r="L162" s="23">
        <f t="shared" si="16"/>
        <v>1123</v>
      </c>
      <c r="M162" s="24">
        <v>3739</v>
      </c>
      <c r="N162" s="25">
        <f t="shared" si="17"/>
        <v>235</v>
      </c>
      <c r="O162" s="24">
        <v>14029</v>
      </c>
      <c r="P162" s="23">
        <f t="shared" si="18"/>
        <v>888</v>
      </c>
      <c r="Q162" s="26"/>
      <c r="R162" s="23">
        <f t="shared" si="19"/>
        <v>0</v>
      </c>
      <c r="S162" s="27" t="s">
        <v>18</v>
      </c>
      <c r="T162" s="19" t="s">
        <v>277</v>
      </c>
    </row>
    <row r="163" spans="1:20" ht="37.5" customHeight="1" x14ac:dyDescent="0.25">
      <c r="A163" s="19" t="s">
        <v>279</v>
      </c>
      <c r="B163">
        <f t="shared" si="14"/>
        <v>94539</v>
      </c>
      <c r="C163">
        <v>16285</v>
      </c>
      <c r="D163">
        <v>78254</v>
      </c>
      <c r="F163">
        <f t="shared" si="15"/>
        <v>1804</v>
      </c>
      <c r="G163" s="20">
        <f t="shared" si="21"/>
        <v>5</v>
      </c>
      <c r="H163" s="21">
        <v>66621040204</v>
      </c>
      <c r="I163" s="22" t="s">
        <v>280</v>
      </c>
      <c r="J163" s="23"/>
      <c r="K163" s="24">
        <v>92735</v>
      </c>
      <c r="L163" s="23">
        <f t="shared" si="16"/>
        <v>1804</v>
      </c>
      <c r="M163" s="24">
        <v>15964</v>
      </c>
      <c r="N163" s="25">
        <f t="shared" si="17"/>
        <v>321</v>
      </c>
      <c r="O163" s="24">
        <v>76771</v>
      </c>
      <c r="P163" s="23">
        <f t="shared" si="18"/>
        <v>1483</v>
      </c>
      <c r="Q163" s="26"/>
      <c r="R163" s="23">
        <f t="shared" si="19"/>
        <v>0</v>
      </c>
      <c r="S163" s="27" t="s">
        <v>152</v>
      </c>
      <c r="T163" s="19" t="s">
        <v>279</v>
      </c>
    </row>
    <row r="164" spans="1:20" ht="37.5" customHeight="1" x14ac:dyDescent="0.25">
      <c r="A164" s="19" t="s">
        <v>281</v>
      </c>
      <c r="B164">
        <f t="shared" si="14"/>
        <v>103165</v>
      </c>
      <c r="C164">
        <v>24395</v>
      </c>
      <c r="D164">
        <v>78770</v>
      </c>
      <c r="F164">
        <f t="shared" si="15"/>
        <v>1391</v>
      </c>
      <c r="G164" s="20">
        <f t="shared" si="21"/>
        <v>6</v>
      </c>
      <c r="H164" s="21">
        <v>88820060109</v>
      </c>
      <c r="I164" s="22" t="s">
        <v>282</v>
      </c>
      <c r="J164" s="23"/>
      <c r="K164" s="24">
        <v>101774</v>
      </c>
      <c r="L164" s="23">
        <f t="shared" si="16"/>
        <v>1391</v>
      </c>
      <c r="M164" s="24">
        <v>24070</v>
      </c>
      <c r="N164" s="25">
        <f t="shared" si="17"/>
        <v>325</v>
      </c>
      <c r="O164" s="24">
        <v>77704</v>
      </c>
      <c r="P164" s="23">
        <f t="shared" si="18"/>
        <v>1066</v>
      </c>
      <c r="Q164" s="26"/>
      <c r="R164" s="23">
        <f t="shared" si="19"/>
        <v>0</v>
      </c>
      <c r="S164" s="27" t="s">
        <v>152</v>
      </c>
      <c r="T164" s="19" t="s">
        <v>281</v>
      </c>
    </row>
    <row r="165" spans="1:20" ht="37.5" customHeight="1" x14ac:dyDescent="0.25">
      <c r="A165" s="19" t="s">
        <v>283</v>
      </c>
      <c r="B165">
        <f t="shared" si="14"/>
        <v>40137</v>
      </c>
      <c r="C165">
        <v>10518</v>
      </c>
      <c r="D165">
        <v>29619</v>
      </c>
      <c r="F165">
        <f t="shared" si="15"/>
        <v>892</v>
      </c>
      <c r="G165" s="20">
        <f t="shared" si="21"/>
        <v>7</v>
      </c>
      <c r="H165" s="21">
        <v>88821080188</v>
      </c>
      <c r="I165" s="22" t="s">
        <v>284</v>
      </c>
      <c r="J165" s="23"/>
      <c r="K165" s="24">
        <v>39245</v>
      </c>
      <c r="L165" s="23">
        <f t="shared" si="16"/>
        <v>892</v>
      </c>
      <c r="M165" s="24">
        <v>10290</v>
      </c>
      <c r="N165" s="25">
        <f t="shared" si="17"/>
        <v>228</v>
      </c>
      <c r="O165" s="24">
        <v>28955</v>
      </c>
      <c r="P165" s="23">
        <f t="shared" si="18"/>
        <v>664</v>
      </c>
      <c r="Q165" s="26"/>
      <c r="R165" s="23">
        <f t="shared" si="19"/>
        <v>0</v>
      </c>
      <c r="S165" s="27" t="s">
        <v>152</v>
      </c>
      <c r="T165" s="19" t="s">
        <v>283</v>
      </c>
    </row>
    <row r="166" spans="1:20" ht="37.5" customHeight="1" x14ac:dyDescent="0.25">
      <c r="A166" s="19" t="s">
        <v>285</v>
      </c>
      <c r="B166">
        <f t="shared" si="14"/>
        <v>48034</v>
      </c>
      <c r="C166">
        <v>10586</v>
      </c>
      <c r="D166">
        <v>37448</v>
      </c>
      <c r="F166">
        <f t="shared" si="15"/>
        <v>221</v>
      </c>
      <c r="G166" s="20">
        <f t="shared" si="21"/>
        <v>8</v>
      </c>
      <c r="H166" s="21">
        <v>66617010289</v>
      </c>
      <c r="I166" s="22" t="s">
        <v>286</v>
      </c>
      <c r="J166" s="23"/>
      <c r="K166" s="24">
        <v>47813</v>
      </c>
      <c r="L166" s="23">
        <f t="shared" si="16"/>
        <v>221</v>
      </c>
      <c r="M166" s="24">
        <v>10536</v>
      </c>
      <c r="N166" s="25">
        <f t="shared" si="17"/>
        <v>50</v>
      </c>
      <c r="O166" s="24">
        <v>37277</v>
      </c>
      <c r="P166" s="23">
        <f t="shared" si="18"/>
        <v>171</v>
      </c>
      <c r="Q166" s="26"/>
      <c r="R166" s="23">
        <f t="shared" si="19"/>
        <v>0</v>
      </c>
      <c r="S166" s="27" t="s">
        <v>152</v>
      </c>
      <c r="T166" s="19" t="s">
        <v>285</v>
      </c>
    </row>
    <row r="167" spans="1:20" ht="37.5" customHeight="1" x14ac:dyDescent="0.25">
      <c r="A167" s="19"/>
      <c r="G167" s="28"/>
      <c r="H167" s="21"/>
      <c r="I167" s="22"/>
      <c r="J167" s="23"/>
      <c r="K167" s="26"/>
      <c r="L167" s="23"/>
      <c r="M167" s="26"/>
      <c r="N167" s="29"/>
      <c r="O167" s="26"/>
      <c r="P167" s="23"/>
      <c r="Q167" s="30"/>
      <c r="R167" s="31"/>
      <c r="S167" s="27"/>
      <c r="T167" s="19"/>
    </row>
    <row r="168" spans="1:20" ht="37.5" customHeight="1" x14ac:dyDescent="0.25">
      <c r="A168" s="19"/>
      <c r="G168" s="28"/>
      <c r="H168" s="21"/>
      <c r="I168" s="22"/>
      <c r="J168" s="23"/>
      <c r="K168" s="26"/>
      <c r="L168" s="23"/>
      <c r="M168" s="26"/>
      <c r="N168" s="29"/>
      <c r="O168" s="26"/>
      <c r="P168" s="23"/>
      <c r="Q168" s="30"/>
      <c r="R168" s="31"/>
      <c r="S168" s="27"/>
      <c r="T168" s="19"/>
    </row>
    <row r="169" spans="1:20" ht="37.5" customHeight="1" x14ac:dyDescent="0.25">
      <c r="A169" s="19"/>
      <c r="G169" s="28"/>
      <c r="H169" s="21"/>
      <c r="I169" s="22"/>
      <c r="J169" s="23"/>
      <c r="K169" s="26"/>
      <c r="L169" s="23"/>
      <c r="M169" s="26"/>
      <c r="N169" s="29"/>
      <c r="O169" s="26"/>
      <c r="P169" s="23"/>
      <c r="Q169" s="30"/>
      <c r="R169" s="31"/>
      <c r="S169" s="27"/>
      <c r="T169" s="19"/>
    </row>
    <row r="170" spans="1:20" ht="37.5" customHeight="1" x14ac:dyDescent="0.25">
      <c r="A170" s="19"/>
      <c r="G170" s="28"/>
      <c r="H170" s="21"/>
      <c r="I170" s="22"/>
      <c r="J170" s="23"/>
      <c r="K170" s="26"/>
      <c r="L170" s="23"/>
      <c r="M170" s="26"/>
      <c r="N170" s="29"/>
      <c r="O170" s="26"/>
      <c r="P170" s="23"/>
      <c r="Q170" s="30"/>
      <c r="R170" s="31"/>
      <c r="S170" s="27"/>
      <c r="T170" s="19"/>
    </row>
    <row r="171" spans="1:20" ht="37.5" customHeight="1" x14ac:dyDescent="0.25">
      <c r="A171" s="19"/>
      <c r="G171" s="28"/>
      <c r="H171" s="21"/>
      <c r="I171" s="22"/>
      <c r="J171" s="23"/>
      <c r="K171" s="26"/>
      <c r="L171" s="23"/>
      <c r="M171" s="26"/>
      <c r="N171" s="29"/>
      <c r="O171" s="26"/>
      <c r="P171" s="23"/>
      <c r="Q171" s="30"/>
      <c r="R171" s="31"/>
      <c r="S171" s="27"/>
      <c r="T171" s="19"/>
    </row>
    <row r="172" spans="1:20" ht="37.5" customHeight="1" x14ac:dyDescent="0.25">
      <c r="A172" s="19"/>
      <c r="G172" s="28"/>
      <c r="H172" s="21"/>
      <c r="I172" s="22"/>
      <c r="J172" s="23"/>
      <c r="K172" s="26"/>
      <c r="L172" s="23"/>
      <c r="M172" s="26"/>
      <c r="N172" s="29"/>
      <c r="O172" s="26"/>
      <c r="P172" s="23"/>
      <c r="Q172" s="30"/>
      <c r="R172" s="31"/>
      <c r="S172" s="27"/>
      <c r="T172" s="19"/>
    </row>
    <row r="173" spans="1:20" ht="37.5" customHeight="1" x14ac:dyDescent="0.25">
      <c r="A173" s="19"/>
      <c r="G173" s="28"/>
      <c r="H173" s="21"/>
      <c r="I173" s="22"/>
      <c r="J173" s="23"/>
      <c r="K173" s="26"/>
      <c r="L173" s="23"/>
      <c r="M173" s="26"/>
      <c r="N173" s="29"/>
      <c r="O173" s="26"/>
      <c r="P173" s="23"/>
      <c r="Q173" s="30"/>
      <c r="R173" s="31"/>
      <c r="S173" s="27"/>
      <c r="T173" s="19"/>
    </row>
    <row r="174" spans="1:20" ht="37.5" customHeight="1" x14ac:dyDescent="0.25">
      <c r="A174" s="19"/>
      <c r="G174" s="28"/>
      <c r="H174" s="21"/>
      <c r="I174" s="22"/>
      <c r="J174" s="23"/>
      <c r="K174" s="26"/>
      <c r="L174" s="23"/>
      <c r="M174" s="26"/>
      <c r="N174" s="29"/>
      <c r="O174" s="26"/>
      <c r="P174" s="23"/>
      <c r="Q174" s="30"/>
      <c r="R174" s="31"/>
      <c r="S174" s="27"/>
      <c r="T174" s="19"/>
    </row>
    <row r="175" spans="1:20" ht="37.5" customHeight="1" x14ac:dyDescent="0.25">
      <c r="A175" s="19"/>
      <c r="G175" s="28"/>
      <c r="H175" s="21"/>
      <c r="I175" s="22"/>
      <c r="J175" s="23"/>
      <c r="K175" s="26"/>
      <c r="L175" s="23"/>
      <c r="M175" s="26"/>
      <c r="N175" s="29"/>
      <c r="O175" s="26"/>
      <c r="P175" s="23"/>
      <c r="Q175" s="30"/>
      <c r="R175" s="31"/>
      <c r="S175" s="27"/>
      <c r="T175" s="19"/>
    </row>
    <row r="176" spans="1:20" ht="37.5" customHeight="1" x14ac:dyDescent="0.25">
      <c r="A176" s="19"/>
      <c r="G176" s="28"/>
      <c r="H176" s="21"/>
      <c r="I176" s="22"/>
      <c r="J176" s="23"/>
      <c r="K176" s="26"/>
      <c r="L176" s="23"/>
      <c r="M176" s="26"/>
      <c r="N176" s="29"/>
      <c r="O176" s="26"/>
      <c r="P176" s="23"/>
      <c r="Q176" s="30"/>
      <c r="R176" s="31"/>
      <c r="S176" s="27"/>
      <c r="T176" s="19"/>
    </row>
    <row r="177" spans="1:20" ht="37.5" customHeight="1" x14ac:dyDescent="0.25">
      <c r="A177" s="19"/>
      <c r="G177" s="28"/>
      <c r="H177" s="21"/>
      <c r="I177" s="22"/>
      <c r="J177" s="23"/>
      <c r="K177" s="26"/>
      <c r="L177" s="23"/>
      <c r="M177" s="26"/>
      <c r="N177" s="29"/>
      <c r="O177" s="26"/>
      <c r="P177" s="23"/>
      <c r="Q177" s="30"/>
      <c r="R177" s="31"/>
      <c r="S177" s="27"/>
      <c r="T177" s="19"/>
    </row>
    <row r="178" spans="1:20" ht="37.5" customHeight="1" x14ac:dyDescent="0.25">
      <c r="A178" s="19"/>
      <c r="G178" s="28"/>
      <c r="H178" s="21"/>
      <c r="I178" s="22"/>
      <c r="J178" s="23"/>
      <c r="K178" s="26"/>
      <c r="L178" s="23"/>
      <c r="M178" s="26"/>
      <c r="N178" s="29"/>
      <c r="O178" s="26"/>
      <c r="P178" s="23"/>
      <c r="Q178" s="30"/>
      <c r="R178" s="31"/>
      <c r="S178" s="27"/>
      <c r="T178" s="19"/>
    </row>
    <row r="179" spans="1:20" ht="37.5" customHeight="1" x14ac:dyDescent="0.25">
      <c r="A179" s="19"/>
      <c r="G179" s="28"/>
      <c r="H179" s="21"/>
      <c r="I179" s="22"/>
      <c r="J179" s="23"/>
      <c r="K179" s="26"/>
      <c r="L179" s="23"/>
      <c r="M179" s="26"/>
      <c r="N179" s="29"/>
      <c r="O179" s="26"/>
      <c r="P179" s="23"/>
      <c r="Q179" s="30"/>
      <c r="R179" s="31"/>
      <c r="S179" s="27"/>
      <c r="T179" s="19"/>
    </row>
    <row r="180" spans="1:20" ht="37.5" customHeight="1" x14ac:dyDescent="0.25">
      <c r="A180" s="19"/>
      <c r="G180" s="28"/>
      <c r="H180" s="21"/>
      <c r="I180" s="22"/>
      <c r="J180" s="23"/>
      <c r="K180" s="26"/>
      <c r="L180" s="23"/>
      <c r="M180" s="26"/>
      <c r="N180" s="29"/>
      <c r="O180" s="26"/>
      <c r="P180" s="23"/>
      <c r="Q180" s="30"/>
      <c r="R180" s="31"/>
      <c r="S180" s="27"/>
      <c r="T180" s="19"/>
    </row>
    <row r="181" spans="1:20" ht="37.5" customHeight="1" x14ac:dyDescent="0.25">
      <c r="A181" s="19"/>
      <c r="G181" s="28"/>
      <c r="H181" s="21"/>
      <c r="I181" s="22"/>
      <c r="J181" s="23"/>
      <c r="K181" s="26"/>
      <c r="L181" s="23"/>
      <c r="M181" s="26"/>
      <c r="N181" s="29"/>
      <c r="O181" s="26"/>
      <c r="P181" s="23"/>
      <c r="Q181" s="30"/>
      <c r="R181" s="31"/>
      <c r="S181" s="27"/>
      <c r="T181" s="19"/>
    </row>
    <row r="182" spans="1:20" ht="37.5" customHeight="1" x14ac:dyDescent="0.25">
      <c r="A182" s="19"/>
      <c r="G182" s="28"/>
      <c r="H182" s="21"/>
      <c r="I182" s="22"/>
      <c r="J182" s="23"/>
      <c r="K182" s="26"/>
      <c r="L182" s="23"/>
      <c r="M182" s="26"/>
      <c r="N182" s="29"/>
      <c r="O182" s="26"/>
      <c r="P182" s="23"/>
      <c r="Q182" s="30"/>
      <c r="R182" s="31"/>
      <c r="S182" s="27"/>
      <c r="T182" s="19"/>
    </row>
    <row r="183" spans="1:20" ht="37.5" customHeight="1" x14ac:dyDescent="0.25">
      <c r="A183" s="19"/>
      <c r="G183" s="28"/>
      <c r="H183" s="21"/>
      <c r="I183" s="22"/>
      <c r="J183" s="23"/>
      <c r="K183" s="26"/>
      <c r="L183" s="23"/>
      <c r="M183" s="26"/>
      <c r="N183" s="29"/>
      <c r="O183" s="26"/>
      <c r="P183" s="23"/>
      <c r="Q183" s="30"/>
      <c r="R183" s="31"/>
      <c r="S183" s="27"/>
      <c r="T183" s="19"/>
    </row>
    <row r="184" spans="1:20" ht="37.5" customHeight="1" x14ac:dyDescent="0.25">
      <c r="A184" s="19"/>
      <c r="G184" s="28"/>
      <c r="H184" s="21"/>
      <c r="I184" s="22"/>
      <c r="J184" s="23"/>
      <c r="K184" s="26"/>
      <c r="L184" s="23"/>
      <c r="M184" s="26"/>
      <c r="N184" s="29"/>
      <c r="O184" s="26"/>
      <c r="P184" s="23"/>
      <c r="Q184" s="30"/>
      <c r="R184" s="31"/>
      <c r="S184" s="27"/>
      <c r="T184" s="19"/>
    </row>
    <row r="185" spans="1:20" ht="37.5" customHeight="1" x14ac:dyDescent="0.25">
      <c r="A185" s="19"/>
      <c r="G185" s="28"/>
      <c r="H185" s="21"/>
      <c r="I185" s="22"/>
      <c r="J185" s="23"/>
      <c r="K185" s="26"/>
      <c r="L185" s="23"/>
      <c r="M185" s="26"/>
      <c r="N185" s="29"/>
      <c r="O185" s="26"/>
      <c r="P185" s="23"/>
      <c r="Q185" s="30"/>
      <c r="R185" s="31"/>
      <c r="S185" s="27"/>
      <c r="T185" s="19"/>
    </row>
    <row r="186" spans="1:20" ht="37.5" customHeight="1" x14ac:dyDescent="0.25">
      <c r="A186" s="19"/>
      <c r="G186" s="28"/>
      <c r="H186" s="21"/>
      <c r="I186" s="22"/>
      <c r="J186" s="23"/>
      <c r="K186" s="26"/>
      <c r="L186" s="23"/>
      <c r="M186" s="26"/>
      <c r="N186" s="29"/>
      <c r="O186" s="26"/>
      <c r="P186" s="23"/>
      <c r="Q186" s="30"/>
      <c r="R186" s="31"/>
      <c r="S186" s="27"/>
      <c r="T186" s="19"/>
    </row>
    <row r="187" spans="1:20" ht="37.5" customHeight="1" x14ac:dyDescent="0.25">
      <c r="A187" s="19"/>
      <c r="G187" s="28"/>
      <c r="H187" s="21"/>
      <c r="I187" s="22"/>
      <c r="J187" s="23"/>
      <c r="K187" s="26"/>
      <c r="L187" s="23"/>
      <c r="M187" s="26"/>
      <c r="N187" s="29"/>
      <c r="O187" s="26"/>
      <c r="P187" s="23"/>
      <c r="Q187" s="30"/>
      <c r="R187" s="31"/>
      <c r="S187" s="27"/>
      <c r="T187" s="19"/>
    </row>
    <row r="188" spans="1:20" ht="37.5" customHeight="1" x14ac:dyDescent="0.25">
      <c r="A188" s="19"/>
      <c r="G188" s="28"/>
      <c r="H188" s="21"/>
      <c r="I188" s="22"/>
      <c r="J188" s="23"/>
      <c r="K188" s="26"/>
      <c r="L188" s="23"/>
      <c r="M188" s="26"/>
      <c r="N188" s="29"/>
      <c r="O188" s="26"/>
      <c r="P188" s="23"/>
      <c r="Q188" s="30"/>
      <c r="R188" s="31"/>
      <c r="S188" s="27"/>
      <c r="T188" s="19"/>
    </row>
    <row r="189" spans="1:20" ht="37.5" customHeight="1" x14ac:dyDescent="0.25">
      <c r="A189" s="19"/>
      <c r="G189" s="28"/>
      <c r="H189" s="21"/>
      <c r="I189" s="22"/>
      <c r="J189" s="23"/>
      <c r="K189" s="26"/>
      <c r="L189" s="23"/>
      <c r="M189" s="26"/>
      <c r="N189" s="29"/>
      <c r="O189" s="26"/>
      <c r="P189" s="23"/>
      <c r="Q189" s="30"/>
      <c r="R189" s="31"/>
      <c r="S189" s="27"/>
      <c r="T189" s="19"/>
    </row>
    <row r="190" spans="1:20" ht="37.5" customHeight="1" x14ac:dyDescent="0.25">
      <c r="A190" s="19"/>
      <c r="G190" s="28"/>
      <c r="H190" s="21"/>
      <c r="I190" s="22"/>
      <c r="J190" s="23"/>
      <c r="K190" s="26"/>
      <c r="L190" s="23"/>
      <c r="M190" s="26"/>
      <c r="N190" s="29"/>
      <c r="O190" s="26"/>
      <c r="P190" s="23"/>
      <c r="Q190" s="30"/>
      <c r="R190" s="31"/>
      <c r="S190" s="27"/>
      <c r="T190" s="19"/>
    </row>
    <row r="191" spans="1:20" ht="37.5" customHeight="1" x14ac:dyDescent="0.25">
      <c r="A191" s="19"/>
      <c r="G191" s="28"/>
      <c r="H191" s="21"/>
      <c r="I191" s="22"/>
      <c r="J191" s="23"/>
      <c r="K191" s="26"/>
      <c r="L191" s="23"/>
      <c r="M191" s="26"/>
      <c r="N191" s="29"/>
      <c r="O191" s="26"/>
      <c r="P191" s="23"/>
      <c r="Q191" s="30"/>
      <c r="R191" s="31"/>
      <c r="S191" s="27"/>
      <c r="T191" s="19"/>
    </row>
    <row r="192" spans="1:20" ht="37.5" customHeight="1" x14ac:dyDescent="0.25">
      <c r="A192" s="19"/>
      <c r="G192" s="28"/>
      <c r="H192" s="21"/>
      <c r="I192" s="22"/>
      <c r="J192" s="23"/>
      <c r="K192" s="26"/>
      <c r="L192" s="23"/>
      <c r="M192" s="26"/>
      <c r="N192" s="29"/>
      <c r="O192" s="26"/>
      <c r="P192" s="23"/>
      <c r="Q192" s="30"/>
      <c r="R192" s="31"/>
      <c r="S192" s="27"/>
      <c r="T192" s="19"/>
    </row>
    <row r="193" spans="1:20" ht="37.5" customHeight="1" x14ac:dyDescent="0.25">
      <c r="A193" s="19"/>
      <c r="G193" s="28"/>
      <c r="H193" s="21"/>
      <c r="I193" s="22"/>
      <c r="J193" s="23"/>
      <c r="K193" s="26"/>
      <c r="L193" s="23"/>
      <c r="M193" s="26"/>
      <c r="N193" s="29"/>
      <c r="O193" s="26"/>
      <c r="P193" s="23"/>
      <c r="Q193" s="30"/>
      <c r="R193" s="31"/>
      <c r="S193" s="27"/>
      <c r="T193" s="19"/>
    </row>
    <row r="194" spans="1:20" ht="33.75" customHeight="1" x14ac:dyDescent="0.25">
      <c r="L194" s="37"/>
    </row>
    <row r="195" spans="1:20" ht="33.75" customHeight="1" x14ac:dyDescent="0.25">
      <c r="L195" s="37"/>
    </row>
    <row r="196" spans="1:20" ht="33.75" customHeight="1" x14ac:dyDescent="0.25">
      <c r="L196" s="37"/>
    </row>
    <row r="197" spans="1:20" ht="33.75" customHeight="1" x14ac:dyDescent="0.25">
      <c r="L197" s="37"/>
    </row>
    <row r="198" spans="1:20" ht="33.75" customHeight="1" x14ac:dyDescent="0.25">
      <c r="L198" s="37"/>
    </row>
    <row r="199" spans="1:20" ht="33.75" customHeight="1" x14ac:dyDescent="0.25">
      <c r="L199" s="37"/>
    </row>
    <row r="200" spans="1:20" ht="33.75" customHeight="1" x14ac:dyDescent="0.25">
      <c r="L200" s="37"/>
    </row>
    <row r="201" spans="1:20" ht="33.75" customHeight="1" x14ac:dyDescent="0.25">
      <c r="L201" s="37"/>
    </row>
    <row r="202" spans="1:20" ht="33.75" customHeight="1" x14ac:dyDescent="0.25">
      <c r="L202" s="37"/>
    </row>
    <row r="203" spans="1:20" ht="33.75" customHeight="1" x14ac:dyDescent="0.25">
      <c r="L203" s="37"/>
    </row>
    <row r="204" spans="1:20" ht="33.75" customHeight="1" x14ac:dyDescent="0.25">
      <c r="L204" s="37"/>
    </row>
    <row r="205" spans="1:20" ht="33.75" customHeight="1" x14ac:dyDescent="0.25">
      <c r="L205" s="37"/>
    </row>
    <row r="206" spans="1:20" ht="33.75" customHeight="1" x14ac:dyDescent="0.25">
      <c r="L206" s="37"/>
    </row>
    <row r="207" spans="1:20" ht="33.75" customHeight="1" x14ac:dyDescent="0.25">
      <c r="L207" s="37"/>
    </row>
    <row r="208" spans="1:20" ht="33.75" customHeight="1" x14ac:dyDescent="0.25">
      <c r="L208" s="37"/>
    </row>
    <row r="209" spans="12:12" ht="33.75" customHeight="1" x14ac:dyDescent="0.25">
      <c r="L209" s="37"/>
    </row>
    <row r="210" spans="12:12" ht="33.75" customHeight="1" x14ac:dyDescent="0.25">
      <c r="L210" s="37"/>
    </row>
    <row r="211" spans="12:12" ht="33.75" customHeight="1" x14ac:dyDescent="0.25">
      <c r="L211" s="37"/>
    </row>
    <row r="212" spans="12:12" ht="33.75" customHeight="1" x14ac:dyDescent="0.25">
      <c r="L212" s="37"/>
    </row>
    <row r="213" spans="12:12" ht="33.75" customHeight="1" x14ac:dyDescent="0.25">
      <c r="L213" s="37"/>
    </row>
    <row r="214" spans="12:12" ht="33.75" customHeight="1" x14ac:dyDescent="0.25">
      <c r="L214" s="37"/>
    </row>
    <row r="215" spans="12:12" ht="33.75" customHeight="1" x14ac:dyDescent="0.25">
      <c r="L215" s="37"/>
    </row>
    <row r="216" spans="12:12" ht="33.75" customHeight="1" x14ac:dyDescent="0.25">
      <c r="L216" s="37"/>
    </row>
    <row r="217" spans="12:12" ht="33.75" customHeight="1" x14ac:dyDescent="0.25">
      <c r="L217" s="37"/>
    </row>
    <row r="218" spans="12:12" ht="33.75" customHeight="1" x14ac:dyDescent="0.25">
      <c r="L218" s="37"/>
    </row>
    <row r="219" spans="12:12" ht="33.75" customHeight="1" x14ac:dyDescent="0.25">
      <c r="L219" s="37"/>
    </row>
    <row r="220" spans="12:12" ht="33.75" customHeight="1" x14ac:dyDescent="0.25">
      <c r="L220" s="37"/>
    </row>
    <row r="221" spans="12:12" ht="33.75" customHeight="1" x14ac:dyDescent="0.25">
      <c r="L221" s="37"/>
    </row>
    <row r="222" spans="12:12" ht="33.75" customHeight="1" x14ac:dyDescent="0.25">
      <c r="L222" s="37"/>
    </row>
    <row r="223" spans="12:12" ht="33.75" customHeight="1" x14ac:dyDescent="0.25">
      <c r="L223" s="37"/>
    </row>
    <row r="224" spans="12:12" ht="33.75" customHeight="1" x14ac:dyDescent="0.25">
      <c r="L224" s="37"/>
    </row>
    <row r="225" spans="12:12" ht="33.75" customHeight="1" x14ac:dyDescent="0.25">
      <c r="L225" s="37"/>
    </row>
    <row r="226" spans="12:12" ht="33.75" customHeight="1" x14ac:dyDescent="0.25">
      <c r="L226" s="37"/>
    </row>
    <row r="227" spans="12:12" ht="33.75" customHeight="1" x14ac:dyDescent="0.25">
      <c r="L227" s="37"/>
    </row>
    <row r="228" spans="12:12" ht="33.75" customHeight="1" x14ac:dyDescent="0.25">
      <c r="L228" s="37"/>
    </row>
    <row r="229" spans="12:12" ht="33.75" customHeight="1" x14ac:dyDescent="0.25">
      <c r="L229" s="37"/>
    </row>
    <row r="230" spans="12:12" ht="33.75" customHeight="1" x14ac:dyDescent="0.25">
      <c r="L230" s="37"/>
    </row>
    <row r="231" spans="12:12" ht="33.75" customHeight="1" x14ac:dyDescent="0.25">
      <c r="L231" s="37"/>
    </row>
    <row r="232" spans="12:12" ht="33.75" customHeight="1" x14ac:dyDescent="0.25">
      <c r="L232" s="37"/>
    </row>
    <row r="233" spans="12:12" ht="33.75" customHeight="1" x14ac:dyDescent="0.25">
      <c r="L233" s="37"/>
    </row>
    <row r="234" spans="12:12" ht="33.75" customHeight="1" x14ac:dyDescent="0.25">
      <c r="L234" s="37"/>
    </row>
    <row r="235" spans="12:12" ht="33.75" customHeight="1" x14ac:dyDescent="0.25">
      <c r="L235" s="37"/>
    </row>
    <row r="236" spans="12:12" ht="33.75" customHeight="1" x14ac:dyDescent="0.25">
      <c r="L236" s="37"/>
    </row>
    <row r="237" spans="12:12" ht="33.75" customHeight="1" x14ac:dyDescent="0.25">
      <c r="L237" s="37"/>
    </row>
    <row r="238" spans="12:12" ht="33.75" customHeight="1" x14ac:dyDescent="0.25">
      <c r="L238" s="37"/>
    </row>
    <row r="239" spans="12:12" ht="33.75" customHeight="1" x14ac:dyDescent="0.25">
      <c r="L239" s="37"/>
    </row>
    <row r="240" spans="12:12" ht="33.75" customHeight="1" x14ac:dyDescent="0.25">
      <c r="L240" s="37"/>
    </row>
    <row r="241" spans="12:12" ht="33.75" customHeight="1" x14ac:dyDescent="0.25">
      <c r="L241" s="37"/>
    </row>
    <row r="242" spans="12:12" ht="33.75" customHeight="1" x14ac:dyDescent="0.25">
      <c r="L242" s="37"/>
    </row>
    <row r="243" spans="12:12" ht="33.75" customHeight="1" x14ac:dyDescent="0.25">
      <c r="L243" s="37"/>
    </row>
    <row r="244" spans="12:12" ht="33.75" customHeight="1" x14ac:dyDescent="0.25">
      <c r="L244" s="37"/>
    </row>
    <row r="245" spans="12:12" ht="33.75" customHeight="1" x14ac:dyDescent="0.25">
      <c r="L245" s="37"/>
    </row>
    <row r="246" spans="12:12" ht="33.75" customHeight="1" x14ac:dyDescent="0.25">
      <c r="L246" s="37"/>
    </row>
    <row r="247" spans="12:12" ht="33.75" customHeight="1" x14ac:dyDescent="0.25">
      <c r="L247" s="37"/>
    </row>
    <row r="248" spans="12:12" ht="33.75" customHeight="1" x14ac:dyDescent="0.25">
      <c r="L248" s="37"/>
    </row>
    <row r="249" spans="12:12" ht="33.75" customHeight="1" x14ac:dyDescent="0.25">
      <c r="L249" s="37"/>
    </row>
    <row r="250" spans="12:12" ht="33.75" customHeight="1" x14ac:dyDescent="0.25">
      <c r="L250" s="37"/>
    </row>
    <row r="251" spans="12:12" ht="33.75" customHeight="1" x14ac:dyDescent="0.25">
      <c r="L251" s="37"/>
    </row>
    <row r="252" spans="12:12" ht="33.75" customHeight="1" x14ac:dyDescent="0.25">
      <c r="L252" s="37"/>
    </row>
    <row r="253" spans="12:12" ht="33.75" customHeight="1" x14ac:dyDescent="0.25">
      <c r="L253" s="37"/>
    </row>
    <row r="254" spans="12:12" ht="33.75" customHeight="1" x14ac:dyDescent="0.25">
      <c r="L254" s="37"/>
    </row>
    <row r="255" spans="12:12" ht="33.75" customHeight="1" x14ac:dyDescent="0.25">
      <c r="L255" s="37"/>
    </row>
    <row r="256" spans="12:12" ht="33.75" customHeight="1" x14ac:dyDescent="0.25">
      <c r="L256" s="37"/>
    </row>
    <row r="257" spans="12:12" ht="33.75" customHeight="1" x14ac:dyDescent="0.25">
      <c r="L257" s="37"/>
    </row>
    <row r="258" spans="12:12" ht="33.75" customHeight="1" x14ac:dyDescent="0.25">
      <c r="L258" s="37"/>
    </row>
    <row r="259" spans="12:12" ht="33.75" customHeight="1" x14ac:dyDescent="0.25">
      <c r="L259" s="37"/>
    </row>
    <row r="260" spans="12:12" ht="33.75" customHeight="1" x14ac:dyDescent="0.25">
      <c r="L260" s="37"/>
    </row>
    <row r="261" spans="12:12" ht="33.75" customHeight="1" x14ac:dyDescent="0.25">
      <c r="L261" s="37"/>
    </row>
    <row r="262" spans="12:12" ht="33.75" customHeight="1" x14ac:dyDescent="0.25">
      <c r="L262" s="37"/>
    </row>
    <row r="263" spans="12:12" ht="33.75" customHeight="1" x14ac:dyDescent="0.25">
      <c r="L263" s="37"/>
    </row>
    <row r="264" spans="12:12" ht="33.75" customHeight="1" x14ac:dyDescent="0.25">
      <c r="L264" s="37"/>
    </row>
    <row r="265" spans="12:12" ht="33.75" customHeight="1" x14ac:dyDescent="0.25">
      <c r="L265" s="37"/>
    </row>
    <row r="266" spans="12:12" ht="33.75" customHeight="1" x14ac:dyDescent="0.25">
      <c r="L266" s="37"/>
    </row>
    <row r="267" spans="12:12" ht="33.75" customHeight="1" x14ac:dyDescent="0.25">
      <c r="L267" s="37"/>
    </row>
    <row r="268" spans="12:12" ht="33.75" customHeight="1" x14ac:dyDescent="0.25">
      <c r="L268" s="37"/>
    </row>
    <row r="269" spans="12:12" ht="33.75" customHeight="1" x14ac:dyDescent="0.25">
      <c r="L269" s="37"/>
    </row>
    <row r="270" spans="12:12" ht="33.75" customHeight="1" x14ac:dyDescent="0.25">
      <c r="L270" s="37"/>
    </row>
    <row r="271" spans="12:12" ht="33.75" customHeight="1" x14ac:dyDescent="0.25">
      <c r="L271" s="37"/>
    </row>
    <row r="272" spans="12:12" ht="33.75" customHeight="1" x14ac:dyDescent="0.25">
      <c r="L272" s="37"/>
    </row>
    <row r="273" spans="12:12" ht="33.75" customHeight="1" x14ac:dyDescent="0.25">
      <c r="L273" s="37"/>
    </row>
    <row r="274" spans="12:12" ht="33.75" customHeight="1" x14ac:dyDescent="0.25">
      <c r="L274" s="37"/>
    </row>
    <row r="275" spans="12:12" ht="33.75" customHeight="1" x14ac:dyDescent="0.25">
      <c r="L275" s="37"/>
    </row>
    <row r="276" spans="12:12" ht="33.75" customHeight="1" x14ac:dyDescent="0.25">
      <c r="L276" s="37"/>
    </row>
    <row r="277" spans="12:12" ht="33.75" customHeight="1" x14ac:dyDescent="0.25">
      <c r="L277" s="37"/>
    </row>
    <row r="278" spans="12:12" ht="33.75" customHeight="1" x14ac:dyDescent="0.25">
      <c r="L278" s="37"/>
    </row>
    <row r="279" spans="12:12" ht="33.75" customHeight="1" x14ac:dyDescent="0.25">
      <c r="L279" s="37"/>
    </row>
    <row r="280" spans="12:12" ht="33.75" customHeight="1" x14ac:dyDescent="0.25">
      <c r="L280" s="37"/>
    </row>
    <row r="281" spans="12:12" ht="33.75" customHeight="1" x14ac:dyDescent="0.25">
      <c r="L281" s="37"/>
    </row>
    <row r="282" spans="12:12" ht="33.75" customHeight="1" x14ac:dyDescent="0.25">
      <c r="L282" s="37"/>
    </row>
    <row r="283" spans="12:12" ht="33.75" customHeight="1" x14ac:dyDescent="0.25">
      <c r="L283" s="37"/>
    </row>
    <row r="284" spans="12:12" ht="33.75" customHeight="1" x14ac:dyDescent="0.25">
      <c r="L284" s="37"/>
    </row>
    <row r="285" spans="12:12" ht="33.75" customHeight="1" x14ac:dyDescent="0.25">
      <c r="L285" s="37"/>
    </row>
    <row r="286" spans="12:12" ht="33.75" customHeight="1" x14ac:dyDescent="0.25">
      <c r="L286" s="37"/>
    </row>
    <row r="287" spans="12:12" ht="33.75" customHeight="1" x14ac:dyDescent="0.25">
      <c r="L287" s="37"/>
    </row>
    <row r="288" spans="12:12" ht="33.75" customHeight="1" x14ac:dyDescent="0.25">
      <c r="L288" s="37"/>
    </row>
    <row r="289" spans="12:12" ht="33.75" customHeight="1" x14ac:dyDescent="0.25">
      <c r="L289" s="37"/>
    </row>
    <row r="290" spans="12:12" ht="33.75" customHeight="1" x14ac:dyDescent="0.25">
      <c r="L290" s="37"/>
    </row>
    <row r="291" spans="12:12" ht="33.75" customHeight="1" x14ac:dyDescent="0.25">
      <c r="L291" s="37"/>
    </row>
    <row r="292" spans="12:12" ht="33.75" customHeight="1" x14ac:dyDescent="0.25">
      <c r="L292" s="37"/>
    </row>
    <row r="293" spans="12:12" ht="33.75" customHeight="1" x14ac:dyDescent="0.25">
      <c r="L293" s="37"/>
    </row>
    <row r="294" spans="12:12" ht="33.75" customHeight="1" x14ac:dyDescent="0.25">
      <c r="L294" s="37"/>
    </row>
    <row r="295" spans="12:12" ht="33.75" customHeight="1" x14ac:dyDescent="0.25">
      <c r="L295" s="37"/>
    </row>
    <row r="296" spans="12:12" ht="33.75" customHeight="1" x14ac:dyDescent="0.25">
      <c r="L296" s="37"/>
    </row>
    <row r="297" spans="12:12" ht="33.75" customHeight="1" x14ac:dyDescent="0.25">
      <c r="L297" s="37"/>
    </row>
    <row r="298" spans="12:12" ht="33.75" customHeight="1" x14ac:dyDescent="0.25">
      <c r="L298" s="37"/>
    </row>
    <row r="299" spans="12:12" ht="33.75" customHeight="1" x14ac:dyDescent="0.25">
      <c r="L299" s="37"/>
    </row>
    <row r="300" spans="12:12" ht="33.75" customHeight="1" x14ac:dyDescent="0.25">
      <c r="L300" s="37"/>
    </row>
    <row r="301" spans="12:12" ht="33.75" customHeight="1" x14ac:dyDescent="0.25">
      <c r="L301" s="37"/>
    </row>
    <row r="302" spans="12:12" ht="33.75" customHeight="1" x14ac:dyDescent="0.25">
      <c r="L302" s="37"/>
    </row>
    <row r="303" spans="12:12" ht="33.75" customHeight="1" x14ac:dyDescent="0.25">
      <c r="L303" s="37"/>
    </row>
    <row r="304" spans="12:12" ht="33.75" customHeight="1" x14ac:dyDescent="0.25">
      <c r="L304" s="37"/>
    </row>
    <row r="305" spans="12:12" ht="33.75" customHeight="1" x14ac:dyDescent="0.25">
      <c r="L305" s="37"/>
    </row>
    <row r="306" spans="12:12" ht="33.75" customHeight="1" x14ac:dyDescent="0.25">
      <c r="L306" s="37"/>
    </row>
    <row r="307" spans="12:12" ht="33.75" customHeight="1" x14ac:dyDescent="0.25">
      <c r="L307" s="37"/>
    </row>
    <row r="308" spans="12:12" ht="33.75" customHeight="1" x14ac:dyDescent="0.25">
      <c r="L308" s="37"/>
    </row>
    <row r="309" spans="12:12" ht="33.75" customHeight="1" x14ac:dyDescent="0.25">
      <c r="L309" s="37"/>
    </row>
    <row r="310" spans="12:12" ht="33.75" customHeight="1" x14ac:dyDescent="0.25">
      <c r="L310" s="37"/>
    </row>
    <row r="311" spans="12:12" ht="33.75" customHeight="1" x14ac:dyDescent="0.25">
      <c r="L311" s="37"/>
    </row>
    <row r="312" spans="12:12" ht="33.75" customHeight="1" x14ac:dyDescent="0.25">
      <c r="L312" s="37"/>
    </row>
    <row r="313" spans="12:12" ht="33.75" customHeight="1" x14ac:dyDescent="0.25">
      <c r="L313" s="37"/>
    </row>
    <row r="314" spans="12:12" ht="33.75" customHeight="1" x14ac:dyDescent="0.25">
      <c r="L314" s="37"/>
    </row>
    <row r="315" spans="12:12" ht="33.75" customHeight="1" x14ac:dyDescent="0.25">
      <c r="L315" s="37"/>
    </row>
    <row r="316" spans="12:12" ht="33.75" customHeight="1" x14ac:dyDescent="0.25">
      <c r="L316" s="37"/>
    </row>
    <row r="317" spans="12:12" ht="33.75" customHeight="1" x14ac:dyDescent="0.25">
      <c r="L317" s="37"/>
    </row>
    <row r="318" spans="12:12" ht="33.75" customHeight="1" x14ac:dyDescent="0.25">
      <c r="L318" s="37"/>
    </row>
    <row r="319" spans="12:12" ht="33.75" customHeight="1" x14ac:dyDescent="0.25">
      <c r="L319" s="37"/>
    </row>
    <row r="320" spans="12:12" ht="33.75" customHeight="1" x14ac:dyDescent="0.25">
      <c r="L320" s="37"/>
    </row>
    <row r="321" spans="12:12" ht="33.75" customHeight="1" x14ac:dyDescent="0.25">
      <c r="L321" s="37"/>
    </row>
    <row r="322" spans="12:12" ht="33.75" customHeight="1" x14ac:dyDescent="0.25">
      <c r="L322" s="37"/>
    </row>
    <row r="323" spans="12:12" ht="33.75" customHeight="1" x14ac:dyDescent="0.25">
      <c r="L323" s="37"/>
    </row>
    <row r="324" spans="12:12" ht="33.75" customHeight="1" x14ac:dyDescent="0.25">
      <c r="L324" s="37"/>
    </row>
    <row r="325" spans="12:12" ht="33.75" customHeight="1" x14ac:dyDescent="0.25">
      <c r="L325" s="37"/>
    </row>
    <row r="326" spans="12:12" ht="33.75" customHeight="1" x14ac:dyDescent="0.25">
      <c r="L326" s="37"/>
    </row>
    <row r="327" spans="12:12" ht="33.75" customHeight="1" x14ac:dyDescent="0.25">
      <c r="L327" s="37"/>
    </row>
    <row r="328" spans="12:12" ht="33.75" customHeight="1" x14ac:dyDescent="0.25">
      <c r="L328" s="37"/>
    </row>
    <row r="329" spans="12:12" ht="33.75" customHeight="1" x14ac:dyDescent="0.25">
      <c r="L329" s="37"/>
    </row>
    <row r="330" spans="12:12" ht="33.75" customHeight="1" x14ac:dyDescent="0.25">
      <c r="L330" s="37"/>
    </row>
    <row r="331" spans="12:12" ht="33.75" customHeight="1" x14ac:dyDescent="0.25">
      <c r="L331" s="37"/>
    </row>
    <row r="332" spans="12:12" ht="33.75" customHeight="1" x14ac:dyDescent="0.25">
      <c r="L332" s="37"/>
    </row>
    <row r="333" spans="12:12" ht="33.75" customHeight="1" x14ac:dyDescent="0.25">
      <c r="L333" s="37"/>
    </row>
    <row r="334" spans="12:12" ht="33.75" customHeight="1" x14ac:dyDescent="0.25">
      <c r="L334" s="37"/>
    </row>
    <row r="335" spans="12:12" ht="33.75" customHeight="1" x14ac:dyDescent="0.25">
      <c r="L335" s="37"/>
    </row>
    <row r="336" spans="12:12" ht="33.75" customHeight="1" x14ac:dyDescent="0.25">
      <c r="L336" s="37"/>
    </row>
    <row r="337" spans="12:12" ht="33.75" customHeight="1" x14ac:dyDescent="0.25">
      <c r="L337" s="37"/>
    </row>
    <row r="338" spans="12:12" ht="33.75" customHeight="1" x14ac:dyDescent="0.25">
      <c r="L338" s="37"/>
    </row>
    <row r="339" spans="12:12" ht="33.75" customHeight="1" x14ac:dyDescent="0.25">
      <c r="L339" s="37"/>
    </row>
    <row r="340" spans="12:12" ht="33.75" customHeight="1" x14ac:dyDescent="0.25">
      <c r="L340" s="37"/>
    </row>
    <row r="341" spans="12:12" ht="33.75" customHeight="1" x14ac:dyDescent="0.25">
      <c r="L341" s="37"/>
    </row>
    <row r="342" spans="12:12" ht="33.75" customHeight="1" x14ac:dyDescent="0.25">
      <c r="L342" s="37"/>
    </row>
    <row r="343" spans="12:12" ht="33.75" customHeight="1" x14ac:dyDescent="0.25">
      <c r="L343" s="37"/>
    </row>
    <row r="344" spans="12:12" ht="33.75" customHeight="1" x14ac:dyDescent="0.25">
      <c r="L344" s="37"/>
    </row>
    <row r="345" spans="12:12" ht="33.75" customHeight="1" x14ac:dyDescent="0.25">
      <c r="L345" s="37"/>
    </row>
    <row r="346" spans="12:12" ht="33.75" customHeight="1" x14ac:dyDescent="0.25">
      <c r="L346" s="37"/>
    </row>
    <row r="347" spans="12:12" ht="33.75" customHeight="1" x14ac:dyDescent="0.25">
      <c r="L347" s="37"/>
    </row>
    <row r="348" spans="12:12" ht="33.75" customHeight="1" x14ac:dyDescent="0.25">
      <c r="L348" s="37"/>
    </row>
    <row r="349" spans="12:12" ht="33.75" customHeight="1" x14ac:dyDescent="0.25">
      <c r="L349" s="37"/>
    </row>
    <row r="350" spans="12:12" ht="33.75" customHeight="1" x14ac:dyDescent="0.25">
      <c r="L350" s="37"/>
    </row>
    <row r="351" spans="12:12" ht="33.75" customHeight="1" x14ac:dyDescent="0.25">
      <c r="L351" s="37"/>
    </row>
    <row r="352" spans="12:12" ht="33.75" customHeight="1" x14ac:dyDescent="0.25">
      <c r="L352" s="37"/>
    </row>
    <row r="353" spans="12:12" ht="33.75" customHeight="1" x14ac:dyDescent="0.25">
      <c r="L353" s="37"/>
    </row>
    <row r="354" spans="12:12" ht="33.75" customHeight="1" x14ac:dyDescent="0.25">
      <c r="L354" s="37"/>
    </row>
    <row r="355" spans="12:12" ht="33.75" customHeight="1" x14ac:dyDescent="0.25">
      <c r="L355" s="37"/>
    </row>
    <row r="356" spans="12:12" ht="33.75" customHeight="1" x14ac:dyDescent="0.25">
      <c r="L356" s="37"/>
    </row>
    <row r="357" spans="12:12" ht="33.75" customHeight="1" x14ac:dyDescent="0.25">
      <c r="L357" s="37"/>
    </row>
    <row r="358" spans="12:12" ht="33.75" customHeight="1" x14ac:dyDescent="0.25">
      <c r="L358" s="37"/>
    </row>
    <row r="359" spans="12:12" ht="33.75" customHeight="1" x14ac:dyDescent="0.25">
      <c r="L359" s="37"/>
    </row>
    <row r="360" spans="12:12" ht="33.75" customHeight="1" x14ac:dyDescent="0.25">
      <c r="L360" s="37"/>
    </row>
    <row r="361" spans="12:12" ht="33.75" customHeight="1" x14ac:dyDescent="0.25">
      <c r="L361" s="37"/>
    </row>
    <row r="362" spans="12:12" ht="33.75" customHeight="1" x14ac:dyDescent="0.25">
      <c r="L362" s="37"/>
    </row>
    <row r="363" spans="12:12" ht="33.75" customHeight="1" x14ac:dyDescent="0.25">
      <c r="L363" s="37"/>
    </row>
    <row r="364" spans="12:12" ht="33.75" customHeight="1" x14ac:dyDescent="0.25">
      <c r="L364" s="37"/>
    </row>
    <row r="365" spans="12:12" ht="33.75" customHeight="1" x14ac:dyDescent="0.25">
      <c r="L365" s="37"/>
    </row>
    <row r="366" spans="12:12" ht="33.75" customHeight="1" x14ac:dyDescent="0.25">
      <c r="L366" s="37"/>
    </row>
    <row r="367" spans="12:12" ht="33.75" customHeight="1" x14ac:dyDescent="0.25">
      <c r="L367" s="37"/>
    </row>
    <row r="368" spans="12:12" ht="33.75" customHeight="1" x14ac:dyDescent="0.25">
      <c r="L368" s="37"/>
    </row>
    <row r="369" spans="12:12" ht="33.75" customHeight="1" x14ac:dyDescent="0.25">
      <c r="L369" s="37"/>
    </row>
    <row r="370" spans="12:12" ht="33.75" customHeight="1" x14ac:dyDescent="0.25">
      <c r="L370" s="37"/>
    </row>
    <row r="371" spans="12:12" ht="33.75" customHeight="1" x14ac:dyDescent="0.25">
      <c r="L371" s="37"/>
    </row>
    <row r="372" spans="12:12" ht="33.75" customHeight="1" x14ac:dyDescent="0.25">
      <c r="L372" s="37"/>
    </row>
    <row r="373" spans="12:12" ht="33.75" customHeight="1" x14ac:dyDescent="0.25">
      <c r="L373" s="37"/>
    </row>
    <row r="374" spans="12:12" ht="33.75" customHeight="1" x14ac:dyDescent="0.25">
      <c r="L374" s="37"/>
    </row>
    <row r="375" spans="12:12" ht="33.75" customHeight="1" x14ac:dyDescent="0.25">
      <c r="L375" s="37"/>
    </row>
    <row r="376" spans="12:12" ht="33.75" customHeight="1" x14ac:dyDescent="0.25">
      <c r="L376" s="37"/>
    </row>
    <row r="377" spans="12:12" ht="33.75" customHeight="1" x14ac:dyDescent="0.25">
      <c r="L377" s="37"/>
    </row>
    <row r="378" spans="12:12" ht="33.75" customHeight="1" x14ac:dyDescent="0.25">
      <c r="L378" s="37"/>
    </row>
    <row r="379" spans="12:12" ht="33.75" customHeight="1" x14ac:dyDescent="0.25">
      <c r="L379" s="37"/>
    </row>
    <row r="380" spans="12:12" ht="33.75" customHeight="1" x14ac:dyDescent="0.25">
      <c r="L380" s="37"/>
    </row>
    <row r="381" spans="12:12" ht="33.75" customHeight="1" x14ac:dyDescent="0.25">
      <c r="L381" s="37"/>
    </row>
    <row r="382" spans="12:12" ht="33.75" customHeight="1" x14ac:dyDescent="0.25">
      <c r="L382" s="37"/>
    </row>
    <row r="383" spans="12:12" ht="33.75" customHeight="1" x14ac:dyDescent="0.25">
      <c r="L383" s="37"/>
    </row>
    <row r="384" spans="12:12" ht="33.75" customHeight="1" x14ac:dyDescent="0.25">
      <c r="L384" s="37"/>
    </row>
    <row r="385" spans="12:12" ht="33.75" customHeight="1" x14ac:dyDescent="0.25">
      <c r="L385" s="37"/>
    </row>
    <row r="386" spans="12:12" ht="33.75" customHeight="1" x14ac:dyDescent="0.25">
      <c r="L386" s="37"/>
    </row>
    <row r="387" spans="12:12" ht="33.75" customHeight="1" x14ac:dyDescent="0.25">
      <c r="L387" s="37"/>
    </row>
    <row r="388" spans="12:12" ht="33.75" customHeight="1" x14ac:dyDescent="0.25">
      <c r="L388" s="37"/>
    </row>
    <row r="389" spans="12:12" ht="33.75" customHeight="1" x14ac:dyDescent="0.25">
      <c r="L389" s="37"/>
    </row>
    <row r="390" spans="12:12" ht="33.75" customHeight="1" x14ac:dyDescent="0.25">
      <c r="L390" s="37"/>
    </row>
    <row r="391" spans="12:12" ht="33.75" customHeight="1" x14ac:dyDescent="0.25">
      <c r="L391" s="37"/>
    </row>
    <row r="392" spans="12:12" ht="33.75" customHeight="1" x14ac:dyDescent="0.25">
      <c r="L392" s="37"/>
    </row>
    <row r="393" spans="12:12" ht="33.75" customHeight="1" x14ac:dyDescent="0.25">
      <c r="L393" s="37"/>
    </row>
    <row r="394" spans="12:12" ht="33.75" customHeight="1" x14ac:dyDescent="0.25">
      <c r="L394" s="37"/>
    </row>
    <row r="395" spans="12:12" ht="33.75" customHeight="1" x14ac:dyDescent="0.25">
      <c r="L395" s="37"/>
    </row>
    <row r="396" spans="12:12" ht="33.75" customHeight="1" x14ac:dyDescent="0.25">
      <c r="L396" s="37"/>
    </row>
    <row r="397" spans="12:12" ht="33.75" customHeight="1" x14ac:dyDescent="0.25">
      <c r="L397" s="37"/>
    </row>
    <row r="398" spans="12:12" ht="33.75" customHeight="1" x14ac:dyDescent="0.25">
      <c r="L398" s="37"/>
    </row>
    <row r="399" spans="12:12" ht="33.75" customHeight="1" x14ac:dyDescent="0.25">
      <c r="L399" s="37"/>
    </row>
    <row r="400" spans="12:12" ht="33.75" customHeight="1" x14ac:dyDescent="0.25">
      <c r="L400" s="37"/>
    </row>
    <row r="401" spans="12:12" ht="33.75" customHeight="1" x14ac:dyDescent="0.25">
      <c r="L401" s="37"/>
    </row>
    <row r="402" spans="12:12" ht="33.75" customHeight="1" x14ac:dyDescent="0.25">
      <c r="L402" s="37"/>
    </row>
    <row r="403" spans="12:12" ht="33.75" customHeight="1" x14ac:dyDescent="0.25">
      <c r="L403" s="37"/>
    </row>
    <row r="404" spans="12:12" ht="33.75" customHeight="1" x14ac:dyDescent="0.25">
      <c r="L404" s="37"/>
    </row>
    <row r="405" spans="12:12" ht="33.75" customHeight="1" x14ac:dyDescent="0.25">
      <c r="L405" s="37"/>
    </row>
    <row r="406" spans="12:12" ht="33.75" customHeight="1" x14ac:dyDescent="0.25">
      <c r="L406" s="37"/>
    </row>
    <row r="407" spans="12:12" ht="33.75" customHeight="1" x14ac:dyDescent="0.25">
      <c r="L407" s="37"/>
    </row>
    <row r="408" spans="12:12" ht="33.75" customHeight="1" x14ac:dyDescent="0.25">
      <c r="L408" s="37"/>
    </row>
    <row r="409" spans="12:12" ht="33.75" customHeight="1" x14ac:dyDescent="0.25">
      <c r="L409" s="37"/>
    </row>
    <row r="410" spans="12:12" ht="33.75" customHeight="1" x14ac:dyDescent="0.25">
      <c r="L410" s="37"/>
    </row>
    <row r="411" spans="12:12" ht="33.75" customHeight="1" x14ac:dyDescent="0.25">
      <c r="L411" s="37"/>
    </row>
    <row r="412" spans="12:12" ht="33.75" customHeight="1" x14ac:dyDescent="0.25">
      <c r="L412" s="37"/>
    </row>
    <row r="413" spans="12:12" ht="33.75" customHeight="1" x14ac:dyDescent="0.25">
      <c r="L413" s="37"/>
    </row>
    <row r="414" spans="12:12" ht="33.75" customHeight="1" x14ac:dyDescent="0.25">
      <c r="L414" s="37"/>
    </row>
    <row r="415" spans="12:12" ht="33.75" customHeight="1" x14ac:dyDescent="0.25">
      <c r="L415" s="37"/>
    </row>
    <row r="416" spans="12:12" ht="33.75" customHeight="1" x14ac:dyDescent="0.25">
      <c r="L416" s="37"/>
    </row>
    <row r="417" spans="12:12" ht="33.75" customHeight="1" x14ac:dyDescent="0.25">
      <c r="L417" s="37"/>
    </row>
    <row r="418" spans="12:12" ht="33.75" customHeight="1" x14ac:dyDescent="0.25">
      <c r="L418" s="37"/>
    </row>
    <row r="419" spans="12:12" ht="33.75" customHeight="1" x14ac:dyDescent="0.25">
      <c r="L419" s="37"/>
    </row>
    <row r="420" spans="12:12" ht="33.75" customHeight="1" x14ac:dyDescent="0.25">
      <c r="L420" s="37"/>
    </row>
    <row r="421" spans="12:12" ht="33.75" customHeight="1" x14ac:dyDescent="0.25">
      <c r="L421" s="37"/>
    </row>
    <row r="422" spans="12:12" ht="33.75" customHeight="1" x14ac:dyDescent="0.25">
      <c r="L422" s="37"/>
    </row>
    <row r="423" spans="12:12" ht="33.75" customHeight="1" x14ac:dyDescent="0.25">
      <c r="L423" s="37"/>
    </row>
    <row r="424" spans="12:12" ht="33.75" customHeight="1" x14ac:dyDescent="0.25">
      <c r="L424" s="37"/>
    </row>
    <row r="425" spans="12:12" ht="33.75" customHeight="1" x14ac:dyDescent="0.25">
      <c r="L425" s="37"/>
    </row>
    <row r="426" spans="12:12" ht="33.75" customHeight="1" x14ac:dyDescent="0.25">
      <c r="L426" s="37"/>
    </row>
    <row r="427" spans="12:12" ht="33.75" customHeight="1" x14ac:dyDescent="0.25">
      <c r="L427" s="37"/>
    </row>
    <row r="428" spans="12:12" ht="33.75" customHeight="1" x14ac:dyDescent="0.25">
      <c r="L428" s="37"/>
    </row>
    <row r="429" spans="12:12" ht="33.75" customHeight="1" x14ac:dyDescent="0.25">
      <c r="L429" s="37"/>
    </row>
    <row r="430" spans="12:12" ht="33.75" customHeight="1" x14ac:dyDescent="0.25">
      <c r="L430" s="37"/>
    </row>
    <row r="431" spans="12:12" ht="33.75" customHeight="1" x14ac:dyDescent="0.25">
      <c r="L431" s="37"/>
    </row>
    <row r="432" spans="12:12" ht="33.75" customHeight="1" x14ac:dyDescent="0.25">
      <c r="L432" s="37"/>
    </row>
    <row r="433" spans="12:12" ht="33.75" customHeight="1" x14ac:dyDescent="0.25">
      <c r="L433" s="37"/>
    </row>
    <row r="434" spans="12:12" ht="33.75" customHeight="1" x14ac:dyDescent="0.25">
      <c r="L434" s="37"/>
    </row>
    <row r="435" spans="12:12" ht="33.75" customHeight="1" x14ac:dyDescent="0.25">
      <c r="L435" s="37"/>
    </row>
    <row r="436" spans="12:12" ht="33.75" customHeight="1" x14ac:dyDescent="0.25">
      <c r="L436" s="37"/>
    </row>
    <row r="437" spans="12:12" ht="33.75" customHeight="1" x14ac:dyDescent="0.25">
      <c r="L437" s="37"/>
    </row>
    <row r="438" spans="12:12" ht="33.75" customHeight="1" x14ac:dyDescent="0.25">
      <c r="L438" s="37"/>
    </row>
    <row r="439" spans="12:12" ht="33.75" customHeight="1" x14ac:dyDescent="0.25">
      <c r="L439" s="37"/>
    </row>
    <row r="440" spans="12:12" ht="33.75" customHeight="1" x14ac:dyDescent="0.25">
      <c r="L440" s="37"/>
    </row>
    <row r="441" spans="12:12" ht="33.75" customHeight="1" x14ac:dyDescent="0.25">
      <c r="L441" s="37"/>
    </row>
    <row r="442" spans="12:12" ht="33.75" customHeight="1" x14ac:dyDescent="0.25">
      <c r="L442" s="37"/>
    </row>
    <row r="443" spans="12:12" ht="33.75" customHeight="1" x14ac:dyDescent="0.25">
      <c r="L443" s="37"/>
    </row>
    <row r="444" spans="12:12" ht="33.75" customHeight="1" x14ac:dyDescent="0.25">
      <c r="L444" s="37"/>
    </row>
    <row r="445" spans="12:12" ht="33.75" customHeight="1" x14ac:dyDescent="0.25">
      <c r="L445" s="37"/>
    </row>
    <row r="446" spans="12:12" ht="33.75" customHeight="1" x14ac:dyDescent="0.25">
      <c r="L446" s="37"/>
    </row>
    <row r="447" spans="12:12" ht="33.75" customHeight="1" x14ac:dyDescent="0.25">
      <c r="L447" s="37"/>
    </row>
    <row r="448" spans="12:12" ht="33.75" customHeight="1" x14ac:dyDescent="0.25">
      <c r="L448" s="37"/>
    </row>
    <row r="449" spans="12:12" ht="33.75" customHeight="1" x14ac:dyDescent="0.25">
      <c r="L449" s="37"/>
    </row>
    <row r="450" spans="12:12" ht="33.75" customHeight="1" x14ac:dyDescent="0.25">
      <c r="L450" s="37"/>
    </row>
    <row r="451" spans="12:12" ht="33.75" customHeight="1" x14ac:dyDescent="0.25">
      <c r="L451" s="37"/>
    </row>
    <row r="452" spans="12:12" ht="33.75" customHeight="1" x14ac:dyDescent="0.25">
      <c r="L452" s="37"/>
    </row>
    <row r="453" spans="12:12" ht="33.75" customHeight="1" x14ac:dyDescent="0.25">
      <c r="L453" s="37"/>
    </row>
    <row r="454" spans="12:12" ht="33.75" customHeight="1" x14ac:dyDescent="0.25">
      <c r="L454" s="37"/>
    </row>
    <row r="455" spans="12:12" ht="33.75" customHeight="1" x14ac:dyDescent="0.25">
      <c r="L455" s="37"/>
    </row>
    <row r="456" spans="12:12" ht="33.75" customHeight="1" x14ac:dyDescent="0.25">
      <c r="L456" s="37"/>
    </row>
    <row r="457" spans="12:12" ht="33.75" customHeight="1" x14ac:dyDescent="0.25">
      <c r="L457" s="37"/>
    </row>
    <row r="458" spans="12:12" ht="33.75" customHeight="1" x14ac:dyDescent="0.25">
      <c r="L458" s="37"/>
    </row>
    <row r="459" spans="12:12" ht="33.75" customHeight="1" x14ac:dyDescent="0.25">
      <c r="L459" s="37"/>
    </row>
    <row r="460" spans="12:12" ht="33.75" customHeight="1" x14ac:dyDescent="0.25">
      <c r="L460" s="37"/>
    </row>
    <row r="461" spans="12:12" ht="33.75" customHeight="1" x14ac:dyDescent="0.25">
      <c r="L461" s="37"/>
    </row>
    <row r="462" spans="12:12" ht="33.75" customHeight="1" x14ac:dyDescent="0.25">
      <c r="L462" s="37"/>
    </row>
    <row r="463" spans="12:12" ht="33.75" customHeight="1" x14ac:dyDescent="0.25">
      <c r="L463" s="37"/>
    </row>
    <row r="464" spans="12:12" ht="33.75" customHeight="1" x14ac:dyDescent="0.25">
      <c r="L464" s="37"/>
    </row>
    <row r="465" spans="12:12" ht="33.75" customHeight="1" x14ac:dyDescent="0.25">
      <c r="L465" s="37"/>
    </row>
    <row r="466" spans="12:12" ht="33.75" customHeight="1" x14ac:dyDescent="0.25">
      <c r="L466" s="37"/>
    </row>
    <row r="467" spans="12:12" ht="33.75" customHeight="1" x14ac:dyDescent="0.25">
      <c r="L467" s="37"/>
    </row>
    <row r="468" spans="12:12" ht="33.75" customHeight="1" x14ac:dyDescent="0.25">
      <c r="L468" s="37"/>
    </row>
    <row r="469" spans="12:12" ht="33.75" customHeight="1" x14ac:dyDescent="0.25">
      <c r="L469" s="37"/>
    </row>
    <row r="470" spans="12:12" ht="33.75" customHeight="1" x14ac:dyDescent="0.25">
      <c r="L470" s="37"/>
    </row>
    <row r="471" spans="12:12" ht="33.75" customHeight="1" x14ac:dyDescent="0.25">
      <c r="L471" s="37"/>
    </row>
    <row r="472" spans="12:12" ht="33.75" customHeight="1" x14ac:dyDescent="0.25">
      <c r="L472" s="37"/>
    </row>
    <row r="473" spans="12:12" ht="33.75" customHeight="1" x14ac:dyDescent="0.25">
      <c r="L473" s="37"/>
    </row>
    <row r="474" spans="12:12" ht="33.75" customHeight="1" x14ac:dyDescent="0.25">
      <c r="L474" s="37"/>
    </row>
    <row r="475" spans="12:12" ht="33.75" customHeight="1" x14ac:dyDescent="0.25">
      <c r="L475" s="37"/>
    </row>
    <row r="476" spans="12:12" ht="33.75" customHeight="1" x14ac:dyDescent="0.25">
      <c r="L476" s="37"/>
    </row>
    <row r="477" spans="12:12" ht="33.75" customHeight="1" x14ac:dyDescent="0.25">
      <c r="L477" s="37"/>
    </row>
    <row r="478" spans="12:12" ht="33.75" customHeight="1" x14ac:dyDescent="0.25">
      <c r="L478" s="37"/>
    </row>
    <row r="479" spans="12:12" ht="33.75" customHeight="1" x14ac:dyDescent="0.25">
      <c r="L479" s="37"/>
    </row>
    <row r="480" spans="12:12" ht="33.75" customHeight="1" x14ac:dyDescent="0.25">
      <c r="L480" s="37"/>
    </row>
    <row r="481" spans="12:12" ht="33.75" customHeight="1" x14ac:dyDescent="0.25">
      <c r="L481" s="37"/>
    </row>
    <row r="482" spans="12:12" ht="33.75" customHeight="1" x14ac:dyDescent="0.25">
      <c r="L482" s="37"/>
    </row>
    <row r="483" spans="12:12" ht="33.75" customHeight="1" x14ac:dyDescent="0.25">
      <c r="L483" s="37"/>
    </row>
    <row r="484" spans="12:12" ht="33.75" customHeight="1" x14ac:dyDescent="0.25">
      <c r="L484" s="37"/>
    </row>
    <row r="485" spans="12:12" ht="33.75" customHeight="1" x14ac:dyDescent="0.25">
      <c r="L485" s="37"/>
    </row>
    <row r="486" spans="12:12" ht="33.75" customHeight="1" x14ac:dyDescent="0.25">
      <c r="L486" s="37"/>
    </row>
    <row r="487" spans="12:12" ht="33.75" customHeight="1" x14ac:dyDescent="0.25">
      <c r="L487" s="37"/>
    </row>
    <row r="488" spans="12:12" ht="33.75" customHeight="1" x14ac:dyDescent="0.25">
      <c r="L488" s="37"/>
    </row>
    <row r="489" spans="12:12" ht="33.75" customHeight="1" x14ac:dyDescent="0.25">
      <c r="L489" s="37"/>
    </row>
    <row r="490" spans="12:12" ht="33.75" customHeight="1" x14ac:dyDescent="0.25">
      <c r="L490" s="37"/>
    </row>
    <row r="491" spans="12:12" ht="33.75" customHeight="1" x14ac:dyDescent="0.25">
      <c r="L491" s="37"/>
    </row>
    <row r="492" spans="12:12" ht="33.75" customHeight="1" x14ac:dyDescent="0.25">
      <c r="L492" s="37"/>
    </row>
    <row r="493" spans="12:12" ht="33.75" customHeight="1" x14ac:dyDescent="0.25">
      <c r="L493" s="37"/>
    </row>
    <row r="494" spans="12:12" ht="33.75" customHeight="1" x14ac:dyDescent="0.25">
      <c r="L494" s="37"/>
    </row>
    <row r="495" spans="12:12" ht="33.75" customHeight="1" x14ac:dyDescent="0.25">
      <c r="L495" s="37"/>
    </row>
    <row r="496" spans="12:12" ht="33.75" customHeight="1" x14ac:dyDescent="0.25">
      <c r="L496" s="37"/>
    </row>
    <row r="497" spans="12:12" ht="33.75" customHeight="1" x14ac:dyDescent="0.25">
      <c r="L497" s="37"/>
    </row>
    <row r="498" spans="12:12" ht="33.75" customHeight="1" x14ac:dyDescent="0.25">
      <c r="L498" s="37"/>
    </row>
    <row r="499" spans="12:12" ht="33.75" customHeight="1" x14ac:dyDescent="0.25">
      <c r="L499" s="37"/>
    </row>
    <row r="500" spans="12:12" ht="33.75" customHeight="1" x14ac:dyDescent="0.25">
      <c r="L500" s="37"/>
    </row>
    <row r="501" spans="12:12" ht="33.75" customHeight="1" x14ac:dyDescent="0.25">
      <c r="L501" s="37"/>
    </row>
    <row r="502" spans="12:12" ht="33.75" customHeight="1" x14ac:dyDescent="0.25">
      <c r="L502" s="37"/>
    </row>
    <row r="503" spans="12:12" ht="33.75" customHeight="1" x14ac:dyDescent="0.25">
      <c r="L503" s="37"/>
    </row>
    <row r="504" spans="12:12" ht="33.75" customHeight="1" x14ac:dyDescent="0.25">
      <c r="L504" s="37"/>
    </row>
    <row r="505" spans="12:12" ht="33.75" customHeight="1" x14ac:dyDescent="0.25">
      <c r="L505" s="37"/>
    </row>
    <row r="506" spans="12:12" ht="33.75" customHeight="1" x14ac:dyDescent="0.25">
      <c r="L506" s="37"/>
    </row>
    <row r="507" spans="12:12" ht="33.75" customHeight="1" x14ac:dyDescent="0.25">
      <c r="L507" s="37"/>
    </row>
    <row r="508" spans="12:12" ht="33.75" customHeight="1" x14ac:dyDescent="0.25">
      <c r="L508" s="37"/>
    </row>
    <row r="509" spans="12:12" ht="33.75" customHeight="1" x14ac:dyDescent="0.25">
      <c r="L509" s="37"/>
    </row>
    <row r="510" spans="12:12" ht="33.75" customHeight="1" x14ac:dyDescent="0.25">
      <c r="L510" s="37"/>
    </row>
    <row r="511" spans="12:12" ht="33.75" customHeight="1" x14ac:dyDescent="0.25">
      <c r="L511" s="37"/>
    </row>
    <row r="512" spans="12:12" ht="33.75" customHeight="1" x14ac:dyDescent="0.25">
      <c r="L512" s="37"/>
    </row>
    <row r="513" spans="12:12" ht="33.75" customHeight="1" x14ac:dyDescent="0.25">
      <c r="L513" s="37"/>
    </row>
    <row r="514" spans="12:12" ht="33.75" customHeight="1" x14ac:dyDescent="0.25">
      <c r="L514" s="37"/>
    </row>
    <row r="515" spans="12:12" ht="33.75" customHeight="1" x14ac:dyDescent="0.25">
      <c r="L515" s="37"/>
    </row>
    <row r="516" spans="12:12" ht="33.75" customHeight="1" x14ac:dyDescent="0.25">
      <c r="L516" s="37"/>
    </row>
    <row r="517" spans="12:12" ht="33.75" customHeight="1" x14ac:dyDescent="0.25">
      <c r="L517" s="37"/>
    </row>
    <row r="518" spans="12:12" ht="33.75" customHeight="1" x14ac:dyDescent="0.25">
      <c r="L518" s="37"/>
    </row>
    <row r="519" spans="12:12" ht="33.75" customHeight="1" x14ac:dyDescent="0.25">
      <c r="L519" s="37"/>
    </row>
    <row r="520" spans="12:12" ht="33.75" customHeight="1" x14ac:dyDescent="0.25">
      <c r="L520" s="37"/>
    </row>
    <row r="521" spans="12:12" ht="33.75" customHeight="1" x14ac:dyDescent="0.25">
      <c r="L521" s="37"/>
    </row>
    <row r="522" spans="12:12" ht="33.75" customHeight="1" x14ac:dyDescent="0.25">
      <c r="L522" s="37"/>
    </row>
    <row r="523" spans="12:12" ht="33.75" customHeight="1" x14ac:dyDescent="0.25">
      <c r="L523" s="37"/>
    </row>
    <row r="524" spans="12:12" ht="33.75" customHeight="1" x14ac:dyDescent="0.25">
      <c r="L524" s="37"/>
    </row>
    <row r="525" spans="12:12" ht="33.75" customHeight="1" x14ac:dyDescent="0.25">
      <c r="L525" s="37"/>
    </row>
    <row r="526" spans="12:12" ht="33.75" customHeight="1" x14ac:dyDescent="0.25">
      <c r="L526" s="37"/>
    </row>
    <row r="527" spans="12:12" ht="33.75" customHeight="1" x14ac:dyDescent="0.25">
      <c r="L527" s="37"/>
    </row>
    <row r="528" spans="12:12" ht="33.75" customHeight="1" x14ac:dyDescent="0.25">
      <c r="L528" s="37"/>
    </row>
    <row r="529" spans="12:12" ht="33.75" customHeight="1" x14ac:dyDescent="0.25">
      <c r="L529" s="37"/>
    </row>
    <row r="530" spans="12:12" ht="33.75" customHeight="1" x14ac:dyDescent="0.25">
      <c r="L530" s="37"/>
    </row>
    <row r="531" spans="12:12" ht="33.75" customHeight="1" x14ac:dyDescent="0.25">
      <c r="L531" s="37"/>
    </row>
    <row r="532" spans="12:12" ht="33.75" customHeight="1" x14ac:dyDescent="0.25">
      <c r="L532" s="37"/>
    </row>
    <row r="533" spans="12:12" ht="33.75" customHeight="1" x14ac:dyDescent="0.25">
      <c r="L533" s="37"/>
    </row>
    <row r="534" spans="12:12" ht="33.75" customHeight="1" x14ac:dyDescent="0.25">
      <c r="L534" s="37"/>
    </row>
    <row r="535" spans="12:12" ht="33.75" customHeight="1" x14ac:dyDescent="0.25">
      <c r="L535" s="37"/>
    </row>
    <row r="536" spans="12:12" ht="33.75" customHeight="1" x14ac:dyDescent="0.25">
      <c r="L536" s="37"/>
    </row>
    <row r="537" spans="12:12" ht="33.75" customHeight="1" x14ac:dyDescent="0.25">
      <c r="L537" s="37"/>
    </row>
    <row r="538" spans="12:12" ht="33.75" customHeight="1" x14ac:dyDescent="0.25">
      <c r="L538" s="37"/>
    </row>
    <row r="539" spans="12:12" ht="33.75" customHeight="1" x14ac:dyDescent="0.25">
      <c r="L539" s="37"/>
    </row>
    <row r="540" spans="12:12" ht="33.75" customHeight="1" x14ac:dyDescent="0.25">
      <c r="L540" s="37"/>
    </row>
    <row r="541" spans="12:12" ht="33.75" customHeight="1" x14ac:dyDescent="0.25">
      <c r="L541" s="37"/>
    </row>
    <row r="542" spans="12:12" ht="33.75" customHeight="1" x14ac:dyDescent="0.25">
      <c r="L542" s="37"/>
    </row>
    <row r="543" spans="12:12" ht="33.75" customHeight="1" x14ac:dyDescent="0.25">
      <c r="L543" s="37"/>
    </row>
    <row r="544" spans="12:12" ht="33.75" customHeight="1" x14ac:dyDescent="0.25">
      <c r="L544" s="37"/>
    </row>
    <row r="545" spans="12:12" ht="33.75" customHeight="1" x14ac:dyDescent="0.25">
      <c r="L545" s="37"/>
    </row>
    <row r="546" spans="12:12" ht="33.75" customHeight="1" x14ac:dyDescent="0.25">
      <c r="L546" s="37"/>
    </row>
    <row r="547" spans="12:12" ht="33.75" customHeight="1" x14ac:dyDescent="0.25">
      <c r="L547" s="37"/>
    </row>
    <row r="548" spans="12:12" ht="33.75" customHeight="1" x14ac:dyDescent="0.25">
      <c r="L548" s="37"/>
    </row>
    <row r="549" spans="12:12" ht="33.75" customHeight="1" x14ac:dyDescent="0.25">
      <c r="L549" s="37"/>
    </row>
    <row r="550" spans="12:12" ht="33.75" customHeight="1" x14ac:dyDescent="0.25">
      <c r="L550" s="37"/>
    </row>
    <row r="551" spans="12:12" ht="33.75" customHeight="1" x14ac:dyDescent="0.25">
      <c r="L551" s="37"/>
    </row>
    <row r="552" spans="12:12" ht="33.75" customHeight="1" x14ac:dyDescent="0.25">
      <c r="L552" s="37"/>
    </row>
    <row r="553" spans="12:12" ht="33.75" customHeight="1" x14ac:dyDescent="0.25">
      <c r="L553" s="37"/>
    </row>
    <row r="554" spans="12:12" ht="33.75" customHeight="1" x14ac:dyDescent="0.25">
      <c r="L554" s="37"/>
    </row>
    <row r="555" spans="12:12" ht="33.75" customHeight="1" x14ac:dyDescent="0.25">
      <c r="L555" s="37"/>
    </row>
    <row r="556" spans="12:12" ht="33.75" customHeight="1" x14ac:dyDescent="0.25">
      <c r="L556" s="37"/>
    </row>
    <row r="557" spans="12:12" ht="33.75" customHeight="1" x14ac:dyDescent="0.25">
      <c r="L557" s="37"/>
    </row>
    <row r="558" spans="12:12" ht="33.75" customHeight="1" x14ac:dyDescent="0.25">
      <c r="L558" s="37"/>
    </row>
    <row r="559" spans="12:12" ht="33.75" customHeight="1" x14ac:dyDescent="0.25">
      <c r="L559" s="37"/>
    </row>
    <row r="560" spans="12:12" ht="33.75" customHeight="1" x14ac:dyDescent="0.25">
      <c r="L560" s="37"/>
    </row>
    <row r="561" spans="12:12" ht="33.75" customHeight="1" x14ac:dyDescent="0.25">
      <c r="L561" s="37"/>
    </row>
    <row r="562" spans="12:12" ht="33.75" customHeight="1" x14ac:dyDescent="0.25">
      <c r="L562" s="37"/>
    </row>
    <row r="563" spans="12:12" ht="33.75" customHeight="1" x14ac:dyDescent="0.25">
      <c r="L563" s="37"/>
    </row>
    <row r="564" spans="12:12" ht="33.75" customHeight="1" x14ac:dyDescent="0.25">
      <c r="L564" s="37"/>
    </row>
    <row r="565" spans="12:12" ht="33.75" customHeight="1" x14ac:dyDescent="0.25">
      <c r="L565" s="37"/>
    </row>
    <row r="566" spans="12:12" ht="33.75" customHeight="1" x14ac:dyDescent="0.25">
      <c r="L566" s="37"/>
    </row>
    <row r="567" spans="12:12" ht="33.75" customHeight="1" x14ac:dyDescent="0.25">
      <c r="L567" s="37"/>
    </row>
    <row r="568" spans="12:12" ht="33.75" customHeight="1" x14ac:dyDescent="0.25">
      <c r="L568" s="37"/>
    </row>
    <row r="569" spans="12:12" ht="33.75" customHeight="1" x14ac:dyDescent="0.25">
      <c r="L569" s="37"/>
    </row>
    <row r="570" spans="12:12" ht="33.75" customHeight="1" x14ac:dyDescent="0.25">
      <c r="L570" s="37"/>
    </row>
    <row r="571" spans="12:12" ht="33.75" customHeight="1" x14ac:dyDescent="0.25">
      <c r="L571" s="37"/>
    </row>
    <row r="572" spans="12:12" ht="33.75" customHeight="1" x14ac:dyDescent="0.25">
      <c r="L572" s="37"/>
    </row>
    <row r="573" spans="12:12" ht="33.75" customHeight="1" x14ac:dyDescent="0.25">
      <c r="L573" s="37"/>
    </row>
    <row r="574" spans="12:12" ht="33.75" customHeight="1" x14ac:dyDescent="0.25">
      <c r="L574" s="37"/>
    </row>
    <row r="575" spans="12:12" ht="33.75" customHeight="1" x14ac:dyDescent="0.25">
      <c r="L575" s="37"/>
    </row>
    <row r="576" spans="12:12" ht="33.75" customHeight="1" x14ac:dyDescent="0.25">
      <c r="L576" s="37"/>
    </row>
    <row r="577" spans="12:12" ht="33.75" customHeight="1" x14ac:dyDescent="0.25">
      <c r="L577" s="37"/>
    </row>
    <row r="578" spans="12:12" ht="33.75" customHeight="1" x14ac:dyDescent="0.25">
      <c r="L578" s="37"/>
    </row>
    <row r="579" spans="12:12" ht="33.75" customHeight="1" x14ac:dyDescent="0.25">
      <c r="L579" s="37"/>
    </row>
    <row r="580" spans="12:12" ht="33.75" customHeight="1" x14ac:dyDescent="0.25">
      <c r="L580" s="37"/>
    </row>
    <row r="581" spans="12:12" ht="33.75" customHeight="1" x14ac:dyDescent="0.25">
      <c r="L581" s="37"/>
    </row>
    <row r="582" spans="12:12" ht="33.75" customHeight="1" x14ac:dyDescent="0.25">
      <c r="L582" s="37"/>
    </row>
    <row r="583" spans="12:12" ht="33.75" customHeight="1" x14ac:dyDescent="0.25">
      <c r="L583" s="37"/>
    </row>
    <row r="584" spans="12:12" ht="33.75" customHeight="1" x14ac:dyDescent="0.25">
      <c r="L584" s="37"/>
    </row>
    <row r="585" spans="12:12" ht="33.75" customHeight="1" x14ac:dyDescent="0.25">
      <c r="L585" s="37"/>
    </row>
    <row r="586" spans="12:12" ht="33.75" customHeight="1" x14ac:dyDescent="0.25">
      <c r="L586" s="37"/>
    </row>
    <row r="587" spans="12:12" ht="33.75" customHeight="1" x14ac:dyDescent="0.25">
      <c r="L587" s="37"/>
    </row>
    <row r="588" spans="12:12" ht="33.75" customHeight="1" x14ac:dyDescent="0.25">
      <c r="L588" s="37"/>
    </row>
    <row r="589" spans="12:12" ht="33.75" customHeight="1" x14ac:dyDescent="0.25">
      <c r="L589" s="37"/>
    </row>
    <row r="590" spans="12:12" ht="33.75" customHeight="1" x14ac:dyDescent="0.25">
      <c r="L590" s="37"/>
    </row>
    <row r="591" spans="12:12" ht="33.75" customHeight="1" x14ac:dyDescent="0.25">
      <c r="L591" s="37"/>
    </row>
    <row r="592" spans="12:12" ht="33.75" customHeight="1" x14ac:dyDescent="0.25">
      <c r="L592" s="37"/>
    </row>
    <row r="593" spans="12:12" ht="33.75" customHeight="1" x14ac:dyDescent="0.25">
      <c r="L593" s="37"/>
    </row>
    <row r="594" spans="12:12" ht="33.75" customHeight="1" x14ac:dyDescent="0.25">
      <c r="L594" s="37"/>
    </row>
    <row r="595" spans="12:12" ht="33.75" customHeight="1" x14ac:dyDescent="0.25">
      <c r="L595" s="37"/>
    </row>
    <row r="596" spans="12:12" ht="33.75" customHeight="1" x14ac:dyDescent="0.25">
      <c r="L596" s="37"/>
    </row>
    <row r="597" spans="12:12" ht="33.75" customHeight="1" x14ac:dyDescent="0.25">
      <c r="L597" s="37"/>
    </row>
    <row r="598" spans="12:12" ht="33.75" customHeight="1" x14ac:dyDescent="0.25">
      <c r="L598" s="37"/>
    </row>
    <row r="599" spans="12:12" ht="33.75" customHeight="1" x14ac:dyDescent="0.25">
      <c r="L599" s="37"/>
    </row>
    <row r="600" spans="12:12" ht="33.75" customHeight="1" x14ac:dyDescent="0.25">
      <c r="L600" s="37"/>
    </row>
    <row r="601" spans="12:12" ht="33.75" customHeight="1" x14ac:dyDescent="0.25">
      <c r="L601" s="37"/>
    </row>
    <row r="602" spans="12:12" ht="33.75" customHeight="1" x14ac:dyDescent="0.25">
      <c r="L602" s="37"/>
    </row>
    <row r="603" spans="12:12" ht="33.75" customHeight="1" x14ac:dyDescent="0.25">
      <c r="L603" s="37"/>
    </row>
    <row r="604" spans="12:12" ht="33.75" customHeight="1" x14ac:dyDescent="0.25">
      <c r="L604" s="37"/>
    </row>
    <row r="605" spans="12:12" ht="33.75" customHeight="1" x14ac:dyDescent="0.25">
      <c r="L605" s="37"/>
    </row>
    <row r="606" spans="12:12" ht="33.75" customHeight="1" x14ac:dyDescent="0.25">
      <c r="L606" s="37"/>
    </row>
    <row r="607" spans="12:12" ht="33.75" customHeight="1" x14ac:dyDescent="0.25">
      <c r="L607" s="37"/>
    </row>
    <row r="608" spans="12:12" ht="33.75" customHeight="1" x14ac:dyDescent="0.25">
      <c r="L608" s="37"/>
    </row>
    <row r="609" spans="12:12" ht="33.75" customHeight="1" x14ac:dyDescent="0.25">
      <c r="L609" s="37"/>
    </row>
    <row r="610" spans="12:12" ht="33.75" customHeight="1" x14ac:dyDescent="0.25">
      <c r="L610" s="37"/>
    </row>
    <row r="611" spans="12:12" ht="33.75" customHeight="1" x14ac:dyDescent="0.25">
      <c r="L611" s="37"/>
    </row>
    <row r="612" spans="12:12" ht="33.75" customHeight="1" x14ac:dyDescent="0.25">
      <c r="L612" s="37"/>
    </row>
    <row r="613" spans="12:12" ht="33.75" customHeight="1" x14ac:dyDescent="0.25">
      <c r="L613" s="37"/>
    </row>
    <row r="614" spans="12:12" ht="33.75" customHeight="1" x14ac:dyDescent="0.25"/>
    <row r="615" spans="12:12" ht="33.75" customHeight="1" x14ac:dyDescent="0.25"/>
    <row r="616" spans="12:12" ht="33.75" customHeight="1" x14ac:dyDescent="0.25"/>
    <row r="617" spans="12:12" ht="33.75" customHeight="1" x14ac:dyDescent="0.25"/>
    <row r="618" spans="12:12" ht="33.75" customHeight="1" x14ac:dyDescent="0.25"/>
    <row r="619" spans="12:12" ht="33.75" customHeight="1" x14ac:dyDescent="0.25"/>
    <row r="620" spans="12:12" ht="33.75" customHeight="1" x14ac:dyDescent="0.25"/>
    <row r="621" spans="12:12" ht="33.75" customHeight="1" x14ac:dyDescent="0.25"/>
    <row r="622" spans="12:12" ht="33.75" customHeight="1" x14ac:dyDescent="0.25"/>
    <row r="623" spans="12:12" ht="33.75" customHeight="1" x14ac:dyDescent="0.25"/>
    <row r="624" spans="12:12" ht="33.75" customHeight="1" x14ac:dyDescent="0.25"/>
    <row r="625" ht="33.75" customHeight="1" x14ac:dyDescent="0.25"/>
    <row r="626" ht="33.75" customHeight="1" x14ac:dyDescent="0.25"/>
    <row r="627" ht="33.75" customHeight="1" x14ac:dyDescent="0.25"/>
    <row r="628" ht="33.75" customHeight="1" x14ac:dyDescent="0.25"/>
    <row r="629" ht="33.75" customHeight="1" x14ac:dyDescent="0.25"/>
    <row r="630" ht="33.75" customHeight="1" x14ac:dyDescent="0.25"/>
    <row r="631" ht="33.75" customHeight="1" x14ac:dyDescent="0.25"/>
    <row r="632" ht="33.75" customHeight="1" x14ac:dyDescent="0.25"/>
    <row r="633" ht="33.75" customHeight="1" x14ac:dyDescent="0.25"/>
    <row r="634" ht="33.75" customHeight="1" x14ac:dyDescent="0.25"/>
    <row r="635" ht="33.75" customHeight="1" x14ac:dyDescent="0.25"/>
    <row r="636" ht="33.75" customHeight="1" x14ac:dyDescent="0.25"/>
    <row r="637" ht="33.75" customHeight="1" x14ac:dyDescent="0.25"/>
    <row r="638" ht="33.75" customHeight="1" x14ac:dyDescent="0.25"/>
    <row r="639" ht="33.75" customHeight="1" x14ac:dyDescent="0.25"/>
    <row r="640" ht="33.75" customHeight="1" x14ac:dyDescent="0.25"/>
    <row r="641" ht="33.75" customHeight="1" x14ac:dyDescent="0.25"/>
    <row r="642" ht="33.75" customHeight="1" x14ac:dyDescent="0.25"/>
    <row r="643" ht="33.75" customHeight="1" x14ac:dyDescent="0.25"/>
    <row r="644" ht="33.75" customHeight="1" x14ac:dyDescent="0.25"/>
    <row r="645" ht="33.75" customHeight="1" x14ac:dyDescent="0.25"/>
    <row r="646" ht="33.75" customHeight="1" x14ac:dyDescent="0.25"/>
    <row r="647" ht="33.75" customHeight="1" x14ac:dyDescent="0.25"/>
    <row r="648" ht="33.75" customHeight="1" x14ac:dyDescent="0.25"/>
    <row r="649" ht="33.75" customHeight="1" x14ac:dyDescent="0.25"/>
    <row r="650" ht="33.75" customHeight="1" x14ac:dyDescent="0.25"/>
    <row r="651" ht="33.75" customHeight="1" x14ac:dyDescent="0.25"/>
    <row r="652" ht="33.75" customHeight="1" x14ac:dyDescent="0.25"/>
    <row r="653" ht="33.75" customHeight="1" x14ac:dyDescent="0.25"/>
    <row r="654" ht="33.75" customHeight="1" x14ac:dyDescent="0.25"/>
    <row r="655" ht="33.75" customHeight="1" x14ac:dyDescent="0.25"/>
    <row r="656" ht="33.75" customHeight="1" x14ac:dyDescent="0.25"/>
    <row r="657" ht="33.75" customHeight="1" x14ac:dyDescent="0.25"/>
    <row r="658" ht="33.75" customHeight="1" x14ac:dyDescent="0.25"/>
    <row r="659" ht="33.75" customHeight="1" x14ac:dyDescent="0.25"/>
    <row r="660" ht="33.75" customHeight="1" x14ac:dyDescent="0.25"/>
    <row r="661" ht="33.75" customHeight="1" x14ac:dyDescent="0.25"/>
    <row r="662" ht="33.75" customHeight="1" x14ac:dyDescent="0.25"/>
    <row r="663" ht="33.75" customHeight="1" x14ac:dyDescent="0.25"/>
    <row r="664" ht="33.75" customHeight="1" x14ac:dyDescent="0.25"/>
    <row r="665" ht="33.75" customHeight="1" x14ac:dyDescent="0.25"/>
    <row r="666" ht="33.75" customHeight="1" x14ac:dyDescent="0.25"/>
    <row r="667" ht="33.75" customHeight="1" x14ac:dyDescent="0.25"/>
    <row r="668" ht="33.75" customHeight="1" x14ac:dyDescent="0.25"/>
    <row r="669" ht="33.75" customHeight="1" x14ac:dyDescent="0.25"/>
    <row r="670" ht="33.75" customHeight="1" x14ac:dyDescent="0.25"/>
    <row r="671" ht="33.75" customHeight="1" x14ac:dyDescent="0.25"/>
    <row r="672" ht="33.75" customHeight="1" x14ac:dyDescent="0.25"/>
    <row r="673" ht="33.75" customHeight="1" x14ac:dyDescent="0.25"/>
    <row r="674" ht="33.75" customHeight="1" x14ac:dyDescent="0.25"/>
    <row r="675" ht="33.75" customHeight="1" x14ac:dyDescent="0.25"/>
    <row r="676" ht="33.75" customHeight="1" x14ac:dyDescent="0.25"/>
    <row r="677" ht="33.75" customHeight="1" x14ac:dyDescent="0.25"/>
    <row r="678" ht="33.75" customHeight="1" x14ac:dyDescent="0.25"/>
    <row r="679" ht="33.75" customHeight="1" x14ac:dyDescent="0.25"/>
    <row r="680" ht="33.75" customHeight="1" x14ac:dyDescent="0.25"/>
    <row r="681" ht="33.75" customHeight="1" x14ac:dyDescent="0.25"/>
    <row r="682" ht="33.75" customHeight="1" x14ac:dyDescent="0.25"/>
    <row r="683" ht="33.75" customHeight="1" x14ac:dyDescent="0.25"/>
    <row r="684" ht="33.75" customHeight="1" x14ac:dyDescent="0.25"/>
    <row r="685" ht="33.75" customHeight="1" x14ac:dyDescent="0.25"/>
    <row r="686" ht="33.75" customHeight="1" x14ac:dyDescent="0.25"/>
    <row r="687" ht="33.75" customHeight="1" x14ac:dyDescent="0.25"/>
    <row r="688" ht="33.75" customHeight="1" x14ac:dyDescent="0.25"/>
    <row r="689" ht="33.75" customHeight="1" x14ac:dyDescent="0.25"/>
    <row r="690" ht="33.75" customHeight="1" x14ac:dyDescent="0.25"/>
    <row r="691" ht="33.75" customHeight="1" x14ac:dyDescent="0.25"/>
    <row r="692" ht="33.75" customHeight="1" x14ac:dyDescent="0.25"/>
    <row r="693" ht="33.75" customHeight="1" x14ac:dyDescent="0.25"/>
    <row r="694" ht="33.75" customHeight="1" x14ac:dyDescent="0.25"/>
    <row r="695" ht="33.75" customHeight="1" x14ac:dyDescent="0.25"/>
    <row r="696" ht="33.75" customHeight="1" x14ac:dyDescent="0.25"/>
    <row r="697" ht="33.75" customHeight="1" x14ac:dyDescent="0.25"/>
    <row r="698" ht="33.75" customHeight="1" x14ac:dyDescent="0.25"/>
    <row r="699" ht="33.75" customHeight="1" x14ac:dyDescent="0.25"/>
    <row r="700" ht="33.75" customHeight="1" x14ac:dyDescent="0.25"/>
    <row r="701" ht="33.75" customHeight="1" x14ac:dyDescent="0.25"/>
    <row r="702" ht="33.75" customHeight="1" x14ac:dyDescent="0.25"/>
    <row r="703" ht="33.75" customHeight="1" x14ac:dyDescent="0.25"/>
    <row r="704" ht="33.75" customHeight="1" x14ac:dyDescent="0.25"/>
    <row r="705" ht="33.75" customHeight="1" x14ac:dyDescent="0.25"/>
    <row r="706" ht="33.75" customHeight="1" x14ac:dyDescent="0.25"/>
    <row r="707" ht="33.75" customHeight="1" x14ac:dyDescent="0.25"/>
    <row r="708" ht="33.75" customHeight="1" x14ac:dyDescent="0.25"/>
    <row r="709" ht="33.75" customHeight="1" x14ac:dyDescent="0.25"/>
    <row r="710" ht="33.75" customHeight="1" x14ac:dyDescent="0.25"/>
    <row r="711" ht="33.75" customHeight="1" x14ac:dyDescent="0.25"/>
    <row r="712" ht="33.75" customHeight="1" x14ac:dyDescent="0.25"/>
    <row r="713" ht="33.75" customHeight="1" x14ac:dyDescent="0.25"/>
    <row r="714" ht="33.75" customHeight="1" x14ac:dyDescent="0.25"/>
    <row r="715" ht="33.75" customHeight="1" x14ac:dyDescent="0.25"/>
    <row r="716" ht="33.75" customHeight="1" x14ac:dyDescent="0.25"/>
    <row r="717" ht="33.75" customHeight="1" x14ac:dyDescent="0.25"/>
    <row r="718" ht="33.75" customHeight="1" x14ac:dyDescent="0.25"/>
    <row r="719" ht="33.75" customHeight="1" x14ac:dyDescent="0.25"/>
    <row r="720" ht="33.75" customHeight="1" x14ac:dyDescent="0.25"/>
    <row r="721" ht="33.75" customHeight="1" x14ac:dyDescent="0.25"/>
    <row r="722" ht="33.75" customHeight="1" x14ac:dyDescent="0.25"/>
    <row r="723" ht="33.75" customHeight="1" x14ac:dyDescent="0.25"/>
    <row r="724" ht="33.75" customHeight="1" x14ac:dyDescent="0.25"/>
    <row r="725" ht="33.75" customHeight="1" x14ac:dyDescent="0.25"/>
    <row r="726" ht="33.75" customHeight="1" x14ac:dyDescent="0.25"/>
    <row r="727" ht="33.75" customHeight="1" x14ac:dyDescent="0.25"/>
    <row r="728" ht="33.75" customHeight="1" x14ac:dyDescent="0.25"/>
    <row r="729" ht="33.75" customHeight="1" x14ac:dyDescent="0.25"/>
    <row r="730" ht="33.75" customHeight="1" x14ac:dyDescent="0.25"/>
    <row r="731" ht="33.75" customHeight="1" x14ac:dyDescent="0.25"/>
    <row r="732" ht="33.75" customHeight="1" x14ac:dyDescent="0.25"/>
    <row r="733" ht="33.75" customHeight="1" x14ac:dyDescent="0.25"/>
    <row r="734" ht="33.75" customHeight="1" x14ac:dyDescent="0.25"/>
    <row r="735" ht="33.75" customHeight="1" x14ac:dyDescent="0.25"/>
    <row r="736" ht="33.75" customHeight="1" x14ac:dyDescent="0.25"/>
    <row r="737" ht="33.75" customHeight="1" x14ac:dyDescent="0.25"/>
    <row r="738" ht="33.75" customHeight="1" x14ac:dyDescent="0.25"/>
    <row r="739" ht="33.75" customHeight="1" x14ac:dyDescent="0.25"/>
    <row r="740" ht="33.75" customHeight="1" x14ac:dyDescent="0.25"/>
    <row r="741" ht="33.75" customHeight="1" x14ac:dyDescent="0.25"/>
    <row r="742" ht="33.75" customHeight="1" x14ac:dyDescent="0.25"/>
    <row r="743" ht="33.75" customHeight="1" x14ac:dyDescent="0.25"/>
    <row r="744" ht="33.75" customHeight="1" x14ac:dyDescent="0.25"/>
    <row r="745" ht="33.75" customHeight="1" x14ac:dyDescent="0.25"/>
    <row r="746" ht="33.75" customHeight="1" x14ac:dyDescent="0.25"/>
    <row r="747" ht="33.75" customHeight="1" x14ac:dyDescent="0.25"/>
    <row r="748" ht="33.75" customHeight="1" x14ac:dyDescent="0.25"/>
    <row r="749" ht="33.75" customHeight="1" x14ac:dyDescent="0.25"/>
    <row r="750" ht="33.75" customHeight="1" x14ac:dyDescent="0.25"/>
    <row r="751" ht="33.75" customHeight="1" x14ac:dyDescent="0.25"/>
    <row r="752" ht="33.75" customHeight="1" x14ac:dyDescent="0.25"/>
    <row r="753" ht="33.75" customHeight="1" x14ac:dyDescent="0.25"/>
    <row r="754" ht="33.75" customHeight="1" x14ac:dyDescent="0.25"/>
    <row r="755" ht="33.75" customHeight="1" x14ac:dyDescent="0.25"/>
    <row r="756" ht="33.75" customHeight="1" x14ac:dyDescent="0.25"/>
    <row r="757" ht="33.75" customHeight="1" x14ac:dyDescent="0.25"/>
    <row r="758" ht="33.75" customHeight="1" x14ac:dyDescent="0.25"/>
    <row r="759" ht="33.75" customHeight="1" x14ac:dyDescent="0.25"/>
    <row r="760" ht="33.75" customHeight="1" x14ac:dyDescent="0.25"/>
    <row r="761" ht="33.75" customHeight="1" x14ac:dyDescent="0.25"/>
    <row r="762" ht="33.75" customHeight="1" x14ac:dyDescent="0.25"/>
    <row r="763" ht="33.75" customHeight="1" x14ac:dyDescent="0.25"/>
    <row r="764" ht="33.75" customHeight="1" x14ac:dyDescent="0.25"/>
    <row r="765" ht="33.75" customHeight="1" x14ac:dyDescent="0.25"/>
    <row r="766" ht="33.75" customHeight="1" x14ac:dyDescent="0.25"/>
    <row r="767" ht="33.75" customHeight="1" x14ac:dyDescent="0.25"/>
    <row r="768" ht="33.75" customHeight="1" x14ac:dyDescent="0.25"/>
    <row r="769" ht="33.75" customHeight="1" x14ac:dyDescent="0.25"/>
    <row r="770" ht="33.75" customHeight="1" x14ac:dyDescent="0.25"/>
    <row r="771" ht="33.75" customHeight="1" x14ac:dyDescent="0.25"/>
    <row r="772" ht="33.75" customHeight="1" x14ac:dyDescent="0.25"/>
    <row r="773" ht="33.75" customHeight="1" x14ac:dyDescent="0.25"/>
    <row r="774" ht="33.75" customHeight="1" x14ac:dyDescent="0.25"/>
    <row r="775" ht="33.75" customHeight="1" x14ac:dyDescent="0.25"/>
    <row r="776" ht="33.75" customHeight="1" x14ac:dyDescent="0.25"/>
    <row r="777" ht="33.75" customHeight="1" x14ac:dyDescent="0.25"/>
    <row r="778" ht="33.75" customHeight="1" x14ac:dyDescent="0.25"/>
    <row r="779" ht="33.75" customHeight="1" x14ac:dyDescent="0.25"/>
    <row r="780" ht="33.75" customHeight="1" x14ac:dyDescent="0.25"/>
    <row r="781" ht="33.75" customHeight="1" x14ac:dyDescent="0.25"/>
    <row r="782" ht="33.75" customHeight="1" x14ac:dyDescent="0.25"/>
    <row r="783" ht="33.75" customHeight="1" x14ac:dyDescent="0.25"/>
    <row r="784" ht="33.75" customHeight="1" x14ac:dyDescent="0.25"/>
    <row r="785" ht="33.75" customHeight="1" x14ac:dyDescent="0.25"/>
    <row r="786" ht="33.75" customHeight="1" x14ac:dyDescent="0.25"/>
    <row r="787" ht="33.75" customHeight="1" x14ac:dyDescent="0.25"/>
    <row r="788" ht="33.75" customHeight="1" x14ac:dyDescent="0.25"/>
    <row r="789" ht="33.75" customHeight="1" x14ac:dyDescent="0.25"/>
    <row r="790" ht="33.75" customHeight="1" x14ac:dyDescent="0.25"/>
    <row r="791" ht="33.75" customHeight="1" x14ac:dyDescent="0.25"/>
    <row r="792" ht="33.75" customHeight="1" x14ac:dyDescent="0.25"/>
    <row r="793" ht="33.75" customHeight="1" x14ac:dyDescent="0.25"/>
    <row r="794" ht="33.75" customHeight="1" x14ac:dyDescent="0.25"/>
    <row r="795" ht="33.75" customHeight="1" x14ac:dyDescent="0.25"/>
    <row r="796" ht="33.75" customHeight="1" x14ac:dyDescent="0.25"/>
    <row r="797" ht="33.75" customHeight="1" x14ac:dyDescent="0.25"/>
    <row r="798" ht="33.75" customHeight="1" x14ac:dyDescent="0.25"/>
    <row r="799" ht="33.75" customHeight="1" x14ac:dyDescent="0.25"/>
    <row r="800" ht="33.75" customHeight="1" x14ac:dyDescent="0.25"/>
    <row r="801" ht="33.75" customHeight="1" x14ac:dyDescent="0.25"/>
    <row r="802" ht="33.75" customHeight="1" x14ac:dyDescent="0.25"/>
    <row r="803" ht="33.75" customHeight="1" x14ac:dyDescent="0.25"/>
    <row r="804" ht="33.75" customHeight="1" x14ac:dyDescent="0.25"/>
    <row r="805" ht="33.75" customHeight="1" x14ac:dyDescent="0.25"/>
    <row r="806" ht="33.75" customHeight="1" x14ac:dyDescent="0.25"/>
    <row r="807" ht="33.75" customHeight="1" x14ac:dyDescent="0.25"/>
    <row r="808" ht="33.75" customHeight="1" x14ac:dyDescent="0.25"/>
    <row r="809" ht="33.75" customHeight="1" x14ac:dyDescent="0.25"/>
    <row r="810" ht="33.75" customHeight="1" x14ac:dyDescent="0.25"/>
    <row r="811" ht="33.75" customHeight="1" x14ac:dyDescent="0.25"/>
    <row r="812" ht="33.75" customHeight="1" x14ac:dyDescent="0.25"/>
    <row r="813" ht="33.75" customHeight="1" x14ac:dyDescent="0.25"/>
    <row r="814" ht="33.75" customHeight="1" x14ac:dyDescent="0.25"/>
    <row r="815" ht="33.75" customHeight="1" x14ac:dyDescent="0.25"/>
    <row r="816" ht="33.75" customHeight="1" x14ac:dyDescent="0.25"/>
    <row r="817" ht="33.75" customHeight="1" x14ac:dyDescent="0.25"/>
    <row r="818" ht="33.75" customHeight="1" x14ac:dyDescent="0.25"/>
    <row r="819" ht="33.75" customHeight="1" x14ac:dyDescent="0.25"/>
    <row r="820" ht="33.75" customHeight="1" x14ac:dyDescent="0.25"/>
    <row r="821" ht="33.75" customHeight="1" x14ac:dyDescent="0.25"/>
    <row r="822" ht="33.75" customHeight="1" x14ac:dyDescent="0.25"/>
    <row r="823" ht="33.75" customHeight="1" x14ac:dyDescent="0.25"/>
    <row r="824" ht="33.75" customHeight="1" x14ac:dyDescent="0.25"/>
    <row r="825" ht="33.75" customHeight="1" x14ac:dyDescent="0.25"/>
    <row r="826" ht="33.75" customHeight="1" x14ac:dyDescent="0.25"/>
    <row r="827" ht="33.75" customHeight="1" x14ac:dyDescent="0.25"/>
    <row r="828" ht="33.75" customHeight="1" x14ac:dyDescent="0.25"/>
    <row r="829" ht="33.75" customHeight="1" x14ac:dyDescent="0.25"/>
    <row r="830" ht="33.75" customHeight="1" x14ac:dyDescent="0.25"/>
    <row r="831" ht="33.75" customHeight="1" x14ac:dyDescent="0.25"/>
    <row r="832" ht="33.75" customHeight="1" x14ac:dyDescent="0.25"/>
    <row r="833" ht="33.75" customHeight="1" x14ac:dyDescent="0.25"/>
    <row r="834" ht="33.75" customHeight="1" x14ac:dyDescent="0.25"/>
    <row r="835" ht="33.75" customHeight="1" x14ac:dyDescent="0.25"/>
    <row r="836" ht="33.75" customHeight="1" x14ac:dyDescent="0.25"/>
    <row r="837" ht="33.75" customHeight="1" x14ac:dyDescent="0.25"/>
    <row r="838" ht="33.75" customHeight="1" x14ac:dyDescent="0.25"/>
    <row r="839" ht="33.75" customHeight="1" x14ac:dyDescent="0.25"/>
    <row r="840" ht="33.75" customHeight="1" x14ac:dyDescent="0.25"/>
    <row r="841" ht="33.75" customHeight="1" x14ac:dyDescent="0.25"/>
    <row r="842" ht="33.75" customHeight="1" x14ac:dyDescent="0.25"/>
    <row r="843" ht="33.75" customHeight="1" x14ac:dyDescent="0.25"/>
    <row r="844" ht="33.75" customHeight="1" x14ac:dyDescent="0.25"/>
    <row r="845" ht="33.75" customHeight="1" x14ac:dyDescent="0.25"/>
    <row r="846" ht="33.75" customHeight="1" x14ac:dyDescent="0.25"/>
    <row r="847" ht="33.75" customHeight="1" x14ac:dyDescent="0.25"/>
    <row r="848" ht="33.75" customHeight="1" x14ac:dyDescent="0.25"/>
    <row r="849" ht="33.75" customHeight="1" x14ac:dyDescent="0.25"/>
    <row r="850" ht="33.75" customHeight="1" x14ac:dyDescent="0.25"/>
    <row r="851" ht="33.75" customHeight="1" x14ac:dyDescent="0.25"/>
    <row r="852" ht="33.75" customHeight="1" x14ac:dyDescent="0.25"/>
    <row r="853" ht="33.75" customHeight="1" x14ac:dyDescent="0.25"/>
    <row r="854" ht="33.75" customHeight="1" x14ac:dyDescent="0.25"/>
    <row r="855" ht="33.75" customHeight="1" x14ac:dyDescent="0.25"/>
    <row r="856" ht="33.75" customHeight="1" x14ac:dyDescent="0.25"/>
    <row r="857" ht="33.75" customHeight="1" x14ac:dyDescent="0.25"/>
    <row r="858" ht="33.75" customHeight="1" x14ac:dyDescent="0.25"/>
    <row r="859" ht="33.75" customHeight="1" x14ac:dyDescent="0.25"/>
    <row r="860" ht="33.75" customHeight="1" x14ac:dyDescent="0.25"/>
    <row r="861" ht="33.75" customHeight="1" x14ac:dyDescent="0.25"/>
    <row r="862" ht="33.75" customHeight="1" x14ac:dyDescent="0.25"/>
    <row r="863" ht="33.75" customHeight="1" x14ac:dyDescent="0.25"/>
    <row r="864" ht="33.75" customHeight="1" x14ac:dyDescent="0.25"/>
    <row r="865" ht="33.75" customHeight="1" x14ac:dyDescent="0.25"/>
    <row r="866" ht="33.75" customHeight="1" x14ac:dyDescent="0.25"/>
    <row r="867" ht="33.75" customHeight="1" x14ac:dyDescent="0.25"/>
    <row r="868" ht="33.75" customHeight="1" x14ac:dyDescent="0.25"/>
    <row r="869" ht="33.75" customHeight="1" x14ac:dyDescent="0.25"/>
    <row r="870" ht="33.75" customHeight="1" x14ac:dyDescent="0.25"/>
    <row r="871" ht="33.75" customHeight="1" x14ac:dyDescent="0.25"/>
    <row r="872" ht="33.75" customHeight="1" x14ac:dyDescent="0.25"/>
    <row r="873" ht="33.75" customHeight="1" x14ac:dyDescent="0.25"/>
    <row r="874" ht="33.75" customHeight="1" x14ac:dyDescent="0.25"/>
    <row r="875" ht="33.75" customHeight="1" x14ac:dyDescent="0.25"/>
    <row r="876" ht="33.75" customHeight="1" x14ac:dyDescent="0.25"/>
    <row r="877" ht="33.75" customHeight="1" x14ac:dyDescent="0.25"/>
    <row r="878" ht="33.75" customHeight="1" x14ac:dyDescent="0.25"/>
    <row r="879" ht="33.75" customHeight="1" x14ac:dyDescent="0.25"/>
    <row r="880" ht="33.75" customHeight="1" x14ac:dyDescent="0.25"/>
    <row r="881" ht="33.75" customHeight="1" x14ac:dyDescent="0.25"/>
    <row r="882" ht="33.75" customHeight="1" x14ac:dyDescent="0.25"/>
    <row r="883" ht="33.75" customHeight="1" x14ac:dyDescent="0.25"/>
    <row r="884" ht="33.75" customHeight="1" x14ac:dyDescent="0.25"/>
    <row r="885" ht="33.75" customHeight="1" x14ac:dyDescent="0.25"/>
    <row r="886" ht="33.75" customHeight="1" x14ac:dyDescent="0.25"/>
    <row r="887" ht="33.75" customHeight="1" x14ac:dyDescent="0.25"/>
    <row r="888" ht="33.75" customHeight="1" x14ac:dyDescent="0.25"/>
    <row r="889" ht="33.75" customHeight="1" x14ac:dyDescent="0.25"/>
    <row r="890" ht="33.75" customHeight="1" x14ac:dyDescent="0.25"/>
    <row r="891" ht="33.75" customHeight="1" x14ac:dyDescent="0.25"/>
    <row r="892" ht="33.75" customHeight="1" x14ac:dyDescent="0.25"/>
    <row r="893" ht="33.75" customHeight="1" x14ac:dyDescent="0.25"/>
    <row r="894" ht="33.75" customHeight="1" x14ac:dyDescent="0.25"/>
    <row r="895" ht="33.75" customHeight="1" x14ac:dyDescent="0.25"/>
    <row r="896" ht="33.75" customHeight="1" x14ac:dyDescent="0.25"/>
    <row r="897" ht="33.75" customHeight="1" x14ac:dyDescent="0.25"/>
    <row r="898" ht="33.75" customHeight="1" x14ac:dyDescent="0.25"/>
    <row r="899" ht="33.75" customHeight="1" x14ac:dyDescent="0.25"/>
    <row r="900" ht="33.75" customHeight="1" x14ac:dyDescent="0.25"/>
    <row r="901" ht="33.75" customHeight="1" x14ac:dyDescent="0.25"/>
    <row r="902" ht="33.75" customHeight="1" x14ac:dyDescent="0.25"/>
    <row r="903" ht="33.75" customHeight="1" x14ac:dyDescent="0.25"/>
    <row r="904" ht="33.75" customHeight="1" x14ac:dyDescent="0.25"/>
    <row r="905" ht="33.75" customHeight="1" x14ac:dyDescent="0.25"/>
    <row r="906" ht="33.75" customHeight="1" x14ac:dyDescent="0.25"/>
    <row r="907" ht="33.75" customHeight="1" x14ac:dyDescent="0.25"/>
    <row r="908" ht="33.75" customHeight="1" x14ac:dyDescent="0.25"/>
    <row r="909" ht="33.75" customHeight="1" x14ac:dyDescent="0.25"/>
    <row r="910" ht="33.75" customHeight="1" x14ac:dyDescent="0.25"/>
    <row r="911" ht="33.75" customHeight="1" x14ac:dyDescent="0.25"/>
    <row r="912" ht="33.75" customHeight="1" x14ac:dyDescent="0.25"/>
    <row r="913" ht="33.75" customHeight="1" x14ac:dyDescent="0.25"/>
    <row r="914" ht="33.75" customHeight="1" x14ac:dyDescent="0.25"/>
    <row r="915" ht="33.75" customHeight="1" x14ac:dyDescent="0.25"/>
    <row r="916" ht="33.75" customHeight="1" x14ac:dyDescent="0.25"/>
    <row r="917" ht="33.75" customHeight="1" x14ac:dyDescent="0.25"/>
    <row r="918" ht="33.75" customHeight="1" x14ac:dyDescent="0.25"/>
    <row r="919" ht="33.75" customHeight="1" x14ac:dyDescent="0.25"/>
    <row r="920" ht="33.75" customHeight="1" x14ac:dyDescent="0.25"/>
    <row r="921" ht="33.75" customHeight="1" x14ac:dyDescent="0.25"/>
    <row r="922" ht="33.75" customHeight="1" x14ac:dyDescent="0.25"/>
    <row r="923" ht="33.75" customHeight="1" x14ac:dyDescent="0.25"/>
    <row r="924" ht="33.75" customHeight="1" x14ac:dyDescent="0.25"/>
    <row r="925" ht="33.75" customHeight="1" x14ac:dyDescent="0.25"/>
    <row r="926" ht="33.75" customHeight="1" x14ac:dyDescent="0.25"/>
    <row r="927" ht="33.75" customHeight="1" x14ac:dyDescent="0.25"/>
    <row r="928" ht="33.75" customHeight="1" x14ac:dyDescent="0.25"/>
    <row r="929" ht="33.75" customHeight="1" x14ac:dyDescent="0.25"/>
    <row r="930" ht="33.75" customHeight="1" x14ac:dyDescent="0.25"/>
    <row r="931" ht="33.75" customHeight="1" x14ac:dyDescent="0.25"/>
    <row r="932" ht="33.75" customHeight="1" x14ac:dyDescent="0.25"/>
    <row r="933" ht="33.75" customHeight="1" x14ac:dyDescent="0.25"/>
    <row r="934" ht="33.75" customHeight="1" x14ac:dyDescent="0.25"/>
    <row r="935" ht="33.75" customHeight="1" x14ac:dyDescent="0.25"/>
    <row r="936" ht="33.75" customHeight="1" x14ac:dyDescent="0.25"/>
    <row r="937" ht="33.75" customHeight="1" x14ac:dyDescent="0.25"/>
    <row r="938" ht="33.75" customHeight="1" x14ac:dyDescent="0.25"/>
    <row r="939" ht="33.75" customHeight="1" x14ac:dyDescent="0.25"/>
    <row r="940" ht="33.75" customHeight="1" x14ac:dyDescent="0.25"/>
    <row r="941" ht="33.75" customHeight="1" x14ac:dyDescent="0.25"/>
    <row r="942" ht="33.75" customHeight="1" x14ac:dyDescent="0.25"/>
    <row r="943" ht="33.75" customHeight="1" x14ac:dyDescent="0.25"/>
    <row r="944" ht="33.75" customHeight="1" x14ac:dyDescent="0.25"/>
    <row r="945" ht="33.75" customHeight="1" x14ac:dyDescent="0.25"/>
    <row r="946" ht="33.75" customHeight="1" x14ac:dyDescent="0.25"/>
    <row r="947" ht="33.75" customHeight="1" x14ac:dyDescent="0.25"/>
    <row r="948" ht="33.75" customHeight="1" x14ac:dyDescent="0.25"/>
    <row r="949" ht="33.75" customHeight="1" x14ac:dyDescent="0.25"/>
    <row r="950" ht="33.75" customHeight="1" x14ac:dyDescent="0.25"/>
    <row r="951" ht="33.75" customHeight="1" x14ac:dyDescent="0.25"/>
    <row r="952" ht="33.75" customHeight="1" x14ac:dyDescent="0.25"/>
    <row r="953" ht="33.75" customHeight="1" x14ac:dyDescent="0.25"/>
    <row r="954" ht="33.75" customHeight="1" x14ac:dyDescent="0.25"/>
    <row r="955" ht="33.75" customHeight="1" x14ac:dyDescent="0.25"/>
    <row r="956" ht="33.75" customHeight="1" x14ac:dyDescent="0.25"/>
    <row r="957" ht="33.75" customHeight="1" x14ac:dyDescent="0.25"/>
    <row r="958" ht="33.75" customHeight="1" x14ac:dyDescent="0.25"/>
    <row r="959" ht="33.75" customHeight="1" x14ac:dyDescent="0.25"/>
    <row r="960" ht="33.75" customHeight="1" x14ac:dyDescent="0.25"/>
    <row r="961" ht="33.75" customHeight="1" x14ac:dyDescent="0.25"/>
    <row r="962" ht="33.75" customHeight="1" x14ac:dyDescent="0.25"/>
    <row r="963" ht="33.75" customHeight="1" x14ac:dyDescent="0.25"/>
    <row r="964" ht="33.75" customHeight="1" x14ac:dyDescent="0.25"/>
    <row r="965" ht="33.75" customHeight="1" x14ac:dyDescent="0.25"/>
    <row r="966" ht="33.75" customHeight="1" x14ac:dyDescent="0.25"/>
    <row r="967" ht="33.75" customHeight="1" x14ac:dyDescent="0.25"/>
    <row r="968" ht="33.75" customHeight="1" x14ac:dyDescent="0.25"/>
    <row r="969" ht="33.75" customHeight="1" x14ac:dyDescent="0.25"/>
    <row r="970" ht="33.75" customHeight="1" x14ac:dyDescent="0.25"/>
    <row r="971" ht="33.75" customHeight="1" x14ac:dyDescent="0.25"/>
    <row r="972" ht="33.75" customHeight="1" x14ac:dyDescent="0.25"/>
    <row r="973" ht="33.75" customHeight="1" x14ac:dyDescent="0.25"/>
    <row r="974" ht="33.75" customHeight="1" x14ac:dyDescent="0.25"/>
    <row r="975" ht="33.75" customHeight="1" x14ac:dyDescent="0.25"/>
    <row r="976" ht="33.75" customHeight="1" x14ac:dyDescent="0.25"/>
    <row r="977" ht="33.75" customHeight="1" x14ac:dyDescent="0.25"/>
    <row r="978" ht="33.75" customHeight="1" x14ac:dyDescent="0.25"/>
    <row r="979" ht="33.75" customHeight="1" x14ac:dyDescent="0.25"/>
    <row r="980" ht="33.75" customHeight="1" x14ac:dyDescent="0.25"/>
    <row r="981" ht="33.75" customHeight="1" x14ac:dyDescent="0.25"/>
    <row r="982" ht="33.75" customHeight="1" x14ac:dyDescent="0.25"/>
    <row r="983" ht="33.75" customHeight="1" x14ac:dyDescent="0.25"/>
    <row r="984" ht="33.75" customHeight="1" x14ac:dyDescent="0.25"/>
    <row r="985" ht="33.75" customHeight="1" x14ac:dyDescent="0.25"/>
    <row r="986" ht="33.75" customHeight="1" x14ac:dyDescent="0.25"/>
    <row r="987" ht="33.75" customHeight="1" x14ac:dyDescent="0.25"/>
    <row r="988" ht="33.75" customHeight="1" x14ac:dyDescent="0.25"/>
    <row r="989" ht="33.75" customHeight="1" x14ac:dyDescent="0.25"/>
    <row r="990" ht="33.75" customHeight="1" x14ac:dyDescent="0.25"/>
    <row r="991" ht="33.75" customHeight="1" x14ac:dyDescent="0.25"/>
    <row r="992" ht="33.75" customHeight="1" x14ac:dyDescent="0.25"/>
    <row r="993" ht="33.75" customHeight="1" x14ac:dyDescent="0.25"/>
    <row r="994" ht="33.75" customHeight="1" x14ac:dyDescent="0.25"/>
    <row r="995" ht="33.75" customHeight="1" x14ac:dyDescent="0.25"/>
    <row r="996" ht="33.75" customHeight="1" x14ac:dyDescent="0.25"/>
    <row r="997" ht="33.75" customHeight="1" x14ac:dyDescent="0.25"/>
    <row r="998" ht="33.75" customHeight="1" x14ac:dyDescent="0.25"/>
    <row r="999" ht="33.75" customHeight="1" x14ac:dyDescent="0.25"/>
    <row r="1000" ht="33.75" customHeight="1" x14ac:dyDescent="0.25"/>
    <row r="1001" ht="33.75" customHeight="1" x14ac:dyDescent="0.25"/>
    <row r="1002" ht="33.75" customHeight="1" x14ac:dyDescent="0.25"/>
    <row r="1003" ht="33.75" customHeight="1" x14ac:dyDescent="0.25"/>
    <row r="1004" ht="33.75" customHeight="1" x14ac:dyDescent="0.25"/>
    <row r="1005" ht="33.75" customHeight="1" x14ac:dyDescent="0.25"/>
    <row r="1006" ht="33.75" customHeight="1" x14ac:dyDescent="0.25"/>
    <row r="1007" ht="33.75" customHeight="1" x14ac:dyDescent="0.25"/>
    <row r="1008" ht="33.75" customHeight="1" x14ac:dyDescent="0.25"/>
    <row r="1009" ht="33.75" customHeight="1" x14ac:dyDescent="0.25"/>
    <row r="1010" ht="33.75" customHeight="1" x14ac:dyDescent="0.25"/>
    <row r="1011" ht="33.75" customHeight="1" x14ac:dyDescent="0.25"/>
    <row r="1012" ht="33.75" customHeight="1" x14ac:dyDescent="0.25"/>
    <row r="1013" ht="33.75" customHeight="1" x14ac:dyDescent="0.25"/>
    <row r="1014" ht="33.75" customHeight="1" x14ac:dyDescent="0.25"/>
    <row r="1015" ht="33.75" customHeight="1" x14ac:dyDescent="0.25"/>
    <row r="1016" ht="33.75" customHeight="1" x14ac:dyDescent="0.25"/>
    <row r="1017" ht="33.75" customHeight="1" x14ac:dyDescent="0.25"/>
    <row r="1018" ht="33.75" customHeight="1" x14ac:dyDescent="0.25"/>
    <row r="1019" ht="33.75" customHeight="1" x14ac:dyDescent="0.25"/>
    <row r="1020" ht="33.75" customHeight="1" x14ac:dyDescent="0.25"/>
    <row r="1021" ht="33.75" customHeight="1" x14ac:dyDescent="0.25"/>
    <row r="1022" ht="33.75" customHeight="1" x14ac:dyDescent="0.25"/>
    <row r="1023" ht="33.75" customHeight="1" x14ac:dyDescent="0.25"/>
    <row r="1024" ht="33.75" customHeight="1" x14ac:dyDescent="0.25"/>
    <row r="1025" ht="33.75" customHeight="1" x14ac:dyDescent="0.25"/>
    <row r="1026" ht="33.75" customHeight="1" x14ac:dyDescent="0.25"/>
    <row r="1027" ht="33.75" customHeight="1" x14ac:dyDescent="0.25"/>
    <row r="1028" ht="33.75" customHeight="1" x14ac:dyDescent="0.25"/>
    <row r="1029" ht="33.75" customHeight="1" x14ac:dyDescent="0.25"/>
    <row r="1030" ht="33.75" customHeight="1" x14ac:dyDescent="0.25"/>
    <row r="1031" ht="33.75" customHeight="1" x14ac:dyDescent="0.25"/>
    <row r="1032" ht="33.75" customHeight="1" x14ac:dyDescent="0.25"/>
    <row r="1033" ht="33.75" customHeight="1" x14ac:dyDescent="0.25"/>
    <row r="1034" ht="33.75" customHeight="1" x14ac:dyDescent="0.25"/>
    <row r="1035" ht="33.75" customHeight="1" x14ac:dyDescent="0.25"/>
    <row r="1036" ht="33.75" customHeight="1" x14ac:dyDescent="0.25"/>
    <row r="1037" ht="33.75" customHeight="1" x14ac:dyDescent="0.25"/>
    <row r="1038" ht="33.75" customHeight="1" x14ac:dyDescent="0.25"/>
    <row r="1039" ht="33.75" customHeight="1" x14ac:dyDescent="0.25"/>
    <row r="1040" ht="33.75" customHeight="1" x14ac:dyDescent="0.25"/>
    <row r="1041" ht="33.75" customHeight="1" x14ac:dyDescent="0.25"/>
    <row r="1042" ht="33.75" customHeight="1" x14ac:dyDescent="0.25"/>
    <row r="1043" ht="33.75" customHeight="1" x14ac:dyDescent="0.25"/>
    <row r="1044" ht="33.75" customHeight="1" x14ac:dyDescent="0.25"/>
    <row r="1045" ht="33.75" customHeight="1" x14ac:dyDescent="0.25"/>
    <row r="1046" ht="33.75" customHeight="1" x14ac:dyDescent="0.25"/>
    <row r="1047" ht="33.75" customHeight="1" x14ac:dyDescent="0.25"/>
    <row r="1048" ht="33.75" customHeight="1" x14ac:dyDescent="0.25"/>
    <row r="1049" ht="33.75" customHeight="1" x14ac:dyDescent="0.25"/>
    <row r="1050" ht="33.75" customHeight="1" x14ac:dyDescent="0.25"/>
    <row r="1051" ht="33.75" customHeight="1" x14ac:dyDescent="0.25"/>
    <row r="1052" ht="33.75" customHeight="1" x14ac:dyDescent="0.25"/>
    <row r="1053" ht="33.75" customHeight="1" x14ac:dyDescent="0.25"/>
    <row r="1054" ht="33.75" customHeight="1" x14ac:dyDescent="0.25"/>
    <row r="1055" ht="33.75" customHeight="1" x14ac:dyDescent="0.25"/>
    <row r="1056" ht="33.75" customHeight="1" x14ac:dyDescent="0.25"/>
    <row r="1057" ht="33.75" customHeight="1" x14ac:dyDescent="0.25"/>
    <row r="1058" ht="33.75" customHeight="1" x14ac:dyDescent="0.25"/>
    <row r="1059" ht="33.75" customHeight="1" x14ac:dyDescent="0.25"/>
    <row r="1060" ht="33.75" customHeight="1" x14ac:dyDescent="0.25"/>
    <row r="1061" ht="33.75" customHeight="1" x14ac:dyDescent="0.25"/>
    <row r="1062" ht="33.75" customHeight="1" x14ac:dyDescent="0.25"/>
    <row r="1063" ht="33.75" customHeight="1" x14ac:dyDescent="0.25"/>
    <row r="1064" ht="33.75" customHeight="1" x14ac:dyDescent="0.25"/>
    <row r="1065" ht="33.75" customHeight="1" x14ac:dyDescent="0.25"/>
    <row r="1066" ht="33.75" customHeight="1" x14ac:dyDescent="0.25"/>
    <row r="1067" ht="33.75" customHeight="1" x14ac:dyDescent="0.25"/>
    <row r="1068" ht="33.75" customHeight="1" x14ac:dyDescent="0.25"/>
    <row r="1069" ht="33.75" customHeight="1" x14ac:dyDescent="0.25"/>
    <row r="1070" ht="33.75" customHeight="1" x14ac:dyDescent="0.25"/>
    <row r="1071" ht="33.75" customHeight="1" x14ac:dyDescent="0.25"/>
    <row r="1072" ht="33.75" customHeight="1" x14ac:dyDescent="0.25"/>
    <row r="1073" ht="33.75" customHeight="1" x14ac:dyDescent="0.25"/>
    <row r="1074" ht="33.75" customHeight="1" x14ac:dyDescent="0.25"/>
    <row r="1075" ht="33.75" customHeight="1" x14ac:dyDescent="0.25"/>
    <row r="1076" ht="33.75" customHeight="1" x14ac:dyDescent="0.25"/>
    <row r="1077" ht="33.75" customHeight="1" x14ac:dyDescent="0.25"/>
    <row r="1078" ht="33.75" customHeight="1" x14ac:dyDescent="0.25"/>
    <row r="1079" ht="33.75" customHeight="1" x14ac:dyDescent="0.25"/>
    <row r="1080" ht="33.75" customHeight="1" x14ac:dyDescent="0.25"/>
    <row r="1081" ht="33.75" customHeight="1" x14ac:dyDescent="0.25"/>
    <row r="1082" ht="33.75" customHeight="1" x14ac:dyDescent="0.25"/>
    <row r="1083" ht="33.75" customHeight="1" x14ac:dyDescent="0.25"/>
    <row r="1084" ht="33.75" customHeight="1" x14ac:dyDescent="0.25"/>
    <row r="1085" ht="33.75" customHeight="1" x14ac:dyDescent="0.25"/>
    <row r="1086" ht="33.75" customHeight="1" x14ac:dyDescent="0.25"/>
    <row r="1087" ht="33.75" customHeight="1" x14ac:dyDescent="0.25"/>
    <row r="1088" ht="33.75" customHeight="1" x14ac:dyDescent="0.25"/>
    <row r="1089" ht="33.75" customHeight="1" x14ac:dyDescent="0.25"/>
    <row r="1090" ht="33.75" customHeight="1" x14ac:dyDescent="0.25"/>
    <row r="1091" ht="33.75" customHeight="1" x14ac:dyDescent="0.25"/>
    <row r="1092" ht="33.75" customHeight="1" x14ac:dyDescent="0.25"/>
    <row r="1093" ht="33.75" customHeight="1" x14ac:dyDescent="0.25"/>
    <row r="1094" ht="33.75" customHeight="1" x14ac:dyDescent="0.25"/>
    <row r="1095" ht="33.75" customHeight="1" x14ac:dyDescent="0.25"/>
    <row r="1096" ht="33.75" customHeight="1" x14ac:dyDescent="0.25"/>
    <row r="1097" ht="33.75" customHeight="1" x14ac:dyDescent="0.25"/>
    <row r="1098" ht="33.75" customHeight="1" x14ac:dyDescent="0.25"/>
    <row r="1099" ht="33.75" customHeight="1" x14ac:dyDescent="0.25"/>
    <row r="1100" ht="33.75" customHeight="1" x14ac:dyDescent="0.25"/>
    <row r="1101" ht="33.75" customHeight="1" x14ac:dyDescent="0.25"/>
    <row r="1102" ht="33.75" customHeight="1" x14ac:dyDescent="0.25"/>
    <row r="1103" ht="33.75" customHeight="1" x14ac:dyDescent="0.25"/>
    <row r="1104" ht="33.75" customHeight="1" x14ac:dyDescent="0.25"/>
    <row r="1105" ht="33.75" customHeight="1" x14ac:dyDescent="0.25"/>
    <row r="1106" ht="33.75" customHeight="1" x14ac:dyDescent="0.25"/>
    <row r="1107" ht="33.75" customHeight="1" x14ac:dyDescent="0.25"/>
    <row r="1108" ht="33.75" customHeight="1" x14ac:dyDescent="0.25"/>
    <row r="1109" ht="33.75" customHeight="1" x14ac:dyDescent="0.25"/>
    <row r="1110" ht="33.75" customHeight="1" x14ac:dyDescent="0.25"/>
    <row r="1111" ht="33.75" customHeight="1" x14ac:dyDescent="0.25"/>
    <row r="1112" ht="33.75" customHeight="1" x14ac:dyDescent="0.25"/>
    <row r="1113" ht="33.75" customHeight="1" x14ac:dyDescent="0.25"/>
    <row r="1114" ht="33.75" customHeight="1" x14ac:dyDescent="0.25"/>
    <row r="1115" ht="33.75" customHeight="1" x14ac:dyDescent="0.25"/>
    <row r="1116" ht="33.75" customHeight="1" x14ac:dyDescent="0.25"/>
    <row r="1117" ht="33.75" customHeight="1" x14ac:dyDescent="0.25"/>
    <row r="1118" ht="33.75" customHeight="1" x14ac:dyDescent="0.25"/>
    <row r="1119" ht="33.75" customHeight="1" x14ac:dyDescent="0.25"/>
    <row r="1120" ht="33.75" customHeight="1" x14ac:dyDescent="0.25"/>
    <row r="1121" spans="25:26" ht="33.75" customHeight="1" x14ac:dyDescent="0.25"/>
    <row r="1122" spans="25:26" ht="33.75" customHeight="1" x14ac:dyDescent="0.25"/>
    <row r="1123" spans="25:26" ht="33.75" customHeight="1" x14ac:dyDescent="0.25"/>
    <row r="1124" spans="25:26" ht="33.75" customHeight="1" x14ac:dyDescent="0.25"/>
    <row r="1125" spans="25:26" ht="33.75" customHeight="1" x14ac:dyDescent="0.25"/>
    <row r="1126" spans="25:26" ht="33.75" customHeight="1" x14ac:dyDescent="0.25"/>
    <row r="1127" spans="25:26" ht="33.75" customHeight="1" x14ac:dyDescent="0.25"/>
    <row r="1128" spans="25:26" ht="33.75" customHeight="1" x14ac:dyDescent="0.25"/>
    <row r="1129" spans="25:26" ht="33.75" customHeight="1" x14ac:dyDescent="0.25"/>
    <row r="1130" spans="25:26" ht="33.75" customHeight="1" x14ac:dyDescent="0.25"/>
    <row r="1131" spans="25:26" ht="33.75" customHeight="1" x14ac:dyDescent="0.25">
      <c r="Y1131" s="34"/>
      <c r="Z1131" s="35"/>
    </row>
    <row r="1132" spans="25:26" ht="33.75" customHeight="1" x14ac:dyDescent="0.25"/>
    <row r="1133" spans="25:26" ht="33.75" customHeight="1" x14ac:dyDescent="0.25"/>
    <row r="1134" spans="25:26" ht="33.75" customHeight="1" x14ac:dyDescent="0.25"/>
    <row r="1135" spans="25:26" ht="33.75" customHeight="1" x14ac:dyDescent="0.25"/>
    <row r="1136" spans="25:26" ht="33.75" customHeight="1" x14ac:dyDescent="0.25"/>
    <row r="1137" ht="33.75" customHeight="1" x14ac:dyDescent="0.25"/>
    <row r="1138" ht="33.75" customHeight="1" x14ac:dyDescent="0.25"/>
    <row r="1139" ht="33.75" customHeight="1" x14ac:dyDescent="0.25"/>
    <row r="1140" ht="33.75" customHeight="1" x14ac:dyDescent="0.25"/>
    <row r="1141" ht="33.75" customHeight="1" x14ac:dyDescent="0.25"/>
    <row r="1142" ht="33.75" customHeight="1" x14ac:dyDescent="0.25"/>
    <row r="1143" ht="33.75" customHeight="1" x14ac:dyDescent="0.25"/>
    <row r="1144" ht="33.75" customHeight="1" x14ac:dyDescent="0.25"/>
    <row r="1145" ht="33.75" customHeight="1" x14ac:dyDescent="0.25"/>
    <row r="1146" ht="33.75" customHeight="1" x14ac:dyDescent="0.25"/>
    <row r="1147" ht="33.75" customHeight="1" x14ac:dyDescent="0.25"/>
    <row r="1148" ht="33.75" customHeight="1" x14ac:dyDescent="0.25"/>
    <row r="1149" ht="33.75" customHeight="1" x14ac:dyDescent="0.25"/>
    <row r="1150" ht="33.75" customHeight="1" x14ac:dyDescent="0.25"/>
    <row r="1151" ht="33.75" customHeight="1" x14ac:dyDescent="0.25"/>
    <row r="1152" ht="33.75" customHeight="1" x14ac:dyDescent="0.25"/>
    <row r="1153" ht="33.75" customHeight="1" x14ac:dyDescent="0.25"/>
    <row r="1154" ht="33.75" customHeight="1" x14ac:dyDescent="0.25"/>
    <row r="1155" ht="33.75" customHeight="1" x14ac:dyDescent="0.25"/>
    <row r="1156" ht="33.75" customHeight="1" x14ac:dyDescent="0.25"/>
    <row r="1157" ht="33.75" customHeight="1" x14ac:dyDescent="0.25"/>
  </sheetData>
  <mergeCells count="11">
    <mergeCell ref="S4:T4"/>
    <mergeCell ref="G1:T1"/>
    <mergeCell ref="G2:T2"/>
    <mergeCell ref="G4:G5"/>
    <mergeCell ref="H4:H5"/>
    <mergeCell ref="I4:I5"/>
    <mergeCell ref="J4:J5"/>
    <mergeCell ref="K4:L4"/>
    <mergeCell ref="M4:N4"/>
    <mergeCell ref="O4:P4"/>
    <mergeCell ref="Q4:R4"/>
  </mergeCells>
  <conditionalFormatting sqref="H7:H158">
    <cfRule type="beginsWith" dxfId="56" priority="25" operator="beginsWith" text="99">
      <formula>LEFT(H7,LEN("99"))="99"</formula>
    </cfRule>
  </conditionalFormatting>
  <conditionalFormatting sqref="H7:H158">
    <cfRule type="beginsWith" dxfId="55" priority="26" operator="beginsWith" text="99">
      <formula>LEFT(H7,2)="99"</formula>
    </cfRule>
    <cfRule type="containsText" dxfId="54" priority="27" operator="containsText" text="rem">
      <formula>NOT(ISERROR(SEARCH("rem",H7)))</formula>
    </cfRule>
    <cfRule type="duplicateValues" dxfId="53" priority="28"/>
  </conditionalFormatting>
  <conditionalFormatting sqref="T7:T158">
    <cfRule type="duplicateValues" dxfId="52" priority="29"/>
  </conditionalFormatting>
  <conditionalFormatting sqref="H159:H166">
    <cfRule type="beginsWith" dxfId="51" priority="20" operator="beginsWith" text="99">
      <formula>LEFT(H159,LEN("99"))="99"</formula>
    </cfRule>
  </conditionalFormatting>
  <conditionalFormatting sqref="H159:H166">
    <cfRule type="beginsWith" dxfId="50" priority="21" operator="beginsWith" text="99">
      <formula>LEFT(H159,2)="99"</formula>
    </cfRule>
    <cfRule type="containsText" dxfId="49" priority="22" operator="containsText" text="rem">
      <formula>NOT(ISERROR(SEARCH("rem",H159)))</formula>
    </cfRule>
    <cfRule type="duplicateValues" dxfId="48" priority="23"/>
  </conditionalFormatting>
  <conditionalFormatting sqref="T159:T166">
    <cfRule type="duplicateValues" dxfId="47" priority="24"/>
  </conditionalFormatting>
  <conditionalFormatting sqref="A7:A158">
    <cfRule type="duplicateValues" dxfId="46" priority="19"/>
  </conditionalFormatting>
  <conditionalFormatting sqref="A159:A166">
    <cfRule type="duplicateValues" dxfId="45" priority="18"/>
  </conditionalFormatting>
  <conditionalFormatting sqref="H6">
    <cfRule type="beginsWith" dxfId="44" priority="13" operator="beginsWith" text="99">
      <formula>LEFT(H6,LEN("99"))="99"</formula>
    </cfRule>
  </conditionalFormatting>
  <conditionalFormatting sqref="H6">
    <cfRule type="beginsWith" dxfId="43" priority="14" operator="beginsWith" text="99">
      <formula>LEFT(H6,2)="99"</formula>
    </cfRule>
    <cfRule type="containsText" dxfId="42" priority="15" operator="containsText" text="rem">
      <formula>NOT(ISERROR(SEARCH("rem",H6)))</formula>
    </cfRule>
    <cfRule type="duplicateValues" dxfId="41" priority="16"/>
  </conditionalFormatting>
  <conditionalFormatting sqref="T6">
    <cfRule type="duplicateValues" dxfId="40" priority="17"/>
  </conditionalFormatting>
  <conditionalFormatting sqref="A6">
    <cfRule type="duplicateValues" dxfId="39" priority="12"/>
  </conditionalFormatting>
  <conditionalFormatting sqref="F6">
    <cfRule type="cellIs" dxfId="38" priority="10" operator="lessThan">
      <formula>0</formula>
    </cfRule>
    <cfRule type="cellIs" dxfId="37" priority="11" operator="greaterThan">
      <formula>2000</formula>
    </cfRule>
  </conditionalFormatting>
  <conditionalFormatting sqref="L6:L166 N6:N166 P6:P166 R6:R166">
    <cfRule type="cellIs" dxfId="36" priority="9" operator="lessThan">
      <formula>0</formula>
    </cfRule>
  </conditionalFormatting>
  <conditionalFormatting sqref="L6:L166">
    <cfRule type="cellIs" dxfId="35" priority="8" operator="greaterThan">
      <formula>2000</formula>
    </cfRule>
  </conditionalFormatting>
  <conditionalFormatting sqref="R6:R166">
    <cfRule type="cellIs" dxfId="34" priority="7" operator="greaterThan">
      <formula>2000</formula>
    </cfRule>
  </conditionalFormatting>
  <conditionalFormatting sqref="F1:F1048576">
    <cfRule type="cellIs" dxfId="33" priority="6" operator="lessThan">
      <formula>0</formula>
    </cfRule>
    <cfRule type="cellIs" dxfId="32" priority="5" operator="greaterThan">
      <formula>2000</formula>
    </cfRule>
    <cfRule type="cellIs" dxfId="31" priority="4" operator="greaterThan">
      <formula>4000</formula>
    </cfRule>
  </conditionalFormatting>
  <conditionalFormatting sqref="R1:R1048576">
    <cfRule type="cellIs" dxfId="0" priority="3" operator="greaterThan">
      <formula>2000</formula>
    </cfRule>
    <cfRule type="cellIs" dxfId="1" priority="2" operator="greaterThan">
      <formula>4000</formula>
    </cfRule>
    <cfRule type="cellIs" dxfId="2" priority="1" operator="lessThan">
      <formula>0</formula>
    </cfRule>
  </conditionalFormatting>
  <printOptions horizontalCentered="1"/>
  <pageMargins left="0.23" right="0.15" top="0.32" bottom="0.32" header="0.2" footer="0.19"/>
  <pageSetup scale="63" orientation="portrait" r:id="rId1"/>
  <headerFooter>
    <oddHeader xml:space="preserve">&amp;L&amp;F&amp;C&amp;A&amp;RPage &amp;P of &amp;N              </oddHeader>
    <oddFooter xml:space="preserve">&amp;L             Reader Initials:&amp;RSupervisor Initials:                                           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Executive Lodge</vt:lpstr>
      <vt:lpstr>'Executive Lodge'!Print_Area</vt:lpstr>
      <vt:lpstr>'Executive Lodge'!Print_Titles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Ammad</cp:lastModifiedBy>
  <dcterms:created xsi:type="dcterms:W3CDTF">2025-04-21T11:09:11Z</dcterms:created>
  <dcterms:modified xsi:type="dcterms:W3CDTF">2025-04-23T05:34:36Z</dcterms:modified>
</cp:coreProperties>
</file>