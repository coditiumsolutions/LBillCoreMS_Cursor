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mad\Desktop\Import Reading\01-Reading\"/>
    </mc:Choice>
  </mc:AlternateContent>
  <bookViews>
    <workbookView xWindow="0" yWindow="0" windowWidth="24000" windowHeight="9735"/>
  </bookViews>
  <sheets>
    <sheet name="Babur" sheetId="1" r:id="rId1"/>
  </sheets>
  <definedNames>
    <definedName name="_xlnm.Print_Area" localSheetId="0">Babur!$A$1:$T$354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1" i="1" l="1"/>
  <c r="B337" i="1"/>
  <c r="B301" i="1"/>
  <c r="B151" i="1"/>
  <c r="B92" i="1"/>
  <c r="R354" i="1" l="1"/>
  <c r="P354" i="1"/>
  <c r="N354" i="1"/>
  <c r="L354" i="1"/>
  <c r="F354" i="1" s="1"/>
  <c r="B354" i="1"/>
  <c r="R353" i="1"/>
  <c r="P353" i="1"/>
  <c r="N353" i="1"/>
  <c r="B353" i="1"/>
  <c r="L353" i="1" s="1"/>
  <c r="F353" i="1" s="1"/>
  <c r="R352" i="1"/>
  <c r="P352" i="1"/>
  <c r="N352" i="1"/>
  <c r="B352" i="1"/>
  <c r="L352" i="1" s="1"/>
  <c r="F352" i="1" s="1"/>
  <c r="R351" i="1"/>
  <c r="P351" i="1"/>
  <c r="N351" i="1"/>
  <c r="L351" i="1"/>
  <c r="F351" i="1" s="1"/>
  <c r="R350" i="1"/>
  <c r="P350" i="1"/>
  <c r="N350" i="1"/>
  <c r="B350" i="1"/>
  <c r="L350" i="1" s="1"/>
  <c r="F350" i="1" s="1"/>
  <c r="R349" i="1"/>
  <c r="P349" i="1"/>
  <c r="N349" i="1"/>
  <c r="K349" i="1"/>
  <c r="B349" i="1"/>
  <c r="L349" i="1" s="1"/>
  <c r="F349" i="1" s="1"/>
  <c r="R348" i="1"/>
  <c r="P348" i="1"/>
  <c r="N348" i="1"/>
  <c r="K348" i="1"/>
  <c r="B348" i="1"/>
  <c r="R347" i="1"/>
  <c r="P347" i="1"/>
  <c r="N347" i="1"/>
  <c r="K347" i="1"/>
  <c r="B347" i="1"/>
  <c r="L347" i="1" s="1"/>
  <c r="F347" i="1" s="1"/>
  <c r="R346" i="1"/>
  <c r="P346" i="1"/>
  <c r="N346" i="1"/>
  <c r="B346" i="1"/>
  <c r="L346" i="1" s="1"/>
  <c r="F346" i="1" s="1"/>
  <c r="R345" i="1"/>
  <c r="P345" i="1"/>
  <c r="N345" i="1"/>
  <c r="K345" i="1"/>
  <c r="B345" i="1"/>
  <c r="R344" i="1"/>
  <c r="P344" i="1"/>
  <c r="N344" i="1"/>
  <c r="B344" i="1"/>
  <c r="L344" i="1" s="1"/>
  <c r="F344" i="1" s="1"/>
  <c r="R343" i="1"/>
  <c r="P343" i="1"/>
  <c r="N343" i="1"/>
  <c r="B343" i="1"/>
  <c r="L343" i="1" s="1"/>
  <c r="F343" i="1" s="1"/>
  <c r="R342" i="1"/>
  <c r="P342" i="1"/>
  <c r="N342" i="1"/>
  <c r="K342" i="1"/>
  <c r="B342" i="1"/>
  <c r="R341" i="1"/>
  <c r="P341" i="1"/>
  <c r="N341" i="1"/>
  <c r="B341" i="1"/>
  <c r="L341" i="1" s="1"/>
  <c r="F341" i="1" s="1"/>
  <c r="R340" i="1"/>
  <c r="P340" i="1"/>
  <c r="N340" i="1"/>
  <c r="K340" i="1"/>
  <c r="B340" i="1"/>
  <c r="R339" i="1"/>
  <c r="P339" i="1"/>
  <c r="N339" i="1"/>
  <c r="B339" i="1"/>
  <c r="L339" i="1" s="1"/>
  <c r="F339" i="1" s="1"/>
  <c r="R338" i="1"/>
  <c r="P338" i="1"/>
  <c r="N338" i="1"/>
  <c r="B338" i="1"/>
  <c r="L338" i="1" s="1"/>
  <c r="F338" i="1" s="1"/>
  <c r="R337" i="1"/>
  <c r="P337" i="1"/>
  <c r="N337" i="1"/>
  <c r="L337" i="1"/>
  <c r="F337" i="1" s="1"/>
  <c r="R336" i="1"/>
  <c r="P336" i="1"/>
  <c r="N336" i="1"/>
  <c r="K336" i="1"/>
  <c r="B336" i="1"/>
  <c r="R335" i="1"/>
  <c r="P335" i="1"/>
  <c r="N335" i="1"/>
  <c r="K335" i="1"/>
  <c r="B335" i="1"/>
  <c r="L335" i="1" s="1"/>
  <c r="F335" i="1" s="1"/>
  <c r="R334" i="1"/>
  <c r="P334" i="1"/>
  <c r="N334" i="1"/>
  <c r="B334" i="1"/>
  <c r="L334" i="1" s="1"/>
  <c r="F334" i="1" s="1"/>
  <c r="R333" i="1"/>
  <c r="P333" i="1"/>
  <c r="N333" i="1"/>
  <c r="B333" i="1"/>
  <c r="L333" i="1" s="1"/>
  <c r="F333" i="1" s="1"/>
  <c r="R332" i="1"/>
  <c r="P332" i="1"/>
  <c r="N332" i="1"/>
  <c r="K332" i="1"/>
  <c r="B332" i="1"/>
  <c r="R331" i="1"/>
  <c r="P331" i="1"/>
  <c r="N331" i="1"/>
  <c r="K331" i="1"/>
  <c r="B331" i="1"/>
  <c r="L331" i="1" s="1"/>
  <c r="F331" i="1" s="1"/>
  <c r="R330" i="1"/>
  <c r="P330" i="1"/>
  <c r="N330" i="1"/>
  <c r="K330" i="1"/>
  <c r="B330" i="1"/>
  <c r="R329" i="1"/>
  <c r="P329" i="1"/>
  <c r="N329" i="1"/>
  <c r="K329" i="1"/>
  <c r="B329" i="1"/>
  <c r="L329" i="1" s="1"/>
  <c r="F329" i="1" s="1"/>
  <c r="R328" i="1"/>
  <c r="P328" i="1"/>
  <c r="N328" i="1"/>
  <c r="K328" i="1"/>
  <c r="B328" i="1"/>
  <c r="R327" i="1"/>
  <c r="P327" i="1"/>
  <c r="N327" i="1"/>
  <c r="B327" i="1"/>
  <c r="L327" i="1" s="1"/>
  <c r="F327" i="1" s="1"/>
  <c r="R326" i="1"/>
  <c r="P326" i="1"/>
  <c r="N326" i="1"/>
  <c r="K326" i="1"/>
  <c r="B326" i="1"/>
  <c r="L326" i="1" s="1"/>
  <c r="F326" i="1" s="1"/>
  <c r="R325" i="1"/>
  <c r="P325" i="1"/>
  <c r="N325" i="1"/>
  <c r="G325" i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B325" i="1"/>
  <c r="L325" i="1" s="1"/>
  <c r="F325" i="1" s="1"/>
  <c r="R324" i="1"/>
  <c r="P324" i="1"/>
  <c r="N324" i="1"/>
  <c r="K324" i="1"/>
  <c r="L324" i="1" s="1"/>
  <c r="F324" i="1" s="1"/>
  <c r="B324" i="1"/>
  <c r="R323" i="1"/>
  <c r="P323" i="1"/>
  <c r="N323" i="1"/>
  <c r="B323" i="1"/>
  <c r="L323" i="1" s="1"/>
  <c r="F323" i="1" s="1"/>
  <c r="R322" i="1"/>
  <c r="P322" i="1"/>
  <c r="N322" i="1"/>
  <c r="B322" i="1"/>
  <c r="L322" i="1" s="1"/>
  <c r="F322" i="1" s="1"/>
  <c r="R321" i="1"/>
  <c r="P321" i="1"/>
  <c r="N321" i="1"/>
  <c r="B321" i="1"/>
  <c r="L321" i="1" s="1"/>
  <c r="F321" i="1" s="1"/>
  <c r="R320" i="1"/>
  <c r="P320" i="1"/>
  <c r="N320" i="1"/>
  <c r="B320" i="1"/>
  <c r="L320" i="1" s="1"/>
  <c r="F320" i="1" s="1"/>
  <c r="R319" i="1"/>
  <c r="P319" i="1"/>
  <c r="N319" i="1"/>
  <c r="L319" i="1"/>
  <c r="F319" i="1" s="1"/>
  <c r="R318" i="1"/>
  <c r="P318" i="1"/>
  <c r="N318" i="1"/>
  <c r="B318" i="1"/>
  <c r="L318" i="1" s="1"/>
  <c r="F318" i="1" s="1"/>
  <c r="R317" i="1"/>
  <c r="P317" i="1"/>
  <c r="N317" i="1"/>
  <c r="B317" i="1"/>
  <c r="L317" i="1" s="1"/>
  <c r="F317" i="1" s="1"/>
  <c r="R316" i="1"/>
  <c r="P316" i="1"/>
  <c r="N316" i="1"/>
  <c r="B316" i="1"/>
  <c r="L316" i="1" s="1"/>
  <c r="F316" i="1" s="1"/>
  <c r="R315" i="1"/>
  <c r="P315" i="1"/>
  <c r="N315" i="1"/>
  <c r="B315" i="1"/>
  <c r="L315" i="1" s="1"/>
  <c r="F315" i="1" s="1"/>
  <c r="R314" i="1"/>
  <c r="P314" i="1"/>
  <c r="N314" i="1"/>
  <c r="B314" i="1"/>
  <c r="L314" i="1" s="1"/>
  <c r="F314" i="1" s="1"/>
  <c r="R313" i="1"/>
  <c r="P313" i="1"/>
  <c r="N313" i="1"/>
  <c r="B313" i="1"/>
  <c r="L313" i="1" s="1"/>
  <c r="F313" i="1" s="1"/>
  <c r="R312" i="1"/>
  <c r="P312" i="1"/>
  <c r="N312" i="1"/>
  <c r="B312" i="1"/>
  <c r="L312" i="1" s="1"/>
  <c r="F312" i="1" s="1"/>
  <c r="R311" i="1"/>
  <c r="P311" i="1"/>
  <c r="N311" i="1"/>
  <c r="B311" i="1"/>
  <c r="L311" i="1" s="1"/>
  <c r="F311" i="1" s="1"/>
  <c r="R310" i="1"/>
  <c r="P310" i="1"/>
  <c r="N310" i="1"/>
  <c r="B310" i="1"/>
  <c r="L310" i="1" s="1"/>
  <c r="F310" i="1" s="1"/>
  <c r="R309" i="1"/>
  <c r="P309" i="1"/>
  <c r="N309" i="1"/>
  <c r="B309" i="1"/>
  <c r="L309" i="1" s="1"/>
  <c r="F309" i="1" s="1"/>
  <c r="R308" i="1"/>
  <c r="P308" i="1"/>
  <c r="N308" i="1"/>
  <c r="B308" i="1"/>
  <c r="L308" i="1" s="1"/>
  <c r="F308" i="1" s="1"/>
  <c r="R307" i="1"/>
  <c r="P307" i="1"/>
  <c r="N307" i="1"/>
  <c r="B307" i="1"/>
  <c r="L307" i="1" s="1"/>
  <c r="F307" i="1" s="1"/>
  <c r="R306" i="1"/>
  <c r="P306" i="1"/>
  <c r="N306" i="1"/>
  <c r="B306" i="1"/>
  <c r="L306" i="1" s="1"/>
  <c r="F306" i="1" s="1"/>
  <c r="R305" i="1"/>
  <c r="P305" i="1"/>
  <c r="N305" i="1"/>
  <c r="L305" i="1"/>
  <c r="F305" i="1" s="1"/>
  <c r="R304" i="1"/>
  <c r="P304" i="1"/>
  <c r="N304" i="1"/>
  <c r="B304" i="1"/>
  <c r="L304" i="1" s="1"/>
  <c r="F304" i="1" s="1"/>
  <c r="R303" i="1"/>
  <c r="P303" i="1"/>
  <c r="N303" i="1"/>
  <c r="L303" i="1"/>
  <c r="F303" i="1" s="1"/>
  <c r="R302" i="1"/>
  <c r="P302" i="1"/>
  <c r="N302" i="1"/>
  <c r="B302" i="1"/>
  <c r="L302" i="1" s="1"/>
  <c r="F302" i="1" s="1"/>
  <c r="R301" i="1"/>
  <c r="P301" i="1"/>
  <c r="N301" i="1"/>
  <c r="L301" i="1"/>
  <c r="F301" i="1" s="1"/>
  <c r="R300" i="1"/>
  <c r="P300" i="1"/>
  <c r="N300" i="1"/>
  <c r="L300" i="1"/>
  <c r="F300" i="1" s="1"/>
  <c r="B300" i="1"/>
  <c r="R299" i="1"/>
  <c r="P299" i="1"/>
  <c r="N299" i="1"/>
  <c r="B299" i="1"/>
  <c r="L299" i="1" s="1"/>
  <c r="F299" i="1" s="1"/>
  <c r="R298" i="1"/>
  <c r="P298" i="1"/>
  <c r="N298" i="1"/>
  <c r="B298" i="1"/>
  <c r="L298" i="1" s="1"/>
  <c r="F298" i="1" s="1"/>
  <c r="R297" i="1"/>
  <c r="P297" i="1"/>
  <c r="N297" i="1"/>
  <c r="B297" i="1"/>
  <c r="L297" i="1" s="1"/>
  <c r="F297" i="1" s="1"/>
  <c r="R296" i="1"/>
  <c r="P296" i="1"/>
  <c r="N296" i="1"/>
  <c r="B296" i="1"/>
  <c r="L296" i="1" s="1"/>
  <c r="F296" i="1" s="1"/>
  <c r="R295" i="1"/>
  <c r="P295" i="1"/>
  <c r="N295" i="1"/>
  <c r="B295" i="1"/>
  <c r="L295" i="1" s="1"/>
  <c r="F295" i="1" s="1"/>
  <c r="R294" i="1"/>
  <c r="P294" i="1"/>
  <c r="N294" i="1"/>
  <c r="B294" i="1"/>
  <c r="L294" i="1" s="1"/>
  <c r="F294" i="1" s="1"/>
  <c r="R293" i="1"/>
  <c r="P293" i="1"/>
  <c r="N293" i="1"/>
  <c r="B293" i="1"/>
  <c r="L293" i="1" s="1"/>
  <c r="F293" i="1" s="1"/>
  <c r="R292" i="1"/>
  <c r="P292" i="1"/>
  <c r="N292" i="1"/>
  <c r="L292" i="1"/>
  <c r="F292" i="1" s="1"/>
  <c r="B292" i="1"/>
  <c r="R291" i="1"/>
  <c r="P291" i="1"/>
  <c r="N291" i="1"/>
  <c r="B291" i="1"/>
  <c r="L291" i="1" s="1"/>
  <c r="F291" i="1" s="1"/>
  <c r="R290" i="1"/>
  <c r="P290" i="1"/>
  <c r="N290" i="1"/>
  <c r="L290" i="1"/>
  <c r="F290" i="1" s="1"/>
  <c r="R289" i="1"/>
  <c r="P289" i="1"/>
  <c r="N289" i="1"/>
  <c r="B289" i="1"/>
  <c r="L289" i="1" s="1"/>
  <c r="F289" i="1" s="1"/>
  <c r="R288" i="1"/>
  <c r="P288" i="1"/>
  <c r="N288" i="1"/>
  <c r="B288" i="1"/>
  <c r="L288" i="1" s="1"/>
  <c r="F288" i="1" s="1"/>
  <c r="R287" i="1"/>
  <c r="P287" i="1"/>
  <c r="N287" i="1"/>
  <c r="L287" i="1"/>
  <c r="F287" i="1" s="1"/>
  <c r="R286" i="1"/>
  <c r="P286" i="1"/>
  <c r="N286" i="1"/>
  <c r="B286" i="1"/>
  <c r="L286" i="1" s="1"/>
  <c r="F286" i="1" s="1"/>
  <c r="R285" i="1"/>
  <c r="P285" i="1"/>
  <c r="N285" i="1"/>
  <c r="B285" i="1"/>
  <c r="L285" i="1" s="1"/>
  <c r="F285" i="1" s="1"/>
  <c r="R284" i="1"/>
  <c r="P284" i="1"/>
  <c r="N284" i="1"/>
  <c r="K284" i="1"/>
  <c r="B284" i="1"/>
  <c r="R283" i="1"/>
  <c r="P283" i="1"/>
  <c r="N283" i="1"/>
  <c r="K283" i="1"/>
  <c r="B283" i="1"/>
  <c r="L283" i="1" s="1"/>
  <c r="F283" i="1" s="1"/>
  <c r="R282" i="1"/>
  <c r="P282" i="1"/>
  <c r="N282" i="1"/>
  <c r="B282" i="1"/>
  <c r="L282" i="1" s="1"/>
  <c r="F282" i="1" s="1"/>
  <c r="R281" i="1"/>
  <c r="P281" i="1"/>
  <c r="N281" i="1"/>
  <c r="B281" i="1"/>
  <c r="L281" i="1" s="1"/>
  <c r="F281" i="1" s="1"/>
  <c r="R280" i="1"/>
  <c r="P280" i="1"/>
  <c r="N280" i="1"/>
  <c r="B280" i="1"/>
  <c r="L280" i="1" s="1"/>
  <c r="F280" i="1" s="1"/>
  <c r="R279" i="1"/>
  <c r="P279" i="1"/>
  <c r="N279" i="1"/>
  <c r="K279" i="1"/>
  <c r="B279" i="1"/>
  <c r="R278" i="1"/>
  <c r="P278" i="1"/>
  <c r="N278" i="1"/>
  <c r="B278" i="1"/>
  <c r="L278" i="1" s="1"/>
  <c r="F278" i="1" s="1"/>
  <c r="R277" i="1"/>
  <c r="P277" i="1"/>
  <c r="N277" i="1"/>
  <c r="B277" i="1"/>
  <c r="L277" i="1" s="1"/>
  <c r="F277" i="1" s="1"/>
  <c r="R276" i="1"/>
  <c r="P276" i="1"/>
  <c r="N276" i="1"/>
  <c r="B276" i="1"/>
  <c r="L276" i="1" s="1"/>
  <c r="F276" i="1" s="1"/>
  <c r="R275" i="1"/>
  <c r="P275" i="1"/>
  <c r="N275" i="1"/>
  <c r="B275" i="1"/>
  <c r="L275" i="1" s="1"/>
  <c r="F275" i="1" s="1"/>
  <c r="R274" i="1"/>
  <c r="P274" i="1"/>
  <c r="N274" i="1"/>
  <c r="B274" i="1"/>
  <c r="L274" i="1" s="1"/>
  <c r="F274" i="1" s="1"/>
  <c r="R273" i="1"/>
  <c r="P273" i="1"/>
  <c r="N273" i="1"/>
  <c r="K273" i="1"/>
  <c r="B273" i="1"/>
  <c r="R272" i="1"/>
  <c r="P272" i="1"/>
  <c r="N272" i="1"/>
  <c r="B272" i="1"/>
  <c r="L272" i="1" s="1"/>
  <c r="F272" i="1" s="1"/>
  <c r="R271" i="1"/>
  <c r="P271" i="1"/>
  <c r="N271" i="1"/>
  <c r="B271" i="1"/>
  <c r="L271" i="1" s="1"/>
  <c r="F271" i="1" s="1"/>
  <c r="R270" i="1"/>
  <c r="P270" i="1"/>
  <c r="N270" i="1"/>
  <c r="B270" i="1"/>
  <c r="L270" i="1" s="1"/>
  <c r="F270" i="1" s="1"/>
  <c r="R269" i="1"/>
  <c r="P269" i="1"/>
  <c r="N269" i="1"/>
  <c r="K269" i="1"/>
  <c r="B269" i="1"/>
  <c r="R268" i="1"/>
  <c r="P268" i="1"/>
  <c r="N268" i="1"/>
  <c r="B268" i="1"/>
  <c r="L268" i="1" s="1"/>
  <c r="F268" i="1" s="1"/>
  <c r="R267" i="1"/>
  <c r="P267" i="1"/>
  <c r="N267" i="1"/>
  <c r="B267" i="1"/>
  <c r="L267" i="1" s="1"/>
  <c r="F267" i="1" s="1"/>
  <c r="R266" i="1"/>
  <c r="P266" i="1"/>
  <c r="N266" i="1"/>
  <c r="B266" i="1"/>
  <c r="L266" i="1" s="1"/>
  <c r="F266" i="1" s="1"/>
  <c r="R265" i="1"/>
  <c r="P265" i="1"/>
  <c r="N265" i="1"/>
  <c r="B265" i="1"/>
  <c r="L265" i="1" s="1"/>
  <c r="F265" i="1" s="1"/>
  <c r="R264" i="1"/>
  <c r="P264" i="1"/>
  <c r="N264" i="1"/>
  <c r="B264" i="1"/>
  <c r="L264" i="1" s="1"/>
  <c r="F264" i="1" s="1"/>
  <c r="R263" i="1"/>
  <c r="P263" i="1"/>
  <c r="N263" i="1"/>
  <c r="K263" i="1"/>
  <c r="B263" i="1"/>
  <c r="L263" i="1" s="1"/>
  <c r="F263" i="1" s="1"/>
  <c r="R262" i="1"/>
  <c r="P262" i="1"/>
  <c r="N262" i="1"/>
  <c r="K262" i="1"/>
  <c r="B262" i="1"/>
  <c r="L262" i="1" s="1"/>
  <c r="F262" i="1" s="1"/>
  <c r="R261" i="1"/>
  <c r="P261" i="1"/>
  <c r="N261" i="1"/>
  <c r="B261" i="1"/>
  <c r="L261" i="1" s="1"/>
  <c r="F261" i="1" s="1"/>
  <c r="R260" i="1"/>
  <c r="P260" i="1"/>
  <c r="N260" i="1"/>
  <c r="K260" i="1"/>
  <c r="B260" i="1"/>
  <c r="R259" i="1"/>
  <c r="P259" i="1"/>
  <c r="N259" i="1"/>
  <c r="B259" i="1"/>
  <c r="L259" i="1" s="1"/>
  <c r="F259" i="1" s="1"/>
  <c r="R258" i="1"/>
  <c r="P258" i="1"/>
  <c r="N258" i="1"/>
  <c r="B258" i="1"/>
  <c r="L258" i="1" s="1"/>
  <c r="F258" i="1" s="1"/>
  <c r="R257" i="1"/>
  <c r="P257" i="1"/>
  <c r="N257" i="1"/>
  <c r="B257" i="1"/>
  <c r="L257" i="1" s="1"/>
  <c r="F257" i="1" s="1"/>
  <c r="R256" i="1"/>
  <c r="P256" i="1"/>
  <c r="N256" i="1"/>
  <c r="B256" i="1"/>
  <c r="L256" i="1" s="1"/>
  <c r="F256" i="1" s="1"/>
  <c r="R255" i="1"/>
  <c r="P255" i="1"/>
  <c r="N255" i="1"/>
  <c r="B255" i="1"/>
  <c r="L255" i="1" s="1"/>
  <c r="F255" i="1" s="1"/>
  <c r="R254" i="1"/>
  <c r="P254" i="1"/>
  <c r="N254" i="1"/>
  <c r="K254" i="1"/>
  <c r="B254" i="1"/>
  <c r="R253" i="1"/>
  <c r="P253" i="1"/>
  <c r="N253" i="1"/>
  <c r="K253" i="1"/>
  <c r="B253" i="1"/>
  <c r="L253" i="1" s="1"/>
  <c r="F253" i="1" s="1"/>
  <c r="R252" i="1"/>
  <c r="P252" i="1"/>
  <c r="N252" i="1"/>
  <c r="K252" i="1"/>
  <c r="B252" i="1"/>
  <c r="R251" i="1"/>
  <c r="P251" i="1"/>
  <c r="N251" i="1"/>
  <c r="B251" i="1"/>
  <c r="L251" i="1" s="1"/>
  <c r="F251" i="1" s="1"/>
  <c r="R250" i="1"/>
  <c r="P250" i="1"/>
  <c r="N250" i="1"/>
  <c r="B250" i="1"/>
  <c r="L250" i="1" s="1"/>
  <c r="F250" i="1" s="1"/>
  <c r="R249" i="1"/>
  <c r="P249" i="1"/>
  <c r="N249" i="1"/>
  <c r="K249" i="1"/>
  <c r="B249" i="1"/>
  <c r="L249" i="1" s="1"/>
  <c r="F249" i="1" s="1"/>
  <c r="R248" i="1"/>
  <c r="P248" i="1"/>
  <c r="N248" i="1"/>
  <c r="B248" i="1"/>
  <c r="L248" i="1" s="1"/>
  <c r="F248" i="1" s="1"/>
  <c r="R247" i="1"/>
  <c r="P247" i="1"/>
  <c r="N247" i="1"/>
  <c r="K247" i="1"/>
  <c r="B247" i="1"/>
  <c r="R246" i="1"/>
  <c r="P246" i="1"/>
  <c r="N246" i="1"/>
  <c r="B246" i="1"/>
  <c r="L246" i="1" s="1"/>
  <c r="F246" i="1" s="1"/>
  <c r="R245" i="1"/>
  <c r="P245" i="1"/>
  <c r="N245" i="1"/>
  <c r="B245" i="1"/>
  <c r="L245" i="1" s="1"/>
  <c r="F245" i="1" s="1"/>
  <c r="R244" i="1"/>
  <c r="P244" i="1"/>
  <c r="N244" i="1"/>
  <c r="L244" i="1"/>
  <c r="F244" i="1" s="1"/>
  <c r="B244" i="1"/>
  <c r="R243" i="1"/>
  <c r="P243" i="1"/>
  <c r="N243" i="1"/>
  <c r="B243" i="1"/>
  <c r="L243" i="1" s="1"/>
  <c r="F243" i="1" s="1"/>
  <c r="R242" i="1"/>
  <c r="P242" i="1"/>
  <c r="N242" i="1"/>
  <c r="K242" i="1"/>
  <c r="B242" i="1"/>
  <c r="L242" i="1" s="1"/>
  <c r="F242" i="1" s="1"/>
  <c r="R241" i="1"/>
  <c r="P241" i="1"/>
  <c r="N241" i="1"/>
  <c r="K241" i="1"/>
  <c r="B241" i="1"/>
  <c r="R240" i="1"/>
  <c r="P240" i="1"/>
  <c r="N240" i="1"/>
  <c r="B240" i="1"/>
  <c r="L240" i="1" s="1"/>
  <c r="F240" i="1" s="1"/>
  <c r="R239" i="1"/>
  <c r="P239" i="1"/>
  <c r="N239" i="1"/>
  <c r="B239" i="1"/>
  <c r="R238" i="1"/>
  <c r="P238" i="1"/>
  <c r="N238" i="1"/>
  <c r="B238" i="1"/>
  <c r="L238" i="1" s="1"/>
  <c r="F238" i="1" s="1"/>
  <c r="R237" i="1"/>
  <c r="P237" i="1"/>
  <c r="N237" i="1"/>
  <c r="B237" i="1"/>
  <c r="L237" i="1" s="1"/>
  <c r="F237" i="1" s="1"/>
  <c r="R236" i="1"/>
  <c r="P236" i="1"/>
  <c r="N236" i="1"/>
  <c r="B236" i="1"/>
  <c r="L236" i="1" s="1"/>
  <c r="F236" i="1" s="1"/>
  <c r="R235" i="1"/>
  <c r="P235" i="1"/>
  <c r="N235" i="1"/>
  <c r="K235" i="1"/>
  <c r="B235" i="1"/>
  <c r="R234" i="1"/>
  <c r="P234" i="1"/>
  <c r="N234" i="1"/>
  <c r="B234" i="1"/>
  <c r="L234" i="1" s="1"/>
  <c r="F234" i="1" s="1"/>
  <c r="R233" i="1"/>
  <c r="P233" i="1"/>
  <c r="N233" i="1"/>
  <c r="K233" i="1"/>
  <c r="B233" i="1"/>
  <c r="R232" i="1"/>
  <c r="P232" i="1"/>
  <c r="N232" i="1"/>
  <c r="B232" i="1"/>
  <c r="L232" i="1" s="1"/>
  <c r="F232" i="1" s="1"/>
  <c r="R231" i="1"/>
  <c r="P231" i="1"/>
  <c r="N231" i="1"/>
  <c r="B231" i="1"/>
  <c r="L231" i="1" s="1"/>
  <c r="F231" i="1" s="1"/>
  <c r="R230" i="1"/>
  <c r="P230" i="1"/>
  <c r="N230" i="1"/>
  <c r="B230" i="1"/>
  <c r="L230" i="1" s="1"/>
  <c r="F230" i="1" s="1"/>
  <c r="R229" i="1"/>
  <c r="P229" i="1"/>
  <c r="N229" i="1"/>
  <c r="L229" i="1"/>
  <c r="F229" i="1" s="1"/>
  <c r="K229" i="1"/>
  <c r="B229" i="1"/>
  <c r="R228" i="1"/>
  <c r="P228" i="1"/>
  <c r="N228" i="1"/>
  <c r="K228" i="1"/>
  <c r="B228" i="1"/>
  <c r="L228" i="1" s="1"/>
  <c r="F228" i="1" s="1"/>
  <c r="R227" i="1"/>
  <c r="P227" i="1"/>
  <c r="N227" i="1"/>
  <c r="B227" i="1"/>
  <c r="L227" i="1" s="1"/>
  <c r="F227" i="1" s="1"/>
  <c r="R226" i="1"/>
  <c r="P226" i="1"/>
  <c r="N226" i="1"/>
  <c r="K226" i="1"/>
  <c r="B226" i="1"/>
  <c r="R225" i="1"/>
  <c r="P225" i="1"/>
  <c r="N225" i="1"/>
  <c r="B225" i="1"/>
  <c r="L225" i="1" s="1"/>
  <c r="F225" i="1" s="1"/>
  <c r="R224" i="1"/>
  <c r="P224" i="1"/>
  <c r="N224" i="1"/>
  <c r="B224" i="1"/>
  <c r="L224" i="1" s="1"/>
  <c r="F224" i="1" s="1"/>
  <c r="R223" i="1"/>
  <c r="P223" i="1"/>
  <c r="N223" i="1"/>
  <c r="B223" i="1"/>
  <c r="L223" i="1" s="1"/>
  <c r="F223" i="1" s="1"/>
  <c r="R222" i="1"/>
  <c r="P222" i="1"/>
  <c r="N222" i="1"/>
  <c r="L222" i="1"/>
  <c r="F222" i="1" s="1"/>
  <c r="B222" i="1"/>
  <c r="R221" i="1"/>
  <c r="P221" i="1"/>
  <c r="N221" i="1"/>
  <c r="B221" i="1"/>
  <c r="L221" i="1" s="1"/>
  <c r="F221" i="1" s="1"/>
  <c r="R220" i="1"/>
  <c r="P220" i="1"/>
  <c r="N220" i="1"/>
  <c r="K220" i="1"/>
  <c r="B220" i="1"/>
  <c r="L220" i="1" s="1"/>
  <c r="F220" i="1" s="1"/>
  <c r="R219" i="1"/>
  <c r="P219" i="1"/>
  <c r="N219" i="1"/>
  <c r="K219" i="1"/>
  <c r="B219" i="1"/>
  <c r="L219" i="1" s="1"/>
  <c r="F219" i="1" s="1"/>
  <c r="R218" i="1"/>
  <c r="P218" i="1"/>
  <c r="N218" i="1"/>
  <c r="K218" i="1"/>
  <c r="B218" i="1"/>
  <c r="R217" i="1"/>
  <c r="P217" i="1"/>
  <c r="N217" i="1"/>
  <c r="K217" i="1"/>
  <c r="B217" i="1"/>
  <c r="R216" i="1"/>
  <c r="P216" i="1"/>
  <c r="N216" i="1"/>
  <c r="B216" i="1"/>
  <c r="L216" i="1" s="1"/>
  <c r="F216" i="1" s="1"/>
  <c r="R215" i="1"/>
  <c r="P215" i="1"/>
  <c r="N215" i="1"/>
  <c r="B215" i="1"/>
  <c r="L215" i="1" s="1"/>
  <c r="F215" i="1" s="1"/>
  <c r="R214" i="1"/>
  <c r="P214" i="1"/>
  <c r="N214" i="1"/>
  <c r="K214" i="1"/>
  <c r="B214" i="1"/>
  <c r="L214" i="1" s="1"/>
  <c r="F214" i="1" s="1"/>
  <c r="R213" i="1"/>
  <c r="P213" i="1"/>
  <c r="N213" i="1"/>
  <c r="B213" i="1"/>
  <c r="L213" i="1" s="1"/>
  <c r="F213" i="1" s="1"/>
  <c r="R212" i="1"/>
  <c r="P212" i="1"/>
  <c r="N212" i="1"/>
  <c r="B212" i="1"/>
  <c r="L212" i="1" s="1"/>
  <c r="F212" i="1" s="1"/>
  <c r="R211" i="1"/>
  <c r="P211" i="1"/>
  <c r="N211" i="1"/>
  <c r="B211" i="1"/>
  <c r="L211" i="1" s="1"/>
  <c r="F211" i="1" s="1"/>
  <c r="R210" i="1"/>
  <c r="P210" i="1"/>
  <c r="N210" i="1"/>
  <c r="K210" i="1"/>
  <c r="B210" i="1"/>
  <c r="R209" i="1"/>
  <c r="P209" i="1"/>
  <c r="N209" i="1"/>
  <c r="K209" i="1"/>
  <c r="B209" i="1"/>
  <c r="L209" i="1" s="1"/>
  <c r="F209" i="1" s="1"/>
  <c r="R208" i="1"/>
  <c r="P208" i="1"/>
  <c r="N208" i="1"/>
  <c r="K208" i="1"/>
  <c r="B208" i="1"/>
  <c r="R207" i="1"/>
  <c r="P207" i="1"/>
  <c r="N207" i="1"/>
  <c r="B207" i="1"/>
  <c r="L207" i="1" s="1"/>
  <c r="F207" i="1" s="1"/>
  <c r="R206" i="1"/>
  <c r="P206" i="1"/>
  <c r="N206" i="1"/>
  <c r="B206" i="1"/>
  <c r="L206" i="1" s="1"/>
  <c r="F206" i="1" s="1"/>
  <c r="R205" i="1"/>
  <c r="P205" i="1"/>
  <c r="N205" i="1"/>
  <c r="B205" i="1"/>
  <c r="L205" i="1" s="1"/>
  <c r="F205" i="1" s="1"/>
  <c r="R204" i="1"/>
  <c r="P204" i="1"/>
  <c r="N204" i="1"/>
  <c r="B204" i="1"/>
  <c r="L204" i="1" s="1"/>
  <c r="F204" i="1" s="1"/>
  <c r="R203" i="1"/>
  <c r="P203" i="1"/>
  <c r="N203" i="1"/>
  <c r="K203" i="1"/>
  <c r="B203" i="1"/>
  <c r="L203" i="1" s="1"/>
  <c r="F203" i="1" s="1"/>
  <c r="R202" i="1"/>
  <c r="P202" i="1"/>
  <c r="N202" i="1"/>
  <c r="K202" i="1"/>
  <c r="B202" i="1"/>
  <c r="R201" i="1"/>
  <c r="P201" i="1"/>
  <c r="N201" i="1"/>
  <c r="B201" i="1"/>
  <c r="L201" i="1" s="1"/>
  <c r="F201" i="1" s="1"/>
  <c r="R200" i="1"/>
  <c r="P200" i="1"/>
  <c r="N200" i="1"/>
  <c r="K200" i="1"/>
  <c r="B200" i="1"/>
  <c r="R199" i="1"/>
  <c r="P199" i="1"/>
  <c r="N199" i="1"/>
  <c r="K199" i="1"/>
  <c r="B199" i="1"/>
  <c r="L199" i="1" s="1"/>
  <c r="F199" i="1" s="1"/>
  <c r="R198" i="1"/>
  <c r="P198" i="1"/>
  <c r="N198" i="1"/>
  <c r="B198" i="1"/>
  <c r="L198" i="1" s="1"/>
  <c r="F198" i="1" s="1"/>
  <c r="R197" i="1"/>
  <c r="P197" i="1"/>
  <c r="N197" i="1"/>
  <c r="K197" i="1"/>
  <c r="B197" i="1"/>
  <c r="R196" i="1"/>
  <c r="P196" i="1"/>
  <c r="N196" i="1"/>
  <c r="K196" i="1"/>
  <c r="B196" i="1"/>
  <c r="R195" i="1"/>
  <c r="P195" i="1"/>
  <c r="N195" i="1"/>
  <c r="B195" i="1"/>
  <c r="L195" i="1" s="1"/>
  <c r="F195" i="1" s="1"/>
  <c r="R194" i="1"/>
  <c r="P194" i="1"/>
  <c r="N194" i="1"/>
  <c r="K194" i="1"/>
  <c r="B194" i="1"/>
  <c r="L194" i="1" s="1"/>
  <c r="F194" i="1" s="1"/>
  <c r="R193" i="1"/>
  <c r="P193" i="1"/>
  <c r="N193" i="1"/>
  <c r="K193" i="1"/>
  <c r="B193" i="1"/>
  <c r="R192" i="1"/>
  <c r="P192" i="1"/>
  <c r="N192" i="1"/>
  <c r="B192" i="1"/>
  <c r="L192" i="1" s="1"/>
  <c r="F192" i="1" s="1"/>
  <c r="R191" i="1"/>
  <c r="P191" i="1"/>
  <c r="N191" i="1"/>
  <c r="K191" i="1"/>
  <c r="B191" i="1"/>
  <c r="L191" i="1" s="1"/>
  <c r="F191" i="1" s="1"/>
  <c r="R190" i="1"/>
  <c r="P190" i="1"/>
  <c r="N190" i="1"/>
  <c r="K190" i="1"/>
  <c r="B190" i="1"/>
  <c r="R189" i="1"/>
  <c r="P189" i="1"/>
  <c r="N189" i="1"/>
  <c r="K189" i="1"/>
  <c r="B189" i="1"/>
  <c r="L189" i="1" s="1"/>
  <c r="F189" i="1" s="1"/>
  <c r="R188" i="1"/>
  <c r="P188" i="1"/>
  <c r="N188" i="1"/>
  <c r="B188" i="1"/>
  <c r="L188" i="1" s="1"/>
  <c r="F188" i="1" s="1"/>
  <c r="R187" i="1"/>
  <c r="P187" i="1"/>
  <c r="N187" i="1"/>
  <c r="B187" i="1"/>
  <c r="L187" i="1" s="1"/>
  <c r="F187" i="1" s="1"/>
  <c r="R186" i="1"/>
  <c r="P186" i="1"/>
  <c r="N186" i="1"/>
  <c r="B186" i="1"/>
  <c r="L186" i="1" s="1"/>
  <c r="F186" i="1" s="1"/>
  <c r="R185" i="1"/>
  <c r="P185" i="1"/>
  <c r="N185" i="1"/>
  <c r="B185" i="1"/>
  <c r="L185" i="1" s="1"/>
  <c r="F185" i="1" s="1"/>
  <c r="R184" i="1"/>
  <c r="P184" i="1"/>
  <c r="N184" i="1"/>
  <c r="K184" i="1"/>
  <c r="B184" i="1"/>
  <c r="R183" i="1"/>
  <c r="P183" i="1"/>
  <c r="N183" i="1"/>
  <c r="B183" i="1"/>
  <c r="L183" i="1" s="1"/>
  <c r="F183" i="1" s="1"/>
  <c r="R182" i="1"/>
  <c r="P182" i="1"/>
  <c r="N182" i="1"/>
  <c r="B182" i="1"/>
  <c r="L182" i="1" s="1"/>
  <c r="F182" i="1" s="1"/>
  <c r="R181" i="1"/>
  <c r="P181" i="1"/>
  <c r="N181" i="1"/>
  <c r="B181" i="1"/>
  <c r="L181" i="1" s="1"/>
  <c r="F181" i="1" s="1"/>
  <c r="R180" i="1"/>
  <c r="P180" i="1"/>
  <c r="N180" i="1"/>
  <c r="K180" i="1"/>
  <c r="B180" i="1"/>
  <c r="L180" i="1" s="1"/>
  <c r="F180" i="1" s="1"/>
  <c r="R179" i="1"/>
  <c r="P179" i="1"/>
  <c r="N179" i="1"/>
  <c r="K179" i="1"/>
  <c r="B179" i="1"/>
  <c r="R178" i="1"/>
  <c r="P178" i="1"/>
  <c r="N178" i="1"/>
  <c r="K178" i="1"/>
  <c r="B178" i="1"/>
  <c r="L178" i="1" s="1"/>
  <c r="F178" i="1" s="1"/>
  <c r="R177" i="1"/>
  <c r="P177" i="1"/>
  <c r="N177" i="1"/>
  <c r="B177" i="1"/>
  <c r="L177" i="1" s="1"/>
  <c r="F177" i="1" s="1"/>
  <c r="R176" i="1"/>
  <c r="P176" i="1"/>
  <c r="N176" i="1"/>
  <c r="K176" i="1"/>
  <c r="B176" i="1"/>
  <c r="R175" i="1"/>
  <c r="P175" i="1"/>
  <c r="N175" i="1"/>
  <c r="K175" i="1"/>
  <c r="B175" i="1"/>
  <c r="L175" i="1" s="1"/>
  <c r="F175" i="1" s="1"/>
  <c r="R174" i="1"/>
  <c r="P174" i="1"/>
  <c r="N174" i="1"/>
  <c r="B174" i="1"/>
  <c r="L174" i="1" s="1"/>
  <c r="F174" i="1" s="1"/>
  <c r="R173" i="1"/>
  <c r="P173" i="1"/>
  <c r="N173" i="1"/>
  <c r="B173" i="1"/>
  <c r="L173" i="1" s="1"/>
  <c r="F173" i="1" s="1"/>
  <c r="R172" i="1"/>
  <c r="P172" i="1"/>
  <c r="N172" i="1"/>
  <c r="B172" i="1"/>
  <c r="L172" i="1" s="1"/>
  <c r="F172" i="1" s="1"/>
  <c r="R171" i="1"/>
  <c r="P171" i="1"/>
  <c r="N171" i="1"/>
  <c r="K171" i="1"/>
  <c r="B171" i="1"/>
  <c r="L171" i="1" s="1"/>
  <c r="F171" i="1" s="1"/>
  <c r="R170" i="1"/>
  <c r="P170" i="1"/>
  <c r="N170" i="1"/>
  <c r="K170" i="1"/>
  <c r="B170" i="1"/>
  <c r="R169" i="1"/>
  <c r="P169" i="1"/>
  <c r="N169" i="1"/>
  <c r="B169" i="1"/>
  <c r="L169" i="1" s="1"/>
  <c r="F169" i="1" s="1"/>
  <c r="R168" i="1"/>
  <c r="P168" i="1"/>
  <c r="N168" i="1"/>
  <c r="B168" i="1"/>
  <c r="L168" i="1" s="1"/>
  <c r="F168" i="1" s="1"/>
  <c r="R167" i="1"/>
  <c r="P167" i="1"/>
  <c r="N167" i="1"/>
  <c r="K167" i="1"/>
  <c r="B167" i="1"/>
  <c r="L167" i="1" s="1"/>
  <c r="F167" i="1" s="1"/>
  <c r="R166" i="1"/>
  <c r="P166" i="1"/>
  <c r="N166" i="1"/>
  <c r="B166" i="1"/>
  <c r="L166" i="1" s="1"/>
  <c r="F166" i="1" s="1"/>
  <c r="R165" i="1"/>
  <c r="P165" i="1"/>
  <c r="N165" i="1"/>
  <c r="B165" i="1"/>
  <c r="L165" i="1" s="1"/>
  <c r="F165" i="1" s="1"/>
  <c r="R164" i="1"/>
  <c r="P164" i="1"/>
  <c r="N164" i="1"/>
  <c r="B164" i="1"/>
  <c r="L164" i="1" s="1"/>
  <c r="F164" i="1" s="1"/>
  <c r="R163" i="1"/>
  <c r="P163" i="1"/>
  <c r="N163" i="1"/>
  <c r="B163" i="1"/>
  <c r="L163" i="1" s="1"/>
  <c r="F163" i="1" s="1"/>
  <c r="R162" i="1"/>
  <c r="P162" i="1"/>
  <c r="N162" i="1"/>
  <c r="K162" i="1"/>
  <c r="B162" i="1"/>
  <c r="R161" i="1"/>
  <c r="P161" i="1"/>
  <c r="N161" i="1"/>
  <c r="B161" i="1"/>
  <c r="L161" i="1" s="1"/>
  <c r="F161" i="1" s="1"/>
  <c r="R160" i="1"/>
  <c r="P160" i="1"/>
  <c r="N160" i="1"/>
  <c r="B160" i="1"/>
  <c r="L160" i="1" s="1"/>
  <c r="F160" i="1" s="1"/>
  <c r="R159" i="1"/>
  <c r="P159" i="1"/>
  <c r="N159" i="1"/>
  <c r="B159" i="1"/>
  <c r="L159" i="1" s="1"/>
  <c r="F159" i="1" s="1"/>
  <c r="R158" i="1"/>
  <c r="P158" i="1"/>
  <c r="N158" i="1"/>
  <c r="K158" i="1"/>
  <c r="B158" i="1"/>
  <c r="R157" i="1"/>
  <c r="P157" i="1"/>
  <c r="N157" i="1"/>
  <c r="K157" i="1"/>
  <c r="B157" i="1"/>
  <c r="L157" i="1" s="1"/>
  <c r="F157" i="1" s="1"/>
  <c r="R156" i="1"/>
  <c r="P156" i="1"/>
  <c r="N156" i="1"/>
  <c r="B156" i="1"/>
  <c r="L156" i="1" s="1"/>
  <c r="F156" i="1" s="1"/>
  <c r="R155" i="1"/>
  <c r="P155" i="1"/>
  <c r="N155" i="1"/>
  <c r="L155" i="1"/>
  <c r="F155" i="1" s="1"/>
  <c r="K155" i="1"/>
  <c r="B155" i="1"/>
  <c r="R154" i="1"/>
  <c r="P154" i="1"/>
  <c r="N154" i="1"/>
  <c r="K154" i="1"/>
  <c r="B154" i="1"/>
  <c r="R153" i="1"/>
  <c r="P153" i="1"/>
  <c r="N153" i="1"/>
  <c r="B153" i="1"/>
  <c r="L153" i="1" s="1"/>
  <c r="F153" i="1" s="1"/>
  <c r="R152" i="1"/>
  <c r="P152" i="1"/>
  <c r="N152" i="1"/>
  <c r="B152" i="1"/>
  <c r="L152" i="1" s="1"/>
  <c r="F152" i="1" s="1"/>
  <c r="R151" i="1"/>
  <c r="P151" i="1"/>
  <c r="N151" i="1"/>
  <c r="L151" i="1"/>
  <c r="F151" i="1" s="1"/>
  <c r="R150" i="1"/>
  <c r="P150" i="1"/>
  <c r="N150" i="1"/>
  <c r="B150" i="1"/>
  <c r="L150" i="1" s="1"/>
  <c r="F150" i="1" s="1"/>
  <c r="R149" i="1"/>
  <c r="P149" i="1"/>
  <c r="N149" i="1"/>
  <c r="K149" i="1"/>
  <c r="B149" i="1"/>
  <c r="R148" i="1"/>
  <c r="P148" i="1"/>
  <c r="N148" i="1"/>
  <c r="K148" i="1"/>
  <c r="B148" i="1"/>
  <c r="R147" i="1"/>
  <c r="P147" i="1"/>
  <c r="N147" i="1"/>
  <c r="K147" i="1"/>
  <c r="B147" i="1"/>
  <c r="R146" i="1"/>
  <c r="P146" i="1"/>
  <c r="N146" i="1"/>
  <c r="K146" i="1"/>
  <c r="B146" i="1"/>
  <c r="L146" i="1" s="1"/>
  <c r="F146" i="1" s="1"/>
  <c r="R145" i="1"/>
  <c r="P145" i="1"/>
  <c r="N145" i="1"/>
  <c r="K145" i="1"/>
  <c r="B145" i="1"/>
  <c r="R144" i="1"/>
  <c r="P144" i="1"/>
  <c r="N144" i="1"/>
  <c r="B144" i="1"/>
  <c r="L144" i="1" s="1"/>
  <c r="F144" i="1" s="1"/>
  <c r="R143" i="1"/>
  <c r="P143" i="1"/>
  <c r="N143" i="1"/>
  <c r="L143" i="1"/>
  <c r="F143" i="1" s="1"/>
  <c r="B143" i="1"/>
  <c r="R142" i="1"/>
  <c r="P142" i="1"/>
  <c r="N142" i="1"/>
  <c r="K142" i="1"/>
  <c r="B142" i="1"/>
  <c r="R141" i="1"/>
  <c r="P141" i="1"/>
  <c r="N141" i="1"/>
  <c r="B141" i="1"/>
  <c r="L141" i="1" s="1"/>
  <c r="F141" i="1" s="1"/>
  <c r="R140" i="1"/>
  <c r="P140" i="1"/>
  <c r="N140" i="1"/>
  <c r="K140" i="1"/>
  <c r="B140" i="1"/>
  <c r="L140" i="1" s="1"/>
  <c r="F140" i="1" s="1"/>
  <c r="R139" i="1"/>
  <c r="P139" i="1"/>
  <c r="N139" i="1"/>
  <c r="B139" i="1"/>
  <c r="L139" i="1" s="1"/>
  <c r="F139" i="1" s="1"/>
  <c r="R138" i="1"/>
  <c r="P138" i="1"/>
  <c r="N138" i="1"/>
  <c r="B138" i="1"/>
  <c r="L138" i="1" s="1"/>
  <c r="F138" i="1" s="1"/>
  <c r="R137" i="1"/>
  <c r="P137" i="1"/>
  <c r="N137" i="1"/>
  <c r="B137" i="1"/>
  <c r="L137" i="1" s="1"/>
  <c r="F137" i="1" s="1"/>
  <c r="R136" i="1"/>
  <c r="P136" i="1"/>
  <c r="N136" i="1"/>
  <c r="B136" i="1"/>
  <c r="L136" i="1" s="1"/>
  <c r="F136" i="1" s="1"/>
  <c r="R135" i="1"/>
  <c r="P135" i="1"/>
  <c r="N135" i="1"/>
  <c r="K135" i="1"/>
  <c r="B135" i="1"/>
  <c r="L135" i="1" s="1"/>
  <c r="F135" i="1" s="1"/>
  <c r="R134" i="1"/>
  <c r="P134" i="1"/>
  <c r="N134" i="1"/>
  <c r="B134" i="1"/>
  <c r="L134" i="1" s="1"/>
  <c r="F134" i="1" s="1"/>
  <c r="R133" i="1"/>
  <c r="P133" i="1"/>
  <c r="N133" i="1"/>
  <c r="B133" i="1"/>
  <c r="L133" i="1" s="1"/>
  <c r="F133" i="1" s="1"/>
  <c r="R132" i="1"/>
  <c r="P132" i="1"/>
  <c r="N132" i="1"/>
  <c r="B132" i="1"/>
  <c r="L132" i="1" s="1"/>
  <c r="F132" i="1" s="1"/>
  <c r="R131" i="1"/>
  <c r="P131" i="1"/>
  <c r="N131" i="1"/>
  <c r="B131" i="1"/>
  <c r="L131" i="1" s="1"/>
  <c r="F131" i="1" s="1"/>
  <c r="R130" i="1"/>
  <c r="P130" i="1"/>
  <c r="N130" i="1"/>
  <c r="B130" i="1"/>
  <c r="L130" i="1" s="1"/>
  <c r="F130" i="1" s="1"/>
  <c r="R129" i="1"/>
  <c r="P129" i="1"/>
  <c r="N129" i="1"/>
  <c r="B129" i="1"/>
  <c r="L129" i="1" s="1"/>
  <c r="F129" i="1" s="1"/>
  <c r="R128" i="1"/>
  <c r="P128" i="1"/>
  <c r="N128" i="1"/>
  <c r="B128" i="1"/>
  <c r="L128" i="1" s="1"/>
  <c r="F128" i="1" s="1"/>
  <c r="R127" i="1"/>
  <c r="P127" i="1"/>
  <c r="N127" i="1"/>
  <c r="B127" i="1"/>
  <c r="L127" i="1" s="1"/>
  <c r="F127" i="1" s="1"/>
  <c r="R126" i="1"/>
  <c r="P126" i="1"/>
  <c r="N126" i="1"/>
  <c r="B126" i="1"/>
  <c r="L126" i="1" s="1"/>
  <c r="F126" i="1" s="1"/>
  <c r="R125" i="1"/>
  <c r="P125" i="1"/>
  <c r="N125" i="1"/>
  <c r="K125" i="1"/>
  <c r="B125" i="1"/>
  <c r="R124" i="1"/>
  <c r="P124" i="1"/>
  <c r="N124" i="1"/>
  <c r="K124" i="1"/>
  <c r="B124" i="1"/>
  <c r="L124" i="1" s="1"/>
  <c r="F124" i="1" s="1"/>
  <c r="R123" i="1"/>
  <c r="P123" i="1"/>
  <c r="N123" i="1"/>
  <c r="K123" i="1"/>
  <c r="B123" i="1"/>
  <c r="L123" i="1" s="1"/>
  <c r="F123" i="1" s="1"/>
  <c r="R122" i="1"/>
  <c r="P122" i="1"/>
  <c r="N122" i="1"/>
  <c r="K122" i="1"/>
  <c r="B122" i="1"/>
  <c r="R121" i="1"/>
  <c r="P121" i="1"/>
  <c r="N121" i="1"/>
  <c r="K121" i="1"/>
  <c r="B121" i="1"/>
  <c r="L121" i="1" s="1"/>
  <c r="F121" i="1" s="1"/>
  <c r="R120" i="1"/>
  <c r="P120" i="1"/>
  <c r="N120" i="1"/>
  <c r="K120" i="1"/>
  <c r="L120" i="1" s="1"/>
  <c r="F120" i="1" s="1"/>
  <c r="B120" i="1"/>
  <c r="R119" i="1"/>
  <c r="P119" i="1"/>
  <c r="N119" i="1"/>
  <c r="B119" i="1"/>
  <c r="L119" i="1" s="1"/>
  <c r="F119" i="1" s="1"/>
  <c r="R118" i="1"/>
  <c r="P118" i="1"/>
  <c r="N118" i="1"/>
  <c r="B118" i="1"/>
  <c r="L118" i="1" s="1"/>
  <c r="F118" i="1" s="1"/>
  <c r="R117" i="1"/>
  <c r="P117" i="1"/>
  <c r="N117" i="1"/>
  <c r="B117" i="1"/>
  <c r="L117" i="1" s="1"/>
  <c r="F117" i="1" s="1"/>
  <c r="R116" i="1"/>
  <c r="P116" i="1"/>
  <c r="N116" i="1"/>
  <c r="B116" i="1"/>
  <c r="L116" i="1" s="1"/>
  <c r="F116" i="1" s="1"/>
  <c r="R115" i="1"/>
  <c r="P115" i="1"/>
  <c r="N115" i="1"/>
  <c r="B115" i="1"/>
  <c r="L115" i="1" s="1"/>
  <c r="F115" i="1" s="1"/>
  <c r="R114" i="1"/>
  <c r="P114" i="1"/>
  <c r="N114" i="1"/>
  <c r="K114" i="1"/>
  <c r="B114" i="1"/>
  <c r="L114" i="1" s="1"/>
  <c r="F114" i="1" s="1"/>
  <c r="R113" i="1"/>
  <c r="P113" i="1"/>
  <c r="N113" i="1"/>
  <c r="B113" i="1"/>
  <c r="L113" i="1" s="1"/>
  <c r="F113" i="1" s="1"/>
  <c r="R112" i="1"/>
  <c r="P112" i="1"/>
  <c r="N112" i="1"/>
  <c r="B112" i="1"/>
  <c r="L112" i="1" s="1"/>
  <c r="F112" i="1" s="1"/>
  <c r="R111" i="1"/>
  <c r="P111" i="1"/>
  <c r="N111" i="1"/>
  <c r="B111" i="1"/>
  <c r="L111" i="1" s="1"/>
  <c r="F111" i="1" s="1"/>
  <c r="R110" i="1"/>
  <c r="P110" i="1"/>
  <c r="N110" i="1"/>
  <c r="L110" i="1"/>
  <c r="F110" i="1" s="1"/>
  <c r="K110" i="1"/>
  <c r="B110" i="1"/>
  <c r="R109" i="1"/>
  <c r="P109" i="1"/>
  <c r="N109" i="1"/>
  <c r="K109" i="1"/>
  <c r="B109" i="1"/>
  <c r="L109" i="1" s="1"/>
  <c r="F109" i="1" s="1"/>
  <c r="R108" i="1"/>
  <c r="P108" i="1"/>
  <c r="N108" i="1"/>
  <c r="K108" i="1"/>
  <c r="B108" i="1"/>
  <c r="R107" i="1"/>
  <c r="P107" i="1"/>
  <c r="N107" i="1"/>
  <c r="B107" i="1"/>
  <c r="L107" i="1" s="1"/>
  <c r="F107" i="1" s="1"/>
  <c r="R106" i="1"/>
  <c r="P106" i="1"/>
  <c r="N106" i="1"/>
  <c r="K106" i="1"/>
  <c r="B106" i="1"/>
  <c r="R105" i="1"/>
  <c r="P105" i="1"/>
  <c r="N105" i="1"/>
  <c r="K105" i="1"/>
  <c r="B105" i="1"/>
  <c r="L105" i="1" s="1"/>
  <c r="F105" i="1" s="1"/>
  <c r="R104" i="1"/>
  <c r="P104" i="1"/>
  <c r="N104" i="1"/>
  <c r="K104" i="1"/>
  <c r="B104" i="1"/>
  <c r="L104" i="1" s="1"/>
  <c r="F104" i="1" s="1"/>
  <c r="R103" i="1"/>
  <c r="P103" i="1"/>
  <c r="N103" i="1"/>
  <c r="B103" i="1"/>
  <c r="L103" i="1" s="1"/>
  <c r="F103" i="1" s="1"/>
  <c r="R102" i="1"/>
  <c r="P102" i="1"/>
  <c r="N102" i="1"/>
  <c r="K102" i="1"/>
  <c r="B102" i="1"/>
  <c r="L102" i="1" s="1"/>
  <c r="F102" i="1" s="1"/>
  <c r="R101" i="1"/>
  <c r="P101" i="1"/>
  <c r="N101" i="1"/>
  <c r="K101" i="1"/>
  <c r="B101" i="1"/>
  <c r="R100" i="1"/>
  <c r="P100" i="1"/>
  <c r="N100" i="1"/>
  <c r="K100" i="1"/>
  <c r="B100" i="1"/>
  <c r="L100" i="1" s="1"/>
  <c r="F100" i="1" s="1"/>
  <c r="R99" i="1"/>
  <c r="P99" i="1"/>
  <c r="N99" i="1"/>
  <c r="K99" i="1"/>
  <c r="B99" i="1"/>
  <c r="R98" i="1"/>
  <c r="P98" i="1"/>
  <c r="N98" i="1"/>
  <c r="K98" i="1"/>
  <c r="B98" i="1"/>
  <c r="L98" i="1" s="1"/>
  <c r="F98" i="1" s="1"/>
  <c r="R97" i="1"/>
  <c r="P97" i="1"/>
  <c r="N97" i="1"/>
  <c r="B97" i="1"/>
  <c r="L97" i="1" s="1"/>
  <c r="F97" i="1" s="1"/>
  <c r="R96" i="1"/>
  <c r="P96" i="1"/>
  <c r="N96" i="1"/>
  <c r="B96" i="1"/>
  <c r="L96" i="1" s="1"/>
  <c r="F96" i="1" s="1"/>
  <c r="R95" i="1"/>
  <c r="P95" i="1"/>
  <c r="N95" i="1"/>
  <c r="B95" i="1"/>
  <c r="L95" i="1" s="1"/>
  <c r="F95" i="1" s="1"/>
  <c r="R94" i="1"/>
  <c r="P94" i="1"/>
  <c r="N94" i="1"/>
  <c r="L94" i="1"/>
  <c r="F94" i="1" s="1"/>
  <c r="K94" i="1"/>
  <c r="B94" i="1"/>
  <c r="R93" i="1"/>
  <c r="P93" i="1"/>
  <c r="N93" i="1"/>
  <c r="B93" i="1"/>
  <c r="L93" i="1" s="1"/>
  <c r="F93" i="1" s="1"/>
  <c r="R92" i="1"/>
  <c r="P92" i="1"/>
  <c r="N92" i="1"/>
  <c r="L92" i="1"/>
  <c r="F92" i="1" s="1"/>
  <c r="R91" i="1"/>
  <c r="P91" i="1"/>
  <c r="N91" i="1"/>
  <c r="B91" i="1"/>
  <c r="L91" i="1" s="1"/>
  <c r="F91" i="1" s="1"/>
  <c r="R90" i="1"/>
  <c r="P90" i="1"/>
  <c r="N90" i="1"/>
  <c r="B90" i="1"/>
  <c r="L90" i="1" s="1"/>
  <c r="F90" i="1" s="1"/>
  <c r="R89" i="1"/>
  <c r="P89" i="1"/>
  <c r="N89" i="1"/>
  <c r="K89" i="1"/>
  <c r="B89" i="1"/>
  <c r="R88" i="1"/>
  <c r="P88" i="1"/>
  <c r="N88" i="1"/>
  <c r="K88" i="1"/>
  <c r="B88" i="1"/>
  <c r="L88" i="1" s="1"/>
  <c r="F88" i="1" s="1"/>
  <c r="R87" i="1"/>
  <c r="P87" i="1"/>
  <c r="N87" i="1"/>
  <c r="K87" i="1"/>
  <c r="B87" i="1"/>
  <c r="L87" i="1" s="1"/>
  <c r="F87" i="1" s="1"/>
  <c r="R86" i="1"/>
  <c r="P86" i="1"/>
  <c r="N86" i="1"/>
  <c r="K86" i="1"/>
  <c r="B86" i="1"/>
  <c r="R85" i="1"/>
  <c r="P85" i="1"/>
  <c r="N85" i="1"/>
  <c r="K85" i="1"/>
  <c r="B85" i="1"/>
  <c r="L85" i="1" s="1"/>
  <c r="F85" i="1" s="1"/>
  <c r="R84" i="1"/>
  <c r="P84" i="1"/>
  <c r="N84" i="1"/>
  <c r="B84" i="1"/>
  <c r="L84" i="1" s="1"/>
  <c r="F84" i="1" s="1"/>
  <c r="R83" i="1"/>
  <c r="P83" i="1"/>
  <c r="N83" i="1"/>
  <c r="K83" i="1"/>
  <c r="B83" i="1"/>
  <c r="R82" i="1"/>
  <c r="P82" i="1"/>
  <c r="N82" i="1"/>
  <c r="K82" i="1"/>
  <c r="B82" i="1"/>
  <c r="L82" i="1" s="1"/>
  <c r="F82" i="1" s="1"/>
  <c r="R81" i="1"/>
  <c r="P81" i="1"/>
  <c r="N81" i="1"/>
  <c r="K81" i="1"/>
  <c r="B81" i="1"/>
  <c r="R80" i="1"/>
  <c r="P80" i="1"/>
  <c r="N80" i="1"/>
  <c r="B80" i="1"/>
  <c r="L80" i="1" s="1"/>
  <c r="F80" i="1" s="1"/>
  <c r="R79" i="1"/>
  <c r="P79" i="1"/>
  <c r="N79" i="1"/>
  <c r="K79" i="1"/>
  <c r="B79" i="1"/>
  <c r="L79" i="1" s="1"/>
  <c r="F79" i="1" s="1"/>
  <c r="R78" i="1"/>
  <c r="P78" i="1"/>
  <c r="N78" i="1"/>
  <c r="B78" i="1"/>
  <c r="L78" i="1" s="1"/>
  <c r="F78" i="1" s="1"/>
  <c r="R77" i="1"/>
  <c r="P77" i="1"/>
  <c r="N77" i="1"/>
  <c r="K77" i="1"/>
  <c r="B77" i="1"/>
  <c r="L77" i="1" s="1"/>
  <c r="F77" i="1" s="1"/>
  <c r="R76" i="1"/>
  <c r="P76" i="1"/>
  <c r="N76" i="1"/>
  <c r="B76" i="1"/>
  <c r="L76" i="1" s="1"/>
  <c r="F76" i="1" s="1"/>
  <c r="R75" i="1"/>
  <c r="P75" i="1"/>
  <c r="N75" i="1"/>
  <c r="K75" i="1"/>
  <c r="B75" i="1"/>
  <c r="R74" i="1"/>
  <c r="P74" i="1"/>
  <c r="N74" i="1"/>
  <c r="K74" i="1"/>
  <c r="B74" i="1"/>
  <c r="L74" i="1" s="1"/>
  <c r="F74" i="1" s="1"/>
  <c r="R73" i="1"/>
  <c r="P73" i="1"/>
  <c r="N73" i="1"/>
  <c r="B73" i="1"/>
  <c r="L73" i="1" s="1"/>
  <c r="F73" i="1" s="1"/>
  <c r="R72" i="1"/>
  <c r="P72" i="1"/>
  <c r="N72" i="1"/>
  <c r="K72" i="1"/>
  <c r="B72" i="1"/>
  <c r="L72" i="1" s="1"/>
  <c r="F72" i="1" s="1"/>
  <c r="R71" i="1"/>
  <c r="P71" i="1"/>
  <c r="N71" i="1"/>
  <c r="K71" i="1"/>
  <c r="B71" i="1"/>
  <c r="R70" i="1"/>
  <c r="P70" i="1"/>
  <c r="N70" i="1"/>
  <c r="B70" i="1"/>
  <c r="L70" i="1" s="1"/>
  <c r="F70" i="1" s="1"/>
  <c r="R69" i="1"/>
  <c r="P69" i="1"/>
  <c r="N69" i="1"/>
  <c r="K69" i="1"/>
  <c r="B69" i="1"/>
  <c r="R68" i="1"/>
  <c r="P68" i="1"/>
  <c r="N68" i="1"/>
  <c r="K68" i="1"/>
  <c r="B68" i="1"/>
  <c r="R67" i="1"/>
  <c r="P67" i="1"/>
  <c r="N67" i="1"/>
  <c r="B67" i="1"/>
  <c r="L67" i="1" s="1"/>
  <c r="F67" i="1" s="1"/>
  <c r="R66" i="1"/>
  <c r="P66" i="1"/>
  <c r="N66" i="1"/>
  <c r="B66" i="1"/>
  <c r="L66" i="1" s="1"/>
  <c r="F66" i="1" s="1"/>
  <c r="R65" i="1"/>
  <c r="P65" i="1"/>
  <c r="N65" i="1"/>
  <c r="K65" i="1"/>
  <c r="B65" i="1"/>
  <c r="R64" i="1"/>
  <c r="P64" i="1"/>
  <c r="N64" i="1"/>
  <c r="K64" i="1"/>
  <c r="B64" i="1"/>
  <c r="L64" i="1" s="1"/>
  <c r="F64" i="1" s="1"/>
  <c r="R63" i="1"/>
  <c r="P63" i="1"/>
  <c r="N63" i="1"/>
  <c r="B63" i="1"/>
  <c r="L63" i="1" s="1"/>
  <c r="F63" i="1" s="1"/>
  <c r="R62" i="1"/>
  <c r="P62" i="1"/>
  <c r="N62" i="1"/>
  <c r="B62" i="1"/>
  <c r="L62" i="1" s="1"/>
  <c r="F62" i="1" s="1"/>
  <c r="R61" i="1"/>
  <c r="P61" i="1"/>
  <c r="N61" i="1"/>
  <c r="B61" i="1"/>
  <c r="L61" i="1" s="1"/>
  <c r="F61" i="1" s="1"/>
  <c r="R60" i="1"/>
  <c r="P60" i="1"/>
  <c r="N60" i="1"/>
  <c r="B60" i="1"/>
  <c r="L60" i="1" s="1"/>
  <c r="F60" i="1" s="1"/>
  <c r="R59" i="1"/>
  <c r="P59" i="1"/>
  <c r="N59" i="1"/>
  <c r="K59" i="1"/>
  <c r="B59" i="1"/>
  <c r="R58" i="1"/>
  <c r="P58" i="1"/>
  <c r="N58" i="1"/>
  <c r="K58" i="1"/>
  <c r="B58" i="1"/>
  <c r="L58" i="1" s="1"/>
  <c r="F58" i="1" s="1"/>
  <c r="R57" i="1"/>
  <c r="P57" i="1"/>
  <c r="N57" i="1"/>
  <c r="K57" i="1"/>
  <c r="B57" i="1"/>
  <c r="R56" i="1"/>
  <c r="P56" i="1"/>
  <c r="N56" i="1"/>
  <c r="B56" i="1"/>
  <c r="L56" i="1" s="1"/>
  <c r="F56" i="1" s="1"/>
  <c r="R55" i="1"/>
  <c r="P55" i="1"/>
  <c r="N55" i="1"/>
  <c r="L55" i="1"/>
  <c r="F55" i="1" s="1"/>
  <c r="B55" i="1"/>
  <c r="R54" i="1"/>
  <c r="P54" i="1"/>
  <c r="N54" i="1"/>
  <c r="K54" i="1"/>
  <c r="B54" i="1"/>
  <c r="L54" i="1" s="1"/>
  <c r="F54" i="1" s="1"/>
  <c r="R53" i="1"/>
  <c r="P53" i="1"/>
  <c r="N53" i="1"/>
  <c r="K53" i="1"/>
  <c r="B53" i="1"/>
  <c r="R52" i="1"/>
  <c r="P52" i="1"/>
  <c r="N52" i="1"/>
  <c r="B52" i="1"/>
  <c r="L52" i="1" s="1"/>
  <c r="F52" i="1" s="1"/>
  <c r="R51" i="1"/>
  <c r="P51" i="1"/>
  <c r="N51" i="1"/>
  <c r="K51" i="1"/>
  <c r="B51" i="1"/>
  <c r="R50" i="1"/>
  <c r="P50" i="1"/>
  <c r="N50" i="1"/>
  <c r="B50" i="1"/>
  <c r="L50" i="1" s="1"/>
  <c r="F50" i="1" s="1"/>
  <c r="R49" i="1"/>
  <c r="P49" i="1"/>
  <c r="N49" i="1"/>
  <c r="B49" i="1"/>
  <c r="L49" i="1" s="1"/>
  <c r="F49" i="1" s="1"/>
  <c r="R48" i="1"/>
  <c r="P48" i="1"/>
  <c r="N48" i="1"/>
  <c r="K48" i="1"/>
  <c r="B48" i="1"/>
  <c r="L48" i="1" s="1"/>
  <c r="F48" i="1" s="1"/>
  <c r="R47" i="1"/>
  <c r="P47" i="1"/>
  <c r="N47" i="1"/>
  <c r="L47" i="1"/>
  <c r="F47" i="1" s="1"/>
  <c r="B47" i="1"/>
  <c r="R46" i="1"/>
  <c r="P46" i="1"/>
  <c r="N46" i="1"/>
  <c r="B46" i="1"/>
  <c r="L46" i="1" s="1"/>
  <c r="F46" i="1" s="1"/>
  <c r="R45" i="1"/>
  <c r="P45" i="1"/>
  <c r="N45" i="1"/>
  <c r="K45" i="1"/>
  <c r="B45" i="1"/>
  <c r="R44" i="1"/>
  <c r="P44" i="1"/>
  <c r="N44" i="1"/>
  <c r="B44" i="1"/>
  <c r="L44" i="1" s="1"/>
  <c r="F44" i="1" s="1"/>
  <c r="R43" i="1"/>
  <c r="P43" i="1"/>
  <c r="N43" i="1"/>
  <c r="L43" i="1"/>
  <c r="F43" i="1" s="1"/>
  <c r="B43" i="1"/>
  <c r="R42" i="1"/>
  <c r="P42" i="1"/>
  <c r="N42" i="1"/>
  <c r="K42" i="1"/>
  <c r="B42" i="1"/>
  <c r="L42" i="1" s="1"/>
  <c r="F42" i="1" s="1"/>
  <c r="R41" i="1"/>
  <c r="P41" i="1"/>
  <c r="N41" i="1"/>
  <c r="L41" i="1"/>
  <c r="F41" i="1" s="1"/>
  <c r="B41" i="1"/>
  <c r="R40" i="1"/>
  <c r="P40" i="1"/>
  <c r="N40" i="1"/>
  <c r="B40" i="1"/>
  <c r="L40" i="1" s="1"/>
  <c r="F40" i="1" s="1"/>
  <c r="R39" i="1"/>
  <c r="P39" i="1"/>
  <c r="N39" i="1"/>
  <c r="B39" i="1"/>
  <c r="L39" i="1" s="1"/>
  <c r="F39" i="1" s="1"/>
  <c r="R38" i="1"/>
  <c r="P38" i="1"/>
  <c r="N38" i="1"/>
  <c r="B38" i="1"/>
  <c r="L38" i="1" s="1"/>
  <c r="F38" i="1" s="1"/>
  <c r="R37" i="1"/>
  <c r="P37" i="1"/>
  <c r="N37" i="1"/>
  <c r="B37" i="1"/>
  <c r="L37" i="1" s="1"/>
  <c r="F37" i="1" s="1"/>
  <c r="R36" i="1"/>
  <c r="P36" i="1"/>
  <c r="N36" i="1"/>
  <c r="B36" i="1"/>
  <c r="L36" i="1" s="1"/>
  <c r="F36" i="1" s="1"/>
  <c r="R35" i="1"/>
  <c r="P35" i="1"/>
  <c r="N35" i="1"/>
  <c r="B35" i="1"/>
  <c r="L35" i="1" s="1"/>
  <c r="F35" i="1" s="1"/>
  <c r="R34" i="1"/>
  <c r="P34" i="1"/>
  <c r="N34" i="1"/>
  <c r="K34" i="1"/>
  <c r="B34" i="1"/>
  <c r="L34" i="1" s="1"/>
  <c r="F34" i="1" s="1"/>
  <c r="R33" i="1"/>
  <c r="P33" i="1"/>
  <c r="N33" i="1"/>
  <c r="K33" i="1"/>
  <c r="B33" i="1"/>
  <c r="R32" i="1"/>
  <c r="P32" i="1"/>
  <c r="N32" i="1"/>
  <c r="B32" i="1"/>
  <c r="L32" i="1" s="1"/>
  <c r="F32" i="1" s="1"/>
  <c r="R31" i="1"/>
  <c r="P31" i="1"/>
  <c r="N31" i="1"/>
  <c r="B31" i="1"/>
  <c r="L31" i="1" s="1"/>
  <c r="F31" i="1" s="1"/>
  <c r="R30" i="1"/>
  <c r="P30" i="1"/>
  <c r="N30" i="1"/>
  <c r="K30" i="1"/>
  <c r="B30" i="1"/>
  <c r="L30" i="1" s="1"/>
  <c r="F30" i="1" s="1"/>
  <c r="R29" i="1"/>
  <c r="P29" i="1"/>
  <c r="N29" i="1"/>
  <c r="K29" i="1"/>
  <c r="B29" i="1"/>
  <c r="R28" i="1"/>
  <c r="P28" i="1"/>
  <c r="N28" i="1"/>
  <c r="K28" i="1"/>
  <c r="B28" i="1"/>
  <c r="R27" i="1"/>
  <c r="P27" i="1"/>
  <c r="N27" i="1"/>
  <c r="K27" i="1"/>
  <c r="B27" i="1"/>
  <c r="R26" i="1"/>
  <c r="P26" i="1"/>
  <c r="N26" i="1"/>
  <c r="B26" i="1"/>
  <c r="L26" i="1" s="1"/>
  <c r="F26" i="1" s="1"/>
  <c r="R25" i="1"/>
  <c r="P25" i="1"/>
  <c r="N25" i="1"/>
  <c r="B25" i="1"/>
  <c r="L25" i="1" s="1"/>
  <c r="F25" i="1" s="1"/>
  <c r="R24" i="1"/>
  <c r="P24" i="1"/>
  <c r="N24" i="1"/>
  <c r="B24" i="1"/>
  <c r="L24" i="1" s="1"/>
  <c r="F24" i="1" s="1"/>
  <c r="R23" i="1"/>
  <c r="P23" i="1"/>
  <c r="N23" i="1"/>
  <c r="B23" i="1"/>
  <c r="L23" i="1" s="1"/>
  <c r="F23" i="1" s="1"/>
  <c r="R22" i="1"/>
  <c r="P22" i="1"/>
  <c r="N22" i="1"/>
  <c r="K22" i="1"/>
  <c r="B22" i="1"/>
  <c r="R21" i="1"/>
  <c r="P21" i="1"/>
  <c r="N21" i="1"/>
  <c r="B21" i="1"/>
  <c r="L21" i="1" s="1"/>
  <c r="F21" i="1" s="1"/>
  <c r="R20" i="1"/>
  <c r="P20" i="1"/>
  <c r="N20" i="1"/>
  <c r="B20" i="1"/>
  <c r="L20" i="1" s="1"/>
  <c r="F20" i="1" s="1"/>
  <c r="R19" i="1"/>
  <c r="P19" i="1"/>
  <c r="N19" i="1"/>
  <c r="K19" i="1"/>
  <c r="B19" i="1"/>
  <c r="R18" i="1"/>
  <c r="P18" i="1"/>
  <c r="N18" i="1"/>
  <c r="B18" i="1"/>
  <c r="L18" i="1" s="1"/>
  <c r="F18" i="1" s="1"/>
  <c r="R17" i="1"/>
  <c r="P17" i="1"/>
  <c r="N17" i="1"/>
  <c r="B17" i="1"/>
  <c r="L17" i="1" s="1"/>
  <c r="F17" i="1" s="1"/>
  <c r="R16" i="1"/>
  <c r="P16" i="1"/>
  <c r="N16" i="1"/>
  <c r="K16" i="1"/>
  <c r="B16" i="1"/>
  <c r="L16" i="1" s="1"/>
  <c r="F16" i="1" s="1"/>
  <c r="R15" i="1"/>
  <c r="P15" i="1"/>
  <c r="N15" i="1"/>
  <c r="K15" i="1"/>
  <c r="B15" i="1"/>
  <c r="R14" i="1"/>
  <c r="P14" i="1"/>
  <c r="N14" i="1"/>
  <c r="B14" i="1"/>
  <c r="L14" i="1" s="1"/>
  <c r="F14" i="1" s="1"/>
  <c r="R13" i="1"/>
  <c r="P13" i="1"/>
  <c r="N13" i="1"/>
  <c r="K13" i="1"/>
  <c r="B13" i="1"/>
  <c r="L13" i="1" s="1"/>
  <c r="F13" i="1" s="1"/>
  <c r="R12" i="1"/>
  <c r="P12" i="1"/>
  <c r="N12" i="1"/>
  <c r="K12" i="1"/>
  <c r="B12" i="1"/>
  <c r="R11" i="1"/>
  <c r="P11" i="1"/>
  <c r="N11" i="1"/>
  <c r="K11" i="1"/>
  <c r="B11" i="1"/>
  <c r="L11" i="1" s="1"/>
  <c r="F11" i="1" s="1"/>
  <c r="R10" i="1"/>
  <c r="P10" i="1"/>
  <c r="N10" i="1"/>
  <c r="K10" i="1"/>
  <c r="B10" i="1"/>
  <c r="R9" i="1"/>
  <c r="P9" i="1"/>
  <c r="N9" i="1"/>
  <c r="K9" i="1"/>
  <c r="B9" i="1"/>
  <c r="L9" i="1" s="1"/>
  <c r="F9" i="1" s="1"/>
  <c r="R8" i="1"/>
  <c r="P8" i="1"/>
  <c r="N8" i="1"/>
  <c r="B8" i="1"/>
  <c r="L8" i="1" s="1"/>
  <c r="F8" i="1" s="1"/>
  <c r="R7" i="1"/>
  <c r="P7" i="1"/>
  <c r="N7" i="1"/>
  <c r="K7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B7" i="1"/>
  <c r="R6" i="1"/>
  <c r="P6" i="1"/>
  <c r="N6" i="1"/>
  <c r="B6" i="1"/>
  <c r="L6" i="1" s="1"/>
  <c r="F6" i="1" s="1"/>
  <c r="L342" i="1" l="1"/>
  <c r="F342" i="1" s="1"/>
  <c r="L200" i="1"/>
  <c r="F200" i="1" s="1"/>
  <c r="L125" i="1"/>
  <c r="F125" i="1" s="1"/>
  <c r="L89" i="1"/>
  <c r="F89" i="1" s="1"/>
  <c r="L10" i="1"/>
  <c r="F10" i="1" s="1"/>
  <c r="L15" i="1"/>
  <c r="F15" i="1" s="1"/>
  <c r="L19" i="1"/>
  <c r="F19" i="1" s="1"/>
  <c r="L27" i="1"/>
  <c r="F27" i="1" s="1"/>
  <c r="L59" i="1"/>
  <c r="F59" i="1" s="1"/>
  <c r="L65" i="1"/>
  <c r="F65" i="1" s="1"/>
  <c r="L71" i="1"/>
  <c r="F71" i="1" s="1"/>
  <c r="L75" i="1"/>
  <c r="F75" i="1" s="1"/>
  <c r="L106" i="1"/>
  <c r="F106" i="1" s="1"/>
  <c r="L122" i="1"/>
  <c r="F122" i="1" s="1"/>
  <c r="L142" i="1"/>
  <c r="F142" i="1" s="1"/>
  <c r="L147" i="1"/>
  <c r="F147" i="1" s="1"/>
  <c r="L154" i="1"/>
  <c r="F154" i="1" s="1"/>
  <c r="L158" i="1"/>
  <c r="F158" i="1" s="1"/>
  <c r="L170" i="1"/>
  <c r="F170" i="1" s="1"/>
  <c r="L176" i="1"/>
  <c r="F176" i="1" s="1"/>
  <c r="L190" i="1"/>
  <c r="F190" i="1" s="1"/>
  <c r="L210" i="1"/>
  <c r="F210" i="1" s="1"/>
  <c r="L254" i="1"/>
  <c r="F254" i="1" s="1"/>
  <c r="L269" i="1"/>
  <c r="F269" i="1" s="1"/>
  <c r="L279" i="1"/>
  <c r="F279" i="1" s="1"/>
  <c r="L284" i="1"/>
  <c r="F284" i="1" s="1"/>
  <c r="L330" i="1"/>
  <c r="F330" i="1" s="1"/>
  <c r="L340" i="1"/>
  <c r="F340" i="1" s="1"/>
  <c r="L345" i="1"/>
  <c r="F345" i="1" s="1"/>
  <c r="L7" i="1"/>
  <c r="F7" i="1" s="1"/>
  <c r="L22" i="1"/>
  <c r="F22" i="1" s="1"/>
  <c r="L28" i="1"/>
  <c r="F28" i="1" s="1"/>
  <c r="L45" i="1"/>
  <c r="F45" i="1" s="1"/>
  <c r="L51" i="1"/>
  <c r="F51" i="1" s="1"/>
  <c r="L68" i="1"/>
  <c r="F68" i="1" s="1"/>
  <c r="L148" i="1"/>
  <c r="F148" i="1" s="1"/>
  <c r="L184" i="1"/>
  <c r="F184" i="1" s="1"/>
  <c r="L217" i="1"/>
  <c r="F217" i="1" s="1"/>
  <c r="L12" i="1"/>
  <c r="F12" i="1" s="1"/>
  <c r="L29" i="1"/>
  <c r="F29" i="1" s="1"/>
  <c r="L33" i="1"/>
  <c r="F33" i="1" s="1"/>
  <c r="L53" i="1"/>
  <c r="F53" i="1" s="1"/>
  <c r="L57" i="1"/>
  <c r="F57" i="1" s="1"/>
  <c r="L69" i="1"/>
  <c r="F69" i="1" s="1"/>
  <c r="L86" i="1"/>
  <c r="F86" i="1" s="1"/>
  <c r="L108" i="1"/>
  <c r="F108" i="1" s="1"/>
  <c r="L145" i="1"/>
  <c r="F145" i="1" s="1"/>
  <c r="L149" i="1"/>
  <c r="F149" i="1" s="1"/>
  <c r="L162" i="1"/>
  <c r="F162" i="1" s="1"/>
  <c r="L179" i="1"/>
  <c r="F179" i="1" s="1"/>
  <c r="L193" i="1"/>
  <c r="F193" i="1" s="1"/>
  <c r="L202" i="1"/>
  <c r="F202" i="1" s="1"/>
  <c r="L208" i="1"/>
  <c r="F208" i="1" s="1"/>
  <c r="L218" i="1"/>
  <c r="F218" i="1" s="1"/>
  <c r="L235" i="1"/>
  <c r="F235" i="1" s="1"/>
  <c r="L241" i="1"/>
  <c r="F241" i="1" s="1"/>
  <c r="L247" i="1"/>
  <c r="F247" i="1" s="1"/>
  <c r="L252" i="1"/>
  <c r="F252" i="1" s="1"/>
  <c r="L273" i="1"/>
  <c r="F273" i="1" s="1"/>
  <c r="L328" i="1"/>
  <c r="F328" i="1" s="1"/>
  <c r="L332" i="1"/>
  <c r="F332" i="1" s="1"/>
  <c r="L336" i="1"/>
  <c r="F336" i="1" s="1"/>
  <c r="L81" i="1"/>
  <c r="F81" i="1" s="1"/>
  <c r="L83" i="1"/>
  <c r="F83" i="1" s="1"/>
  <c r="L99" i="1"/>
  <c r="F99" i="1" s="1"/>
  <c r="L101" i="1"/>
  <c r="F101" i="1" s="1"/>
  <c r="L196" i="1"/>
  <c r="F196" i="1" s="1"/>
  <c r="L226" i="1"/>
  <c r="F226" i="1" s="1"/>
  <c r="L239" i="1"/>
  <c r="F239" i="1" s="1"/>
  <c r="L197" i="1"/>
  <c r="F197" i="1" s="1"/>
  <c r="L233" i="1"/>
  <c r="F233" i="1" s="1"/>
  <c r="L348" i="1"/>
  <c r="F348" i="1" s="1"/>
  <c r="L260" i="1"/>
  <c r="F260" i="1" s="1"/>
</calcChain>
</file>

<file path=xl/sharedStrings.xml><?xml version="1.0" encoding="utf-8"?>
<sst xmlns="http://schemas.openxmlformats.org/spreadsheetml/2006/main" count="1145" uniqueCount="441">
  <si>
    <t>Bahria Town (Pvt) Ltd. Lahore</t>
  </si>
  <si>
    <t>Electricity Meter Reading Sheet April-2025</t>
  </si>
  <si>
    <t>Babur Block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</si>
  <si>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</si>
  <si>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</si>
  <si>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</si>
  <si>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</si>
  <si>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</si>
  <si>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</si>
  <si>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</si>
  <si>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</si>
  <si>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</si>
  <si>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</si>
  <si>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</si>
  <si>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</si>
  <si>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</si>
  <si>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</si>
  <si>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BTL-30693</t>
  </si>
  <si>
    <t>Residential</t>
  </si>
  <si>
    <t>BTL-10713</t>
  </si>
  <si>
    <t>BTL-11502</t>
  </si>
  <si>
    <t>BTL-18173</t>
  </si>
  <si>
    <t>BTL-18172</t>
  </si>
  <si>
    <t>BTL-11503</t>
  </si>
  <si>
    <t>BTL-15122</t>
  </si>
  <si>
    <t>BTL-11488</t>
  </si>
  <si>
    <t>BTL-24631</t>
  </si>
  <si>
    <t>BTL-14657</t>
  </si>
  <si>
    <t>BTL-15000</t>
  </si>
  <si>
    <t>BTL-10729</t>
  </si>
  <si>
    <t>19-20</t>
  </si>
  <si>
    <t>BTL-25155</t>
  </si>
  <si>
    <t>22 (2nd Meter)</t>
  </si>
  <si>
    <t>BTL-14395</t>
  </si>
  <si>
    <t>BTL-12473</t>
  </si>
  <si>
    <t>BTL-23765</t>
  </si>
  <si>
    <t>23 (2nd METER)</t>
  </si>
  <si>
    <t>BTL-12397</t>
  </si>
  <si>
    <t>BTL-14666</t>
  </si>
  <si>
    <t>BTL-19145</t>
  </si>
  <si>
    <t>BTL-19052</t>
  </si>
  <si>
    <t>BTL-20517</t>
  </si>
  <si>
    <t>30/2</t>
  </si>
  <si>
    <t>BTL-17500</t>
  </si>
  <si>
    <t>BTL-24136</t>
  </si>
  <si>
    <t>30/3-A</t>
  </si>
  <si>
    <t>BTL-29697</t>
  </si>
  <si>
    <t>30/3-A (2nd M</t>
  </si>
  <si>
    <t>BTL-24176</t>
  </si>
  <si>
    <t>30/5</t>
  </si>
  <si>
    <t>BTL-17061</t>
  </si>
  <si>
    <t>BTL-18859</t>
  </si>
  <si>
    <t>BTL-23455</t>
  </si>
  <si>
    <t>34 (2nd Meter</t>
  </si>
  <si>
    <t>BTL-25944</t>
  </si>
  <si>
    <t>BTL-14269</t>
  </si>
  <si>
    <t>BTL-29988</t>
  </si>
  <si>
    <t>BTL-32965</t>
  </si>
  <si>
    <t>BTL-32131</t>
  </si>
  <si>
    <t>BTL-33705</t>
  </si>
  <si>
    <t>BTL-14284</t>
  </si>
  <si>
    <t>BTL-20189</t>
  </si>
  <si>
    <t>BTL-16898</t>
  </si>
  <si>
    <t>BTL-28599</t>
  </si>
  <si>
    <t>BTL-12587</t>
  </si>
  <si>
    <t>52-53</t>
  </si>
  <si>
    <t>BTL-18470</t>
  </si>
  <si>
    <t>BTL-17514</t>
  </si>
  <si>
    <t>BTL-29940</t>
  </si>
  <si>
    <t>BTL-14381</t>
  </si>
  <si>
    <t>BTL-20483</t>
  </si>
  <si>
    <t>BTL-22042</t>
  </si>
  <si>
    <t>BTL-14261</t>
  </si>
  <si>
    <t>BTL-16285</t>
  </si>
  <si>
    <t>63 2nd meter</t>
  </si>
  <si>
    <t>BTL-13165</t>
  </si>
  <si>
    <t>BTL-17092</t>
  </si>
  <si>
    <t>BTL-19153</t>
  </si>
  <si>
    <t>BTL-18108</t>
  </si>
  <si>
    <t>BTL-19483</t>
  </si>
  <si>
    <t>BTL-20009</t>
  </si>
  <si>
    <t>BTL-26936</t>
  </si>
  <si>
    <t>BTL-19094</t>
  </si>
  <si>
    <t>BTL-11853</t>
  </si>
  <si>
    <t>BTL-22301</t>
  </si>
  <si>
    <t>BTL-24077</t>
  </si>
  <si>
    <t>75- 2nd METER</t>
  </si>
  <si>
    <t>BTL-12779</t>
  </si>
  <si>
    <t>BTL-18711</t>
  </si>
  <si>
    <t>BTL-14321</t>
  </si>
  <si>
    <t>BTL-16835</t>
  </si>
  <si>
    <t>BTL-17853</t>
  </si>
  <si>
    <t>BTL-19386</t>
  </si>
  <si>
    <t>BTL-15738</t>
  </si>
  <si>
    <t>BTL-15485</t>
  </si>
  <si>
    <t>BTL-22365</t>
  </si>
  <si>
    <t>BTL-10714</t>
  </si>
  <si>
    <t>BTL-10730</t>
  </si>
  <si>
    <t>BTL-22832</t>
  </si>
  <si>
    <t>BTL-28421</t>
  </si>
  <si>
    <t>89 2nd Meter</t>
  </si>
  <si>
    <t>BTL-17854</t>
  </si>
  <si>
    <t>BTL-19210</t>
  </si>
  <si>
    <t>BTL-10731</t>
  </si>
  <si>
    <t>BTL-33259</t>
  </si>
  <si>
    <t>BTL-12780</t>
  </si>
  <si>
    <t>BTL-10732</t>
  </si>
  <si>
    <t>BTL-12962</t>
  </si>
  <si>
    <t>BTL-10733</t>
  </si>
  <si>
    <t>BTL-20476</t>
  </si>
  <si>
    <t>BTL-16191</t>
  </si>
  <si>
    <t>BTL-17585</t>
  </si>
  <si>
    <t>BTL-19034</t>
  </si>
  <si>
    <t>BTL-26321</t>
  </si>
  <si>
    <t>106 (2nd METE</t>
  </si>
  <si>
    <t>BTL-11644</t>
  </si>
  <si>
    <t>BTL-12542</t>
  </si>
  <si>
    <t>BTL-18507</t>
  </si>
  <si>
    <t>110 (2ND METER)</t>
  </si>
  <si>
    <t>BTL-12963</t>
  </si>
  <si>
    <t>BTL-32695</t>
  </si>
  <si>
    <t>BTL-12019</t>
  </si>
  <si>
    <t>BTL-32416</t>
  </si>
  <si>
    <t>112 (2nd Meter)</t>
  </si>
  <si>
    <t>BTL-15603</t>
  </si>
  <si>
    <t>BTL-21150</t>
  </si>
  <si>
    <t>BTL-18171</t>
  </si>
  <si>
    <t>BTL-13919</t>
  </si>
  <si>
    <t>BTL-17855</t>
  </si>
  <si>
    <t>BTL-18858</t>
  </si>
  <si>
    <t>BTL-10715</t>
  </si>
  <si>
    <t>BTL-25593</t>
  </si>
  <si>
    <t>BTL-26080</t>
  </si>
  <si>
    <t>BTL-13878</t>
  </si>
  <si>
    <t>BTL-19112</t>
  </si>
  <si>
    <t>BTL-15600</t>
  </si>
  <si>
    <t>BTL-11643</t>
  </si>
  <si>
    <t>BTL-21139</t>
  </si>
  <si>
    <t>BTL-10734</t>
  </si>
  <si>
    <t>BTL-10716</t>
  </si>
  <si>
    <t>BTL-10735</t>
  </si>
  <si>
    <t>BTL-22216</t>
  </si>
  <si>
    <t>BTL-19129</t>
  </si>
  <si>
    <t>BTL-20948</t>
  </si>
  <si>
    <t>BTL-32966</t>
  </si>
  <si>
    <t>BTL-14948</t>
  </si>
  <si>
    <t>BTL-18537</t>
  </si>
  <si>
    <t>BTL-15276</t>
  </si>
  <si>
    <t>BTL-16203</t>
  </si>
  <si>
    <t>147 2nd Meter</t>
  </si>
  <si>
    <t>BTL-13034</t>
  </si>
  <si>
    <t>BTL-16897</t>
  </si>
  <si>
    <t>BTL-12398</t>
  </si>
  <si>
    <t>BTL-20068</t>
  </si>
  <si>
    <t>BTL-23019</t>
  </si>
  <si>
    <t>BTL-22290</t>
  </si>
  <si>
    <t>BTL-31046</t>
  </si>
  <si>
    <t>BTL-19547</t>
  </si>
  <si>
    <t>BTL-32790</t>
  </si>
  <si>
    <t>165 (2nd Meter)</t>
  </si>
  <si>
    <t>BTL-22032</t>
  </si>
  <si>
    <t>BTL-18472</t>
  </si>
  <si>
    <t>BTL-12679</t>
  </si>
  <si>
    <t>BTL-19171</t>
  </si>
  <si>
    <t>BTL-10736</t>
  </si>
  <si>
    <t>BTL-28649</t>
  </si>
  <si>
    <t>BTL-15421</t>
  </si>
  <si>
    <t>BTL-18640</t>
  </si>
  <si>
    <t>178 (2ND METER)</t>
  </si>
  <si>
    <t>BTL-17496</t>
  </si>
  <si>
    <t>BTL-11191</t>
  </si>
  <si>
    <t>BTL-25543</t>
  </si>
  <si>
    <t>181 (2nd METER)</t>
  </si>
  <si>
    <t>BTL-22392</t>
  </si>
  <si>
    <t>BTL-11501</t>
  </si>
  <si>
    <t>BTL-30694</t>
  </si>
  <si>
    <t>BTL-18350</t>
  </si>
  <si>
    <t>BTL-10717</t>
  </si>
  <si>
    <t>BTL-23183</t>
  </si>
  <si>
    <t>BTL-26702</t>
  </si>
  <si>
    <t>188 (F/FLOOR)</t>
  </si>
  <si>
    <t>BTL-19500</t>
  </si>
  <si>
    <t>BTL-13433</t>
  </si>
  <si>
    <t>BTL-20942</t>
  </si>
  <si>
    <t>BTL-13434</t>
  </si>
  <si>
    <t>BTL-18680</t>
  </si>
  <si>
    <t>BTL-17346</t>
  </si>
  <si>
    <t>BTL-20274</t>
  </si>
  <si>
    <t>BTL-19418</t>
  </si>
  <si>
    <t>BTL-19592</t>
  </si>
  <si>
    <t>BTL-13468</t>
  </si>
  <si>
    <t>BTL-20251</t>
  </si>
  <si>
    <t>BTL-19182</t>
  </si>
  <si>
    <t>BTL-28591</t>
  </si>
  <si>
    <t>210 (2nd Meter)</t>
  </si>
  <si>
    <t>BTL-14590</t>
  </si>
  <si>
    <t>BTL-21831</t>
  </si>
  <si>
    <t>BTL-19808</t>
  </si>
  <si>
    <t>BTL-24042</t>
  </si>
  <si>
    <t>212 (2nd METER)</t>
  </si>
  <si>
    <t>BTL-23449</t>
  </si>
  <si>
    <t>213 (2nd Meter)</t>
  </si>
  <si>
    <t>BTL-17856</t>
  </si>
  <si>
    <t>BTL-18316</t>
  </si>
  <si>
    <t>BTL-11314</t>
  </si>
  <si>
    <t>BTL-10718</t>
  </si>
  <si>
    <t>BTL-16775</t>
  </si>
  <si>
    <t>BTL-22325</t>
  </si>
  <si>
    <t>BTL-15209</t>
  </si>
  <si>
    <t>BTL-26387</t>
  </si>
  <si>
    <t>BTL-13035</t>
  </si>
  <si>
    <t>BTL-12399</t>
  </si>
  <si>
    <t>BTL-12781</t>
  </si>
  <si>
    <t>BTL-11182</t>
  </si>
  <si>
    <t>BTL-28039</t>
  </si>
  <si>
    <t>BTL-16089</t>
  </si>
  <si>
    <t>BTL-27731</t>
  </si>
  <si>
    <t>BTL-14494</t>
  </si>
  <si>
    <t>BTL-26451</t>
  </si>
  <si>
    <t>BTL-11432</t>
  </si>
  <si>
    <t>BTL-16615</t>
  </si>
  <si>
    <t>BTL-16843</t>
  </si>
  <si>
    <t>BTL-14278</t>
  </si>
  <si>
    <t>BTL-11273</t>
  </si>
  <si>
    <t>BTL-10719</t>
  </si>
  <si>
    <t>BTL-22372</t>
  </si>
  <si>
    <t>BTL-15836</t>
  </si>
  <si>
    <t>BTL-20111</t>
  </si>
  <si>
    <t>BTL-17392</t>
  </si>
  <si>
    <t>BTL-11372</t>
  </si>
  <si>
    <t>BTL-11489</t>
  </si>
  <si>
    <t>BTL-16614</t>
  </si>
  <si>
    <t>BTL-21461</t>
  </si>
  <si>
    <t>BTL-19338</t>
  </si>
  <si>
    <t>BTL-11433</t>
  </si>
  <si>
    <t>BTL-20233</t>
  </si>
  <si>
    <t>BTL-15210</t>
  </si>
  <si>
    <t>BTL-15650</t>
  </si>
  <si>
    <t>BTL-10737</t>
  </si>
  <si>
    <t>BTL-15112</t>
  </si>
  <si>
    <t>BTL-21075</t>
  </si>
  <si>
    <t>BTL-31540</t>
  </si>
  <si>
    <t>BTL-20508</t>
  </si>
  <si>
    <t>BTL-10723</t>
  </si>
  <si>
    <t>BTL-21210</t>
  </si>
  <si>
    <t>BTL-10724</t>
  </si>
  <si>
    <t>BTL-16070</t>
  </si>
  <si>
    <t>BTL-22185</t>
  </si>
  <si>
    <t>BTL-11854</t>
  </si>
  <si>
    <t>BTL-10738</t>
  </si>
  <si>
    <t>BTL-11373</t>
  </si>
  <si>
    <t>BTL-25069</t>
  </si>
  <si>
    <t>BTL-13567</t>
  </si>
  <si>
    <t>BTL-10739</t>
  </si>
  <si>
    <t>BTL-19404</t>
  </si>
  <si>
    <t>BTL-21873</t>
  </si>
  <si>
    <t>BTL-22817</t>
  </si>
  <si>
    <t>BTL-20170</t>
  </si>
  <si>
    <t>BTL-21751</t>
  </si>
  <si>
    <t>289 (2ND METER )</t>
  </si>
  <si>
    <t>BTL-20548</t>
  </si>
  <si>
    <t>BTL-22397</t>
  </si>
  <si>
    <t>292 (2nd METER)</t>
  </si>
  <si>
    <t>BTL-15375</t>
  </si>
  <si>
    <t>BTL-31832</t>
  </si>
  <si>
    <t>BTL-24378</t>
  </si>
  <si>
    <t>BTL-12901</t>
  </si>
  <si>
    <t>BTL-19920</t>
  </si>
  <si>
    <t>BTL-32789</t>
  </si>
  <si>
    <t>BTL-18769</t>
  </si>
  <si>
    <t>BTL-19929</t>
  </si>
  <si>
    <t>BTL-20640</t>
  </si>
  <si>
    <t>BTL-10725</t>
  </si>
  <si>
    <t>BTL-10740</t>
  </si>
  <si>
    <t>BTL-19667</t>
  </si>
  <si>
    <t>BTL-14708</t>
  </si>
  <si>
    <t>BTL-27220</t>
  </si>
  <si>
    <t>BTL-17564</t>
  </si>
  <si>
    <t>BTL-16388</t>
  </si>
  <si>
    <t>BTL-18338</t>
  </si>
  <si>
    <t>BTL-20088</t>
  </si>
  <si>
    <t>BTL-15327</t>
  </si>
  <si>
    <t>BTL-20271</t>
  </si>
  <si>
    <t>BTL-21744</t>
  </si>
  <si>
    <t>320 (2ND METER)</t>
  </si>
  <si>
    <t>BTL-23021</t>
  </si>
  <si>
    <t>BTL-23508</t>
  </si>
  <si>
    <t>322 (2nd Meter)</t>
  </si>
  <si>
    <t>BTL-19063</t>
  </si>
  <si>
    <t>BTL-20587</t>
  </si>
  <si>
    <t>BTL-31179</t>
  </si>
  <si>
    <t>BTL-15708</t>
  </si>
  <si>
    <t>BTL-14991</t>
  </si>
  <si>
    <t>329-A</t>
  </si>
  <si>
    <t>BTL-17132</t>
  </si>
  <si>
    <t>BTL-10741</t>
  </si>
  <si>
    <t>BTL-10742</t>
  </si>
  <si>
    <t>BTL-29706</t>
  </si>
  <si>
    <t>BTL-22655</t>
  </si>
  <si>
    <t>BTL-19707</t>
  </si>
  <si>
    <t>BTL-10726</t>
  </si>
  <si>
    <t>BTL-25512</t>
  </si>
  <si>
    <t>BTL-19095</t>
  </si>
  <si>
    <t>BTL-21057</t>
  </si>
  <si>
    <t>BTL-10727</t>
  </si>
  <si>
    <t>BTL-19347</t>
  </si>
  <si>
    <t>BTL-15602</t>
  </si>
  <si>
    <t>BTL-10728</t>
  </si>
  <si>
    <t>BTL-30934</t>
  </si>
  <si>
    <t>BTL-18597</t>
  </si>
  <si>
    <t>BTL-30695</t>
  </si>
  <si>
    <t>BTL-29348</t>
  </si>
  <si>
    <t>BTL-13435</t>
  </si>
  <si>
    <t>BTL-11315</t>
  </si>
  <si>
    <t>BTL-16345</t>
  </si>
  <si>
    <t>BTL-21897</t>
  </si>
  <si>
    <t>BTL-12680</t>
  </si>
  <si>
    <t>BTL-17584</t>
  </si>
  <si>
    <t>BTL-16077</t>
  </si>
  <si>
    <t>BTL-31334</t>
  </si>
  <si>
    <t>BTL-26044</t>
  </si>
  <si>
    <t>BTL-31977</t>
  </si>
  <si>
    <t>BTL-15442</t>
  </si>
  <si>
    <t>BTL-14049</t>
  </si>
  <si>
    <t>BTL-15311</t>
  </si>
  <si>
    <t>BTL-11545</t>
  </si>
  <si>
    <t>BTL-28468</t>
  </si>
  <si>
    <t>BTL-26132</t>
  </si>
  <si>
    <t>KHATEEB MOSQUE</t>
  </si>
  <si>
    <t>BTL-14589</t>
  </si>
  <si>
    <t>MSAG PTCL</t>
  </si>
  <si>
    <t>Commercial</t>
  </si>
  <si>
    <t>BTL-33391</t>
  </si>
  <si>
    <t>PLAZA DEMILITION &amp; REMOVAL SITE</t>
  </si>
  <si>
    <t>BTL-11153</t>
  </si>
  <si>
    <t>POST OFFICE</t>
  </si>
  <si>
    <t>BTL-11686</t>
  </si>
  <si>
    <t>SCHOOL SEC-A</t>
  </si>
  <si>
    <t>BTL-11154</t>
  </si>
  <si>
    <t>SNGPL</t>
  </si>
  <si>
    <t>BTL-29357</t>
  </si>
  <si>
    <t>UFONE TOWER</t>
  </si>
  <si>
    <t>BTL-31336</t>
  </si>
  <si>
    <t>ZONG TOWER</t>
  </si>
  <si>
    <t>BTL-13578</t>
  </si>
  <si>
    <t>Bahria Self Consumption</t>
  </si>
  <si>
    <t>BTL-15486</t>
  </si>
  <si>
    <t>ACCOM (H-168)</t>
  </si>
  <si>
    <t>BTL-21351</t>
  </si>
  <si>
    <t>BIRD AVIARY (NR H-114) (EXOTIC RESORT)</t>
  </si>
  <si>
    <t>BTL-21392</t>
  </si>
  <si>
    <t>CANAL BANK-01 NR H-22</t>
  </si>
  <si>
    <t>BTL-21375</t>
  </si>
  <si>
    <t>CANAL BANK-2 (NR H-20)</t>
  </si>
  <si>
    <t>BTL-21374</t>
  </si>
  <si>
    <t>CANAL BANK-3(NR H.02)</t>
  </si>
  <si>
    <t>BTL-31537</t>
  </si>
  <si>
    <t>DISPOSAL NR 23</t>
  </si>
  <si>
    <t>BTL-14441</t>
  </si>
  <si>
    <t>DISPOSAL NR H.02</t>
  </si>
  <si>
    <t>BTL-14574</t>
  </si>
  <si>
    <t>GENERATOR ROOM NR H.02</t>
  </si>
  <si>
    <t>BTL-13315</t>
  </si>
  <si>
    <t>MASJID UMER FAROOQ (NR SCHOOL)</t>
  </si>
  <si>
    <t>BTL-21393</t>
  </si>
  <si>
    <t>MESS &amp; ACCOM NR H-187</t>
  </si>
  <si>
    <t>BTL-21395</t>
  </si>
  <si>
    <t>PARK NR 294</t>
  </si>
  <si>
    <t>BTL-13331</t>
  </si>
  <si>
    <t>PARK NR (H-11)</t>
  </si>
  <si>
    <t>BTL-13327</t>
  </si>
  <si>
    <t>PARK NR (H-307)</t>
  </si>
  <si>
    <t>BTL-33706</t>
  </si>
  <si>
    <t>POLICE KHIDMAT MARKAZ</t>
  </si>
  <si>
    <t>BTL-33707</t>
  </si>
  <si>
    <t>BTL-28139</t>
  </si>
  <si>
    <t>SECURITY CHECK NR (145)</t>
  </si>
  <si>
    <t>BTL-31833</t>
  </si>
  <si>
    <t>SLP NR 262</t>
  </si>
  <si>
    <t>BTL-13202</t>
  </si>
  <si>
    <t>SLP NR NR (SCHOOL)</t>
  </si>
  <si>
    <t>BTL-22255</t>
  </si>
  <si>
    <t>SLP NR (Canal Garden)</t>
  </si>
  <si>
    <t>BTL-14224</t>
  </si>
  <si>
    <t>SLP NR (CNG PUMP)</t>
  </si>
  <si>
    <t>BTL-13226</t>
  </si>
  <si>
    <t>SLP NR (H-182)</t>
  </si>
  <si>
    <t>BTL-13224</t>
  </si>
  <si>
    <t>SLP NR (H-38)</t>
  </si>
  <si>
    <t>BTL-13225</t>
  </si>
  <si>
    <t>SLP NR (H-52)</t>
  </si>
  <si>
    <t>BTL-14573</t>
  </si>
  <si>
    <t>SPINKLER NR H.120</t>
  </si>
  <si>
    <t>BTL-21396</t>
  </si>
  <si>
    <t>SPRINKLER NR (H-30/4)</t>
  </si>
  <si>
    <t>BTL-21594</t>
  </si>
  <si>
    <t>SPRINKLER NR (H-82)</t>
  </si>
  <si>
    <t>BTL-21394</t>
  </si>
  <si>
    <t>WATER PUMP NR H-282</t>
  </si>
  <si>
    <t>BTL-14315</t>
  </si>
  <si>
    <t>WATER TANK NR H.120</t>
  </si>
  <si>
    <t>BTL-22907</t>
  </si>
  <si>
    <t>BTL-22908</t>
  </si>
  <si>
    <t>BTL-30285</t>
  </si>
  <si>
    <t>355 (2nd METE</t>
  </si>
  <si>
    <t>BTL-31027</t>
  </si>
  <si>
    <t>BTL-17245</t>
  </si>
  <si>
    <t>BTL-14469</t>
  </si>
  <si>
    <t>BTL-14266</t>
  </si>
  <si>
    <t>BTL-20903</t>
  </si>
  <si>
    <t>BTL-29599</t>
  </si>
  <si>
    <t>374 (2nd METE</t>
  </si>
  <si>
    <t>BTL-27380</t>
  </si>
  <si>
    <t>BTL-24953</t>
  </si>
  <si>
    <t>BTL-12172</t>
  </si>
  <si>
    <t>BTL-22159</t>
  </si>
  <si>
    <t>BTL-32417</t>
  </si>
  <si>
    <t>BTL-25315</t>
  </si>
  <si>
    <t>BTL-32418</t>
  </si>
  <si>
    <t>BTL-13618</t>
  </si>
  <si>
    <t>BTL-19971</t>
  </si>
  <si>
    <t>BTL-17864</t>
  </si>
  <si>
    <t>BTL-24571</t>
  </si>
  <si>
    <t>BTL-23168</t>
  </si>
  <si>
    <t>BTL-27729</t>
  </si>
  <si>
    <t>403 (2ND METE</t>
  </si>
  <si>
    <t>BTL-27688</t>
  </si>
  <si>
    <t>BTL-13860</t>
  </si>
  <si>
    <t>BTL-20031</t>
  </si>
  <si>
    <t>BTL-25339</t>
  </si>
  <si>
    <t>408 (2nd Mete</t>
  </si>
  <si>
    <t>BTL-29778</t>
  </si>
  <si>
    <t>C-1 (PLAZA)</t>
  </si>
  <si>
    <t>BTL-21397</t>
  </si>
  <si>
    <t>HYDRANT NR H-369</t>
  </si>
  <si>
    <t>BTL-21398</t>
  </si>
  <si>
    <t>PARK NR -392</t>
  </si>
  <si>
    <t>BTL-13228</t>
  </si>
  <si>
    <t>SLP NR (H-377)</t>
  </si>
  <si>
    <t>BTL-13227</t>
  </si>
  <si>
    <t>SLP NR (H#384)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</si>
</sst>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1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7">
    <xf numFmtId="0" fontId="0" fillId="0" borderId="0" xfId="0"/>
    <xf numFmtId="0" fontId="5" fillId="3" borderId="1" xfId="0" applyFont="1" applyFill="1" applyBorder="1"/>
    <xf numFmtId="0" fontId="3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1" fillId="5" borderId="0" xfId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10" fillId="5" borderId="0" xfId="0" applyFont="1" applyFill="1"/>
    <xf numFmtId="0" fontId="9" fillId="5" borderId="0" xfId="0" applyFont="1" applyFill="1"/>
    <xf numFmtId="0" fontId="9" fillId="5" borderId="1" xfId="0" applyFont="1" applyFill="1" applyBorder="1"/>
    <xf numFmtId="0" fontId="5" fillId="7" borderId="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164" fontId="16" fillId="5" borderId="13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 wrapText="1"/>
    </xf>
    <xf numFmtId="0" fontId="1" fillId="2" borderId="13" xfId="1" applyBorder="1" applyAlignment="1">
      <alignment horizontal="center" vertical="center"/>
    </xf>
    <xf numFmtId="0" fontId="19" fillId="8" borderId="0" xfId="0" applyFont="1" applyFill="1"/>
    <xf numFmtId="0" fontId="15" fillId="0" borderId="0" xfId="0" applyFont="1"/>
    <xf numFmtId="0" fontId="0" fillId="5" borderId="0" xfId="0" applyFill="1"/>
    <xf numFmtId="0" fontId="12" fillId="0" borderId="0" xfId="0" applyFont="1" applyAlignment="1">
      <alignment wrapText="1"/>
    </xf>
    <xf numFmtId="0" fontId="10" fillId="6" borderId="14" xfId="0" applyFont="1" applyFill="1" applyBorder="1"/>
    <xf numFmtId="0" fontId="1" fillId="2" borderId="15" xfId="1" applyBorder="1" applyAlignment="1">
      <alignment horizontal="center" vertical="center"/>
    </xf>
    <xf numFmtId="0" fontId="10" fillId="6" borderId="0" xfId="0" applyFont="1" applyFill="1"/>
    <xf numFmtId="0" fontId="19" fillId="0" borderId="0" xfId="0" applyFont="1"/>
    <xf numFmtId="0" fontId="10" fillId="0" borderId="0" xfId="0" applyFont="1"/>
    <xf numFmtId="0" fontId="20" fillId="5" borderId="0" xfId="0" applyFont="1" applyFill="1" applyAlignment="1">
      <alignment horizontal="center" wrapText="1"/>
    </xf>
    <xf numFmtId="0" fontId="1" fillId="2" borderId="0" xfId="1"/>
    <xf numFmtId="0" fontId="13" fillId="6" borderId="3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19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2</xdr:rowOff>
    </xdr:from>
    <xdr:to>
      <xdr:col>2</xdr:col>
      <xdr:colOff>141194</xdr:colOff>
      <xdr:row>1</xdr:row>
      <xdr:rowOff>333376</xdr:rowOff>
    </xdr:to>
    <xdr:pic>
      <xdr:nvPicPr>
        <xdr:cNvPr id="2" name="Picture 1" descr="logo bahria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2"/>
          <a:ext cx="717177" cy="73342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642"/>
  <sheetViews>
    <sheetView tabSelected="1" view="pageBreakPreview" topLeftCell="A346" zoomScaleNormal="100" zoomScaleSheetLayoutView="100" workbookViewId="0">
      <selection activeCell="K357" sqref="K357"/>
    </sheetView>
  </sheetViews>
  <sheetFormatPr defaultRowHeight="15.75" x14ac:dyDescent="0.25"/>
  <cols>
    <col min="1" max="1" width="11.28515625" style="30" customWidth="1"/>
    <col min="7" max="7" width="4.28515625" style="31" customWidth="1"/>
    <col min="8" max="8" width="14.85546875" style="32" bestFit="1" customWidth="1"/>
    <col min="9" max="9" width="14.7109375" style="33" customWidth="1"/>
    <col min="10" max="10" width="8.5703125" customWidth="1"/>
    <col min="11" max="11" width="7.7109375" style="34" customWidth="1"/>
    <col min="12" max="12" width="13" style="40" customWidth="1"/>
    <col min="13" max="13" width="7.7109375" style="36" customWidth="1"/>
    <col min="14" max="14" width="13" style="37" customWidth="1"/>
    <col min="15" max="15" width="7.7109375" style="36" customWidth="1"/>
    <col min="16" max="16" width="13" customWidth="1"/>
    <col min="17" max="17" width="7.7109375" style="38" customWidth="1"/>
    <col min="18" max="18" width="13" customWidth="1"/>
    <col min="19" max="19" width="14.140625" style="39" customWidth="1"/>
    <col min="20" max="20" width="11.28515625" style="30" customWidth="1"/>
  </cols>
  <sheetData>
    <row r="1" spans="1:20" ht="31.5" customHeight="1" x14ac:dyDescent="0.25">
      <c r="A1"/>
      <c r="G1" s="43" t="s">
        <v>0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29.25" customHeight="1" thickBot="1" x14ac:dyDescent="0.3">
      <c r="A2"/>
      <c r="G2" s="44" t="s">
        <v>1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5" t="s">
        <v>4</v>
      </c>
      <c r="H4" s="47" t="s">
        <v>5</v>
      </c>
      <c r="I4" s="49" t="s">
        <v>6</v>
      </c>
      <c r="J4" s="51" t="s">
        <v>7</v>
      </c>
      <c r="K4" s="53" t="s">
        <v>8</v>
      </c>
      <c r="L4" s="54"/>
      <c r="M4" s="55" t="s">
        <v>9</v>
      </c>
      <c r="N4" s="54"/>
      <c r="O4" s="53" t="s">
        <v>10</v>
      </c>
      <c r="P4" s="56"/>
      <c r="Q4" s="53" t="s">
        <v>11</v>
      </c>
      <c r="R4" s="54"/>
      <c r="S4" s="41" t="s">
        <v>12</v>
      </c>
      <c r="T4" s="42"/>
    </row>
    <row r="5" spans="1:20" ht="31.5" customHeight="1" thickBot="1" x14ac:dyDescent="0.3">
      <c r="A5" s="13" t="s">
        <v>13</v>
      </c>
      <c r="G5" s="46"/>
      <c r="H5" s="48" t="s">
        <v>5</v>
      </c>
      <c r="I5" s="50" t="s">
        <v>6</v>
      </c>
      <c r="J5" s="52"/>
      <c r="K5" s="14" t="s">
        <v>14</v>
      </c>
      <c r="L5" s="15" t="s">
        <v>15</v>
      </c>
      <c r="M5" s="14" t="s">
        <v>14</v>
      </c>
      <c r="N5" s="15" t="s">
        <v>15</v>
      </c>
      <c r="O5" s="14" t="s">
        <v>14</v>
      </c>
      <c r="P5" s="16" t="s">
        <v>15</v>
      </c>
      <c r="Q5" s="17" t="s">
        <v>14</v>
      </c>
      <c r="R5" s="18" t="s">
        <v>15</v>
      </c>
      <c r="S5" s="19" t="s">
        <v>16</v>
      </c>
      <c r="T5" s="13" t="s">
        <v>13</v>
      </c>
    </row>
    <row r="6" spans="1:20" ht="37.5" customHeight="1" x14ac:dyDescent="0.25">
      <c r="A6" s="20" t="s">
        <v>17</v>
      </c>
      <c r="B6">
        <f>C6+D6</f>
        <v>8333</v>
      </c>
      <c r="C6">
        <v>1102</v>
      </c>
      <c r="D6">
        <v>7231</v>
      </c>
      <c r="F6">
        <f t="shared" ref="F6:F69" si="0">L6</f>
        <v>1139</v>
      </c>
      <c r="G6" s="21">
        <v>1</v>
      </c>
      <c r="H6" s="22">
        <v>66623011158</v>
      </c>
      <c r="I6" s="23">
        <v>2</v>
      </c>
      <c r="J6" s="24"/>
      <c r="K6" s="25">
        <v>7194</v>
      </c>
      <c r="L6" s="24">
        <f>B6-K6</f>
        <v>1139</v>
      </c>
      <c r="M6" s="25">
        <v>1010</v>
      </c>
      <c r="N6" s="26">
        <f>D6-M6</f>
        <v>6221</v>
      </c>
      <c r="O6" s="25">
        <v>6184</v>
      </c>
      <c r="P6" s="24">
        <f>D6-O6</f>
        <v>1047</v>
      </c>
      <c r="Q6" s="27"/>
      <c r="R6" s="24">
        <f>E6-Q6</f>
        <v>0</v>
      </c>
      <c r="S6" s="28" t="s">
        <v>18</v>
      </c>
      <c r="T6" s="20" t="s">
        <v>17</v>
      </c>
    </row>
    <row r="7" spans="1:20" ht="37.5" customHeight="1" x14ac:dyDescent="0.25">
      <c r="A7" s="20" t="s">
        <v>19</v>
      </c>
      <c r="B7">
        <f t="shared" ref="B7:B70" si="1">C7+D7</f>
        <v>47078</v>
      </c>
      <c r="C7">
        <v>9067</v>
      </c>
      <c r="D7">
        <v>38011</v>
      </c>
      <c r="E7">
        <v>36883</v>
      </c>
      <c r="F7">
        <f t="shared" si="0"/>
        <v>1337</v>
      </c>
      <c r="G7" s="21">
        <f>G6+1</f>
        <v>2</v>
      </c>
      <c r="H7" s="22">
        <v>99722008214</v>
      </c>
      <c r="I7" s="23">
        <v>3</v>
      </c>
      <c r="J7" s="24"/>
      <c r="K7" s="25">
        <f>M7+O7</f>
        <v>45741</v>
      </c>
      <c r="L7" s="24">
        <f t="shared" ref="L7:L70" si="2">B7-K7</f>
        <v>1337</v>
      </c>
      <c r="M7" s="25">
        <v>8743</v>
      </c>
      <c r="N7" s="26">
        <f t="shared" ref="N7:N70" si="3">D7-M7</f>
        <v>29268</v>
      </c>
      <c r="O7" s="25">
        <v>36998</v>
      </c>
      <c r="P7" s="24">
        <f t="shared" ref="P7:P70" si="4">D7-O7</f>
        <v>1013</v>
      </c>
      <c r="Q7" s="27">
        <v>35489</v>
      </c>
      <c r="R7" s="24">
        <f t="shared" ref="R7:R70" si="5">E7-Q7</f>
        <v>1394</v>
      </c>
      <c r="S7" s="28" t="s">
        <v>18</v>
      </c>
      <c r="T7" s="20" t="s">
        <v>19</v>
      </c>
    </row>
    <row r="8" spans="1:20" ht="37.5" customHeight="1" x14ac:dyDescent="0.25">
      <c r="A8" s="20" t="s">
        <v>20</v>
      </c>
      <c r="B8">
        <f t="shared" si="1"/>
        <v>171276</v>
      </c>
      <c r="C8">
        <v>42412</v>
      </c>
      <c r="D8">
        <v>128864</v>
      </c>
      <c r="F8">
        <f t="shared" si="0"/>
        <v>677</v>
      </c>
      <c r="G8" s="21">
        <f t="shared" ref="G8:G71" si="6">G7+1</f>
        <v>3</v>
      </c>
      <c r="H8" s="22">
        <v>23011100036</v>
      </c>
      <c r="I8" s="23">
        <v>4</v>
      </c>
      <c r="J8" s="24"/>
      <c r="K8" s="25">
        <v>170599</v>
      </c>
      <c r="L8" s="24">
        <f t="shared" si="2"/>
        <v>677</v>
      </c>
      <c r="M8" s="25">
        <v>42311</v>
      </c>
      <c r="N8" s="26">
        <f t="shared" si="3"/>
        <v>86553</v>
      </c>
      <c r="O8" s="25">
        <v>128288</v>
      </c>
      <c r="P8" s="24">
        <f t="shared" si="4"/>
        <v>576</v>
      </c>
      <c r="Q8" s="27"/>
      <c r="R8" s="24">
        <f t="shared" si="5"/>
        <v>0</v>
      </c>
      <c r="S8" s="28" t="s">
        <v>18</v>
      </c>
      <c r="T8" s="20" t="s">
        <v>20</v>
      </c>
    </row>
    <row r="9" spans="1:20" ht="37.5" customHeight="1" x14ac:dyDescent="0.25">
      <c r="A9" s="20" t="s">
        <v>21</v>
      </c>
      <c r="B9">
        <f t="shared" si="1"/>
        <v>17287</v>
      </c>
      <c r="C9">
        <v>4276</v>
      </c>
      <c r="D9">
        <v>13011</v>
      </c>
      <c r="E9">
        <v>18522</v>
      </c>
      <c r="F9">
        <f t="shared" si="0"/>
        <v>778</v>
      </c>
      <c r="G9" s="21">
        <f t="shared" si="6"/>
        <v>4</v>
      </c>
      <c r="H9" s="22">
        <v>99723060178</v>
      </c>
      <c r="I9" s="23">
        <v>5</v>
      </c>
      <c r="J9" s="24"/>
      <c r="K9" s="25">
        <f>M9+O9</f>
        <v>16509</v>
      </c>
      <c r="L9" s="24">
        <f t="shared" si="2"/>
        <v>778</v>
      </c>
      <c r="M9" s="25">
        <v>4058</v>
      </c>
      <c r="N9" s="26">
        <f t="shared" si="3"/>
        <v>8953</v>
      </c>
      <c r="O9" s="25">
        <v>12451</v>
      </c>
      <c r="P9" s="24">
        <f t="shared" si="4"/>
        <v>560</v>
      </c>
      <c r="Q9" s="27">
        <v>17303</v>
      </c>
      <c r="R9" s="24">
        <f t="shared" si="5"/>
        <v>1219</v>
      </c>
      <c r="S9" s="28" t="s">
        <v>18</v>
      </c>
      <c r="T9" s="20" t="s">
        <v>21</v>
      </c>
    </row>
    <row r="10" spans="1:20" ht="37.5" customHeight="1" x14ac:dyDescent="0.25">
      <c r="A10" s="20" t="s">
        <v>22</v>
      </c>
      <c r="B10">
        <f t="shared" si="1"/>
        <v>22251</v>
      </c>
      <c r="C10">
        <v>5697</v>
      </c>
      <c r="D10">
        <v>16554</v>
      </c>
      <c r="E10">
        <v>6758</v>
      </c>
      <c r="F10">
        <f t="shared" si="0"/>
        <v>986</v>
      </c>
      <c r="G10" s="21">
        <f t="shared" si="6"/>
        <v>5</v>
      </c>
      <c r="H10" s="22">
        <v>99723060181</v>
      </c>
      <c r="I10" s="23">
        <v>6</v>
      </c>
      <c r="J10" s="24"/>
      <c r="K10" s="25">
        <f>M10+O10</f>
        <v>21265</v>
      </c>
      <c r="L10" s="24">
        <f t="shared" si="2"/>
        <v>986</v>
      </c>
      <c r="M10" s="25">
        <v>5434</v>
      </c>
      <c r="N10" s="26">
        <f t="shared" si="3"/>
        <v>11120</v>
      </c>
      <c r="O10" s="25">
        <v>15831</v>
      </c>
      <c r="P10" s="24">
        <f t="shared" si="4"/>
        <v>723</v>
      </c>
      <c r="Q10" s="27">
        <v>6146</v>
      </c>
      <c r="R10" s="24">
        <f t="shared" si="5"/>
        <v>612</v>
      </c>
      <c r="S10" s="28" t="s">
        <v>18</v>
      </c>
      <c r="T10" s="20" t="s">
        <v>22</v>
      </c>
    </row>
    <row r="11" spans="1:20" ht="37.5" customHeight="1" x14ac:dyDescent="0.25">
      <c r="A11" s="20" t="s">
        <v>23</v>
      </c>
      <c r="B11">
        <f t="shared" si="1"/>
        <v>10634</v>
      </c>
      <c r="C11">
        <v>2372</v>
      </c>
      <c r="D11">
        <v>8262</v>
      </c>
      <c r="E11">
        <v>14145</v>
      </c>
      <c r="F11">
        <f t="shared" si="0"/>
        <v>390</v>
      </c>
      <c r="G11" s="21">
        <f t="shared" si="6"/>
        <v>6</v>
      </c>
      <c r="H11" s="22">
        <v>99723040741</v>
      </c>
      <c r="I11" s="23">
        <v>8</v>
      </c>
      <c r="J11" s="24"/>
      <c r="K11" s="25">
        <f>M11+O11</f>
        <v>10244</v>
      </c>
      <c r="L11" s="24">
        <f t="shared" si="2"/>
        <v>390</v>
      </c>
      <c r="M11" s="25">
        <v>2272</v>
      </c>
      <c r="N11" s="26">
        <f t="shared" si="3"/>
        <v>5990</v>
      </c>
      <c r="O11" s="25">
        <v>7972</v>
      </c>
      <c r="P11" s="24">
        <f t="shared" si="4"/>
        <v>290</v>
      </c>
      <c r="Q11" s="27">
        <v>13539</v>
      </c>
      <c r="R11" s="24">
        <f t="shared" si="5"/>
        <v>606</v>
      </c>
      <c r="S11" s="28" t="s">
        <v>18</v>
      </c>
      <c r="T11" s="20" t="s">
        <v>23</v>
      </c>
    </row>
    <row r="12" spans="1:20" ht="37.5" customHeight="1" x14ac:dyDescent="0.25">
      <c r="A12" s="20" t="s">
        <v>24</v>
      </c>
      <c r="B12">
        <f t="shared" si="1"/>
        <v>10731</v>
      </c>
      <c r="C12">
        <v>3087</v>
      </c>
      <c r="D12">
        <v>7644</v>
      </c>
      <c r="E12">
        <v>10643</v>
      </c>
      <c r="F12">
        <f t="shared" si="0"/>
        <v>1271</v>
      </c>
      <c r="G12" s="21">
        <f t="shared" si="6"/>
        <v>7</v>
      </c>
      <c r="H12" s="22">
        <v>99624040046</v>
      </c>
      <c r="I12" s="23">
        <v>10</v>
      </c>
      <c r="J12" s="24"/>
      <c r="K12" s="25">
        <f>M12+O12</f>
        <v>9460</v>
      </c>
      <c r="L12" s="24">
        <f t="shared" si="2"/>
        <v>1271</v>
      </c>
      <c r="M12" s="25">
        <v>2690</v>
      </c>
      <c r="N12" s="26">
        <f t="shared" si="3"/>
        <v>4954</v>
      </c>
      <c r="O12" s="25">
        <v>6770</v>
      </c>
      <c r="P12" s="24">
        <f t="shared" si="4"/>
        <v>874</v>
      </c>
      <c r="Q12" s="27">
        <v>8430</v>
      </c>
      <c r="R12" s="24">
        <f t="shared" si="5"/>
        <v>2213</v>
      </c>
      <c r="S12" s="28" t="s">
        <v>18</v>
      </c>
      <c r="T12" s="20" t="s">
        <v>24</v>
      </c>
    </row>
    <row r="13" spans="1:20" ht="37.5" customHeight="1" x14ac:dyDescent="0.25">
      <c r="A13" s="20" t="s">
        <v>25</v>
      </c>
      <c r="B13">
        <f t="shared" si="1"/>
        <v>12398</v>
      </c>
      <c r="C13">
        <v>3471</v>
      </c>
      <c r="D13">
        <v>8927</v>
      </c>
      <c r="E13">
        <v>27532</v>
      </c>
      <c r="F13">
        <f t="shared" si="0"/>
        <v>249</v>
      </c>
      <c r="G13" s="21">
        <f t="shared" si="6"/>
        <v>8</v>
      </c>
      <c r="H13" s="22">
        <v>99723070127</v>
      </c>
      <c r="I13" s="23">
        <v>11</v>
      </c>
      <c r="J13" s="24"/>
      <c r="K13" s="25">
        <f>M13+O13</f>
        <v>12149</v>
      </c>
      <c r="L13" s="24">
        <f t="shared" si="2"/>
        <v>249</v>
      </c>
      <c r="M13" s="25">
        <v>3374</v>
      </c>
      <c r="N13" s="26">
        <f t="shared" si="3"/>
        <v>5553</v>
      </c>
      <c r="O13" s="25">
        <v>8775</v>
      </c>
      <c r="P13" s="24">
        <f t="shared" si="4"/>
        <v>152</v>
      </c>
      <c r="Q13" s="27">
        <v>25372</v>
      </c>
      <c r="R13" s="24">
        <f t="shared" si="5"/>
        <v>2160</v>
      </c>
      <c r="S13" s="28" t="s">
        <v>18</v>
      </c>
      <c r="T13" s="20" t="s">
        <v>25</v>
      </c>
    </row>
    <row r="14" spans="1:20" ht="37.5" customHeight="1" x14ac:dyDescent="0.25">
      <c r="A14" s="20" t="s">
        <v>26</v>
      </c>
      <c r="B14">
        <f t="shared" si="1"/>
        <v>7488</v>
      </c>
      <c r="C14">
        <v>1195</v>
      </c>
      <c r="D14">
        <v>6293</v>
      </c>
      <c r="F14">
        <f t="shared" si="0"/>
        <v>103</v>
      </c>
      <c r="G14" s="21">
        <f t="shared" si="6"/>
        <v>9</v>
      </c>
      <c r="H14" s="22">
        <v>88820030029</v>
      </c>
      <c r="I14" s="23">
        <v>12</v>
      </c>
      <c r="J14" s="24"/>
      <c r="K14" s="25">
        <v>7385</v>
      </c>
      <c r="L14" s="24">
        <f t="shared" si="2"/>
        <v>103</v>
      </c>
      <c r="M14" s="25">
        <v>1179</v>
      </c>
      <c r="N14" s="26">
        <f t="shared" si="3"/>
        <v>5114</v>
      </c>
      <c r="O14" s="25">
        <v>6206</v>
      </c>
      <c r="P14" s="24">
        <f t="shared" si="4"/>
        <v>87</v>
      </c>
      <c r="Q14" s="27"/>
      <c r="R14" s="24">
        <f t="shared" si="5"/>
        <v>0</v>
      </c>
      <c r="S14" s="28" t="s">
        <v>18</v>
      </c>
      <c r="T14" s="20" t="s">
        <v>26</v>
      </c>
    </row>
    <row r="15" spans="1:20" ht="37.5" customHeight="1" x14ac:dyDescent="0.25">
      <c r="A15" s="20" t="s">
        <v>27</v>
      </c>
      <c r="B15">
        <f t="shared" si="1"/>
        <v>22783</v>
      </c>
      <c r="C15">
        <v>5475</v>
      </c>
      <c r="D15">
        <v>17308</v>
      </c>
      <c r="E15">
        <v>17994</v>
      </c>
      <c r="F15">
        <f t="shared" si="0"/>
        <v>610</v>
      </c>
      <c r="G15" s="21">
        <f t="shared" si="6"/>
        <v>10</v>
      </c>
      <c r="H15" s="22">
        <v>99622050073</v>
      </c>
      <c r="I15" s="23">
        <v>15</v>
      </c>
      <c r="J15" s="24"/>
      <c r="K15" s="25">
        <f>M15+O15</f>
        <v>22173</v>
      </c>
      <c r="L15" s="24">
        <f t="shared" si="2"/>
        <v>610</v>
      </c>
      <c r="M15" s="25">
        <v>5298</v>
      </c>
      <c r="N15" s="26">
        <f t="shared" si="3"/>
        <v>12010</v>
      </c>
      <c r="O15" s="25">
        <v>16875</v>
      </c>
      <c r="P15" s="24">
        <f t="shared" si="4"/>
        <v>433</v>
      </c>
      <c r="Q15" s="27">
        <v>17299</v>
      </c>
      <c r="R15" s="24">
        <f t="shared" si="5"/>
        <v>695</v>
      </c>
      <c r="S15" s="28" t="s">
        <v>18</v>
      </c>
      <c r="T15" s="20" t="s">
        <v>27</v>
      </c>
    </row>
    <row r="16" spans="1:20" ht="37.5" customHeight="1" x14ac:dyDescent="0.25">
      <c r="A16" s="20" t="s">
        <v>28</v>
      </c>
      <c r="B16">
        <f t="shared" si="1"/>
        <v>2632</v>
      </c>
      <c r="C16">
        <v>637</v>
      </c>
      <c r="D16">
        <v>1995</v>
      </c>
      <c r="E16">
        <v>7558</v>
      </c>
      <c r="F16">
        <f t="shared" si="0"/>
        <v>233</v>
      </c>
      <c r="G16" s="21">
        <f t="shared" si="6"/>
        <v>11</v>
      </c>
      <c r="H16" s="22">
        <v>99624030389</v>
      </c>
      <c r="I16" s="23">
        <v>17</v>
      </c>
      <c r="J16" s="24"/>
      <c r="K16" s="25">
        <f>M16+O16</f>
        <v>2399</v>
      </c>
      <c r="L16" s="24">
        <f t="shared" si="2"/>
        <v>233</v>
      </c>
      <c r="M16" s="25">
        <v>580</v>
      </c>
      <c r="N16" s="26">
        <f t="shared" si="3"/>
        <v>1415</v>
      </c>
      <c r="O16" s="25">
        <v>1819</v>
      </c>
      <c r="P16" s="24">
        <f t="shared" si="4"/>
        <v>176</v>
      </c>
      <c r="Q16" s="27">
        <v>6284</v>
      </c>
      <c r="R16" s="24">
        <f t="shared" si="5"/>
        <v>1274</v>
      </c>
      <c r="S16" s="28" t="s">
        <v>18</v>
      </c>
      <c r="T16" s="20" t="s">
        <v>28</v>
      </c>
    </row>
    <row r="17" spans="1:20" ht="37.5" customHeight="1" x14ac:dyDescent="0.25">
      <c r="A17" s="20" t="s">
        <v>29</v>
      </c>
      <c r="B17">
        <f t="shared" si="1"/>
        <v>11818</v>
      </c>
      <c r="C17">
        <v>2589</v>
      </c>
      <c r="D17">
        <v>9229</v>
      </c>
      <c r="F17">
        <f t="shared" si="0"/>
        <v>695</v>
      </c>
      <c r="G17" s="21">
        <f t="shared" si="6"/>
        <v>12</v>
      </c>
      <c r="H17" s="22">
        <v>66623011326</v>
      </c>
      <c r="I17" s="23" t="s">
        <v>30</v>
      </c>
      <c r="J17" s="24"/>
      <c r="K17" s="25">
        <v>11123</v>
      </c>
      <c r="L17" s="24">
        <f t="shared" si="2"/>
        <v>695</v>
      </c>
      <c r="M17" s="25">
        <v>2457</v>
      </c>
      <c r="N17" s="26">
        <f t="shared" si="3"/>
        <v>6772</v>
      </c>
      <c r="O17" s="25">
        <v>8666</v>
      </c>
      <c r="P17" s="24">
        <f t="shared" si="4"/>
        <v>563</v>
      </c>
      <c r="Q17" s="27"/>
      <c r="R17" s="24">
        <f t="shared" si="5"/>
        <v>0</v>
      </c>
      <c r="S17" s="28" t="s">
        <v>18</v>
      </c>
      <c r="T17" s="20" t="s">
        <v>29</v>
      </c>
    </row>
    <row r="18" spans="1:20" ht="37.5" customHeight="1" x14ac:dyDescent="0.25">
      <c r="A18" s="20" t="s">
        <v>31</v>
      </c>
      <c r="B18">
        <f t="shared" si="1"/>
        <v>42687</v>
      </c>
      <c r="C18">
        <v>6429</v>
      </c>
      <c r="D18">
        <v>36258</v>
      </c>
      <c r="F18">
        <f t="shared" si="0"/>
        <v>1090</v>
      </c>
      <c r="G18" s="21">
        <f t="shared" si="6"/>
        <v>13</v>
      </c>
      <c r="H18" s="22">
        <v>88820050135</v>
      </c>
      <c r="I18" s="23" t="s">
        <v>32</v>
      </c>
      <c r="J18" s="24"/>
      <c r="K18" s="25">
        <v>41597</v>
      </c>
      <c r="L18" s="24">
        <f t="shared" si="2"/>
        <v>1090</v>
      </c>
      <c r="M18" s="25">
        <v>6280</v>
      </c>
      <c r="N18" s="26">
        <f t="shared" si="3"/>
        <v>29978</v>
      </c>
      <c r="O18" s="25">
        <v>35317</v>
      </c>
      <c r="P18" s="24">
        <f t="shared" si="4"/>
        <v>941</v>
      </c>
      <c r="Q18" s="27"/>
      <c r="R18" s="24">
        <f t="shared" si="5"/>
        <v>0</v>
      </c>
      <c r="S18" s="28" t="s">
        <v>18</v>
      </c>
      <c r="T18" s="20" t="s">
        <v>31</v>
      </c>
    </row>
    <row r="19" spans="1:20" ht="37.5" customHeight="1" x14ac:dyDescent="0.25">
      <c r="A19" s="20" t="s">
        <v>33</v>
      </c>
      <c r="B19">
        <f t="shared" si="1"/>
        <v>15349</v>
      </c>
      <c r="C19">
        <v>3761</v>
      </c>
      <c r="D19">
        <v>11588</v>
      </c>
      <c r="E19">
        <v>19064</v>
      </c>
      <c r="F19">
        <f t="shared" si="0"/>
        <v>346</v>
      </c>
      <c r="G19" s="21">
        <f t="shared" si="6"/>
        <v>14</v>
      </c>
      <c r="H19" s="22">
        <v>99623080220</v>
      </c>
      <c r="I19" s="23">
        <v>22</v>
      </c>
      <c r="J19" s="24"/>
      <c r="K19" s="25">
        <f>M19+O19</f>
        <v>15003</v>
      </c>
      <c r="L19" s="24">
        <f t="shared" si="2"/>
        <v>346</v>
      </c>
      <c r="M19" s="25">
        <v>3654</v>
      </c>
      <c r="N19" s="26">
        <f t="shared" si="3"/>
        <v>7934</v>
      </c>
      <c r="O19" s="25">
        <v>11349</v>
      </c>
      <c r="P19" s="24">
        <f t="shared" si="4"/>
        <v>239</v>
      </c>
      <c r="Q19" s="27">
        <v>17255</v>
      </c>
      <c r="R19" s="24">
        <f t="shared" si="5"/>
        <v>1809</v>
      </c>
      <c r="S19" s="28" t="s">
        <v>18</v>
      </c>
      <c r="T19" s="20" t="s">
        <v>33</v>
      </c>
    </row>
    <row r="20" spans="1:20" ht="37.5" customHeight="1" x14ac:dyDescent="0.25">
      <c r="A20" s="20" t="s">
        <v>34</v>
      </c>
      <c r="B20">
        <f t="shared" si="1"/>
        <v>30551</v>
      </c>
      <c r="C20">
        <v>5762</v>
      </c>
      <c r="D20">
        <v>24789</v>
      </c>
      <c r="F20">
        <f t="shared" si="0"/>
        <v>93</v>
      </c>
      <c r="G20" s="21">
        <f t="shared" si="6"/>
        <v>15</v>
      </c>
      <c r="H20" s="22">
        <v>66617010200</v>
      </c>
      <c r="I20" s="23">
        <v>23</v>
      </c>
      <c r="J20" s="24"/>
      <c r="K20" s="25">
        <v>30458</v>
      </c>
      <c r="L20" s="24">
        <f t="shared" si="2"/>
        <v>93</v>
      </c>
      <c r="M20" s="25">
        <v>5747</v>
      </c>
      <c r="N20" s="26">
        <f t="shared" si="3"/>
        <v>19042</v>
      </c>
      <c r="O20" s="25">
        <v>24711</v>
      </c>
      <c r="P20" s="24">
        <f t="shared" si="4"/>
        <v>78</v>
      </c>
      <c r="Q20" s="27"/>
      <c r="R20" s="24">
        <f t="shared" si="5"/>
        <v>0</v>
      </c>
      <c r="S20" s="28" t="s">
        <v>18</v>
      </c>
      <c r="T20" s="20" t="s">
        <v>34</v>
      </c>
    </row>
    <row r="21" spans="1:20" ht="37.5" customHeight="1" x14ac:dyDescent="0.25">
      <c r="A21" s="20" t="s">
        <v>35</v>
      </c>
      <c r="B21">
        <f t="shared" si="1"/>
        <v>87772</v>
      </c>
      <c r="C21">
        <v>17106</v>
      </c>
      <c r="D21">
        <v>70666</v>
      </c>
      <c r="F21">
        <f t="shared" si="0"/>
        <v>478</v>
      </c>
      <c r="G21" s="21">
        <f t="shared" si="6"/>
        <v>16</v>
      </c>
      <c r="H21" s="22">
        <v>88819020050</v>
      </c>
      <c r="I21" s="23" t="s">
        <v>36</v>
      </c>
      <c r="J21" s="24"/>
      <c r="K21" s="25">
        <v>87294</v>
      </c>
      <c r="L21" s="24">
        <f t="shared" si="2"/>
        <v>478</v>
      </c>
      <c r="M21" s="25">
        <v>17017</v>
      </c>
      <c r="N21" s="26">
        <f t="shared" si="3"/>
        <v>53649</v>
      </c>
      <c r="O21" s="25">
        <v>70277</v>
      </c>
      <c r="P21" s="24">
        <f t="shared" si="4"/>
        <v>389</v>
      </c>
      <c r="Q21" s="27"/>
      <c r="R21" s="24">
        <f t="shared" si="5"/>
        <v>0</v>
      </c>
      <c r="S21" s="28" t="s">
        <v>18</v>
      </c>
      <c r="T21" s="20" t="s">
        <v>35</v>
      </c>
    </row>
    <row r="22" spans="1:20" ht="37.5" customHeight="1" x14ac:dyDescent="0.25">
      <c r="A22" s="20" t="s">
        <v>37</v>
      </c>
      <c r="B22">
        <f t="shared" si="1"/>
        <v>51698</v>
      </c>
      <c r="C22">
        <v>13463</v>
      </c>
      <c r="D22">
        <v>38235</v>
      </c>
      <c r="E22">
        <v>40734</v>
      </c>
      <c r="F22">
        <f t="shared" si="0"/>
        <v>1005</v>
      </c>
      <c r="G22" s="21">
        <f t="shared" si="6"/>
        <v>17</v>
      </c>
      <c r="H22" s="22">
        <v>99722020027</v>
      </c>
      <c r="I22" s="23">
        <v>26</v>
      </c>
      <c r="J22" s="24"/>
      <c r="K22" s="25">
        <f>M22+O22</f>
        <v>50693</v>
      </c>
      <c r="L22" s="24">
        <f t="shared" si="2"/>
        <v>1005</v>
      </c>
      <c r="M22" s="25">
        <v>13169</v>
      </c>
      <c r="N22" s="26">
        <f t="shared" si="3"/>
        <v>25066</v>
      </c>
      <c r="O22" s="25">
        <v>37524</v>
      </c>
      <c r="P22" s="24">
        <f t="shared" si="4"/>
        <v>711</v>
      </c>
      <c r="Q22" s="27">
        <v>38757</v>
      </c>
      <c r="R22" s="24">
        <f t="shared" si="5"/>
        <v>1977</v>
      </c>
      <c r="S22" s="28" t="s">
        <v>18</v>
      </c>
      <c r="T22" s="20" t="s">
        <v>37</v>
      </c>
    </row>
    <row r="23" spans="1:20" ht="37.5" customHeight="1" x14ac:dyDescent="0.25">
      <c r="A23" s="20" t="s">
        <v>38</v>
      </c>
      <c r="B23">
        <f t="shared" si="1"/>
        <v>12185</v>
      </c>
      <c r="C23">
        <v>2590</v>
      </c>
      <c r="D23">
        <v>9595</v>
      </c>
      <c r="F23">
        <f t="shared" si="0"/>
        <v>246</v>
      </c>
      <c r="G23" s="21">
        <f t="shared" si="6"/>
        <v>18</v>
      </c>
      <c r="H23" s="22">
        <v>66622040489</v>
      </c>
      <c r="I23" s="23">
        <v>27</v>
      </c>
      <c r="J23" s="24"/>
      <c r="K23" s="25">
        <v>11939</v>
      </c>
      <c r="L23" s="24">
        <f t="shared" si="2"/>
        <v>246</v>
      </c>
      <c r="M23" s="25">
        <v>2534</v>
      </c>
      <c r="N23" s="26">
        <f t="shared" si="3"/>
        <v>7061</v>
      </c>
      <c r="O23" s="25">
        <v>9405</v>
      </c>
      <c r="P23" s="24">
        <f t="shared" si="4"/>
        <v>190</v>
      </c>
      <c r="Q23" s="27"/>
      <c r="R23" s="24">
        <f t="shared" si="5"/>
        <v>0</v>
      </c>
      <c r="S23" s="28" t="s">
        <v>18</v>
      </c>
      <c r="T23" s="20" t="s">
        <v>38</v>
      </c>
    </row>
    <row r="24" spans="1:20" ht="37.5" customHeight="1" x14ac:dyDescent="0.25">
      <c r="A24" s="20" t="s">
        <v>39</v>
      </c>
      <c r="B24">
        <f t="shared" si="1"/>
        <v>46278</v>
      </c>
      <c r="C24">
        <v>8449</v>
      </c>
      <c r="D24">
        <v>37829</v>
      </c>
      <c r="F24">
        <f t="shared" si="0"/>
        <v>366</v>
      </c>
      <c r="G24" s="21">
        <f t="shared" si="6"/>
        <v>19</v>
      </c>
      <c r="H24" s="22">
        <v>88819030443</v>
      </c>
      <c r="I24" s="23">
        <v>28</v>
      </c>
      <c r="J24" s="24"/>
      <c r="K24" s="25">
        <v>45912</v>
      </c>
      <c r="L24" s="24">
        <f t="shared" si="2"/>
        <v>366</v>
      </c>
      <c r="M24" s="25">
        <v>8376</v>
      </c>
      <c r="N24" s="26">
        <f t="shared" si="3"/>
        <v>29453</v>
      </c>
      <c r="O24" s="25">
        <v>37536</v>
      </c>
      <c r="P24" s="24">
        <f t="shared" si="4"/>
        <v>293</v>
      </c>
      <c r="Q24" s="27"/>
      <c r="R24" s="24">
        <f t="shared" si="5"/>
        <v>0</v>
      </c>
      <c r="S24" s="28" t="s">
        <v>18</v>
      </c>
      <c r="T24" s="20" t="s">
        <v>39</v>
      </c>
    </row>
    <row r="25" spans="1:20" ht="37.5" customHeight="1" x14ac:dyDescent="0.25">
      <c r="A25" s="20" t="s">
        <v>40</v>
      </c>
      <c r="B25">
        <f t="shared" si="1"/>
        <v>85097</v>
      </c>
      <c r="C25">
        <v>12136</v>
      </c>
      <c r="D25">
        <v>72961</v>
      </c>
      <c r="F25">
        <f t="shared" si="0"/>
        <v>1534</v>
      </c>
      <c r="G25" s="21">
        <f t="shared" si="6"/>
        <v>20</v>
      </c>
      <c r="H25" s="22">
        <v>88819030447</v>
      </c>
      <c r="I25" s="23">
        <v>29</v>
      </c>
      <c r="J25" s="24"/>
      <c r="K25" s="25">
        <v>83563</v>
      </c>
      <c r="L25" s="24">
        <f t="shared" si="2"/>
        <v>1534</v>
      </c>
      <c r="M25" s="25">
        <v>11932</v>
      </c>
      <c r="N25" s="26">
        <f t="shared" si="3"/>
        <v>61029</v>
      </c>
      <c r="O25" s="25">
        <v>71631</v>
      </c>
      <c r="P25" s="24">
        <f t="shared" si="4"/>
        <v>1330</v>
      </c>
      <c r="Q25" s="27"/>
      <c r="R25" s="24">
        <f t="shared" si="5"/>
        <v>0</v>
      </c>
      <c r="S25" s="28" t="s">
        <v>18</v>
      </c>
      <c r="T25" s="20" t="s">
        <v>40</v>
      </c>
    </row>
    <row r="26" spans="1:20" ht="37.5" customHeight="1" x14ac:dyDescent="0.25">
      <c r="A26" s="20" t="s">
        <v>41</v>
      </c>
      <c r="B26">
        <f t="shared" si="1"/>
        <v>39201</v>
      </c>
      <c r="C26">
        <v>6555</v>
      </c>
      <c r="D26">
        <v>32646</v>
      </c>
      <c r="F26">
        <f t="shared" si="0"/>
        <v>1043</v>
      </c>
      <c r="G26" s="21">
        <f t="shared" si="6"/>
        <v>21</v>
      </c>
      <c r="H26" s="22">
        <v>88820050105</v>
      </c>
      <c r="I26" s="23" t="s">
        <v>42</v>
      </c>
      <c r="J26" s="24"/>
      <c r="K26" s="25">
        <v>38158</v>
      </c>
      <c r="L26" s="24">
        <f t="shared" si="2"/>
        <v>1043</v>
      </c>
      <c r="M26" s="25">
        <v>6398</v>
      </c>
      <c r="N26" s="26">
        <f t="shared" si="3"/>
        <v>26248</v>
      </c>
      <c r="O26" s="25">
        <v>31760</v>
      </c>
      <c r="P26" s="24">
        <f t="shared" si="4"/>
        <v>886</v>
      </c>
      <c r="Q26" s="27"/>
      <c r="R26" s="24">
        <f t="shared" si="5"/>
        <v>0</v>
      </c>
      <c r="S26" s="28" t="s">
        <v>18</v>
      </c>
      <c r="T26" s="20" t="s">
        <v>41</v>
      </c>
    </row>
    <row r="27" spans="1:20" ht="37.5" customHeight="1" x14ac:dyDescent="0.25">
      <c r="A27" s="20" t="s">
        <v>43</v>
      </c>
      <c r="B27">
        <f t="shared" si="1"/>
        <v>23930</v>
      </c>
      <c r="C27">
        <v>6249</v>
      </c>
      <c r="D27">
        <v>17681</v>
      </c>
      <c r="E27">
        <v>26902</v>
      </c>
      <c r="F27">
        <f t="shared" si="0"/>
        <v>841</v>
      </c>
      <c r="G27" s="21">
        <f t="shared" si="6"/>
        <v>22</v>
      </c>
      <c r="H27" s="22">
        <v>99723010055</v>
      </c>
      <c r="I27" s="23">
        <v>30</v>
      </c>
      <c r="J27" s="24"/>
      <c r="K27" s="25">
        <f>M27+O27</f>
        <v>23089</v>
      </c>
      <c r="L27" s="24">
        <f t="shared" si="2"/>
        <v>841</v>
      </c>
      <c r="M27" s="25">
        <v>6026</v>
      </c>
      <c r="N27" s="26">
        <f t="shared" si="3"/>
        <v>11655</v>
      </c>
      <c r="O27" s="25">
        <v>17063</v>
      </c>
      <c r="P27" s="24">
        <f t="shared" si="4"/>
        <v>618</v>
      </c>
      <c r="Q27" s="27">
        <v>25867</v>
      </c>
      <c r="R27" s="24">
        <f t="shared" si="5"/>
        <v>1035</v>
      </c>
      <c r="S27" s="28" t="s">
        <v>18</v>
      </c>
      <c r="T27" s="20" t="s">
        <v>43</v>
      </c>
    </row>
    <row r="28" spans="1:20" ht="37.5" customHeight="1" x14ac:dyDescent="0.25">
      <c r="A28" s="20" t="s">
        <v>44</v>
      </c>
      <c r="B28">
        <f t="shared" si="1"/>
        <v>16638</v>
      </c>
      <c r="C28">
        <v>3831</v>
      </c>
      <c r="D28">
        <v>12807</v>
      </c>
      <c r="E28">
        <v>24034</v>
      </c>
      <c r="F28">
        <f t="shared" si="0"/>
        <v>468</v>
      </c>
      <c r="G28" s="21">
        <f t="shared" si="6"/>
        <v>23</v>
      </c>
      <c r="H28" s="22">
        <v>997230100747</v>
      </c>
      <c r="I28" s="23" t="s">
        <v>45</v>
      </c>
      <c r="J28" s="24"/>
      <c r="K28" s="25">
        <f>M28+O28</f>
        <v>16170</v>
      </c>
      <c r="L28" s="24">
        <f t="shared" si="2"/>
        <v>468</v>
      </c>
      <c r="M28" s="25">
        <v>3679</v>
      </c>
      <c r="N28" s="26">
        <f t="shared" si="3"/>
        <v>9128</v>
      </c>
      <c r="O28" s="25">
        <v>12491</v>
      </c>
      <c r="P28" s="24">
        <f t="shared" si="4"/>
        <v>316</v>
      </c>
      <c r="Q28" s="27">
        <v>23090</v>
      </c>
      <c r="R28" s="24">
        <f t="shared" si="5"/>
        <v>944</v>
      </c>
      <c r="S28" s="28" t="s">
        <v>18</v>
      </c>
      <c r="T28" s="20" t="s">
        <v>44</v>
      </c>
    </row>
    <row r="29" spans="1:20" ht="37.5" customHeight="1" x14ac:dyDescent="0.25">
      <c r="A29" s="20" t="s">
        <v>46</v>
      </c>
      <c r="B29">
        <f t="shared" si="1"/>
        <v>18458</v>
      </c>
      <c r="C29">
        <v>3575</v>
      </c>
      <c r="D29">
        <v>14883</v>
      </c>
      <c r="E29">
        <v>23918</v>
      </c>
      <c r="F29">
        <f t="shared" si="0"/>
        <v>848</v>
      </c>
      <c r="G29" s="21">
        <f t="shared" si="6"/>
        <v>24</v>
      </c>
      <c r="H29" s="22">
        <v>99723010080</v>
      </c>
      <c r="I29" s="23" t="s">
        <v>47</v>
      </c>
      <c r="J29" s="24"/>
      <c r="K29" s="25">
        <f>M29+O29</f>
        <v>17610</v>
      </c>
      <c r="L29" s="24">
        <f t="shared" si="2"/>
        <v>848</v>
      </c>
      <c r="M29" s="25">
        <v>3382</v>
      </c>
      <c r="N29" s="26">
        <f t="shared" si="3"/>
        <v>11501</v>
      </c>
      <c r="O29" s="25">
        <v>14228</v>
      </c>
      <c r="P29" s="24">
        <f t="shared" si="4"/>
        <v>655</v>
      </c>
      <c r="Q29" s="27">
        <v>23017</v>
      </c>
      <c r="R29" s="24">
        <f t="shared" si="5"/>
        <v>901</v>
      </c>
      <c r="S29" s="28" t="s">
        <v>18</v>
      </c>
      <c r="T29" s="20" t="s">
        <v>46</v>
      </c>
    </row>
    <row r="30" spans="1:20" ht="37.5" customHeight="1" x14ac:dyDescent="0.25">
      <c r="A30" s="20" t="s">
        <v>48</v>
      </c>
      <c r="B30">
        <f t="shared" si="1"/>
        <v>14858</v>
      </c>
      <c r="C30">
        <v>4442</v>
      </c>
      <c r="D30">
        <v>10416</v>
      </c>
      <c r="E30">
        <v>27347</v>
      </c>
      <c r="F30">
        <f t="shared" si="0"/>
        <v>709</v>
      </c>
      <c r="G30" s="21">
        <f t="shared" si="6"/>
        <v>25</v>
      </c>
      <c r="H30" s="22">
        <v>99723070112</v>
      </c>
      <c r="I30" s="23" t="s">
        <v>49</v>
      </c>
      <c r="J30" s="24"/>
      <c r="K30" s="25">
        <f>M30+O30</f>
        <v>14149</v>
      </c>
      <c r="L30" s="24">
        <f t="shared" si="2"/>
        <v>709</v>
      </c>
      <c r="M30" s="25">
        <v>4200</v>
      </c>
      <c r="N30" s="26">
        <f t="shared" si="3"/>
        <v>6216</v>
      </c>
      <c r="O30" s="25">
        <v>9949</v>
      </c>
      <c r="P30" s="24">
        <f t="shared" si="4"/>
        <v>467</v>
      </c>
      <c r="Q30" s="27">
        <v>25353</v>
      </c>
      <c r="R30" s="24">
        <f t="shared" si="5"/>
        <v>1994</v>
      </c>
      <c r="S30" s="28" t="s">
        <v>18</v>
      </c>
      <c r="T30" s="20" t="s">
        <v>48</v>
      </c>
    </row>
    <row r="31" spans="1:20" ht="37.5" customHeight="1" x14ac:dyDescent="0.25">
      <c r="A31" s="20" t="s">
        <v>50</v>
      </c>
      <c r="B31">
        <f t="shared" si="1"/>
        <v>71249</v>
      </c>
      <c r="C31">
        <v>14143</v>
      </c>
      <c r="D31">
        <v>57106</v>
      </c>
      <c r="F31">
        <f t="shared" si="0"/>
        <v>265</v>
      </c>
      <c r="G31" s="21">
        <f t="shared" si="6"/>
        <v>26</v>
      </c>
      <c r="H31" s="22">
        <v>23014060681</v>
      </c>
      <c r="I31" s="23">
        <v>31</v>
      </c>
      <c r="J31" s="24"/>
      <c r="K31" s="25">
        <v>70984</v>
      </c>
      <c r="L31" s="24">
        <f t="shared" si="2"/>
        <v>265</v>
      </c>
      <c r="M31" s="25">
        <v>14097</v>
      </c>
      <c r="N31" s="26">
        <f t="shared" si="3"/>
        <v>43009</v>
      </c>
      <c r="O31" s="25">
        <v>56887</v>
      </c>
      <c r="P31" s="24">
        <f t="shared" si="4"/>
        <v>219</v>
      </c>
      <c r="Q31" s="27"/>
      <c r="R31" s="24">
        <f t="shared" si="5"/>
        <v>0</v>
      </c>
      <c r="S31" s="28" t="s">
        <v>18</v>
      </c>
      <c r="T31" s="20" t="s">
        <v>50</v>
      </c>
    </row>
    <row r="32" spans="1:20" ht="37.5" customHeight="1" x14ac:dyDescent="0.25">
      <c r="A32" s="20" t="s">
        <v>51</v>
      </c>
      <c r="B32">
        <f t="shared" si="1"/>
        <v>39470</v>
      </c>
      <c r="C32">
        <v>6143</v>
      </c>
      <c r="D32">
        <v>33327</v>
      </c>
      <c r="F32">
        <f t="shared" si="0"/>
        <v>180</v>
      </c>
      <c r="G32" s="21">
        <f t="shared" si="6"/>
        <v>27</v>
      </c>
      <c r="H32" s="22">
        <v>66617010229</v>
      </c>
      <c r="I32" s="23">
        <v>33</v>
      </c>
      <c r="J32" s="24"/>
      <c r="K32" s="25">
        <v>39290</v>
      </c>
      <c r="L32" s="24">
        <f t="shared" si="2"/>
        <v>180</v>
      </c>
      <c r="M32" s="25">
        <v>6111</v>
      </c>
      <c r="N32" s="26">
        <f t="shared" si="3"/>
        <v>27216</v>
      </c>
      <c r="O32" s="25">
        <v>33179</v>
      </c>
      <c r="P32" s="24">
        <f t="shared" si="4"/>
        <v>148</v>
      </c>
      <c r="Q32" s="27"/>
      <c r="R32" s="24">
        <f t="shared" si="5"/>
        <v>0</v>
      </c>
      <c r="S32" s="28" t="s">
        <v>18</v>
      </c>
      <c r="T32" s="20" t="s">
        <v>51</v>
      </c>
    </row>
    <row r="33" spans="1:20" ht="37.5" customHeight="1" x14ac:dyDescent="0.25">
      <c r="A33" s="20" t="s">
        <v>52</v>
      </c>
      <c r="B33">
        <f t="shared" si="1"/>
        <v>19850</v>
      </c>
      <c r="C33">
        <v>5527</v>
      </c>
      <c r="D33">
        <v>14323</v>
      </c>
      <c r="E33">
        <v>26950</v>
      </c>
      <c r="F33">
        <f t="shared" si="0"/>
        <v>709</v>
      </c>
      <c r="G33" s="21">
        <f t="shared" si="6"/>
        <v>28</v>
      </c>
      <c r="H33" s="22">
        <v>99723070110</v>
      </c>
      <c r="I33" s="23" t="s">
        <v>53</v>
      </c>
      <c r="J33" s="24"/>
      <c r="K33" s="25">
        <f>M33+O33</f>
        <v>19141</v>
      </c>
      <c r="L33" s="24">
        <f t="shared" si="2"/>
        <v>709</v>
      </c>
      <c r="M33" s="25">
        <v>5307</v>
      </c>
      <c r="N33" s="26">
        <f t="shared" si="3"/>
        <v>9016</v>
      </c>
      <c r="O33" s="25">
        <v>13834</v>
      </c>
      <c r="P33" s="24">
        <f t="shared" si="4"/>
        <v>489</v>
      </c>
      <c r="Q33" s="27">
        <v>25440</v>
      </c>
      <c r="R33" s="24">
        <f t="shared" si="5"/>
        <v>1510</v>
      </c>
      <c r="S33" s="28" t="s">
        <v>18</v>
      </c>
      <c r="T33" s="20" t="s">
        <v>52</v>
      </c>
    </row>
    <row r="34" spans="1:20" ht="37.5" customHeight="1" x14ac:dyDescent="0.25">
      <c r="A34" s="20" t="s">
        <v>54</v>
      </c>
      <c r="B34">
        <f t="shared" si="1"/>
        <v>33962</v>
      </c>
      <c r="C34">
        <v>7559</v>
      </c>
      <c r="D34">
        <v>26403</v>
      </c>
      <c r="E34">
        <v>22362</v>
      </c>
      <c r="F34">
        <f t="shared" si="0"/>
        <v>905</v>
      </c>
      <c r="G34" s="21">
        <f t="shared" si="6"/>
        <v>29</v>
      </c>
      <c r="H34" s="22">
        <v>99722030026</v>
      </c>
      <c r="I34" s="23">
        <v>35</v>
      </c>
      <c r="J34" s="24"/>
      <c r="K34" s="25">
        <f>M34+O34</f>
        <v>33057</v>
      </c>
      <c r="L34" s="24">
        <f t="shared" si="2"/>
        <v>905</v>
      </c>
      <c r="M34" s="25">
        <v>7350</v>
      </c>
      <c r="N34" s="26">
        <f t="shared" si="3"/>
        <v>19053</v>
      </c>
      <c r="O34" s="25">
        <v>25707</v>
      </c>
      <c r="P34" s="24">
        <f t="shared" si="4"/>
        <v>696</v>
      </c>
      <c r="Q34" s="27">
        <v>21376</v>
      </c>
      <c r="R34" s="24">
        <f t="shared" si="5"/>
        <v>986</v>
      </c>
      <c r="S34" s="28" t="s">
        <v>18</v>
      </c>
      <c r="T34" s="20" t="s">
        <v>54</v>
      </c>
    </row>
    <row r="35" spans="1:20" ht="37.5" customHeight="1" x14ac:dyDescent="0.25">
      <c r="A35" s="20" t="s">
        <v>55</v>
      </c>
      <c r="B35">
        <f t="shared" si="1"/>
        <v>94994</v>
      </c>
      <c r="C35">
        <v>23936</v>
      </c>
      <c r="D35">
        <v>71058</v>
      </c>
      <c r="F35">
        <f t="shared" si="0"/>
        <v>319</v>
      </c>
      <c r="G35" s="21">
        <f t="shared" si="6"/>
        <v>30</v>
      </c>
      <c r="H35" s="22">
        <v>66623011401</v>
      </c>
      <c r="I35" s="23">
        <v>38</v>
      </c>
      <c r="J35" s="24"/>
      <c r="K35" s="25">
        <v>94675</v>
      </c>
      <c r="L35" s="24">
        <f t="shared" si="2"/>
        <v>319</v>
      </c>
      <c r="M35" s="25">
        <v>23891</v>
      </c>
      <c r="N35" s="26">
        <f t="shared" si="3"/>
        <v>47167</v>
      </c>
      <c r="O35" s="25">
        <v>70784</v>
      </c>
      <c r="P35" s="24">
        <f t="shared" si="4"/>
        <v>274</v>
      </c>
      <c r="Q35" s="27"/>
      <c r="R35" s="24">
        <f t="shared" si="5"/>
        <v>0</v>
      </c>
      <c r="S35" s="28" t="s">
        <v>18</v>
      </c>
      <c r="T35" s="20" t="s">
        <v>55</v>
      </c>
    </row>
    <row r="36" spans="1:20" ht="37.5" customHeight="1" x14ac:dyDescent="0.25">
      <c r="A36" s="20" t="s">
        <v>56</v>
      </c>
      <c r="B36">
        <f t="shared" si="1"/>
        <v>5325</v>
      </c>
      <c r="C36">
        <v>932</v>
      </c>
      <c r="D36">
        <v>4393</v>
      </c>
      <c r="F36">
        <f t="shared" si="0"/>
        <v>937</v>
      </c>
      <c r="G36" s="21">
        <f t="shared" si="6"/>
        <v>31</v>
      </c>
      <c r="H36" s="22">
        <v>66622060310</v>
      </c>
      <c r="I36" s="23">
        <v>40</v>
      </c>
      <c r="J36" s="24"/>
      <c r="K36" s="25">
        <v>4388</v>
      </c>
      <c r="L36" s="24">
        <f t="shared" si="2"/>
        <v>937</v>
      </c>
      <c r="M36" s="25">
        <v>687</v>
      </c>
      <c r="N36" s="26">
        <f t="shared" si="3"/>
        <v>3706</v>
      </c>
      <c r="O36" s="25">
        <v>3701</v>
      </c>
      <c r="P36" s="24">
        <f t="shared" si="4"/>
        <v>692</v>
      </c>
      <c r="Q36" s="27"/>
      <c r="R36" s="24">
        <f t="shared" si="5"/>
        <v>0</v>
      </c>
      <c r="S36" s="28" t="s">
        <v>18</v>
      </c>
      <c r="T36" s="20" t="s">
        <v>56</v>
      </c>
    </row>
    <row r="37" spans="1:20" ht="37.5" customHeight="1" x14ac:dyDescent="0.25">
      <c r="A37" s="20" t="s">
        <v>57</v>
      </c>
      <c r="B37">
        <f t="shared" si="1"/>
        <v>48431</v>
      </c>
      <c r="C37">
        <v>8004</v>
      </c>
      <c r="D37">
        <v>40427</v>
      </c>
      <c r="F37">
        <f t="shared" si="0"/>
        <v>0</v>
      </c>
      <c r="G37" s="21">
        <f t="shared" si="6"/>
        <v>32</v>
      </c>
      <c r="H37" s="22">
        <v>88819020223</v>
      </c>
      <c r="I37" s="23">
        <v>41</v>
      </c>
      <c r="J37" s="24"/>
      <c r="K37" s="25">
        <v>48431</v>
      </c>
      <c r="L37" s="24">
        <f t="shared" si="2"/>
        <v>0</v>
      </c>
      <c r="M37" s="25">
        <v>8004</v>
      </c>
      <c r="N37" s="26">
        <f t="shared" si="3"/>
        <v>32423</v>
      </c>
      <c r="O37" s="25">
        <v>40427</v>
      </c>
      <c r="P37" s="24">
        <f t="shared" si="4"/>
        <v>0</v>
      </c>
      <c r="Q37" s="27"/>
      <c r="R37" s="24">
        <f t="shared" si="5"/>
        <v>0</v>
      </c>
      <c r="S37" s="28" t="s">
        <v>18</v>
      </c>
      <c r="T37" s="20" t="s">
        <v>57</v>
      </c>
    </row>
    <row r="38" spans="1:20" ht="37.5" customHeight="1" x14ac:dyDescent="0.25">
      <c r="A38" s="20" t="s">
        <v>58</v>
      </c>
      <c r="B38">
        <f t="shared" si="1"/>
        <v>14124</v>
      </c>
      <c r="C38">
        <v>2946</v>
      </c>
      <c r="D38">
        <v>11178</v>
      </c>
      <c r="F38">
        <f t="shared" si="0"/>
        <v>92</v>
      </c>
      <c r="G38" s="21">
        <f t="shared" si="6"/>
        <v>33</v>
      </c>
      <c r="H38" s="22">
        <v>88820030083</v>
      </c>
      <c r="I38" s="23">
        <v>42</v>
      </c>
      <c r="J38" s="24"/>
      <c r="K38" s="25">
        <v>14032</v>
      </c>
      <c r="L38" s="24">
        <f t="shared" si="2"/>
        <v>92</v>
      </c>
      <c r="M38" s="25">
        <v>2931</v>
      </c>
      <c r="N38" s="26">
        <f t="shared" si="3"/>
        <v>8247</v>
      </c>
      <c r="O38" s="25">
        <v>11101</v>
      </c>
      <c r="P38" s="24">
        <f t="shared" si="4"/>
        <v>77</v>
      </c>
      <c r="Q38" s="27"/>
      <c r="R38" s="24">
        <f t="shared" si="5"/>
        <v>0</v>
      </c>
      <c r="S38" s="28" t="s">
        <v>18</v>
      </c>
      <c r="T38" s="20" t="s">
        <v>58</v>
      </c>
    </row>
    <row r="39" spans="1:20" ht="37.5" customHeight="1" x14ac:dyDescent="0.25">
      <c r="A39" s="20" t="s">
        <v>59</v>
      </c>
      <c r="B39">
        <f t="shared" si="1"/>
        <v>29295</v>
      </c>
      <c r="C39">
        <v>4861</v>
      </c>
      <c r="D39">
        <v>24434</v>
      </c>
      <c r="F39">
        <f t="shared" si="0"/>
        <v>247</v>
      </c>
      <c r="G39" s="21">
        <f t="shared" si="6"/>
        <v>34</v>
      </c>
      <c r="H39" s="22">
        <v>88818020489</v>
      </c>
      <c r="I39" s="23">
        <v>43</v>
      </c>
      <c r="J39" s="24"/>
      <c r="K39" s="25">
        <v>29048</v>
      </c>
      <c r="L39" s="24">
        <f t="shared" si="2"/>
        <v>247</v>
      </c>
      <c r="M39" s="25"/>
      <c r="N39" s="26">
        <f t="shared" si="3"/>
        <v>24434</v>
      </c>
      <c r="O39" s="25"/>
      <c r="P39" s="24">
        <f t="shared" si="4"/>
        <v>24434</v>
      </c>
      <c r="Q39" s="27"/>
      <c r="R39" s="24">
        <f t="shared" si="5"/>
        <v>0</v>
      </c>
      <c r="S39" s="28" t="s">
        <v>18</v>
      </c>
      <c r="T39" s="20" t="s">
        <v>59</v>
      </c>
    </row>
    <row r="40" spans="1:20" ht="37.5" customHeight="1" x14ac:dyDescent="0.25">
      <c r="A40" s="20" t="s">
        <v>60</v>
      </c>
      <c r="B40">
        <f t="shared" si="1"/>
        <v>34501</v>
      </c>
      <c r="C40">
        <v>5876</v>
      </c>
      <c r="D40">
        <v>28625</v>
      </c>
      <c r="F40">
        <f t="shared" si="0"/>
        <v>411</v>
      </c>
      <c r="G40" s="21">
        <f t="shared" si="6"/>
        <v>35</v>
      </c>
      <c r="H40" s="22">
        <v>66621030173</v>
      </c>
      <c r="I40" s="23">
        <v>44</v>
      </c>
      <c r="J40" s="24"/>
      <c r="K40" s="25">
        <v>34090</v>
      </c>
      <c r="L40" s="24">
        <f t="shared" si="2"/>
        <v>411</v>
      </c>
      <c r="M40" s="25">
        <v>5808</v>
      </c>
      <c r="N40" s="26">
        <f t="shared" si="3"/>
        <v>22817</v>
      </c>
      <c r="O40" s="25">
        <v>28282</v>
      </c>
      <c r="P40" s="24">
        <f t="shared" si="4"/>
        <v>343</v>
      </c>
      <c r="Q40" s="27"/>
      <c r="R40" s="24">
        <f t="shared" si="5"/>
        <v>0</v>
      </c>
      <c r="S40" s="28" t="s">
        <v>18</v>
      </c>
      <c r="T40" s="20" t="s">
        <v>60</v>
      </c>
    </row>
    <row r="41" spans="1:20" ht="37.5" customHeight="1" x14ac:dyDescent="0.25">
      <c r="A41" s="20" t="s">
        <v>61</v>
      </c>
      <c r="B41">
        <f t="shared" si="1"/>
        <v>54619</v>
      </c>
      <c r="C41">
        <v>10864</v>
      </c>
      <c r="D41">
        <v>43755</v>
      </c>
      <c r="F41">
        <f t="shared" si="0"/>
        <v>364</v>
      </c>
      <c r="G41" s="21">
        <f t="shared" si="6"/>
        <v>36</v>
      </c>
      <c r="H41" s="22">
        <v>66616031421</v>
      </c>
      <c r="I41" s="23">
        <v>47</v>
      </c>
      <c r="J41" s="24"/>
      <c r="K41" s="25">
        <v>54255</v>
      </c>
      <c r="L41" s="24">
        <f t="shared" si="2"/>
        <v>364</v>
      </c>
      <c r="M41" s="25">
        <v>10790</v>
      </c>
      <c r="N41" s="26">
        <f t="shared" si="3"/>
        <v>32965</v>
      </c>
      <c r="O41" s="25">
        <v>43465</v>
      </c>
      <c r="P41" s="24">
        <f t="shared" si="4"/>
        <v>290</v>
      </c>
      <c r="Q41" s="27"/>
      <c r="R41" s="24">
        <f t="shared" si="5"/>
        <v>0</v>
      </c>
      <c r="S41" s="28" t="s">
        <v>18</v>
      </c>
      <c r="T41" s="20" t="s">
        <v>61</v>
      </c>
    </row>
    <row r="42" spans="1:20" ht="37.5" customHeight="1" x14ac:dyDescent="0.25">
      <c r="A42" s="20" t="s">
        <v>62</v>
      </c>
      <c r="B42">
        <f t="shared" si="1"/>
        <v>11234</v>
      </c>
      <c r="C42">
        <v>3138</v>
      </c>
      <c r="D42">
        <v>8096</v>
      </c>
      <c r="E42">
        <v>8797</v>
      </c>
      <c r="F42">
        <f t="shared" si="0"/>
        <v>1422</v>
      </c>
      <c r="G42" s="21">
        <f t="shared" si="6"/>
        <v>37</v>
      </c>
      <c r="H42" s="22">
        <v>99624040047</v>
      </c>
      <c r="I42" s="23">
        <v>50</v>
      </c>
      <c r="J42" s="24"/>
      <c r="K42" s="25">
        <f>M42+O42</f>
        <v>9812</v>
      </c>
      <c r="L42" s="24">
        <f t="shared" si="2"/>
        <v>1422</v>
      </c>
      <c r="M42" s="25">
        <v>2763</v>
      </c>
      <c r="N42" s="26">
        <f t="shared" si="3"/>
        <v>5333</v>
      </c>
      <c r="O42" s="25">
        <v>7049</v>
      </c>
      <c r="P42" s="24">
        <f t="shared" si="4"/>
        <v>1047</v>
      </c>
      <c r="Q42" s="27">
        <v>7080</v>
      </c>
      <c r="R42" s="24">
        <f t="shared" si="5"/>
        <v>1717</v>
      </c>
      <c r="S42" s="28" t="s">
        <v>18</v>
      </c>
      <c r="T42" s="20" t="s">
        <v>62</v>
      </c>
    </row>
    <row r="43" spans="1:20" ht="37.5" customHeight="1" x14ac:dyDescent="0.25">
      <c r="A43" s="20" t="s">
        <v>63</v>
      </c>
      <c r="B43">
        <f t="shared" si="1"/>
        <v>1698</v>
      </c>
      <c r="C43">
        <v>240</v>
      </c>
      <c r="D43">
        <v>1458</v>
      </c>
      <c r="F43">
        <f t="shared" si="0"/>
        <v>1</v>
      </c>
      <c r="G43" s="21">
        <f t="shared" si="6"/>
        <v>38</v>
      </c>
      <c r="H43" s="22">
        <v>66622030096</v>
      </c>
      <c r="I43" s="23">
        <v>51</v>
      </c>
      <c r="J43" s="24"/>
      <c r="K43" s="25">
        <v>1697</v>
      </c>
      <c r="L43" s="24">
        <f t="shared" si="2"/>
        <v>1</v>
      </c>
      <c r="M43" s="25">
        <v>240</v>
      </c>
      <c r="N43" s="26">
        <f t="shared" si="3"/>
        <v>1218</v>
      </c>
      <c r="O43" s="25">
        <v>1457</v>
      </c>
      <c r="P43" s="24">
        <f t="shared" si="4"/>
        <v>1</v>
      </c>
      <c r="Q43" s="27"/>
      <c r="R43" s="24">
        <f t="shared" si="5"/>
        <v>0</v>
      </c>
      <c r="S43" s="28" t="s">
        <v>18</v>
      </c>
      <c r="T43" s="20" t="s">
        <v>63</v>
      </c>
    </row>
    <row r="44" spans="1:20" ht="37.5" customHeight="1" x14ac:dyDescent="0.25">
      <c r="A44" s="20" t="s">
        <v>64</v>
      </c>
      <c r="B44">
        <f t="shared" si="1"/>
        <v>143864</v>
      </c>
      <c r="C44">
        <v>24822</v>
      </c>
      <c r="D44">
        <v>119042</v>
      </c>
      <c r="F44">
        <f t="shared" si="0"/>
        <v>2623</v>
      </c>
      <c r="G44" s="21">
        <f t="shared" si="6"/>
        <v>39</v>
      </c>
      <c r="H44" s="22">
        <v>66621060364</v>
      </c>
      <c r="I44" s="23" t="s">
        <v>65</v>
      </c>
      <c r="J44" s="24"/>
      <c r="K44" s="25">
        <v>141241</v>
      </c>
      <c r="L44" s="24">
        <f t="shared" si="2"/>
        <v>2623</v>
      </c>
      <c r="M44" s="25">
        <v>24433</v>
      </c>
      <c r="N44" s="26">
        <f t="shared" si="3"/>
        <v>94609</v>
      </c>
      <c r="O44" s="25">
        <v>116808</v>
      </c>
      <c r="P44" s="24">
        <f t="shared" si="4"/>
        <v>2234</v>
      </c>
      <c r="Q44" s="27"/>
      <c r="R44" s="24">
        <f t="shared" si="5"/>
        <v>0</v>
      </c>
      <c r="S44" s="28" t="s">
        <v>18</v>
      </c>
      <c r="T44" s="20" t="s">
        <v>64</v>
      </c>
    </row>
    <row r="45" spans="1:20" ht="37.5" customHeight="1" x14ac:dyDescent="0.25">
      <c r="A45" s="20" t="s">
        <v>66</v>
      </c>
      <c r="B45">
        <f t="shared" si="1"/>
        <v>13052</v>
      </c>
      <c r="C45">
        <v>3371</v>
      </c>
      <c r="D45">
        <v>9681</v>
      </c>
      <c r="E45">
        <v>22907</v>
      </c>
      <c r="F45">
        <f t="shared" si="0"/>
        <v>360</v>
      </c>
      <c r="G45" s="21">
        <f t="shared" si="6"/>
        <v>40</v>
      </c>
      <c r="H45" s="22">
        <v>99622050043</v>
      </c>
      <c r="I45" s="23">
        <v>55</v>
      </c>
      <c r="J45" s="24"/>
      <c r="K45" s="25">
        <f>M45+O45</f>
        <v>12692</v>
      </c>
      <c r="L45" s="24">
        <f t="shared" si="2"/>
        <v>360</v>
      </c>
      <c r="M45" s="25">
        <v>3284</v>
      </c>
      <c r="N45" s="26">
        <f t="shared" si="3"/>
        <v>6397</v>
      </c>
      <c r="O45" s="25">
        <v>9408</v>
      </c>
      <c r="P45" s="24">
        <f t="shared" si="4"/>
        <v>273</v>
      </c>
      <c r="Q45" s="27">
        <v>21872</v>
      </c>
      <c r="R45" s="24">
        <f t="shared" si="5"/>
        <v>1035</v>
      </c>
      <c r="S45" s="28" t="s">
        <v>18</v>
      </c>
      <c r="T45" s="20" t="s">
        <v>66</v>
      </c>
    </row>
    <row r="46" spans="1:20" ht="37.5" customHeight="1" x14ac:dyDescent="0.25">
      <c r="A46" s="20" t="s">
        <v>67</v>
      </c>
      <c r="B46">
        <f t="shared" si="1"/>
        <v>42289</v>
      </c>
      <c r="C46">
        <v>7068</v>
      </c>
      <c r="D46">
        <v>35221</v>
      </c>
      <c r="F46">
        <f t="shared" si="0"/>
        <v>916</v>
      </c>
      <c r="G46" s="21">
        <f t="shared" si="6"/>
        <v>41</v>
      </c>
      <c r="H46" s="22">
        <v>88820010443</v>
      </c>
      <c r="I46" s="23">
        <v>56</v>
      </c>
      <c r="J46" s="24"/>
      <c r="K46" s="25">
        <v>41373</v>
      </c>
      <c r="L46" s="24">
        <f t="shared" si="2"/>
        <v>916</v>
      </c>
      <c r="M46" s="25">
        <v>6904</v>
      </c>
      <c r="N46" s="26">
        <f t="shared" si="3"/>
        <v>28317</v>
      </c>
      <c r="O46" s="25">
        <v>34469</v>
      </c>
      <c r="P46" s="24">
        <f t="shared" si="4"/>
        <v>752</v>
      </c>
      <c r="Q46" s="27"/>
      <c r="R46" s="24">
        <f t="shared" si="5"/>
        <v>0</v>
      </c>
      <c r="S46" s="28" t="s">
        <v>18</v>
      </c>
      <c r="T46" s="20" t="s">
        <v>67</v>
      </c>
    </row>
    <row r="47" spans="1:20" ht="37.5" customHeight="1" x14ac:dyDescent="0.25">
      <c r="A47" s="20" t="s">
        <v>68</v>
      </c>
      <c r="B47">
        <f t="shared" si="1"/>
        <v>1159</v>
      </c>
      <c r="C47">
        <v>163</v>
      </c>
      <c r="D47">
        <v>996</v>
      </c>
      <c r="F47">
        <f t="shared" si="0"/>
        <v>31</v>
      </c>
      <c r="G47" s="21">
        <f t="shared" si="6"/>
        <v>42</v>
      </c>
      <c r="H47" s="22">
        <v>66622060275</v>
      </c>
      <c r="I47" s="23">
        <v>57</v>
      </c>
      <c r="J47" s="24"/>
      <c r="K47" s="25">
        <v>1128</v>
      </c>
      <c r="L47" s="24">
        <f t="shared" si="2"/>
        <v>31</v>
      </c>
      <c r="M47" s="25">
        <v>157</v>
      </c>
      <c r="N47" s="26">
        <f t="shared" si="3"/>
        <v>839</v>
      </c>
      <c r="O47" s="25">
        <v>971</v>
      </c>
      <c r="P47" s="24">
        <f t="shared" si="4"/>
        <v>25</v>
      </c>
      <c r="Q47" s="27"/>
      <c r="R47" s="24">
        <f t="shared" si="5"/>
        <v>0</v>
      </c>
      <c r="S47" s="28" t="s">
        <v>18</v>
      </c>
      <c r="T47" s="20" t="s">
        <v>68</v>
      </c>
    </row>
    <row r="48" spans="1:20" ht="37.5" customHeight="1" x14ac:dyDescent="0.25">
      <c r="A48" s="20" t="s">
        <v>69</v>
      </c>
      <c r="B48">
        <f t="shared" si="1"/>
        <v>31480</v>
      </c>
      <c r="C48">
        <v>8202</v>
      </c>
      <c r="D48">
        <v>23278</v>
      </c>
      <c r="E48">
        <v>27482</v>
      </c>
      <c r="F48">
        <f t="shared" si="0"/>
        <v>957</v>
      </c>
      <c r="G48" s="21">
        <f t="shared" si="6"/>
        <v>43</v>
      </c>
      <c r="H48" s="22">
        <v>99722020003</v>
      </c>
      <c r="I48" s="23">
        <v>58</v>
      </c>
      <c r="J48" s="24"/>
      <c r="K48" s="25">
        <f>M48+O48</f>
        <v>30523</v>
      </c>
      <c r="L48" s="24">
        <f t="shared" si="2"/>
        <v>957</v>
      </c>
      <c r="M48" s="25">
        <v>7903</v>
      </c>
      <c r="N48" s="26">
        <f t="shared" si="3"/>
        <v>15375</v>
      </c>
      <c r="O48" s="25">
        <v>22620</v>
      </c>
      <c r="P48" s="24">
        <f t="shared" si="4"/>
        <v>658</v>
      </c>
      <c r="Q48" s="27">
        <v>26095</v>
      </c>
      <c r="R48" s="24">
        <f t="shared" si="5"/>
        <v>1387</v>
      </c>
      <c r="S48" s="28" t="s">
        <v>18</v>
      </c>
      <c r="T48" s="20" t="s">
        <v>69</v>
      </c>
    </row>
    <row r="49" spans="1:20" ht="37.5" customHeight="1" x14ac:dyDescent="0.25">
      <c r="A49" s="20" t="s">
        <v>70</v>
      </c>
      <c r="B49">
        <f t="shared" si="1"/>
        <v>67387</v>
      </c>
      <c r="C49">
        <v>12185</v>
      </c>
      <c r="D49">
        <v>55202</v>
      </c>
      <c r="F49">
        <f t="shared" si="0"/>
        <v>787</v>
      </c>
      <c r="G49" s="21">
        <f t="shared" si="6"/>
        <v>44</v>
      </c>
      <c r="H49" s="22">
        <v>23015100925</v>
      </c>
      <c r="I49" s="23">
        <v>59</v>
      </c>
      <c r="J49" s="24"/>
      <c r="K49" s="25">
        <v>66600</v>
      </c>
      <c r="L49" s="24">
        <f t="shared" si="2"/>
        <v>787</v>
      </c>
      <c r="M49" s="25">
        <v>12033</v>
      </c>
      <c r="N49" s="26">
        <f t="shared" si="3"/>
        <v>43169</v>
      </c>
      <c r="O49" s="25">
        <v>54567</v>
      </c>
      <c r="P49" s="24">
        <f t="shared" si="4"/>
        <v>635</v>
      </c>
      <c r="Q49" s="27"/>
      <c r="R49" s="24">
        <f t="shared" si="5"/>
        <v>0</v>
      </c>
      <c r="S49" s="28" t="s">
        <v>18</v>
      </c>
      <c r="T49" s="20" t="s">
        <v>70</v>
      </c>
    </row>
    <row r="50" spans="1:20" ht="37.5" customHeight="1" x14ac:dyDescent="0.25">
      <c r="A50" s="20" t="s">
        <v>71</v>
      </c>
      <c r="B50">
        <f t="shared" si="1"/>
        <v>15490</v>
      </c>
      <c r="C50">
        <v>2737</v>
      </c>
      <c r="D50">
        <v>12753</v>
      </c>
      <c r="F50">
        <f t="shared" si="0"/>
        <v>162</v>
      </c>
      <c r="G50" s="21">
        <f t="shared" si="6"/>
        <v>45</v>
      </c>
      <c r="H50" s="22">
        <v>66618010320</v>
      </c>
      <c r="I50" s="23">
        <v>61</v>
      </c>
      <c r="J50" s="24"/>
      <c r="K50" s="25">
        <v>15328</v>
      </c>
      <c r="L50" s="24">
        <f t="shared" si="2"/>
        <v>162</v>
      </c>
      <c r="M50" s="25">
        <v>2719</v>
      </c>
      <c r="N50" s="26">
        <f t="shared" si="3"/>
        <v>10034</v>
      </c>
      <c r="O50" s="25">
        <v>12609</v>
      </c>
      <c r="P50" s="24">
        <f t="shared" si="4"/>
        <v>144</v>
      </c>
      <c r="Q50" s="27"/>
      <c r="R50" s="24">
        <f t="shared" si="5"/>
        <v>0</v>
      </c>
      <c r="S50" s="28" t="s">
        <v>18</v>
      </c>
      <c r="T50" s="20" t="s">
        <v>71</v>
      </c>
    </row>
    <row r="51" spans="1:20" ht="37.5" customHeight="1" x14ac:dyDescent="0.25">
      <c r="A51" s="20" t="s">
        <v>72</v>
      </c>
      <c r="B51">
        <f t="shared" si="1"/>
        <v>10751</v>
      </c>
      <c r="C51">
        <v>2754</v>
      </c>
      <c r="D51">
        <v>7997</v>
      </c>
      <c r="E51">
        <v>12627</v>
      </c>
      <c r="F51">
        <f t="shared" si="0"/>
        <v>441</v>
      </c>
      <c r="G51" s="21">
        <f t="shared" si="6"/>
        <v>46</v>
      </c>
      <c r="H51" s="22">
        <v>99623080060</v>
      </c>
      <c r="I51" s="23">
        <v>62</v>
      </c>
      <c r="J51" s="24"/>
      <c r="K51" s="25">
        <f>M51+O51</f>
        <v>10310</v>
      </c>
      <c r="L51" s="24">
        <f t="shared" si="2"/>
        <v>441</v>
      </c>
      <c r="M51" s="25">
        <v>2625</v>
      </c>
      <c r="N51" s="26">
        <f t="shared" si="3"/>
        <v>5372</v>
      </c>
      <c r="O51" s="25">
        <v>7685</v>
      </c>
      <c r="P51" s="24">
        <f t="shared" si="4"/>
        <v>312</v>
      </c>
      <c r="Q51" s="27">
        <v>11562</v>
      </c>
      <c r="R51" s="24">
        <f t="shared" si="5"/>
        <v>1065</v>
      </c>
      <c r="S51" s="28" t="s">
        <v>18</v>
      </c>
      <c r="T51" s="20" t="s">
        <v>72</v>
      </c>
    </row>
    <row r="52" spans="1:20" ht="37.5" customHeight="1" x14ac:dyDescent="0.25">
      <c r="A52" s="20" t="s">
        <v>73</v>
      </c>
      <c r="B52">
        <f t="shared" si="1"/>
        <v>10137</v>
      </c>
      <c r="C52">
        <v>1926</v>
      </c>
      <c r="D52">
        <v>8211</v>
      </c>
      <c r="F52">
        <f t="shared" si="0"/>
        <v>22</v>
      </c>
      <c r="G52" s="21">
        <f t="shared" si="6"/>
        <v>47</v>
      </c>
      <c r="H52" s="22">
        <v>23014040378</v>
      </c>
      <c r="I52" s="23" t="s">
        <v>74</v>
      </c>
      <c r="J52" s="24"/>
      <c r="K52" s="25">
        <v>10115</v>
      </c>
      <c r="L52" s="24">
        <f t="shared" si="2"/>
        <v>22</v>
      </c>
      <c r="M52" s="25">
        <v>1925</v>
      </c>
      <c r="N52" s="26">
        <f t="shared" si="3"/>
        <v>6286</v>
      </c>
      <c r="O52" s="25">
        <v>8190</v>
      </c>
      <c r="P52" s="24">
        <f t="shared" si="4"/>
        <v>21</v>
      </c>
      <c r="Q52" s="27"/>
      <c r="R52" s="24">
        <f t="shared" si="5"/>
        <v>0</v>
      </c>
      <c r="S52" s="28" t="s">
        <v>18</v>
      </c>
      <c r="T52" s="20" t="s">
        <v>73</v>
      </c>
    </row>
    <row r="53" spans="1:20" ht="37.5" customHeight="1" x14ac:dyDescent="0.25">
      <c r="A53" s="20" t="s">
        <v>75</v>
      </c>
      <c r="B53">
        <f t="shared" si="1"/>
        <v>5725</v>
      </c>
      <c r="C53">
        <v>1101</v>
      </c>
      <c r="D53">
        <v>4624</v>
      </c>
      <c r="E53">
        <v>12577</v>
      </c>
      <c r="F53">
        <f t="shared" si="0"/>
        <v>173</v>
      </c>
      <c r="G53" s="21">
        <f t="shared" si="6"/>
        <v>48</v>
      </c>
      <c r="H53" s="22">
        <v>99723060021</v>
      </c>
      <c r="I53" s="23">
        <v>63</v>
      </c>
      <c r="J53" s="24"/>
      <c r="K53" s="25">
        <f>M53+O53</f>
        <v>5552</v>
      </c>
      <c r="L53" s="24">
        <f t="shared" si="2"/>
        <v>173</v>
      </c>
      <c r="M53" s="25">
        <v>1064</v>
      </c>
      <c r="N53" s="26">
        <f t="shared" si="3"/>
        <v>3560</v>
      </c>
      <c r="O53" s="25">
        <v>4488</v>
      </c>
      <c r="P53" s="24">
        <f t="shared" si="4"/>
        <v>136</v>
      </c>
      <c r="Q53" s="27">
        <v>11830</v>
      </c>
      <c r="R53" s="24">
        <f t="shared" si="5"/>
        <v>747</v>
      </c>
      <c r="S53" s="28" t="s">
        <v>18</v>
      </c>
      <c r="T53" s="20" t="s">
        <v>75</v>
      </c>
    </row>
    <row r="54" spans="1:20" ht="37.5" customHeight="1" x14ac:dyDescent="0.25">
      <c r="A54" s="20" t="s">
        <v>76</v>
      </c>
      <c r="B54">
        <f t="shared" si="1"/>
        <v>27784</v>
      </c>
      <c r="C54">
        <v>8640</v>
      </c>
      <c r="D54">
        <v>19144</v>
      </c>
      <c r="E54">
        <v>21610</v>
      </c>
      <c r="F54">
        <f t="shared" si="0"/>
        <v>1005</v>
      </c>
      <c r="G54" s="21">
        <f t="shared" si="6"/>
        <v>49</v>
      </c>
      <c r="H54" s="22">
        <v>99622050018</v>
      </c>
      <c r="I54" s="23">
        <v>65</v>
      </c>
      <c r="J54" s="24"/>
      <c r="K54" s="25">
        <f>M54+O54</f>
        <v>26779</v>
      </c>
      <c r="L54" s="24">
        <f t="shared" si="2"/>
        <v>1005</v>
      </c>
      <c r="M54" s="25">
        <v>8333</v>
      </c>
      <c r="N54" s="26">
        <f t="shared" si="3"/>
        <v>10811</v>
      </c>
      <c r="O54" s="25">
        <v>18446</v>
      </c>
      <c r="P54" s="24">
        <f t="shared" si="4"/>
        <v>698</v>
      </c>
      <c r="Q54" s="27">
        <v>20765</v>
      </c>
      <c r="R54" s="24">
        <f t="shared" si="5"/>
        <v>845</v>
      </c>
      <c r="S54" s="28" t="s">
        <v>18</v>
      </c>
      <c r="T54" s="20" t="s">
        <v>76</v>
      </c>
    </row>
    <row r="55" spans="1:20" ht="37.5" customHeight="1" x14ac:dyDescent="0.25">
      <c r="A55" s="20" t="s">
        <v>77</v>
      </c>
      <c r="B55">
        <f t="shared" si="1"/>
        <v>27383</v>
      </c>
      <c r="C55">
        <v>3695</v>
      </c>
      <c r="D55">
        <v>23688</v>
      </c>
      <c r="F55">
        <f t="shared" si="0"/>
        <v>414</v>
      </c>
      <c r="G55" s="21">
        <f t="shared" si="6"/>
        <v>50</v>
      </c>
      <c r="H55" s="22">
        <v>88820020424</v>
      </c>
      <c r="I55" s="23">
        <v>67</v>
      </c>
      <c r="J55" s="24"/>
      <c r="K55" s="25">
        <v>26969</v>
      </c>
      <c r="L55" s="24">
        <f t="shared" si="2"/>
        <v>414</v>
      </c>
      <c r="M55" s="25">
        <v>3653</v>
      </c>
      <c r="N55" s="26">
        <f t="shared" si="3"/>
        <v>20035</v>
      </c>
      <c r="O55" s="25">
        <v>23316</v>
      </c>
      <c r="P55" s="24">
        <f t="shared" si="4"/>
        <v>372</v>
      </c>
      <c r="Q55" s="27"/>
      <c r="R55" s="24">
        <f t="shared" si="5"/>
        <v>0</v>
      </c>
      <c r="S55" s="28" t="s">
        <v>18</v>
      </c>
      <c r="T55" s="20" t="s">
        <v>77</v>
      </c>
    </row>
    <row r="56" spans="1:20" ht="37.5" customHeight="1" x14ac:dyDescent="0.25">
      <c r="A56" s="20" t="s">
        <v>78</v>
      </c>
      <c r="B56">
        <f t="shared" si="1"/>
        <v>35444</v>
      </c>
      <c r="C56">
        <v>6272</v>
      </c>
      <c r="D56">
        <v>29172</v>
      </c>
      <c r="F56">
        <f t="shared" si="0"/>
        <v>311</v>
      </c>
      <c r="G56" s="21">
        <f t="shared" si="6"/>
        <v>51</v>
      </c>
      <c r="H56" s="22">
        <v>88819050437</v>
      </c>
      <c r="I56" s="23">
        <v>69</v>
      </c>
      <c r="J56" s="24"/>
      <c r="K56" s="25">
        <v>35133</v>
      </c>
      <c r="L56" s="24">
        <f t="shared" si="2"/>
        <v>311</v>
      </c>
      <c r="M56" s="25">
        <v>6215</v>
      </c>
      <c r="N56" s="26">
        <f t="shared" si="3"/>
        <v>22957</v>
      </c>
      <c r="O56" s="25">
        <v>28918</v>
      </c>
      <c r="P56" s="24">
        <f t="shared" si="4"/>
        <v>254</v>
      </c>
      <c r="Q56" s="27"/>
      <c r="R56" s="24">
        <f t="shared" si="5"/>
        <v>0</v>
      </c>
      <c r="S56" s="28" t="s">
        <v>18</v>
      </c>
      <c r="T56" s="20" t="s">
        <v>78</v>
      </c>
    </row>
    <row r="57" spans="1:20" ht="37.5" customHeight="1" x14ac:dyDescent="0.25">
      <c r="A57" s="20" t="s">
        <v>79</v>
      </c>
      <c r="B57">
        <f t="shared" si="1"/>
        <v>6543</v>
      </c>
      <c r="C57">
        <v>1615</v>
      </c>
      <c r="D57">
        <v>4928</v>
      </c>
      <c r="E57">
        <v>9433</v>
      </c>
      <c r="F57">
        <f t="shared" si="0"/>
        <v>420</v>
      </c>
      <c r="G57" s="21">
        <f t="shared" si="6"/>
        <v>52</v>
      </c>
      <c r="H57" s="22">
        <v>99624010095</v>
      </c>
      <c r="I57" s="23">
        <v>70</v>
      </c>
      <c r="J57" s="24"/>
      <c r="K57" s="25">
        <f>M57+O57</f>
        <v>6123</v>
      </c>
      <c r="L57" s="24">
        <f t="shared" si="2"/>
        <v>420</v>
      </c>
      <c r="M57" s="25">
        <v>1501</v>
      </c>
      <c r="N57" s="26">
        <f t="shared" si="3"/>
        <v>3427</v>
      </c>
      <c r="O57" s="25">
        <v>4622</v>
      </c>
      <c r="P57" s="24">
        <f t="shared" si="4"/>
        <v>306</v>
      </c>
      <c r="Q57" s="27">
        <v>8465</v>
      </c>
      <c r="R57" s="24">
        <f t="shared" si="5"/>
        <v>968</v>
      </c>
      <c r="S57" s="28" t="s">
        <v>18</v>
      </c>
      <c r="T57" s="20" t="s">
        <v>79</v>
      </c>
    </row>
    <row r="58" spans="1:20" ht="37.5" customHeight="1" x14ac:dyDescent="0.25">
      <c r="A58" s="20" t="s">
        <v>80</v>
      </c>
      <c r="B58">
        <f t="shared" si="1"/>
        <v>21309</v>
      </c>
      <c r="C58">
        <v>5112</v>
      </c>
      <c r="D58">
        <v>16197</v>
      </c>
      <c r="E58">
        <v>24993</v>
      </c>
      <c r="F58">
        <f t="shared" si="0"/>
        <v>980</v>
      </c>
      <c r="G58" s="21">
        <f t="shared" si="6"/>
        <v>53</v>
      </c>
      <c r="H58" s="22">
        <v>99723070183</v>
      </c>
      <c r="I58" s="23">
        <v>71</v>
      </c>
      <c r="J58" s="24"/>
      <c r="K58" s="25">
        <f>M58+O58</f>
        <v>20329</v>
      </c>
      <c r="L58" s="24">
        <f t="shared" si="2"/>
        <v>980</v>
      </c>
      <c r="M58" s="25">
        <v>4862</v>
      </c>
      <c r="N58" s="26">
        <f t="shared" si="3"/>
        <v>11335</v>
      </c>
      <c r="O58" s="25">
        <v>15467</v>
      </c>
      <c r="P58" s="24">
        <f t="shared" si="4"/>
        <v>730</v>
      </c>
      <c r="Q58" s="27">
        <v>23111</v>
      </c>
      <c r="R58" s="24">
        <f t="shared" si="5"/>
        <v>1882</v>
      </c>
      <c r="S58" s="28" t="s">
        <v>18</v>
      </c>
      <c r="T58" s="20" t="s">
        <v>80</v>
      </c>
    </row>
    <row r="59" spans="1:20" ht="37.5" customHeight="1" x14ac:dyDescent="0.25">
      <c r="A59" s="20" t="s">
        <v>81</v>
      </c>
      <c r="B59">
        <f t="shared" si="1"/>
        <v>15275</v>
      </c>
      <c r="C59">
        <v>3760</v>
      </c>
      <c r="D59">
        <v>11515</v>
      </c>
      <c r="E59">
        <v>23656</v>
      </c>
      <c r="F59">
        <f t="shared" si="0"/>
        <v>450</v>
      </c>
      <c r="G59" s="21">
        <f t="shared" si="6"/>
        <v>54</v>
      </c>
      <c r="H59" s="22">
        <v>99722040003</v>
      </c>
      <c r="I59" s="23">
        <v>72</v>
      </c>
      <c r="J59" s="24"/>
      <c r="K59" s="25">
        <f>M59+O59</f>
        <v>14825</v>
      </c>
      <c r="L59" s="24">
        <f t="shared" si="2"/>
        <v>450</v>
      </c>
      <c r="M59" s="25">
        <v>3619</v>
      </c>
      <c r="N59" s="26">
        <f t="shared" si="3"/>
        <v>7896</v>
      </c>
      <c r="O59" s="25">
        <v>11206</v>
      </c>
      <c r="P59" s="24">
        <f t="shared" si="4"/>
        <v>309</v>
      </c>
      <c r="Q59" s="27">
        <v>22567</v>
      </c>
      <c r="R59" s="24">
        <f t="shared" si="5"/>
        <v>1089</v>
      </c>
      <c r="S59" s="28" t="s">
        <v>18</v>
      </c>
      <c r="T59" s="20" t="s">
        <v>81</v>
      </c>
    </row>
    <row r="60" spans="1:20" ht="37.5" customHeight="1" x14ac:dyDescent="0.25">
      <c r="A60" s="20" t="s">
        <v>82</v>
      </c>
      <c r="B60">
        <f t="shared" si="1"/>
        <v>8282</v>
      </c>
      <c r="C60">
        <v>1583</v>
      </c>
      <c r="D60">
        <v>6699</v>
      </c>
      <c r="F60">
        <f t="shared" si="0"/>
        <v>122</v>
      </c>
      <c r="G60" s="21">
        <f t="shared" si="6"/>
        <v>55</v>
      </c>
      <c r="H60" s="22">
        <v>66621040121</v>
      </c>
      <c r="I60" s="23">
        <v>73</v>
      </c>
      <c r="J60" s="24"/>
      <c r="K60" s="25">
        <v>8160</v>
      </c>
      <c r="L60" s="24">
        <f t="shared" si="2"/>
        <v>122</v>
      </c>
      <c r="M60" s="25">
        <v>1559</v>
      </c>
      <c r="N60" s="26">
        <f t="shared" si="3"/>
        <v>5140</v>
      </c>
      <c r="O60" s="25">
        <v>6601</v>
      </c>
      <c r="P60" s="24">
        <f t="shared" si="4"/>
        <v>98</v>
      </c>
      <c r="Q60" s="27"/>
      <c r="R60" s="24">
        <f t="shared" si="5"/>
        <v>0</v>
      </c>
      <c r="S60" s="28" t="s">
        <v>18</v>
      </c>
      <c r="T60" s="20" t="s">
        <v>82</v>
      </c>
    </row>
    <row r="61" spans="1:20" ht="37.5" customHeight="1" x14ac:dyDescent="0.25">
      <c r="A61" s="20" t="s">
        <v>83</v>
      </c>
      <c r="B61">
        <f t="shared" si="1"/>
        <v>127109</v>
      </c>
      <c r="C61">
        <v>43580</v>
      </c>
      <c r="D61">
        <v>83529</v>
      </c>
      <c r="F61">
        <f t="shared" si="0"/>
        <v>486</v>
      </c>
      <c r="G61" s="21">
        <f t="shared" si="6"/>
        <v>56</v>
      </c>
      <c r="H61" s="22">
        <v>23010020006</v>
      </c>
      <c r="I61" s="23">
        <v>74</v>
      </c>
      <c r="J61" s="24"/>
      <c r="K61" s="25">
        <v>126623</v>
      </c>
      <c r="L61" s="24">
        <f t="shared" si="2"/>
        <v>486</v>
      </c>
      <c r="M61" s="25">
        <v>43501</v>
      </c>
      <c r="N61" s="26">
        <f t="shared" si="3"/>
        <v>40028</v>
      </c>
      <c r="O61" s="25">
        <v>83122</v>
      </c>
      <c r="P61" s="24">
        <f t="shared" si="4"/>
        <v>407</v>
      </c>
      <c r="Q61" s="27"/>
      <c r="R61" s="24">
        <f t="shared" si="5"/>
        <v>0</v>
      </c>
      <c r="S61" s="28" t="s">
        <v>18</v>
      </c>
      <c r="T61" s="20" t="s">
        <v>83</v>
      </c>
    </row>
    <row r="62" spans="1:20" ht="37.5" customHeight="1" x14ac:dyDescent="0.25">
      <c r="A62" s="20" t="s">
        <v>84</v>
      </c>
      <c r="B62">
        <f t="shared" si="1"/>
        <v>80457</v>
      </c>
      <c r="C62">
        <v>16407</v>
      </c>
      <c r="D62">
        <v>64050</v>
      </c>
      <c r="F62">
        <f t="shared" si="0"/>
        <v>1277</v>
      </c>
      <c r="G62" s="21">
        <f t="shared" si="6"/>
        <v>57</v>
      </c>
      <c r="H62" s="22">
        <v>88818020431</v>
      </c>
      <c r="I62" s="23">
        <v>75</v>
      </c>
      <c r="J62" s="24"/>
      <c r="K62" s="25">
        <v>79180</v>
      </c>
      <c r="L62" s="24">
        <f t="shared" si="2"/>
        <v>1277</v>
      </c>
      <c r="M62" s="25">
        <v>16122</v>
      </c>
      <c r="N62" s="26">
        <f t="shared" si="3"/>
        <v>47928</v>
      </c>
      <c r="O62" s="25">
        <v>63058</v>
      </c>
      <c r="P62" s="24">
        <f t="shared" si="4"/>
        <v>992</v>
      </c>
      <c r="Q62" s="27"/>
      <c r="R62" s="24">
        <f t="shared" si="5"/>
        <v>0</v>
      </c>
      <c r="S62" s="28" t="s">
        <v>18</v>
      </c>
      <c r="T62" s="20" t="s">
        <v>84</v>
      </c>
    </row>
    <row r="63" spans="1:20" ht="37.5" customHeight="1" x14ac:dyDescent="0.25">
      <c r="A63" s="20" t="s">
        <v>85</v>
      </c>
      <c r="B63">
        <f t="shared" si="1"/>
        <v>44746</v>
      </c>
      <c r="C63">
        <v>5025</v>
      </c>
      <c r="D63">
        <v>39721</v>
      </c>
      <c r="F63">
        <f t="shared" si="0"/>
        <v>585</v>
      </c>
      <c r="G63" s="21">
        <f t="shared" si="6"/>
        <v>58</v>
      </c>
      <c r="H63" s="22">
        <v>88820010044</v>
      </c>
      <c r="I63" s="23" t="s">
        <v>86</v>
      </c>
      <c r="J63" s="24"/>
      <c r="K63" s="25">
        <v>44161</v>
      </c>
      <c r="L63" s="24">
        <f t="shared" si="2"/>
        <v>585</v>
      </c>
      <c r="M63" s="25">
        <v>4961</v>
      </c>
      <c r="N63" s="26">
        <f t="shared" si="3"/>
        <v>34760</v>
      </c>
      <c r="O63" s="25">
        <v>39200</v>
      </c>
      <c r="P63" s="24">
        <f t="shared" si="4"/>
        <v>521</v>
      </c>
      <c r="Q63" s="27"/>
      <c r="R63" s="24">
        <f t="shared" si="5"/>
        <v>0</v>
      </c>
      <c r="S63" s="28" t="s">
        <v>18</v>
      </c>
      <c r="T63" s="20" t="s">
        <v>85</v>
      </c>
    </row>
    <row r="64" spans="1:20" ht="37.5" customHeight="1" x14ac:dyDescent="0.25">
      <c r="A64" s="20" t="s">
        <v>87</v>
      </c>
      <c r="B64">
        <f t="shared" si="1"/>
        <v>9877</v>
      </c>
      <c r="C64">
        <v>2231</v>
      </c>
      <c r="D64">
        <v>7646</v>
      </c>
      <c r="E64">
        <v>11445</v>
      </c>
      <c r="F64">
        <f t="shared" si="0"/>
        <v>601</v>
      </c>
      <c r="G64" s="21">
        <f t="shared" si="6"/>
        <v>59</v>
      </c>
      <c r="H64" s="22">
        <v>99623080406</v>
      </c>
      <c r="I64" s="23">
        <v>76</v>
      </c>
      <c r="J64" s="24"/>
      <c r="K64" s="25">
        <f>M64+O64</f>
        <v>9276</v>
      </c>
      <c r="L64" s="24">
        <f t="shared" si="2"/>
        <v>601</v>
      </c>
      <c r="M64" s="25">
        <v>2088</v>
      </c>
      <c r="N64" s="26">
        <f t="shared" si="3"/>
        <v>5558</v>
      </c>
      <c r="O64" s="25">
        <v>7188</v>
      </c>
      <c r="P64" s="24">
        <f t="shared" si="4"/>
        <v>458</v>
      </c>
      <c r="Q64" s="27">
        <v>10181</v>
      </c>
      <c r="R64" s="24">
        <f t="shared" si="5"/>
        <v>1264</v>
      </c>
      <c r="S64" s="28" t="s">
        <v>18</v>
      </c>
      <c r="T64" s="20" t="s">
        <v>87</v>
      </c>
    </row>
    <row r="65" spans="1:20" ht="37.5" customHeight="1" x14ac:dyDescent="0.25">
      <c r="A65" s="20" t="s">
        <v>88</v>
      </c>
      <c r="B65">
        <f t="shared" si="1"/>
        <v>7648</v>
      </c>
      <c r="C65">
        <v>2065</v>
      </c>
      <c r="D65">
        <v>5583</v>
      </c>
      <c r="E65">
        <v>8925</v>
      </c>
      <c r="F65">
        <f t="shared" si="0"/>
        <v>465</v>
      </c>
      <c r="G65" s="21">
        <f t="shared" si="6"/>
        <v>60</v>
      </c>
      <c r="H65" s="22">
        <v>99624020031</v>
      </c>
      <c r="I65" s="23">
        <v>77</v>
      </c>
      <c r="J65" s="24"/>
      <c r="K65" s="25">
        <f>M65+O65</f>
        <v>7183</v>
      </c>
      <c r="L65" s="24">
        <f t="shared" si="2"/>
        <v>465</v>
      </c>
      <c r="M65" s="25">
        <v>1940</v>
      </c>
      <c r="N65" s="26">
        <f t="shared" si="3"/>
        <v>3643</v>
      </c>
      <c r="O65" s="25">
        <v>5243</v>
      </c>
      <c r="P65" s="24">
        <f t="shared" si="4"/>
        <v>340</v>
      </c>
      <c r="Q65" s="27">
        <v>7809</v>
      </c>
      <c r="R65" s="24">
        <f t="shared" si="5"/>
        <v>1116</v>
      </c>
      <c r="S65" s="28" t="s">
        <v>18</v>
      </c>
      <c r="T65" s="20" t="s">
        <v>88</v>
      </c>
    </row>
    <row r="66" spans="1:20" ht="37.5" customHeight="1" x14ac:dyDescent="0.25">
      <c r="A66" s="20" t="s">
        <v>89</v>
      </c>
      <c r="B66">
        <f t="shared" si="1"/>
        <v>30872</v>
      </c>
      <c r="C66">
        <v>5438</v>
      </c>
      <c r="D66">
        <v>25434</v>
      </c>
      <c r="F66">
        <f t="shared" si="0"/>
        <v>57</v>
      </c>
      <c r="G66" s="21">
        <f t="shared" si="6"/>
        <v>61</v>
      </c>
      <c r="H66" s="22">
        <v>88819010124</v>
      </c>
      <c r="I66" s="23">
        <v>78</v>
      </c>
      <c r="J66" s="24"/>
      <c r="K66" s="25">
        <v>30815</v>
      </c>
      <c r="L66" s="24">
        <f t="shared" si="2"/>
        <v>57</v>
      </c>
      <c r="M66" s="25">
        <v>5429</v>
      </c>
      <c r="N66" s="26">
        <f t="shared" si="3"/>
        <v>20005</v>
      </c>
      <c r="O66" s="25">
        <v>25386</v>
      </c>
      <c r="P66" s="24">
        <f t="shared" si="4"/>
        <v>48</v>
      </c>
      <c r="Q66" s="27"/>
      <c r="R66" s="24">
        <f t="shared" si="5"/>
        <v>0</v>
      </c>
      <c r="S66" s="28" t="s">
        <v>18</v>
      </c>
      <c r="T66" s="20" t="s">
        <v>89</v>
      </c>
    </row>
    <row r="67" spans="1:20" ht="37.5" customHeight="1" x14ac:dyDescent="0.25">
      <c r="A67" s="20" t="s">
        <v>90</v>
      </c>
      <c r="B67">
        <f t="shared" si="1"/>
        <v>16696</v>
      </c>
      <c r="C67">
        <v>2857</v>
      </c>
      <c r="D67">
        <v>13839</v>
      </c>
      <c r="F67">
        <f t="shared" si="0"/>
        <v>207</v>
      </c>
      <c r="G67" s="21">
        <f t="shared" si="6"/>
        <v>62</v>
      </c>
      <c r="H67" s="22">
        <v>88819020213</v>
      </c>
      <c r="I67" s="23">
        <v>78</v>
      </c>
      <c r="J67" s="24"/>
      <c r="K67" s="25">
        <v>16489</v>
      </c>
      <c r="L67" s="24">
        <f t="shared" si="2"/>
        <v>207</v>
      </c>
      <c r="M67" s="25">
        <v>2812</v>
      </c>
      <c r="N67" s="26">
        <f t="shared" si="3"/>
        <v>11027</v>
      </c>
      <c r="O67" s="25">
        <v>13677</v>
      </c>
      <c r="P67" s="24">
        <f t="shared" si="4"/>
        <v>162</v>
      </c>
      <c r="Q67" s="27"/>
      <c r="R67" s="24">
        <f t="shared" si="5"/>
        <v>0</v>
      </c>
      <c r="S67" s="28" t="s">
        <v>18</v>
      </c>
      <c r="T67" s="20" t="s">
        <v>90</v>
      </c>
    </row>
    <row r="68" spans="1:20" ht="37.5" customHeight="1" x14ac:dyDescent="0.25">
      <c r="A68" s="20" t="s">
        <v>91</v>
      </c>
      <c r="B68">
        <f t="shared" si="1"/>
        <v>2828</v>
      </c>
      <c r="C68">
        <v>906</v>
      </c>
      <c r="D68">
        <v>1922</v>
      </c>
      <c r="E68">
        <v>4558</v>
      </c>
      <c r="F68">
        <f t="shared" si="0"/>
        <v>509</v>
      </c>
      <c r="G68" s="21">
        <f t="shared" si="6"/>
        <v>63</v>
      </c>
      <c r="H68" s="22">
        <v>99624020069</v>
      </c>
      <c r="I68" s="23">
        <v>79</v>
      </c>
      <c r="J68" s="24"/>
      <c r="K68" s="25">
        <f>M68+O68</f>
        <v>2319</v>
      </c>
      <c r="L68" s="24">
        <f t="shared" si="2"/>
        <v>509</v>
      </c>
      <c r="M68" s="25">
        <v>746</v>
      </c>
      <c r="N68" s="26">
        <f t="shared" si="3"/>
        <v>1176</v>
      </c>
      <c r="O68" s="25">
        <v>1573</v>
      </c>
      <c r="P68" s="24">
        <f t="shared" si="4"/>
        <v>349</v>
      </c>
      <c r="Q68" s="27">
        <v>3375</v>
      </c>
      <c r="R68" s="24">
        <f t="shared" si="5"/>
        <v>1183</v>
      </c>
      <c r="S68" s="28" t="s">
        <v>18</v>
      </c>
      <c r="T68" s="20" t="s">
        <v>91</v>
      </c>
    </row>
    <row r="69" spans="1:20" ht="37.5" customHeight="1" x14ac:dyDescent="0.25">
      <c r="A69" s="20" t="s">
        <v>92</v>
      </c>
      <c r="B69">
        <f t="shared" si="1"/>
        <v>3784</v>
      </c>
      <c r="C69">
        <v>1053</v>
      </c>
      <c r="D69">
        <v>2731</v>
      </c>
      <c r="E69">
        <v>7203</v>
      </c>
      <c r="F69">
        <f t="shared" si="0"/>
        <v>522</v>
      </c>
      <c r="G69" s="21">
        <f t="shared" si="6"/>
        <v>64</v>
      </c>
      <c r="H69" s="22">
        <v>99624040015</v>
      </c>
      <c r="I69" s="23">
        <v>80</v>
      </c>
      <c r="J69" s="24"/>
      <c r="K69" s="25">
        <f>M69+O69</f>
        <v>3262</v>
      </c>
      <c r="L69" s="24">
        <f t="shared" si="2"/>
        <v>522</v>
      </c>
      <c r="M69" s="25">
        <v>901</v>
      </c>
      <c r="N69" s="26">
        <f t="shared" si="3"/>
        <v>1830</v>
      </c>
      <c r="O69" s="25">
        <v>2361</v>
      </c>
      <c r="P69" s="24">
        <f t="shared" si="4"/>
        <v>370</v>
      </c>
      <c r="Q69" s="27">
        <v>5857</v>
      </c>
      <c r="R69" s="24">
        <f t="shared" si="5"/>
        <v>1346</v>
      </c>
      <c r="S69" s="28" t="s">
        <v>18</v>
      </c>
      <c r="T69" s="20" t="s">
        <v>92</v>
      </c>
    </row>
    <row r="70" spans="1:20" ht="37.5" customHeight="1" x14ac:dyDescent="0.25">
      <c r="A70" s="20" t="s">
        <v>93</v>
      </c>
      <c r="B70">
        <f t="shared" si="1"/>
        <v>40426</v>
      </c>
      <c r="C70">
        <v>5982</v>
      </c>
      <c r="D70">
        <v>34444</v>
      </c>
      <c r="F70">
        <f t="shared" ref="F70:F133" si="7">L70</f>
        <v>1195</v>
      </c>
      <c r="G70" s="21">
        <f t="shared" si="6"/>
        <v>65</v>
      </c>
      <c r="H70" s="22">
        <v>66622060590</v>
      </c>
      <c r="I70" s="23">
        <v>81</v>
      </c>
      <c r="J70" s="24"/>
      <c r="K70" s="25">
        <v>39231</v>
      </c>
      <c r="L70" s="24">
        <f t="shared" si="2"/>
        <v>1195</v>
      </c>
      <c r="M70" s="25">
        <v>5831</v>
      </c>
      <c r="N70" s="26">
        <f t="shared" si="3"/>
        <v>28613</v>
      </c>
      <c r="O70" s="25">
        <v>33400</v>
      </c>
      <c r="P70" s="24">
        <f t="shared" si="4"/>
        <v>1044</v>
      </c>
      <c r="Q70" s="27"/>
      <c r="R70" s="24">
        <f t="shared" si="5"/>
        <v>0</v>
      </c>
      <c r="S70" s="28" t="s">
        <v>18</v>
      </c>
      <c r="T70" s="20" t="s">
        <v>93</v>
      </c>
    </row>
    <row r="71" spans="1:20" ht="37.5" customHeight="1" x14ac:dyDescent="0.25">
      <c r="A71" s="20" t="s">
        <v>94</v>
      </c>
      <c r="B71">
        <f t="shared" ref="B71:B134" si="8">C71+D71</f>
        <v>6191</v>
      </c>
      <c r="C71">
        <v>1628</v>
      </c>
      <c r="D71">
        <v>4563</v>
      </c>
      <c r="E71">
        <v>6649</v>
      </c>
      <c r="F71">
        <f t="shared" si="7"/>
        <v>861</v>
      </c>
      <c r="G71" s="21">
        <f t="shared" si="6"/>
        <v>66</v>
      </c>
      <c r="H71" s="22">
        <v>99624040295</v>
      </c>
      <c r="I71" s="23">
        <v>82</v>
      </c>
      <c r="J71" s="24"/>
      <c r="K71" s="25">
        <f>M71+O71</f>
        <v>5330</v>
      </c>
      <c r="L71" s="24">
        <f t="shared" ref="L71:L134" si="9">B71-K71</f>
        <v>861</v>
      </c>
      <c r="M71" s="25">
        <v>1457</v>
      </c>
      <c r="N71" s="26">
        <f t="shared" ref="N71:N134" si="10">D71-M71</f>
        <v>3106</v>
      </c>
      <c r="O71" s="25">
        <v>3873</v>
      </c>
      <c r="P71" s="24">
        <f t="shared" ref="P71:P134" si="11">D71-O71</f>
        <v>690</v>
      </c>
      <c r="Q71" s="27">
        <v>5167</v>
      </c>
      <c r="R71" s="24">
        <f t="shared" ref="R71:R134" si="12">E71-Q71</f>
        <v>1482</v>
      </c>
      <c r="S71" s="28" t="s">
        <v>18</v>
      </c>
      <c r="T71" s="20" t="s">
        <v>94</v>
      </c>
    </row>
    <row r="72" spans="1:20" ht="37.5" customHeight="1" x14ac:dyDescent="0.25">
      <c r="A72" s="20" t="s">
        <v>95</v>
      </c>
      <c r="B72">
        <f t="shared" si="8"/>
        <v>7156</v>
      </c>
      <c r="C72">
        <v>1875</v>
      </c>
      <c r="D72">
        <v>5281</v>
      </c>
      <c r="E72">
        <v>15475</v>
      </c>
      <c r="F72">
        <f t="shared" si="7"/>
        <v>411</v>
      </c>
      <c r="G72" s="21">
        <f t="shared" ref="G72:G135" si="13">G71+1</f>
        <v>67</v>
      </c>
      <c r="H72" s="22">
        <v>99623080034</v>
      </c>
      <c r="I72" s="23">
        <v>83</v>
      </c>
      <c r="J72" s="24"/>
      <c r="K72" s="25">
        <f>M72+O72</f>
        <v>6745</v>
      </c>
      <c r="L72" s="24">
        <f t="shared" si="9"/>
        <v>411</v>
      </c>
      <c r="M72" s="25">
        <v>1768</v>
      </c>
      <c r="N72" s="26">
        <f t="shared" si="10"/>
        <v>3513</v>
      </c>
      <c r="O72" s="25">
        <v>4977</v>
      </c>
      <c r="P72" s="24">
        <f t="shared" si="11"/>
        <v>304</v>
      </c>
      <c r="Q72" s="27">
        <v>14308</v>
      </c>
      <c r="R72" s="24">
        <f t="shared" si="12"/>
        <v>1167</v>
      </c>
      <c r="S72" s="28" t="s">
        <v>18</v>
      </c>
      <c r="T72" s="20" t="s">
        <v>95</v>
      </c>
    </row>
    <row r="73" spans="1:20" ht="37.5" customHeight="1" x14ac:dyDescent="0.25">
      <c r="A73" s="20" t="s">
        <v>96</v>
      </c>
      <c r="B73">
        <f t="shared" si="8"/>
        <v>18045</v>
      </c>
      <c r="C73">
        <v>2766</v>
      </c>
      <c r="D73">
        <v>15279</v>
      </c>
      <c r="F73">
        <f t="shared" si="7"/>
        <v>176</v>
      </c>
      <c r="G73" s="21">
        <f t="shared" si="13"/>
        <v>68</v>
      </c>
      <c r="H73" s="22">
        <v>23013010260</v>
      </c>
      <c r="I73" s="23">
        <v>85</v>
      </c>
      <c r="J73" s="24"/>
      <c r="K73" s="25">
        <v>17869</v>
      </c>
      <c r="L73" s="24">
        <f t="shared" si="9"/>
        <v>176</v>
      </c>
      <c r="M73" s="25">
        <v>2706</v>
      </c>
      <c r="N73" s="26">
        <f t="shared" si="10"/>
        <v>12573</v>
      </c>
      <c r="O73" s="25">
        <v>15163</v>
      </c>
      <c r="P73" s="24">
        <f t="shared" si="11"/>
        <v>116</v>
      </c>
      <c r="Q73" s="27"/>
      <c r="R73" s="24">
        <f t="shared" si="12"/>
        <v>0</v>
      </c>
      <c r="S73" s="28" t="s">
        <v>18</v>
      </c>
      <c r="T73" s="20" t="s">
        <v>96</v>
      </c>
    </row>
    <row r="74" spans="1:20" ht="37.5" customHeight="1" x14ac:dyDescent="0.25">
      <c r="A74" s="20" t="s">
        <v>97</v>
      </c>
      <c r="B74">
        <f t="shared" si="8"/>
        <v>2043</v>
      </c>
      <c r="C74">
        <v>499</v>
      </c>
      <c r="D74">
        <v>1544</v>
      </c>
      <c r="E74">
        <v>6737</v>
      </c>
      <c r="F74">
        <f t="shared" si="7"/>
        <v>317</v>
      </c>
      <c r="G74" s="21">
        <f t="shared" si="13"/>
        <v>69</v>
      </c>
      <c r="H74" s="22">
        <v>99624040367</v>
      </c>
      <c r="I74" s="23">
        <v>86</v>
      </c>
      <c r="J74" s="24"/>
      <c r="K74" s="25">
        <f>M74+O74</f>
        <v>1726</v>
      </c>
      <c r="L74" s="24">
        <f t="shared" si="9"/>
        <v>317</v>
      </c>
      <c r="M74" s="25">
        <v>410</v>
      </c>
      <c r="N74" s="26">
        <f t="shared" si="10"/>
        <v>1134</v>
      </c>
      <c r="O74" s="25">
        <v>1316</v>
      </c>
      <c r="P74" s="24">
        <f t="shared" si="11"/>
        <v>228</v>
      </c>
      <c r="Q74" s="27">
        <v>5114</v>
      </c>
      <c r="R74" s="24">
        <f t="shared" si="12"/>
        <v>1623</v>
      </c>
      <c r="S74" s="28" t="s">
        <v>18</v>
      </c>
      <c r="T74" s="20" t="s">
        <v>97</v>
      </c>
    </row>
    <row r="75" spans="1:20" ht="37.5" customHeight="1" x14ac:dyDescent="0.25">
      <c r="A75" s="20" t="s">
        <v>98</v>
      </c>
      <c r="B75">
        <f t="shared" si="8"/>
        <v>9859</v>
      </c>
      <c r="C75">
        <v>2224</v>
      </c>
      <c r="D75">
        <v>7635</v>
      </c>
      <c r="E75">
        <v>14053</v>
      </c>
      <c r="F75">
        <f t="shared" si="7"/>
        <v>631</v>
      </c>
      <c r="G75" s="21">
        <f t="shared" si="13"/>
        <v>70</v>
      </c>
      <c r="H75" s="22">
        <v>99623080001</v>
      </c>
      <c r="I75" s="23">
        <v>88</v>
      </c>
      <c r="J75" s="24"/>
      <c r="K75" s="25">
        <f>M75+O75</f>
        <v>9228</v>
      </c>
      <c r="L75" s="24">
        <f t="shared" si="9"/>
        <v>631</v>
      </c>
      <c r="M75" s="25">
        <v>2077</v>
      </c>
      <c r="N75" s="26">
        <f t="shared" si="10"/>
        <v>5558</v>
      </c>
      <c r="O75" s="25">
        <v>7151</v>
      </c>
      <c r="P75" s="24">
        <f t="shared" si="11"/>
        <v>484</v>
      </c>
      <c r="Q75" s="27">
        <v>13091</v>
      </c>
      <c r="R75" s="24">
        <f t="shared" si="12"/>
        <v>962</v>
      </c>
      <c r="S75" s="28" t="s">
        <v>18</v>
      </c>
      <c r="T75" s="20" t="s">
        <v>98</v>
      </c>
    </row>
    <row r="76" spans="1:20" ht="37.5" customHeight="1" x14ac:dyDescent="0.25">
      <c r="A76" s="20" t="s">
        <v>99</v>
      </c>
      <c r="B76">
        <f t="shared" si="8"/>
        <v>17205</v>
      </c>
      <c r="C76">
        <v>2317</v>
      </c>
      <c r="D76">
        <v>14888</v>
      </c>
      <c r="F76">
        <f t="shared" si="7"/>
        <v>532</v>
      </c>
      <c r="G76" s="21">
        <f t="shared" si="13"/>
        <v>71</v>
      </c>
      <c r="H76" s="22">
        <v>66622010447</v>
      </c>
      <c r="I76" s="23" t="s">
        <v>100</v>
      </c>
      <c r="J76" s="24"/>
      <c r="K76" s="25">
        <v>16673</v>
      </c>
      <c r="L76" s="24">
        <f t="shared" si="9"/>
        <v>532</v>
      </c>
      <c r="M76" s="25">
        <v>2234</v>
      </c>
      <c r="N76" s="26">
        <f t="shared" si="10"/>
        <v>12654</v>
      </c>
      <c r="O76" s="25">
        <v>14439</v>
      </c>
      <c r="P76" s="24">
        <f t="shared" si="11"/>
        <v>449</v>
      </c>
      <c r="Q76" s="27"/>
      <c r="R76" s="24">
        <f t="shared" si="12"/>
        <v>0</v>
      </c>
      <c r="S76" s="28" t="s">
        <v>18</v>
      </c>
      <c r="T76" s="20" t="s">
        <v>99</v>
      </c>
    </row>
    <row r="77" spans="1:20" ht="37.5" customHeight="1" x14ac:dyDescent="0.25">
      <c r="A77" s="20" t="s">
        <v>101</v>
      </c>
      <c r="B77">
        <f t="shared" si="8"/>
        <v>6209</v>
      </c>
      <c r="C77">
        <v>1634</v>
      </c>
      <c r="D77">
        <v>4575</v>
      </c>
      <c r="E77">
        <v>13381</v>
      </c>
      <c r="F77">
        <f t="shared" si="7"/>
        <v>222</v>
      </c>
      <c r="G77" s="21">
        <f t="shared" si="13"/>
        <v>72</v>
      </c>
      <c r="H77" s="22">
        <v>99723050039</v>
      </c>
      <c r="I77" s="23">
        <v>89</v>
      </c>
      <c r="J77" s="24"/>
      <c r="K77" s="25">
        <f>M77+O77</f>
        <v>5987</v>
      </c>
      <c r="L77" s="24">
        <f t="shared" si="9"/>
        <v>222</v>
      </c>
      <c r="M77" s="25">
        <v>1568</v>
      </c>
      <c r="N77" s="26">
        <f t="shared" si="10"/>
        <v>3007</v>
      </c>
      <c r="O77" s="25">
        <v>4419</v>
      </c>
      <c r="P77" s="24">
        <f t="shared" si="11"/>
        <v>156</v>
      </c>
      <c r="Q77" s="27">
        <v>12598</v>
      </c>
      <c r="R77" s="24">
        <f t="shared" si="12"/>
        <v>783</v>
      </c>
      <c r="S77" s="28" t="s">
        <v>18</v>
      </c>
      <c r="T77" s="20" t="s">
        <v>101</v>
      </c>
    </row>
    <row r="78" spans="1:20" ht="37.5" customHeight="1" x14ac:dyDescent="0.25">
      <c r="A78" s="20" t="s">
        <v>102</v>
      </c>
      <c r="B78">
        <f t="shared" si="8"/>
        <v>38868</v>
      </c>
      <c r="C78">
        <v>7541</v>
      </c>
      <c r="D78">
        <v>31327</v>
      </c>
      <c r="F78">
        <f t="shared" si="7"/>
        <v>470</v>
      </c>
      <c r="G78" s="21">
        <f t="shared" si="13"/>
        <v>73</v>
      </c>
      <c r="H78" s="22">
        <v>23015010967</v>
      </c>
      <c r="I78" s="23">
        <v>90</v>
      </c>
      <c r="J78" s="24"/>
      <c r="K78" s="25">
        <v>38398</v>
      </c>
      <c r="L78" s="24">
        <f t="shared" si="9"/>
        <v>470</v>
      </c>
      <c r="M78" s="25">
        <v>7444</v>
      </c>
      <c r="N78" s="26">
        <f t="shared" si="10"/>
        <v>23883</v>
      </c>
      <c r="O78" s="25">
        <v>30954</v>
      </c>
      <c r="P78" s="24">
        <f t="shared" si="11"/>
        <v>373</v>
      </c>
      <c r="Q78" s="27"/>
      <c r="R78" s="24">
        <f t="shared" si="12"/>
        <v>0</v>
      </c>
      <c r="S78" s="28" t="s">
        <v>18</v>
      </c>
      <c r="T78" s="20" t="s">
        <v>102</v>
      </c>
    </row>
    <row r="79" spans="1:20" ht="37.5" customHeight="1" x14ac:dyDescent="0.25">
      <c r="A79" s="20" t="s">
        <v>103</v>
      </c>
      <c r="B79">
        <f t="shared" si="8"/>
        <v>2308</v>
      </c>
      <c r="C79">
        <v>590</v>
      </c>
      <c r="D79">
        <v>1718</v>
      </c>
      <c r="E79">
        <v>4224</v>
      </c>
      <c r="F79">
        <f t="shared" si="7"/>
        <v>316</v>
      </c>
      <c r="G79" s="21">
        <f t="shared" si="13"/>
        <v>74</v>
      </c>
      <c r="H79" s="22">
        <v>99624050010</v>
      </c>
      <c r="I79" s="23">
        <v>91</v>
      </c>
      <c r="J79" s="24"/>
      <c r="K79" s="25">
        <f>M79+O79</f>
        <v>1992</v>
      </c>
      <c r="L79" s="24">
        <f t="shared" si="9"/>
        <v>316</v>
      </c>
      <c r="M79" s="25">
        <v>495</v>
      </c>
      <c r="N79" s="26">
        <f t="shared" si="10"/>
        <v>1223</v>
      </c>
      <c r="O79" s="25">
        <v>1497</v>
      </c>
      <c r="P79" s="24">
        <f t="shared" si="11"/>
        <v>221</v>
      </c>
      <c r="Q79" s="27">
        <v>3156</v>
      </c>
      <c r="R79" s="24">
        <f t="shared" si="12"/>
        <v>1068</v>
      </c>
      <c r="S79" s="28" t="s">
        <v>18</v>
      </c>
      <c r="T79" s="20" t="s">
        <v>103</v>
      </c>
    </row>
    <row r="80" spans="1:20" ht="37.5" customHeight="1" x14ac:dyDescent="0.25">
      <c r="A80" s="20" t="s">
        <v>104</v>
      </c>
      <c r="B80">
        <f t="shared" si="8"/>
        <v>45705</v>
      </c>
      <c r="C80">
        <v>8145</v>
      </c>
      <c r="D80">
        <v>37560</v>
      </c>
      <c r="F80">
        <f t="shared" si="7"/>
        <v>120</v>
      </c>
      <c r="G80" s="21">
        <f t="shared" si="13"/>
        <v>75</v>
      </c>
      <c r="H80" s="22">
        <v>23014090590</v>
      </c>
      <c r="I80" s="23">
        <v>92</v>
      </c>
      <c r="J80" s="24"/>
      <c r="K80" s="25">
        <v>45585</v>
      </c>
      <c r="L80" s="24">
        <f t="shared" si="9"/>
        <v>120</v>
      </c>
      <c r="M80" s="25">
        <v>8130</v>
      </c>
      <c r="N80" s="26">
        <f t="shared" si="10"/>
        <v>29430</v>
      </c>
      <c r="O80" s="25">
        <v>37455</v>
      </c>
      <c r="P80" s="24">
        <f t="shared" si="11"/>
        <v>105</v>
      </c>
      <c r="Q80" s="27"/>
      <c r="R80" s="24">
        <f t="shared" si="12"/>
        <v>0</v>
      </c>
      <c r="S80" s="28" t="s">
        <v>18</v>
      </c>
      <c r="T80" s="20" t="s">
        <v>104</v>
      </c>
    </row>
    <row r="81" spans="1:20" ht="37.5" customHeight="1" x14ac:dyDescent="0.25">
      <c r="A81" s="20" t="s">
        <v>105</v>
      </c>
      <c r="B81">
        <f t="shared" si="8"/>
        <v>5337</v>
      </c>
      <c r="C81">
        <v>1434</v>
      </c>
      <c r="D81">
        <v>3903</v>
      </c>
      <c r="E81">
        <v>6017</v>
      </c>
      <c r="F81">
        <f t="shared" si="7"/>
        <v>653</v>
      </c>
      <c r="G81" s="21">
        <f t="shared" si="13"/>
        <v>76</v>
      </c>
      <c r="H81" s="22">
        <v>99624040181</v>
      </c>
      <c r="I81" s="23">
        <v>93</v>
      </c>
      <c r="J81" s="24"/>
      <c r="K81" s="25">
        <f>M81+O81</f>
        <v>4684</v>
      </c>
      <c r="L81" s="24">
        <f t="shared" si="9"/>
        <v>653</v>
      </c>
      <c r="M81" s="25">
        <v>1262</v>
      </c>
      <c r="N81" s="26">
        <f t="shared" si="10"/>
        <v>2641</v>
      </c>
      <c r="O81" s="25">
        <v>3422</v>
      </c>
      <c r="P81" s="24">
        <f t="shared" si="11"/>
        <v>481</v>
      </c>
      <c r="Q81" s="27">
        <v>5015</v>
      </c>
      <c r="R81" s="24">
        <f t="shared" si="12"/>
        <v>1002</v>
      </c>
      <c r="S81" s="28" t="s">
        <v>18</v>
      </c>
      <c r="T81" s="20" t="s">
        <v>105</v>
      </c>
    </row>
    <row r="82" spans="1:20" ht="37.5" customHeight="1" x14ac:dyDescent="0.25">
      <c r="A82" s="20" t="s">
        <v>106</v>
      </c>
      <c r="B82">
        <f t="shared" si="8"/>
        <v>23648</v>
      </c>
      <c r="C82">
        <v>5790</v>
      </c>
      <c r="D82">
        <v>17858</v>
      </c>
      <c r="E82">
        <v>24581</v>
      </c>
      <c r="F82">
        <f t="shared" si="7"/>
        <v>813</v>
      </c>
      <c r="G82" s="21">
        <f t="shared" si="13"/>
        <v>77</v>
      </c>
      <c r="H82" s="22">
        <v>99722040025</v>
      </c>
      <c r="I82" s="23">
        <v>96</v>
      </c>
      <c r="J82" s="24"/>
      <c r="K82" s="25">
        <f>M82+O82</f>
        <v>22835</v>
      </c>
      <c r="L82" s="24">
        <f t="shared" si="9"/>
        <v>813</v>
      </c>
      <c r="M82" s="25">
        <v>5569</v>
      </c>
      <c r="N82" s="26">
        <f t="shared" si="10"/>
        <v>12289</v>
      </c>
      <c r="O82" s="25">
        <v>17266</v>
      </c>
      <c r="P82" s="24">
        <f t="shared" si="11"/>
        <v>592</v>
      </c>
      <c r="Q82" s="27">
        <v>23433</v>
      </c>
      <c r="R82" s="24">
        <f t="shared" si="12"/>
        <v>1148</v>
      </c>
      <c r="S82" s="28" t="s">
        <v>18</v>
      </c>
      <c r="T82" s="20" t="s">
        <v>106</v>
      </c>
    </row>
    <row r="83" spans="1:20" ht="37.5" customHeight="1" x14ac:dyDescent="0.25">
      <c r="A83" s="20" t="s">
        <v>107</v>
      </c>
      <c r="B83">
        <f t="shared" si="8"/>
        <v>4679</v>
      </c>
      <c r="C83">
        <v>1124</v>
      </c>
      <c r="D83">
        <v>3555</v>
      </c>
      <c r="E83">
        <v>4783</v>
      </c>
      <c r="F83">
        <f t="shared" si="7"/>
        <v>802</v>
      </c>
      <c r="G83" s="21">
        <f t="shared" si="13"/>
        <v>78</v>
      </c>
      <c r="H83" s="22">
        <v>99624040257</v>
      </c>
      <c r="I83" s="23">
        <v>99</v>
      </c>
      <c r="J83" s="24"/>
      <c r="K83" s="25">
        <f>M83+O83</f>
        <v>3877</v>
      </c>
      <c r="L83" s="24">
        <f t="shared" si="9"/>
        <v>802</v>
      </c>
      <c r="M83" s="25">
        <v>940</v>
      </c>
      <c r="N83" s="26">
        <f t="shared" si="10"/>
        <v>2615</v>
      </c>
      <c r="O83" s="25">
        <v>2937</v>
      </c>
      <c r="P83" s="24">
        <f t="shared" si="11"/>
        <v>618</v>
      </c>
      <c r="Q83" s="27">
        <v>3743</v>
      </c>
      <c r="R83" s="24">
        <f t="shared" si="12"/>
        <v>1040</v>
      </c>
      <c r="S83" s="28" t="s">
        <v>18</v>
      </c>
      <c r="T83" s="20" t="s">
        <v>107</v>
      </c>
    </row>
    <row r="84" spans="1:20" ht="37.5" customHeight="1" x14ac:dyDescent="0.25">
      <c r="A84" s="20" t="s">
        <v>108</v>
      </c>
      <c r="B84">
        <f t="shared" si="8"/>
        <v>25930</v>
      </c>
      <c r="C84">
        <v>4281</v>
      </c>
      <c r="D84">
        <v>21649</v>
      </c>
      <c r="F84">
        <f t="shared" si="7"/>
        <v>181</v>
      </c>
      <c r="G84" s="21">
        <f t="shared" si="13"/>
        <v>79</v>
      </c>
      <c r="H84" s="22">
        <v>66618010456</v>
      </c>
      <c r="I84" s="23">
        <v>100</v>
      </c>
      <c r="J84" s="24"/>
      <c r="K84" s="25">
        <v>25749</v>
      </c>
      <c r="L84" s="24">
        <f t="shared" si="9"/>
        <v>181</v>
      </c>
      <c r="M84" s="25"/>
      <c r="N84" s="26">
        <f t="shared" si="10"/>
        <v>21649</v>
      </c>
      <c r="O84" s="25"/>
      <c r="P84" s="24">
        <f t="shared" si="11"/>
        <v>21649</v>
      </c>
      <c r="Q84" s="27"/>
      <c r="R84" s="24">
        <f t="shared" si="12"/>
        <v>0</v>
      </c>
      <c r="S84" s="28" t="s">
        <v>18</v>
      </c>
      <c r="T84" s="20" t="s">
        <v>108</v>
      </c>
    </row>
    <row r="85" spans="1:20" ht="37.5" customHeight="1" x14ac:dyDescent="0.25">
      <c r="A85" s="20" t="s">
        <v>109</v>
      </c>
      <c r="B85">
        <f t="shared" si="8"/>
        <v>11830</v>
      </c>
      <c r="C85">
        <v>3057</v>
      </c>
      <c r="D85">
        <v>8773</v>
      </c>
      <c r="E85">
        <v>28543</v>
      </c>
      <c r="F85">
        <f t="shared" si="7"/>
        <v>367</v>
      </c>
      <c r="G85" s="21">
        <f t="shared" si="13"/>
        <v>80</v>
      </c>
      <c r="H85" s="22">
        <v>99722030002</v>
      </c>
      <c r="I85" s="23">
        <v>101</v>
      </c>
      <c r="J85" s="24"/>
      <c r="K85" s="25">
        <f>M85+O85</f>
        <v>11463</v>
      </c>
      <c r="L85" s="24">
        <f t="shared" si="9"/>
        <v>367</v>
      </c>
      <c r="M85" s="25">
        <v>2962</v>
      </c>
      <c r="N85" s="26">
        <f t="shared" si="10"/>
        <v>5811</v>
      </c>
      <c r="O85" s="25">
        <v>8501</v>
      </c>
      <c r="P85" s="24">
        <f t="shared" si="11"/>
        <v>272</v>
      </c>
      <c r="Q85" s="27">
        <v>27375</v>
      </c>
      <c r="R85" s="24">
        <f t="shared" si="12"/>
        <v>1168</v>
      </c>
      <c r="S85" s="28" t="s">
        <v>18</v>
      </c>
      <c r="T85" s="20" t="s">
        <v>109</v>
      </c>
    </row>
    <row r="86" spans="1:20" ht="37.5" customHeight="1" x14ac:dyDescent="0.25">
      <c r="A86" s="20" t="s">
        <v>110</v>
      </c>
      <c r="B86">
        <f t="shared" si="8"/>
        <v>21384</v>
      </c>
      <c r="C86">
        <v>5752</v>
      </c>
      <c r="D86">
        <v>15632</v>
      </c>
      <c r="E86">
        <v>32552</v>
      </c>
      <c r="F86">
        <f t="shared" si="7"/>
        <v>550</v>
      </c>
      <c r="G86" s="21">
        <f t="shared" si="13"/>
        <v>81</v>
      </c>
      <c r="H86" s="22">
        <v>99622010030</v>
      </c>
      <c r="I86" s="23">
        <v>102</v>
      </c>
      <c r="J86" s="24"/>
      <c r="K86" s="25">
        <f>M86+O86</f>
        <v>20834</v>
      </c>
      <c r="L86" s="24">
        <f t="shared" si="9"/>
        <v>550</v>
      </c>
      <c r="M86" s="25">
        <v>5579</v>
      </c>
      <c r="N86" s="26">
        <f t="shared" si="10"/>
        <v>10053</v>
      </c>
      <c r="O86" s="25">
        <v>15255</v>
      </c>
      <c r="P86" s="24">
        <f t="shared" si="11"/>
        <v>377</v>
      </c>
      <c r="Q86" s="27">
        <v>30932</v>
      </c>
      <c r="R86" s="24">
        <f t="shared" si="12"/>
        <v>1620</v>
      </c>
      <c r="S86" s="28" t="s">
        <v>18</v>
      </c>
      <c r="T86" s="20" t="s">
        <v>110</v>
      </c>
    </row>
    <row r="87" spans="1:20" ht="37.5" customHeight="1" x14ac:dyDescent="0.25">
      <c r="A87" s="20" t="s">
        <v>111</v>
      </c>
      <c r="B87">
        <f t="shared" si="8"/>
        <v>9404</v>
      </c>
      <c r="C87">
        <v>2264</v>
      </c>
      <c r="D87">
        <v>7140</v>
      </c>
      <c r="E87">
        <v>9088</v>
      </c>
      <c r="F87">
        <f t="shared" si="7"/>
        <v>474</v>
      </c>
      <c r="G87" s="21">
        <f t="shared" si="13"/>
        <v>82</v>
      </c>
      <c r="H87" s="22">
        <v>99624010276</v>
      </c>
      <c r="I87" s="23">
        <v>103</v>
      </c>
      <c r="J87" s="24"/>
      <c r="K87" s="25">
        <f>M87+O87</f>
        <v>8930</v>
      </c>
      <c r="L87" s="24">
        <f t="shared" si="9"/>
        <v>474</v>
      </c>
      <c r="M87" s="25">
        <v>2152</v>
      </c>
      <c r="N87" s="26">
        <f t="shared" si="10"/>
        <v>4988</v>
      </c>
      <c r="O87" s="25">
        <v>6778</v>
      </c>
      <c r="P87" s="24">
        <f t="shared" si="11"/>
        <v>362</v>
      </c>
      <c r="Q87" s="27">
        <v>7898</v>
      </c>
      <c r="R87" s="24">
        <f t="shared" si="12"/>
        <v>1190</v>
      </c>
      <c r="S87" s="28" t="s">
        <v>18</v>
      </c>
      <c r="T87" s="20" t="s">
        <v>111</v>
      </c>
    </row>
    <row r="88" spans="1:20" ht="37.5" customHeight="1" x14ac:dyDescent="0.25">
      <c r="A88" s="20" t="s">
        <v>112</v>
      </c>
      <c r="B88">
        <f t="shared" si="8"/>
        <v>10224</v>
      </c>
      <c r="C88">
        <v>2354</v>
      </c>
      <c r="D88">
        <v>7870</v>
      </c>
      <c r="E88">
        <v>25933</v>
      </c>
      <c r="F88">
        <f t="shared" si="7"/>
        <v>292</v>
      </c>
      <c r="G88" s="21">
        <f t="shared" si="13"/>
        <v>83</v>
      </c>
      <c r="H88" s="22">
        <v>99622010031</v>
      </c>
      <c r="I88" s="23">
        <v>106</v>
      </c>
      <c r="J88" s="24"/>
      <c r="K88" s="25">
        <f>M88+O88</f>
        <v>9932</v>
      </c>
      <c r="L88" s="24">
        <f t="shared" si="9"/>
        <v>292</v>
      </c>
      <c r="M88" s="25">
        <v>2275</v>
      </c>
      <c r="N88" s="26">
        <f t="shared" si="10"/>
        <v>5595</v>
      </c>
      <c r="O88" s="25">
        <v>7657</v>
      </c>
      <c r="P88" s="24">
        <f t="shared" si="11"/>
        <v>213</v>
      </c>
      <c r="Q88" s="27">
        <v>24870</v>
      </c>
      <c r="R88" s="24">
        <f t="shared" si="12"/>
        <v>1063</v>
      </c>
      <c r="S88" s="28" t="s">
        <v>18</v>
      </c>
      <c r="T88" s="20" t="s">
        <v>112</v>
      </c>
    </row>
    <row r="89" spans="1:20" ht="37.5" customHeight="1" x14ac:dyDescent="0.25">
      <c r="A89" s="20" t="s">
        <v>113</v>
      </c>
      <c r="B89">
        <f t="shared" si="8"/>
        <v>441</v>
      </c>
      <c r="C89">
        <v>161</v>
      </c>
      <c r="D89">
        <v>280</v>
      </c>
      <c r="E89">
        <v>4608</v>
      </c>
      <c r="F89">
        <f t="shared" si="7"/>
        <v>38</v>
      </c>
      <c r="G89" s="21">
        <f t="shared" si="13"/>
        <v>84</v>
      </c>
      <c r="H89" s="22">
        <v>99624030105</v>
      </c>
      <c r="I89" s="23" t="s">
        <v>114</v>
      </c>
      <c r="J89" s="24"/>
      <c r="K89" s="25">
        <f>M89+O89</f>
        <v>403</v>
      </c>
      <c r="L89" s="24">
        <f t="shared" si="9"/>
        <v>38</v>
      </c>
      <c r="M89" s="25">
        <v>150</v>
      </c>
      <c r="N89" s="26">
        <f t="shared" si="10"/>
        <v>130</v>
      </c>
      <c r="O89" s="25">
        <v>253</v>
      </c>
      <c r="P89" s="24">
        <f t="shared" si="11"/>
        <v>27</v>
      </c>
      <c r="Q89" s="27">
        <v>4006</v>
      </c>
      <c r="R89" s="24">
        <f t="shared" si="12"/>
        <v>602</v>
      </c>
      <c r="S89" s="28" t="s">
        <v>18</v>
      </c>
      <c r="T89" s="20" t="s">
        <v>113</v>
      </c>
    </row>
    <row r="90" spans="1:20" ht="37.5" customHeight="1" x14ac:dyDescent="0.25">
      <c r="A90" s="20" t="s">
        <v>115</v>
      </c>
      <c r="B90">
        <f t="shared" si="8"/>
        <v>5569</v>
      </c>
      <c r="C90">
        <v>1048</v>
      </c>
      <c r="D90">
        <v>4521</v>
      </c>
      <c r="F90">
        <f t="shared" si="7"/>
        <v>0</v>
      </c>
      <c r="G90" s="21">
        <f t="shared" si="13"/>
        <v>85</v>
      </c>
      <c r="H90" s="22">
        <v>66621090199</v>
      </c>
      <c r="I90" s="23">
        <v>108</v>
      </c>
      <c r="J90" s="24"/>
      <c r="K90" s="25">
        <v>5569</v>
      </c>
      <c r="L90" s="24">
        <f t="shared" si="9"/>
        <v>0</v>
      </c>
      <c r="M90" s="25">
        <v>1048</v>
      </c>
      <c r="N90" s="26">
        <f t="shared" si="10"/>
        <v>3473</v>
      </c>
      <c r="O90" s="25">
        <v>4521</v>
      </c>
      <c r="P90" s="24">
        <f t="shared" si="11"/>
        <v>0</v>
      </c>
      <c r="Q90" s="27"/>
      <c r="R90" s="24">
        <f t="shared" si="12"/>
        <v>0</v>
      </c>
      <c r="S90" s="28" t="s">
        <v>18</v>
      </c>
      <c r="T90" s="20" t="s">
        <v>115</v>
      </c>
    </row>
    <row r="91" spans="1:20" ht="37.5" customHeight="1" x14ac:dyDescent="0.25">
      <c r="A91" s="20" t="s">
        <v>116</v>
      </c>
      <c r="B91">
        <f t="shared" si="8"/>
        <v>96483</v>
      </c>
      <c r="C91">
        <v>20185</v>
      </c>
      <c r="D91">
        <v>76298</v>
      </c>
      <c r="F91">
        <f t="shared" si="7"/>
        <v>708</v>
      </c>
      <c r="G91" s="21">
        <f t="shared" si="13"/>
        <v>86</v>
      </c>
      <c r="H91" s="22">
        <v>23011100138</v>
      </c>
      <c r="I91" s="23">
        <v>110</v>
      </c>
      <c r="J91" s="24"/>
      <c r="K91" s="25">
        <v>95775</v>
      </c>
      <c r="L91" s="24">
        <f t="shared" si="9"/>
        <v>708</v>
      </c>
      <c r="M91" s="25">
        <v>20067</v>
      </c>
      <c r="N91" s="26">
        <f t="shared" si="10"/>
        <v>56231</v>
      </c>
      <c r="O91" s="25">
        <v>75708</v>
      </c>
      <c r="P91" s="24">
        <f t="shared" si="11"/>
        <v>590</v>
      </c>
      <c r="Q91" s="27"/>
      <c r="R91" s="24">
        <f t="shared" si="12"/>
        <v>0</v>
      </c>
      <c r="S91" s="28" t="s">
        <v>18</v>
      </c>
      <c r="T91" s="20" t="s">
        <v>116</v>
      </c>
    </row>
    <row r="92" spans="1:20" ht="37.5" customHeight="1" x14ac:dyDescent="0.25">
      <c r="A92" s="20" t="s">
        <v>117</v>
      </c>
      <c r="B92">
        <f t="shared" si="8"/>
        <v>19889</v>
      </c>
      <c r="C92">
        <v>2876</v>
      </c>
      <c r="D92">
        <v>17013</v>
      </c>
      <c r="F92">
        <f t="shared" si="7"/>
        <v>118</v>
      </c>
      <c r="G92" s="21">
        <f t="shared" si="13"/>
        <v>87</v>
      </c>
      <c r="H92" s="22">
        <v>23015010362</v>
      </c>
      <c r="I92" s="23" t="s">
        <v>118</v>
      </c>
      <c r="J92" s="24"/>
      <c r="K92" s="25">
        <v>19771</v>
      </c>
      <c r="L92" s="24">
        <f t="shared" si="9"/>
        <v>118</v>
      </c>
      <c r="M92" s="25">
        <v>2858</v>
      </c>
      <c r="N92" s="26">
        <f t="shared" si="10"/>
        <v>14155</v>
      </c>
      <c r="O92" s="25">
        <v>16913</v>
      </c>
      <c r="P92" s="24">
        <f t="shared" si="11"/>
        <v>100</v>
      </c>
      <c r="Q92" s="27"/>
      <c r="R92" s="24">
        <f t="shared" si="12"/>
        <v>0</v>
      </c>
      <c r="S92" s="28" t="s">
        <v>18</v>
      </c>
      <c r="T92" s="20" t="s">
        <v>117</v>
      </c>
    </row>
    <row r="93" spans="1:20" ht="37.5" customHeight="1" x14ac:dyDescent="0.25">
      <c r="A93" s="20" t="s">
        <v>119</v>
      </c>
      <c r="B93">
        <f t="shared" si="8"/>
        <v>71650</v>
      </c>
      <c r="C93">
        <v>12350</v>
      </c>
      <c r="D93">
        <v>59300</v>
      </c>
      <c r="F93">
        <f t="shared" si="7"/>
        <v>183</v>
      </c>
      <c r="G93" s="21">
        <f t="shared" si="13"/>
        <v>88</v>
      </c>
      <c r="H93" s="22">
        <v>66621010234</v>
      </c>
      <c r="I93" s="23">
        <v>111</v>
      </c>
      <c r="J93" s="24"/>
      <c r="K93" s="25">
        <v>71467</v>
      </c>
      <c r="L93" s="24">
        <f t="shared" si="9"/>
        <v>183</v>
      </c>
      <c r="M93" s="25">
        <v>12314</v>
      </c>
      <c r="N93" s="26">
        <f t="shared" si="10"/>
        <v>46986</v>
      </c>
      <c r="O93" s="25">
        <v>59153</v>
      </c>
      <c r="P93" s="24">
        <f t="shared" si="11"/>
        <v>147</v>
      </c>
      <c r="Q93" s="27"/>
      <c r="R93" s="24">
        <f t="shared" si="12"/>
        <v>0</v>
      </c>
      <c r="S93" s="28" t="s">
        <v>18</v>
      </c>
      <c r="T93" s="20" t="s">
        <v>119</v>
      </c>
    </row>
    <row r="94" spans="1:20" ht="37.5" customHeight="1" x14ac:dyDescent="0.25">
      <c r="A94" s="20" t="s">
        <v>120</v>
      </c>
      <c r="B94">
        <f t="shared" si="8"/>
        <v>3130</v>
      </c>
      <c r="C94">
        <v>860</v>
      </c>
      <c r="D94">
        <v>2270</v>
      </c>
      <c r="E94">
        <v>3875</v>
      </c>
      <c r="F94">
        <f t="shared" si="7"/>
        <v>337</v>
      </c>
      <c r="G94" s="21">
        <f t="shared" si="13"/>
        <v>89</v>
      </c>
      <c r="H94" s="22">
        <v>99624030330</v>
      </c>
      <c r="I94" s="23">
        <v>111</v>
      </c>
      <c r="J94" s="24"/>
      <c r="K94" s="25">
        <f>M94+O94</f>
        <v>2793</v>
      </c>
      <c r="L94" s="24">
        <f t="shared" si="9"/>
        <v>337</v>
      </c>
      <c r="M94" s="25">
        <v>767</v>
      </c>
      <c r="N94" s="26">
        <f t="shared" si="10"/>
        <v>1503</v>
      </c>
      <c r="O94" s="25">
        <v>2026</v>
      </c>
      <c r="P94" s="24">
        <f t="shared" si="11"/>
        <v>244</v>
      </c>
      <c r="Q94" s="27">
        <v>3223</v>
      </c>
      <c r="R94" s="24">
        <f t="shared" si="12"/>
        <v>652</v>
      </c>
      <c r="S94" s="28" t="s">
        <v>18</v>
      </c>
      <c r="T94" s="20" t="s">
        <v>120</v>
      </c>
    </row>
    <row r="95" spans="1:20" ht="37.5" customHeight="1" x14ac:dyDescent="0.25">
      <c r="A95" s="20" t="s">
        <v>121</v>
      </c>
      <c r="B95">
        <f t="shared" si="8"/>
        <v>29055</v>
      </c>
      <c r="C95">
        <v>6013</v>
      </c>
      <c r="D95">
        <v>23042</v>
      </c>
      <c r="F95">
        <f t="shared" si="7"/>
        <v>233</v>
      </c>
      <c r="G95" s="21">
        <f t="shared" si="13"/>
        <v>90</v>
      </c>
      <c r="H95" s="22">
        <v>66621040117</v>
      </c>
      <c r="I95" s="23">
        <v>112</v>
      </c>
      <c r="J95" s="24"/>
      <c r="K95" s="25">
        <v>28822</v>
      </c>
      <c r="L95" s="24">
        <f t="shared" si="9"/>
        <v>233</v>
      </c>
      <c r="M95" s="25">
        <v>5970</v>
      </c>
      <c r="N95" s="26">
        <f t="shared" si="10"/>
        <v>17072</v>
      </c>
      <c r="O95" s="25">
        <v>22852</v>
      </c>
      <c r="P95" s="24">
        <f t="shared" si="11"/>
        <v>190</v>
      </c>
      <c r="Q95" s="27"/>
      <c r="R95" s="24">
        <f t="shared" si="12"/>
        <v>0</v>
      </c>
      <c r="S95" s="28" t="s">
        <v>18</v>
      </c>
      <c r="T95" s="20" t="s">
        <v>121</v>
      </c>
    </row>
    <row r="96" spans="1:20" ht="37.5" customHeight="1" x14ac:dyDescent="0.25">
      <c r="A96" s="20" t="s">
        <v>122</v>
      </c>
      <c r="B96">
        <f t="shared" si="8"/>
        <v>3544</v>
      </c>
      <c r="C96">
        <v>683</v>
      </c>
      <c r="D96">
        <v>2861</v>
      </c>
      <c r="F96">
        <f t="shared" si="7"/>
        <v>309</v>
      </c>
      <c r="G96" s="21">
        <f t="shared" si="13"/>
        <v>91</v>
      </c>
      <c r="H96" s="22">
        <v>66624010107</v>
      </c>
      <c r="I96" s="23" t="s">
        <v>123</v>
      </c>
      <c r="J96" s="24"/>
      <c r="K96" s="25">
        <v>3235</v>
      </c>
      <c r="L96" s="24">
        <f t="shared" si="9"/>
        <v>309</v>
      </c>
      <c r="M96" s="25">
        <v>636</v>
      </c>
      <c r="N96" s="26">
        <f t="shared" si="10"/>
        <v>2225</v>
      </c>
      <c r="O96" s="25">
        <v>2599</v>
      </c>
      <c r="P96" s="24">
        <f t="shared" si="11"/>
        <v>262</v>
      </c>
      <c r="Q96" s="27"/>
      <c r="R96" s="24">
        <f t="shared" si="12"/>
        <v>0</v>
      </c>
      <c r="S96" s="28" t="s">
        <v>18</v>
      </c>
      <c r="T96" s="20" t="s">
        <v>122</v>
      </c>
    </row>
    <row r="97" spans="1:20" ht="37.5" customHeight="1" x14ac:dyDescent="0.25">
      <c r="A97" s="20" t="s">
        <v>124</v>
      </c>
      <c r="B97">
        <f t="shared" si="8"/>
        <v>170410</v>
      </c>
      <c r="C97">
        <v>32374</v>
      </c>
      <c r="D97">
        <v>138036</v>
      </c>
      <c r="F97">
        <f t="shared" si="7"/>
        <v>1779</v>
      </c>
      <c r="G97" s="21">
        <f t="shared" si="13"/>
        <v>92</v>
      </c>
      <c r="H97" s="22">
        <v>23014010084</v>
      </c>
      <c r="I97" s="23">
        <v>113</v>
      </c>
      <c r="J97" s="24"/>
      <c r="K97" s="25">
        <v>168631</v>
      </c>
      <c r="L97" s="24">
        <f t="shared" si="9"/>
        <v>1779</v>
      </c>
      <c r="M97" s="25">
        <v>32042</v>
      </c>
      <c r="N97" s="26">
        <f t="shared" si="10"/>
        <v>105994</v>
      </c>
      <c r="O97" s="25">
        <v>136589</v>
      </c>
      <c r="P97" s="24">
        <f t="shared" si="11"/>
        <v>1447</v>
      </c>
      <c r="Q97" s="27"/>
      <c r="R97" s="24">
        <f t="shared" si="12"/>
        <v>0</v>
      </c>
      <c r="S97" s="28" t="s">
        <v>18</v>
      </c>
      <c r="T97" s="20" t="s">
        <v>124</v>
      </c>
    </row>
    <row r="98" spans="1:20" ht="37.5" customHeight="1" x14ac:dyDescent="0.25">
      <c r="A98" s="20" t="s">
        <v>125</v>
      </c>
      <c r="B98">
        <f t="shared" si="8"/>
        <v>4519</v>
      </c>
      <c r="C98">
        <v>1017</v>
      </c>
      <c r="D98">
        <v>3502</v>
      </c>
      <c r="E98">
        <v>7290</v>
      </c>
      <c r="F98">
        <f t="shared" si="7"/>
        <v>319</v>
      </c>
      <c r="G98" s="21">
        <f t="shared" si="13"/>
        <v>93</v>
      </c>
      <c r="H98" s="22">
        <v>99624020148</v>
      </c>
      <c r="I98" s="23">
        <v>114</v>
      </c>
      <c r="J98" s="24"/>
      <c r="K98" s="25">
        <f>M98+O98</f>
        <v>4200</v>
      </c>
      <c r="L98" s="24">
        <f t="shared" si="9"/>
        <v>319</v>
      </c>
      <c r="M98" s="25">
        <v>929</v>
      </c>
      <c r="N98" s="26">
        <f t="shared" si="10"/>
        <v>2573</v>
      </c>
      <c r="O98" s="25">
        <v>3271</v>
      </c>
      <c r="P98" s="24">
        <f t="shared" si="11"/>
        <v>231</v>
      </c>
      <c r="Q98" s="27">
        <v>6156</v>
      </c>
      <c r="R98" s="24">
        <f t="shared" si="12"/>
        <v>1134</v>
      </c>
      <c r="S98" s="28" t="s">
        <v>18</v>
      </c>
      <c r="T98" s="20" t="s">
        <v>125</v>
      </c>
    </row>
    <row r="99" spans="1:20" ht="37.5" customHeight="1" x14ac:dyDescent="0.25">
      <c r="A99" s="20" t="s">
        <v>126</v>
      </c>
      <c r="B99">
        <f t="shared" si="8"/>
        <v>15242</v>
      </c>
      <c r="C99">
        <v>3537</v>
      </c>
      <c r="D99">
        <v>11705</v>
      </c>
      <c r="E99">
        <v>22831</v>
      </c>
      <c r="F99">
        <f t="shared" si="7"/>
        <v>535</v>
      </c>
      <c r="G99" s="21">
        <f t="shared" si="13"/>
        <v>94</v>
      </c>
      <c r="H99" s="22">
        <v>99723050105</v>
      </c>
      <c r="I99" s="23">
        <v>115</v>
      </c>
      <c r="J99" s="24"/>
      <c r="K99" s="25">
        <f>M99+O99</f>
        <v>14707</v>
      </c>
      <c r="L99" s="24">
        <f t="shared" si="9"/>
        <v>535</v>
      </c>
      <c r="M99" s="25">
        <v>3385</v>
      </c>
      <c r="N99" s="26">
        <f t="shared" si="10"/>
        <v>8320</v>
      </c>
      <c r="O99" s="25">
        <v>11322</v>
      </c>
      <c r="P99" s="24">
        <f t="shared" si="11"/>
        <v>383</v>
      </c>
      <c r="Q99" s="27">
        <v>21379</v>
      </c>
      <c r="R99" s="24">
        <f t="shared" si="12"/>
        <v>1452</v>
      </c>
      <c r="S99" s="28" t="s">
        <v>18</v>
      </c>
      <c r="T99" s="20" t="s">
        <v>126</v>
      </c>
    </row>
    <row r="100" spans="1:20" ht="37.5" customHeight="1" x14ac:dyDescent="0.25">
      <c r="A100" s="20" t="s">
        <v>127</v>
      </c>
      <c r="B100">
        <f t="shared" si="8"/>
        <v>17278</v>
      </c>
      <c r="C100">
        <v>3783</v>
      </c>
      <c r="D100">
        <v>13495</v>
      </c>
      <c r="E100">
        <v>9367</v>
      </c>
      <c r="F100">
        <f t="shared" si="7"/>
        <v>468</v>
      </c>
      <c r="G100" s="21">
        <f t="shared" si="13"/>
        <v>95</v>
      </c>
      <c r="H100" s="22">
        <v>99723040744</v>
      </c>
      <c r="I100" s="23">
        <v>116</v>
      </c>
      <c r="J100" s="24"/>
      <c r="K100" s="25">
        <f>M100+O100</f>
        <v>16810</v>
      </c>
      <c r="L100" s="24">
        <f t="shared" si="9"/>
        <v>468</v>
      </c>
      <c r="M100" s="25">
        <v>3668</v>
      </c>
      <c r="N100" s="26">
        <f t="shared" si="10"/>
        <v>9827</v>
      </c>
      <c r="O100" s="25">
        <v>13142</v>
      </c>
      <c r="P100" s="24">
        <f t="shared" si="11"/>
        <v>353</v>
      </c>
      <c r="Q100" s="27">
        <v>8946</v>
      </c>
      <c r="R100" s="24">
        <f t="shared" si="12"/>
        <v>421</v>
      </c>
      <c r="S100" s="28" t="s">
        <v>18</v>
      </c>
      <c r="T100" s="20" t="s">
        <v>127</v>
      </c>
    </row>
    <row r="101" spans="1:20" ht="37.5" customHeight="1" x14ac:dyDescent="0.25">
      <c r="A101" s="20" t="s">
        <v>128</v>
      </c>
      <c r="B101">
        <f t="shared" si="8"/>
        <v>2044</v>
      </c>
      <c r="C101">
        <v>578</v>
      </c>
      <c r="D101">
        <v>1466</v>
      </c>
      <c r="E101">
        <v>4926</v>
      </c>
      <c r="F101">
        <f t="shared" si="7"/>
        <v>717</v>
      </c>
      <c r="G101" s="21">
        <f t="shared" si="13"/>
        <v>96</v>
      </c>
      <c r="H101" s="22">
        <v>99624050117</v>
      </c>
      <c r="I101" s="23">
        <v>117</v>
      </c>
      <c r="J101" s="24"/>
      <c r="K101" s="25">
        <f>M101+O101</f>
        <v>1327</v>
      </c>
      <c r="L101" s="24">
        <f t="shared" si="9"/>
        <v>717</v>
      </c>
      <c r="M101" s="25">
        <v>402</v>
      </c>
      <c r="N101" s="26">
        <f t="shared" si="10"/>
        <v>1064</v>
      </c>
      <c r="O101" s="25">
        <v>925</v>
      </c>
      <c r="P101" s="24">
        <f t="shared" si="11"/>
        <v>541</v>
      </c>
      <c r="Q101" s="27">
        <v>3565</v>
      </c>
      <c r="R101" s="24">
        <f t="shared" si="12"/>
        <v>1361</v>
      </c>
      <c r="S101" s="28" t="s">
        <v>18</v>
      </c>
      <c r="T101" s="20" t="s">
        <v>128</v>
      </c>
    </row>
    <row r="102" spans="1:20" ht="37.5" customHeight="1" x14ac:dyDescent="0.25">
      <c r="A102" s="20" t="s">
        <v>129</v>
      </c>
      <c r="B102">
        <f t="shared" si="8"/>
        <v>1536</v>
      </c>
      <c r="C102">
        <v>548</v>
      </c>
      <c r="D102">
        <v>988</v>
      </c>
      <c r="E102">
        <v>4453</v>
      </c>
      <c r="F102">
        <f t="shared" si="7"/>
        <v>491</v>
      </c>
      <c r="G102" s="21">
        <f t="shared" si="13"/>
        <v>97</v>
      </c>
      <c r="H102" s="22">
        <v>99624050080</v>
      </c>
      <c r="I102" s="23">
        <v>118</v>
      </c>
      <c r="J102" s="24"/>
      <c r="K102" s="25">
        <f>M102+O102</f>
        <v>1045</v>
      </c>
      <c r="L102" s="24">
        <f t="shared" si="9"/>
        <v>491</v>
      </c>
      <c r="M102" s="25">
        <v>395</v>
      </c>
      <c r="N102" s="26">
        <f t="shared" si="10"/>
        <v>593</v>
      </c>
      <c r="O102" s="25">
        <v>650</v>
      </c>
      <c r="P102" s="24">
        <f t="shared" si="11"/>
        <v>338</v>
      </c>
      <c r="Q102" s="27">
        <v>3103</v>
      </c>
      <c r="R102" s="24">
        <f t="shared" si="12"/>
        <v>1350</v>
      </c>
      <c r="S102" s="28" t="s">
        <v>18</v>
      </c>
      <c r="T102" s="20" t="s">
        <v>129</v>
      </c>
    </row>
    <row r="103" spans="1:20" ht="37.5" customHeight="1" x14ac:dyDescent="0.25">
      <c r="A103" s="20" t="s">
        <v>130</v>
      </c>
      <c r="B103">
        <f t="shared" si="8"/>
        <v>175222</v>
      </c>
      <c r="C103">
        <v>32770</v>
      </c>
      <c r="D103">
        <v>142452</v>
      </c>
      <c r="F103">
        <f t="shared" si="7"/>
        <v>0</v>
      </c>
      <c r="G103" s="21">
        <f t="shared" si="13"/>
        <v>98</v>
      </c>
      <c r="H103" s="22">
        <v>23013080197</v>
      </c>
      <c r="I103" s="23">
        <v>120</v>
      </c>
      <c r="J103" s="24"/>
      <c r="K103" s="25">
        <v>175222</v>
      </c>
      <c r="L103" s="24">
        <f t="shared" si="9"/>
        <v>0</v>
      </c>
      <c r="M103" s="25">
        <v>32770</v>
      </c>
      <c r="N103" s="26">
        <f t="shared" si="10"/>
        <v>109682</v>
      </c>
      <c r="O103" s="25">
        <v>142452</v>
      </c>
      <c r="P103" s="24">
        <f t="shared" si="11"/>
        <v>0</v>
      </c>
      <c r="Q103" s="27"/>
      <c r="R103" s="24">
        <f t="shared" si="12"/>
        <v>0</v>
      </c>
      <c r="S103" s="28" t="s">
        <v>18</v>
      </c>
      <c r="T103" s="20" t="s">
        <v>130</v>
      </c>
    </row>
    <row r="104" spans="1:20" ht="37.5" customHeight="1" x14ac:dyDescent="0.25">
      <c r="A104" s="20" t="s">
        <v>131</v>
      </c>
      <c r="B104">
        <f t="shared" si="8"/>
        <v>5008</v>
      </c>
      <c r="C104">
        <v>1377</v>
      </c>
      <c r="D104">
        <v>3631</v>
      </c>
      <c r="E104">
        <v>9372</v>
      </c>
      <c r="F104">
        <f t="shared" si="7"/>
        <v>280</v>
      </c>
      <c r="G104" s="21">
        <f t="shared" si="13"/>
        <v>99</v>
      </c>
      <c r="H104" s="22">
        <v>99624020225</v>
      </c>
      <c r="I104" s="23">
        <v>121</v>
      </c>
      <c r="J104" s="24"/>
      <c r="K104" s="25">
        <f>M104+O104</f>
        <v>4728</v>
      </c>
      <c r="L104" s="24">
        <f t="shared" si="9"/>
        <v>280</v>
      </c>
      <c r="M104" s="25">
        <v>1292</v>
      </c>
      <c r="N104" s="26">
        <f t="shared" si="10"/>
        <v>2339</v>
      </c>
      <c r="O104" s="25">
        <v>3436</v>
      </c>
      <c r="P104" s="24">
        <f t="shared" si="11"/>
        <v>195</v>
      </c>
      <c r="Q104" s="27">
        <v>8071</v>
      </c>
      <c r="R104" s="24">
        <f t="shared" si="12"/>
        <v>1301</v>
      </c>
      <c r="S104" s="28" t="s">
        <v>18</v>
      </c>
      <c r="T104" s="20" t="s">
        <v>131</v>
      </c>
    </row>
    <row r="105" spans="1:20" ht="37.5" customHeight="1" x14ac:dyDescent="0.25">
      <c r="A105" s="20" t="s">
        <v>132</v>
      </c>
      <c r="B105">
        <f t="shared" si="8"/>
        <v>28826</v>
      </c>
      <c r="C105">
        <v>5541</v>
      </c>
      <c r="D105">
        <v>23285</v>
      </c>
      <c r="E105">
        <v>34163</v>
      </c>
      <c r="F105">
        <f t="shared" si="7"/>
        <v>1010</v>
      </c>
      <c r="G105" s="21">
        <f t="shared" si="13"/>
        <v>100</v>
      </c>
      <c r="H105" s="22">
        <v>99722040024</v>
      </c>
      <c r="I105" s="23">
        <v>122</v>
      </c>
      <c r="J105" s="24"/>
      <c r="K105" s="25">
        <f>M105+O105</f>
        <v>27816</v>
      </c>
      <c r="L105" s="24">
        <f t="shared" si="9"/>
        <v>1010</v>
      </c>
      <c r="M105" s="25">
        <v>5421</v>
      </c>
      <c r="N105" s="26">
        <f t="shared" si="10"/>
        <v>17864</v>
      </c>
      <c r="O105" s="25">
        <v>22395</v>
      </c>
      <c r="P105" s="24">
        <f t="shared" si="11"/>
        <v>890</v>
      </c>
      <c r="Q105" s="27">
        <v>32841</v>
      </c>
      <c r="R105" s="24">
        <f t="shared" si="12"/>
        <v>1322</v>
      </c>
      <c r="S105" s="28" t="s">
        <v>18</v>
      </c>
      <c r="T105" s="20" t="s">
        <v>132</v>
      </c>
    </row>
    <row r="106" spans="1:20" ht="37.5" customHeight="1" x14ac:dyDescent="0.25">
      <c r="A106" s="20" t="s">
        <v>133</v>
      </c>
      <c r="B106">
        <f t="shared" si="8"/>
        <v>30928</v>
      </c>
      <c r="C106">
        <v>5750</v>
      </c>
      <c r="D106">
        <v>25178</v>
      </c>
      <c r="E106">
        <v>29394</v>
      </c>
      <c r="F106">
        <f t="shared" si="7"/>
        <v>1074</v>
      </c>
      <c r="G106" s="21">
        <f t="shared" si="13"/>
        <v>101</v>
      </c>
      <c r="H106" s="22">
        <v>99722020037</v>
      </c>
      <c r="I106" s="23">
        <v>123</v>
      </c>
      <c r="J106" s="24"/>
      <c r="K106" s="25">
        <f>M106+O106</f>
        <v>29854</v>
      </c>
      <c r="L106" s="24">
        <f t="shared" si="9"/>
        <v>1074</v>
      </c>
      <c r="M106" s="25">
        <v>5567</v>
      </c>
      <c r="N106" s="26">
        <f t="shared" si="10"/>
        <v>19611</v>
      </c>
      <c r="O106" s="25">
        <v>24287</v>
      </c>
      <c r="P106" s="24">
        <f t="shared" si="11"/>
        <v>891</v>
      </c>
      <c r="Q106" s="27">
        <v>28221</v>
      </c>
      <c r="R106" s="24">
        <f t="shared" si="12"/>
        <v>1173</v>
      </c>
      <c r="S106" s="28" t="s">
        <v>18</v>
      </c>
      <c r="T106" s="20" t="s">
        <v>133</v>
      </c>
    </row>
    <row r="107" spans="1:20" ht="37.5" customHeight="1" x14ac:dyDescent="0.25">
      <c r="A107" s="20" t="s">
        <v>134</v>
      </c>
      <c r="B107">
        <f t="shared" si="8"/>
        <v>28508</v>
      </c>
      <c r="C107">
        <v>3906</v>
      </c>
      <c r="D107">
        <v>24602</v>
      </c>
      <c r="F107">
        <f t="shared" si="7"/>
        <v>550</v>
      </c>
      <c r="G107" s="21">
        <f t="shared" si="13"/>
        <v>102</v>
      </c>
      <c r="H107" s="22">
        <v>66621060479</v>
      </c>
      <c r="I107" s="23">
        <v>126</v>
      </c>
      <c r="J107" s="24"/>
      <c r="K107" s="25">
        <v>27958</v>
      </c>
      <c r="L107" s="24">
        <f t="shared" si="9"/>
        <v>550</v>
      </c>
      <c r="M107" s="25">
        <v>3829</v>
      </c>
      <c r="N107" s="26">
        <f t="shared" si="10"/>
        <v>20773</v>
      </c>
      <c r="O107" s="25">
        <v>24129</v>
      </c>
      <c r="P107" s="24">
        <f t="shared" si="11"/>
        <v>473</v>
      </c>
      <c r="Q107" s="27"/>
      <c r="R107" s="24">
        <f t="shared" si="12"/>
        <v>0</v>
      </c>
      <c r="S107" s="28" t="s">
        <v>18</v>
      </c>
      <c r="T107" s="20" t="s">
        <v>134</v>
      </c>
    </row>
    <row r="108" spans="1:20" ht="37.5" customHeight="1" x14ac:dyDescent="0.25">
      <c r="A108" s="20" t="s">
        <v>135</v>
      </c>
      <c r="B108">
        <f t="shared" si="8"/>
        <v>12517</v>
      </c>
      <c r="C108">
        <v>3471</v>
      </c>
      <c r="D108">
        <v>9046</v>
      </c>
      <c r="E108">
        <v>13291</v>
      </c>
      <c r="F108">
        <f t="shared" si="7"/>
        <v>592</v>
      </c>
      <c r="G108" s="21">
        <f t="shared" si="13"/>
        <v>103</v>
      </c>
      <c r="H108" s="22">
        <v>99623080207</v>
      </c>
      <c r="I108" s="23">
        <v>127</v>
      </c>
      <c r="J108" s="24"/>
      <c r="K108" s="25">
        <f>M108+O108</f>
        <v>11925</v>
      </c>
      <c r="L108" s="24">
        <f t="shared" si="9"/>
        <v>592</v>
      </c>
      <c r="M108" s="25">
        <v>3298</v>
      </c>
      <c r="N108" s="26">
        <f t="shared" si="10"/>
        <v>5748</v>
      </c>
      <c r="O108" s="25">
        <v>8627</v>
      </c>
      <c r="P108" s="24">
        <f t="shared" si="11"/>
        <v>419</v>
      </c>
      <c r="Q108" s="27">
        <v>11995</v>
      </c>
      <c r="R108" s="24">
        <f t="shared" si="12"/>
        <v>1296</v>
      </c>
      <c r="S108" s="28" t="s">
        <v>18</v>
      </c>
      <c r="T108" s="20" t="s">
        <v>135</v>
      </c>
    </row>
    <row r="109" spans="1:20" ht="37.5" customHeight="1" x14ac:dyDescent="0.25">
      <c r="A109" s="20" t="s">
        <v>136</v>
      </c>
      <c r="B109">
        <f t="shared" si="8"/>
        <v>13965</v>
      </c>
      <c r="C109">
        <v>3009</v>
      </c>
      <c r="D109">
        <v>10956</v>
      </c>
      <c r="E109">
        <v>13630</v>
      </c>
      <c r="F109">
        <f t="shared" si="7"/>
        <v>598</v>
      </c>
      <c r="G109" s="21">
        <f t="shared" si="13"/>
        <v>104</v>
      </c>
      <c r="H109" s="22">
        <v>99723070104</v>
      </c>
      <c r="I109" s="23">
        <v>128</v>
      </c>
      <c r="J109" s="24"/>
      <c r="K109" s="25">
        <f>M109+O109</f>
        <v>13367</v>
      </c>
      <c r="L109" s="24">
        <f t="shared" si="9"/>
        <v>598</v>
      </c>
      <c r="M109" s="25">
        <v>2853</v>
      </c>
      <c r="N109" s="26">
        <f t="shared" si="10"/>
        <v>8103</v>
      </c>
      <c r="O109" s="25">
        <v>10514</v>
      </c>
      <c r="P109" s="24">
        <f t="shared" si="11"/>
        <v>442</v>
      </c>
      <c r="Q109" s="27">
        <v>12595</v>
      </c>
      <c r="R109" s="24">
        <f t="shared" si="12"/>
        <v>1035</v>
      </c>
      <c r="S109" s="28" t="s">
        <v>18</v>
      </c>
      <c r="T109" s="20" t="s">
        <v>136</v>
      </c>
    </row>
    <row r="110" spans="1:20" ht="37.5" customHeight="1" x14ac:dyDescent="0.25">
      <c r="A110" s="20" t="s">
        <v>137</v>
      </c>
      <c r="B110">
        <f t="shared" si="8"/>
        <v>18334</v>
      </c>
      <c r="C110">
        <v>5247</v>
      </c>
      <c r="D110">
        <v>13087</v>
      </c>
      <c r="E110">
        <v>22234</v>
      </c>
      <c r="F110">
        <f t="shared" si="7"/>
        <v>658</v>
      </c>
      <c r="G110" s="21">
        <f t="shared" si="13"/>
        <v>105</v>
      </c>
      <c r="H110" s="22">
        <v>99723050035</v>
      </c>
      <c r="I110" s="23">
        <v>130</v>
      </c>
      <c r="J110" s="24"/>
      <c r="K110" s="25">
        <f>M110+O110</f>
        <v>17676</v>
      </c>
      <c r="L110" s="24">
        <f t="shared" si="9"/>
        <v>658</v>
      </c>
      <c r="M110" s="25">
        <v>5031</v>
      </c>
      <c r="N110" s="26">
        <f t="shared" si="10"/>
        <v>8056</v>
      </c>
      <c r="O110" s="25">
        <v>12645</v>
      </c>
      <c r="P110" s="24">
        <f t="shared" si="11"/>
        <v>442</v>
      </c>
      <c r="Q110" s="27">
        <v>20368</v>
      </c>
      <c r="R110" s="24">
        <f t="shared" si="12"/>
        <v>1866</v>
      </c>
      <c r="S110" s="28" t="s">
        <v>18</v>
      </c>
      <c r="T110" s="20" t="s">
        <v>137</v>
      </c>
    </row>
    <row r="111" spans="1:20" ht="37.5" customHeight="1" x14ac:dyDescent="0.25">
      <c r="A111" s="20" t="s">
        <v>138</v>
      </c>
      <c r="B111">
        <f t="shared" si="8"/>
        <v>22110</v>
      </c>
      <c r="C111">
        <v>5257</v>
      </c>
      <c r="D111">
        <v>16853</v>
      </c>
      <c r="F111">
        <f t="shared" si="7"/>
        <v>378</v>
      </c>
      <c r="G111" s="21">
        <f t="shared" si="13"/>
        <v>106</v>
      </c>
      <c r="H111" s="22">
        <v>66621040125</v>
      </c>
      <c r="I111" s="23">
        <v>131</v>
      </c>
      <c r="J111" s="24"/>
      <c r="K111" s="25">
        <v>21732</v>
      </c>
      <c r="L111" s="24">
        <f t="shared" si="9"/>
        <v>378</v>
      </c>
      <c r="M111" s="25">
        <v>5176</v>
      </c>
      <c r="N111" s="26">
        <f t="shared" si="10"/>
        <v>11677</v>
      </c>
      <c r="O111" s="25">
        <v>16556</v>
      </c>
      <c r="P111" s="24">
        <f t="shared" si="11"/>
        <v>297</v>
      </c>
      <c r="Q111" s="27"/>
      <c r="R111" s="24">
        <f t="shared" si="12"/>
        <v>0</v>
      </c>
      <c r="S111" s="28" t="s">
        <v>18</v>
      </c>
      <c r="T111" s="20" t="s">
        <v>138</v>
      </c>
    </row>
    <row r="112" spans="1:20" ht="37.5" customHeight="1" x14ac:dyDescent="0.25">
      <c r="A112" s="20" t="s">
        <v>139</v>
      </c>
      <c r="B112">
        <f t="shared" si="8"/>
        <v>87069</v>
      </c>
      <c r="C112">
        <v>16462</v>
      </c>
      <c r="D112">
        <v>70607</v>
      </c>
      <c r="F112">
        <f t="shared" si="7"/>
        <v>685</v>
      </c>
      <c r="G112" s="21">
        <f t="shared" si="13"/>
        <v>107</v>
      </c>
      <c r="H112" s="22">
        <v>23015100315</v>
      </c>
      <c r="I112" s="23">
        <v>132</v>
      </c>
      <c r="J112" s="24"/>
      <c r="K112" s="25">
        <v>86384</v>
      </c>
      <c r="L112" s="24">
        <f t="shared" si="9"/>
        <v>685</v>
      </c>
      <c r="M112" s="25">
        <v>16333</v>
      </c>
      <c r="N112" s="26">
        <f t="shared" si="10"/>
        <v>54274</v>
      </c>
      <c r="O112" s="25">
        <v>70051</v>
      </c>
      <c r="P112" s="24">
        <f t="shared" si="11"/>
        <v>556</v>
      </c>
      <c r="Q112" s="27"/>
      <c r="R112" s="24">
        <f t="shared" si="12"/>
        <v>0</v>
      </c>
      <c r="S112" s="28" t="s">
        <v>18</v>
      </c>
      <c r="T112" s="20" t="s">
        <v>139</v>
      </c>
    </row>
    <row r="113" spans="1:20" ht="37.5" customHeight="1" x14ac:dyDescent="0.25">
      <c r="A113" s="20" t="s">
        <v>140</v>
      </c>
      <c r="B113">
        <f t="shared" si="8"/>
        <v>37928</v>
      </c>
      <c r="C113">
        <v>7748</v>
      </c>
      <c r="D113">
        <v>30180</v>
      </c>
      <c r="F113">
        <f t="shared" si="7"/>
        <v>579</v>
      </c>
      <c r="G113" s="21">
        <f t="shared" si="13"/>
        <v>108</v>
      </c>
      <c r="H113" s="22">
        <v>23013010440</v>
      </c>
      <c r="I113" s="23">
        <v>137</v>
      </c>
      <c r="J113" s="24"/>
      <c r="K113" s="25">
        <v>37349</v>
      </c>
      <c r="L113" s="24">
        <f t="shared" si="9"/>
        <v>579</v>
      </c>
      <c r="M113" s="25">
        <v>7640</v>
      </c>
      <c r="N113" s="26">
        <f t="shared" si="10"/>
        <v>22540</v>
      </c>
      <c r="O113" s="25">
        <v>29709</v>
      </c>
      <c r="P113" s="24">
        <f t="shared" si="11"/>
        <v>471</v>
      </c>
      <c r="Q113" s="27"/>
      <c r="R113" s="24">
        <f t="shared" si="12"/>
        <v>0</v>
      </c>
      <c r="S113" s="28" t="s">
        <v>18</v>
      </c>
      <c r="T113" s="20" t="s">
        <v>140</v>
      </c>
    </row>
    <row r="114" spans="1:20" ht="37.5" customHeight="1" x14ac:dyDescent="0.25">
      <c r="A114" s="20" t="s">
        <v>141</v>
      </c>
      <c r="B114">
        <f t="shared" si="8"/>
        <v>8132</v>
      </c>
      <c r="C114">
        <v>2293</v>
      </c>
      <c r="D114">
        <v>5839</v>
      </c>
      <c r="E114">
        <v>19121</v>
      </c>
      <c r="F114">
        <f t="shared" si="7"/>
        <v>313</v>
      </c>
      <c r="G114" s="21">
        <f t="shared" si="13"/>
        <v>109</v>
      </c>
      <c r="H114" s="22">
        <v>99723040030</v>
      </c>
      <c r="I114" s="23">
        <v>139</v>
      </c>
      <c r="J114" s="24"/>
      <c r="K114" s="25">
        <f>M114+O114</f>
        <v>7819</v>
      </c>
      <c r="L114" s="24">
        <f t="shared" si="9"/>
        <v>313</v>
      </c>
      <c r="M114" s="25">
        <v>2198</v>
      </c>
      <c r="N114" s="26">
        <f t="shared" si="10"/>
        <v>3641</v>
      </c>
      <c r="O114" s="25">
        <v>5621</v>
      </c>
      <c r="P114" s="24">
        <f t="shared" si="11"/>
        <v>218</v>
      </c>
      <c r="Q114" s="27">
        <v>17854</v>
      </c>
      <c r="R114" s="24">
        <f t="shared" si="12"/>
        <v>1267</v>
      </c>
      <c r="S114" s="28" t="s">
        <v>18</v>
      </c>
      <c r="T114" s="20" t="s">
        <v>141</v>
      </c>
    </row>
    <row r="115" spans="1:20" ht="37.5" customHeight="1" x14ac:dyDescent="0.25">
      <c r="A115" s="20" t="s">
        <v>142</v>
      </c>
      <c r="B115">
        <f t="shared" si="8"/>
        <v>67892</v>
      </c>
      <c r="C115">
        <v>13344</v>
      </c>
      <c r="D115">
        <v>54548</v>
      </c>
      <c r="F115">
        <f t="shared" si="7"/>
        <v>936</v>
      </c>
      <c r="G115" s="21">
        <f t="shared" si="13"/>
        <v>110</v>
      </c>
      <c r="H115" s="22">
        <v>66621030222</v>
      </c>
      <c r="I115" s="23">
        <v>140</v>
      </c>
      <c r="J115" s="24"/>
      <c r="K115" s="25">
        <v>66956</v>
      </c>
      <c r="L115" s="24">
        <f t="shared" si="9"/>
        <v>936</v>
      </c>
      <c r="M115" s="25">
        <v>13170</v>
      </c>
      <c r="N115" s="26">
        <f t="shared" si="10"/>
        <v>41378</v>
      </c>
      <c r="O115" s="25">
        <v>53786</v>
      </c>
      <c r="P115" s="24">
        <f t="shared" si="11"/>
        <v>762</v>
      </c>
      <c r="Q115" s="27"/>
      <c r="R115" s="24">
        <f t="shared" si="12"/>
        <v>0</v>
      </c>
      <c r="S115" s="28" t="s">
        <v>18</v>
      </c>
      <c r="T115" s="20" t="s">
        <v>142</v>
      </c>
    </row>
    <row r="116" spans="1:20" ht="37.5" customHeight="1" x14ac:dyDescent="0.25">
      <c r="A116" s="20" t="s">
        <v>143</v>
      </c>
      <c r="B116">
        <f t="shared" si="8"/>
        <v>58623</v>
      </c>
      <c r="C116">
        <v>9110</v>
      </c>
      <c r="D116">
        <v>49513</v>
      </c>
      <c r="F116">
        <f t="shared" si="7"/>
        <v>582</v>
      </c>
      <c r="G116" s="21">
        <f t="shared" si="13"/>
        <v>111</v>
      </c>
      <c r="H116" s="22">
        <v>66617010375</v>
      </c>
      <c r="I116" s="23">
        <v>142</v>
      </c>
      <c r="J116" s="24"/>
      <c r="K116" s="25">
        <v>58041</v>
      </c>
      <c r="L116" s="24">
        <f t="shared" si="9"/>
        <v>582</v>
      </c>
      <c r="M116" s="25">
        <v>9025</v>
      </c>
      <c r="N116" s="26">
        <f t="shared" si="10"/>
        <v>40488</v>
      </c>
      <c r="O116" s="25">
        <v>49016</v>
      </c>
      <c r="P116" s="24">
        <f t="shared" si="11"/>
        <v>497</v>
      </c>
      <c r="Q116" s="27"/>
      <c r="R116" s="24">
        <f t="shared" si="12"/>
        <v>0</v>
      </c>
      <c r="S116" s="28" t="s">
        <v>18</v>
      </c>
      <c r="T116" s="20" t="s">
        <v>143</v>
      </c>
    </row>
    <row r="117" spans="1:20" ht="37.5" customHeight="1" x14ac:dyDescent="0.25">
      <c r="A117" s="20" t="s">
        <v>144</v>
      </c>
      <c r="B117">
        <f t="shared" si="8"/>
        <v>51242</v>
      </c>
      <c r="C117">
        <v>10724</v>
      </c>
      <c r="D117">
        <v>40518</v>
      </c>
      <c r="F117">
        <f t="shared" si="7"/>
        <v>97</v>
      </c>
      <c r="G117" s="21">
        <f t="shared" si="13"/>
        <v>112</v>
      </c>
      <c r="H117" s="22">
        <v>88820010103</v>
      </c>
      <c r="I117" s="23">
        <v>143</v>
      </c>
      <c r="J117" s="24"/>
      <c r="K117" s="25">
        <v>51145</v>
      </c>
      <c r="L117" s="24">
        <f t="shared" si="9"/>
        <v>97</v>
      </c>
      <c r="M117" s="25">
        <v>10719</v>
      </c>
      <c r="N117" s="26">
        <f t="shared" si="10"/>
        <v>29799</v>
      </c>
      <c r="O117" s="25">
        <v>40426</v>
      </c>
      <c r="P117" s="24">
        <f t="shared" si="11"/>
        <v>92</v>
      </c>
      <c r="Q117" s="27"/>
      <c r="R117" s="24">
        <f t="shared" si="12"/>
        <v>0</v>
      </c>
      <c r="S117" s="28" t="s">
        <v>18</v>
      </c>
      <c r="T117" s="20" t="s">
        <v>144</v>
      </c>
    </row>
    <row r="118" spans="1:20" ht="37.5" customHeight="1" x14ac:dyDescent="0.25">
      <c r="A118" s="20" t="s">
        <v>145</v>
      </c>
      <c r="B118">
        <f t="shared" si="8"/>
        <v>91981</v>
      </c>
      <c r="C118">
        <v>19459</v>
      </c>
      <c r="D118">
        <v>72522</v>
      </c>
      <c r="F118">
        <f t="shared" si="7"/>
        <v>195</v>
      </c>
      <c r="G118" s="21">
        <f t="shared" si="13"/>
        <v>113</v>
      </c>
      <c r="H118" s="22">
        <v>88819010233</v>
      </c>
      <c r="I118" s="23">
        <v>144</v>
      </c>
      <c r="J118" s="24"/>
      <c r="K118" s="25">
        <v>91786</v>
      </c>
      <c r="L118" s="24">
        <f t="shared" si="9"/>
        <v>195</v>
      </c>
      <c r="M118" s="25">
        <v>19413</v>
      </c>
      <c r="N118" s="26">
        <f t="shared" si="10"/>
        <v>53109</v>
      </c>
      <c r="O118" s="25">
        <v>72373</v>
      </c>
      <c r="P118" s="24">
        <f t="shared" si="11"/>
        <v>149</v>
      </c>
      <c r="Q118" s="27"/>
      <c r="R118" s="24">
        <f t="shared" si="12"/>
        <v>0</v>
      </c>
      <c r="S118" s="28" t="s">
        <v>18</v>
      </c>
      <c r="T118" s="20" t="s">
        <v>145</v>
      </c>
    </row>
    <row r="119" spans="1:20" ht="37.5" customHeight="1" x14ac:dyDescent="0.25">
      <c r="A119" s="20" t="s">
        <v>146</v>
      </c>
      <c r="B119">
        <f t="shared" si="8"/>
        <v>10948</v>
      </c>
      <c r="C119">
        <v>1620</v>
      </c>
      <c r="D119">
        <v>9328</v>
      </c>
      <c r="F119">
        <f t="shared" si="7"/>
        <v>21</v>
      </c>
      <c r="G119" s="21">
        <f t="shared" si="13"/>
        <v>114</v>
      </c>
      <c r="H119" s="22">
        <v>66622030107</v>
      </c>
      <c r="I119" s="23">
        <v>144</v>
      </c>
      <c r="J119" s="24"/>
      <c r="K119" s="25">
        <v>10927</v>
      </c>
      <c r="L119" s="24">
        <f t="shared" si="9"/>
        <v>21</v>
      </c>
      <c r="M119" s="25">
        <v>1617</v>
      </c>
      <c r="N119" s="26">
        <f t="shared" si="10"/>
        <v>7711</v>
      </c>
      <c r="O119" s="25">
        <v>9310</v>
      </c>
      <c r="P119" s="24">
        <f t="shared" si="11"/>
        <v>18</v>
      </c>
      <c r="Q119" s="27"/>
      <c r="R119" s="24">
        <f t="shared" si="12"/>
        <v>0</v>
      </c>
      <c r="S119" s="28" t="s">
        <v>18</v>
      </c>
      <c r="T119" s="20" t="s">
        <v>146</v>
      </c>
    </row>
    <row r="120" spans="1:20" ht="37.5" customHeight="1" x14ac:dyDescent="0.25">
      <c r="A120" s="20" t="s">
        <v>147</v>
      </c>
      <c r="B120">
        <f t="shared" si="8"/>
        <v>19656</v>
      </c>
      <c r="C120">
        <v>5573</v>
      </c>
      <c r="D120">
        <v>14083</v>
      </c>
      <c r="E120">
        <v>15254</v>
      </c>
      <c r="F120">
        <f t="shared" si="7"/>
        <v>1261</v>
      </c>
      <c r="G120" s="21">
        <f t="shared" si="13"/>
        <v>115</v>
      </c>
      <c r="H120" s="22">
        <v>99723070035</v>
      </c>
      <c r="I120" s="23">
        <v>145</v>
      </c>
      <c r="J120" s="24"/>
      <c r="K120" s="25">
        <f t="shared" ref="K120:K125" si="14">M120+O120</f>
        <v>18395</v>
      </c>
      <c r="L120" s="24">
        <f t="shared" si="9"/>
        <v>1261</v>
      </c>
      <c r="M120" s="25">
        <v>5221</v>
      </c>
      <c r="N120" s="26">
        <f t="shared" si="10"/>
        <v>8862</v>
      </c>
      <c r="O120" s="25">
        <v>13174</v>
      </c>
      <c r="P120" s="24">
        <f t="shared" si="11"/>
        <v>909</v>
      </c>
      <c r="Q120" s="27">
        <v>14318</v>
      </c>
      <c r="R120" s="24">
        <f t="shared" si="12"/>
        <v>936</v>
      </c>
      <c r="S120" s="28" t="s">
        <v>18</v>
      </c>
      <c r="T120" s="20" t="s">
        <v>147</v>
      </c>
    </row>
    <row r="121" spans="1:20" ht="37.5" customHeight="1" x14ac:dyDescent="0.25">
      <c r="A121" s="20" t="s">
        <v>148</v>
      </c>
      <c r="B121">
        <f t="shared" si="8"/>
        <v>20000</v>
      </c>
      <c r="C121">
        <v>5179</v>
      </c>
      <c r="D121">
        <v>14821</v>
      </c>
      <c r="E121">
        <v>15768</v>
      </c>
      <c r="F121">
        <f t="shared" si="7"/>
        <v>375</v>
      </c>
      <c r="G121" s="21">
        <f t="shared" si="13"/>
        <v>116</v>
      </c>
      <c r="H121" s="22">
        <v>99723040068</v>
      </c>
      <c r="I121" s="23" t="s">
        <v>149</v>
      </c>
      <c r="J121" s="24"/>
      <c r="K121" s="25">
        <f t="shared" si="14"/>
        <v>19625</v>
      </c>
      <c r="L121" s="24">
        <f t="shared" si="9"/>
        <v>375</v>
      </c>
      <c r="M121" s="25">
        <v>5066</v>
      </c>
      <c r="N121" s="26">
        <f t="shared" si="10"/>
        <v>9755</v>
      </c>
      <c r="O121" s="25">
        <v>14559</v>
      </c>
      <c r="P121" s="24">
        <f t="shared" si="11"/>
        <v>262</v>
      </c>
      <c r="Q121" s="27">
        <v>14734</v>
      </c>
      <c r="R121" s="24">
        <f t="shared" si="12"/>
        <v>1034</v>
      </c>
      <c r="S121" s="28" t="s">
        <v>18</v>
      </c>
      <c r="T121" s="20" t="s">
        <v>148</v>
      </c>
    </row>
    <row r="122" spans="1:20" ht="37.5" customHeight="1" x14ac:dyDescent="0.25">
      <c r="A122" s="20" t="s">
        <v>150</v>
      </c>
      <c r="B122">
        <f t="shared" si="8"/>
        <v>9389</v>
      </c>
      <c r="C122">
        <v>2152</v>
      </c>
      <c r="D122">
        <v>7237</v>
      </c>
      <c r="E122">
        <v>12450</v>
      </c>
      <c r="F122">
        <f t="shared" si="7"/>
        <v>375</v>
      </c>
      <c r="G122" s="21">
        <f t="shared" si="13"/>
        <v>117</v>
      </c>
      <c r="H122" s="22">
        <v>99623080356</v>
      </c>
      <c r="I122" s="23">
        <v>148</v>
      </c>
      <c r="J122" s="24"/>
      <c r="K122" s="25">
        <f t="shared" si="14"/>
        <v>9014</v>
      </c>
      <c r="L122" s="24">
        <f t="shared" si="9"/>
        <v>375</v>
      </c>
      <c r="M122" s="25">
        <v>2049</v>
      </c>
      <c r="N122" s="26">
        <f t="shared" si="10"/>
        <v>5188</v>
      </c>
      <c r="O122" s="25">
        <v>6965</v>
      </c>
      <c r="P122" s="24">
        <f t="shared" si="11"/>
        <v>272</v>
      </c>
      <c r="Q122" s="27">
        <v>10942</v>
      </c>
      <c r="R122" s="24">
        <f t="shared" si="12"/>
        <v>1508</v>
      </c>
      <c r="S122" s="28" t="s">
        <v>18</v>
      </c>
      <c r="T122" s="20" t="s">
        <v>150</v>
      </c>
    </row>
    <row r="123" spans="1:20" ht="37.5" customHeight="1" x14ac:dyDescent="0.25">
      <c r="A123" s="20" t="s">
        <v>151</v>
      </c>
      <c r="B123">
        <f t="shared" si="8"/>
        <v>5510</v>
      </c>
      <c r="C123">
        <v>1748</v>
      </c>
      <c r="D123">
        <v>3762</v>
      </c>
      <c r="E123">
        <v>14091</v>
      </c>
      <c r="F123">
        <f t="shared" si="7"/>
        <v>270</v>
      </c>
      <c r="G123" s="21">
        <f t="shared" si="13"/>
        <v>118</v>
      </c>
      <c r="H123" s="22">
        <v>99723070076</v>
      </c>
      <c r="I123" s="23">
        <v>149</v>
      </c>
      <c r="J123" s="24"/>
      <c r="K123" s="25">
        <f t="shared" si="14"/>
        <v>5240</v>
      </c>
      <c r="L123" s="24">
        <f t="shared" si="9"/>
        <v>270</v>
      </c>
      <c r="M123" s="25">
        <v>1663</v>
      </c>
      <c r="N123" s="26">
        <f t="shared" si="10"/>
        <v>2099</v>
      </c>
      <c r="O123" s="25">
        <v>3577</v>
      </c>
      <c r="P123" s="24">
        <f t="shared" si="11"/>
        <v>185</v>
      </c>
      <c r="Q123" s="27">
        <v>12990</v>
      </c>
      <c r="R123" s="24">
        <f t="shared" si="12"/>
        <v>1101</v>
      </c>
      <c r="S123" s="28" t="s">
        <v>18</v>
      </c>
      <c r="T123" s="20" t="s">
        <v>151</v>
      </c>
    </row>
    <row r="124" spans="1:20" ht="37.5" customHeight="1" x14ac:dyDescent="0.25">
      <c r="A124" s="20" t="s">
        <v>152</v>
      </c>
      <c r="B124">
        <f t="shared" si="8"/>
        <v>29978</v>
      </c>
      <c r="C124">
        <v>5572</v>
      </c>
      <c r="D124">
        <v>24406</v>
      </c>
      <c r="E124">
        <v>17723</v>
      </c>
      <c r="F124">
        <f t="shared" si="7"/>
        <v>517</v>
      </c>
      <c r="G124" s="21">
        <f t="shared" si="13"/>
        <v>119</v>
      </c>
      <c r="H124" s="22">
        <v>99723010096</v>
      </c>
      <c r="I124" s="23">
        <v>151</v>
      </c>
      <c r="J124" s="24"/>
      <c r="K124" s="25">
        <f t="shared" si="14"/>
        <v>29461</v>
      </c>
      <c r="L124" s="24">
        <f t="shared" si="9"/>
        <v>517</v>
      </c>
      <c r="M124" s="25">
        <v>5416</v>
      </c>
      <c r="N124" s="26">
        <f t="shared" si="10"/>
        <v>18990</v>
      </c>
      <c r="O124" s="25">
        <v>24045</v>
      </c>
      <c r="P124" s="24">
        <f t="shared" si="11"/>
        <v>361</v>
      </c>
      <c r="Q124" s="27">
        <v>16503</v>
      </c>
      <c r="R124" s="24">
        <f t="shared" si="12"/>
        <v>1220</v>
      </c>
      <c r="S124" s="28" t="s">
        <v>18</v>
      </c>
      <c r="T124" s="20" t="s">
        <v>152</v>
      </c>
    </row>
    <row r="125" spans="1:20" ht="37.5" customHeight="1" x14ac:dyDescent="0.25">
      <c r="A125" s="20" t="s">
        <v>153</v>
      </c>
      <c r="B125">
        <f t="shared" si="8"/>
        <v>4877</v>
      </c>
      <c r="C125">
        <v>1190</v>
      </c>
      <c r="D125">
        <v>3687</v>
      </c>
      <c r="E125">
        <v>7970</v>
      </c>
      <c r="F125">
        <f t="shared" si="7"/>
        <v>340</v>
      </c>
      <c r="G125" s="21">
        <f t="shared" si="13"/>
        <v>120</v>
      </c>
      <c r="H125" s="22">
        <v>99624020126</v>
      </c>
      <c r="I125" s="23">
        <v>152</v>
      </c>
      <c r="J125" s="24"/>
      <c r="K125" s="25">
        <f t="shared" si="14"/>
        <v>4537</v>
      </c>
      <c r="L125" s="24">
        <f t="shared" si="9"/>
        <v>340</v>
      </c>
      <c r="M125" s="25">
        <v>1102</v>
      </c>
      <c r="N125" s="26">
        <f t="shared" si="10"/>
        <v>2585</v>
      </c>
      <c r="O125" s="25">
        <v>3435</v>
      </c>
      <c r="P125" s="24">
        <f t="shared" si="11"/>
        <v>252</v>
      </c>
      <c r="Q125" s="27">
        <v>7025</v>
      </c>
      <c r="R125" s="24">
        <f t="shared" si="12"/>
        <v>945</v>
      </c>
      <c r="S125" s="28" t="s">
        <v>18</v>
      </c>
      <c r="T125" s="20" t="s">
        <v>153</v>
      </c>
    </row>
    <row r="126" spans="1:20" ht="37.5" customHeight="1" x14ac:dyDescent="0.25">
      <c r="A126" s="20" t="s">
        <v>154</v>
      </c>
      <c r="B126">
        <f t="shared" si="8"/>
        <v>30458</v>
      </c>
      <c r="C126">
        <v>7010</v>
      </c>
      <c r="D126">
        <v>23448</v>
      </c>
      <c r="F126">
        <f t="shared" si="7"/>
        <v>245</v>
      </c>
      <c r="G126" s="21">
        <f t="shared" si="13"/>
        <v>121</v>
      </c>
      <c r="H126" s="22">
        <v>88819020101</v>
      </c>
      <c r="I126" s="23">
        <v>153</v>
      </c>
      <c r="J126" s="24"/>
      <c r="K126" s="25">
        <v>30213</v>
      </c>
      <c r="L126" s="24">
        <f t="shared" si="9"/>
        <v>245</v>
      </c>
      <c r="M126" s="25">
        <v>6976</v>
      </c>
      <c r="N126" s="26">
        <f t="shared" si="10"/>
        <v>16472</v>
      </c>
      <c r="O126" s="25">
        <v>23237</v>
      </c>
      <c r="P126" s="24">
        <f t="shared" si="11"/>
        <v>211</v>
      </c>
      <c r="Q126" s="27"/>
      <c r="R126" s="24">
        <f t="shared" si="12"/>
        <v>0</v>
      </c>
      <c r="S126" s="28" t="s">
        <v>18</v>
      </c>
      <c r="T126" s="20" t="s">
        <v>154</v>
      </c>
    </row>
    <row r="127" spans="1:20" ht="37.5" customHeight="1" x14ac:dyDescent="0.25">
      <c r="A127" s="20" t="s">
        <v>155</v>
      </c>
      <c r="B127">
        <f t="shared" si="8"/>
        <v>28707</v>
      </c>
      <c r="C127">
        <v>5112</v>
      </c>
      <c r="D127">
        <v>23595</v>
      </c>
      <c r="F127">
        <f t="shared" si="7"/>
        <v>454</v>
      </c>
      <c r="G127" s="21">
        <f t="shared" si="13"/>
        <v>122</v>
      </c>
      <c r="H127" s="22">
        <v>88818020389</v>
      </c>
      <c r="I127" s="23">
        <v>154</v>
      </c>
      <c r="J127" s="24"/>
      <c r="K127" s="25">
        <v>28253</v>
      </c>
      <c r="L127" s="24">
        <f t="shared" si="9"/>
        <v>454</v>
      </c>
      <c r="M127" s="25">
        <v>5028</v>
      </c>
      <c r="N127" s="26">
        <f t="shared" si="10"/>
        <v>18567</v>
      </c>
      <c r="O127" s="25">
        <v>23225</v>
      </c>
      <c r="P127" s="24">
        <f t="shared" si="11"/>
        <v>370</v>
      </c>
      <c r="Q127" s="27"/>
      <c r="R127" s="24">
        <f t="shared" si="12"/>
        <v>0</v>
      </c>
      <c r="S127" s="28" t="s">
        <v>18</v>
      </c>
      <c r="T127" s="20" t="s">
        <v>155</v>
      </c>
    </row>
    <row r="128" spans="1:20" ht="37.5" customHeight="1" x14ac:dyDescent="0.25">
      <c r="A128" s="20" t="s">
        <v>156</v>
      </c>
      <c r="B128">
        <f t="shared" si="8"/>
        <v>2959</v>
      </c>
      <c r="C128">
        <v>428</v>
      </c>
      <c r="D128">
        <v>2531</v>
      </c>
      <c r="F128">
        <f t="shared" si="7"/>
        <v>113</v>
      </c>
      <c r="G128" s="21">
        <f t="shared" si="13"/>
        <v>123</v>
      </c>
      <c r="H128" s="22">
        <v>66623011257</v>
      </c>
      <c r="I128" s="23">
        <v>161</v>
      </c>
      <c r="J128" s="24"/>
      <c r="K128" s="25">
        <v>2846</v>
      </c>
      <c r="L128" s="24">
        <f t="shared" si="9"/>
        <v>113</v>
      </c>
      <c r="M128" s="25">
        <v>395</v>
      </c>
      <c r="N128" s="26">
        <f t="shared" si="10"/>
        <v>2136</v>
      </c>
      <c r="O128" s="25">
        <v>2451</v>
      </c>
      <c r="P128" s="24">
        <f t="shared" si="11"/>
        <v>80</v>
      </c>
      <c r="Q128" s="27"/>
      <c r="R128" s="24">
        <f t="shared" si="12"/>
        <v>0</v>
      </c>
      <c r="S128" s="28" t="s">
        <v>18</v>
      </c>
      <c r="T128" s="20" t="s">
        <v>156</v>
      </c>
    </row>
    <row r="129" spans="1:20" ht="37.5" customHeight="1" x14ac:dyDescent="0.25">
      <c r="A129" s="20" t="s">
        <v>157</v>
      </c>
      <c r="B129">
        <f t="shared" si="8"/>
        <v>56415</v>
      </c>
      <c r="C129">
        <v>7878</v>
      </c>
      <c r="D129">
        <v>48537</v>
      </c>
      <c r="F129">
        <f t="shared" si="7"/>
        <v>488</v>
      </c>
      <c r="G129" s="21">
        <f t="shared" si="13"/>
        <v>124</v>
      </c>
      <c r="H129" s="22">
        <v>66601102590</v>
      </c>
      <c r="I129" s="23">
        <v>163</v>
      </c>
      <c r="J129" s="24"/>
      <c r="K129" s="25">
        <v>55927</v>
      </c>
      <c r="L129" s="24">
        <f t="shared" si="9"/>
        <v>488</v>
      </c>
      <c r="M129" s="25">
        <v>7783</v>
      </c>
      <c r="N129" s="26">
        <f t="shared" si="10"/>
        <v>40754</v>
      </c>
      <c r="O129" s="25">
        <v>48144</v>
      </c>
      <c r="P129" s="24">
        <f t="shared" si="11"/>
        <v>393</v>
      </c>
      <c r="Q129" s="27"/>
      <c r="R129" s="24">
        <f t="shared" si="12"/>
        <v>0</v>
      </c>
      <c r="S129" s="28" t="s">
        <v>18</v>
      </c>
      <c r="T129" s="20" t="s">
        <v>157</v>
      </c>
    </row>
    <row r="130" spans="1:20" ht="37.5" customHeight="1" x14ac:dyDescent="0.25">
      <c r="A130" s="20" t="s">
        <v>158</v>
      </c>
      <c r="B130">
        <f t="shared" si="8"/>
        <v>39028</v>
      </c>
      <c r="C130">
        <v>5476</v>
      </c>
      <c r="D130">
        <v>33552</v>
      </c>
      <c r="F130">
        <f t="shared" si="7"/>
        <v>157</v>
      </c>
      <c r="G130" s="21">
        <f t="shared" si="13"/>
        <v>125</v>
      </c>
      <c r="H130" s="22">
        <v>88820010305</v>
      </c>
      <c r="I130" s="23" t="s">
        <v>159</v>
      </c>
      <c r="J130" s="24"/>
      <c r="K130" s="25">
        <v>38871</v>
      </c>
      <c r="L130" s="24">
        <f t="shared" si="9"/>
        <v>157</v>
      </c>
      <c r="M130" s="25">
        <v>5455</v>
      </c>
      <c r="N130" s="26">
        <f t="shared" si="10"/>
        <v>28097</v>
      </c>
      <c r="O130" s="25">
        <v>33416</v>
      </c>
      <c r="P130" s="24">
        <f t="shared" si="11"/>
        <v>136</v>
      </c>
      <c r="Q130" s="27"/>
      <c r="R130" s="24">
        <f t="shared" si="12"/>
        <v>0</v>
      </c>
      <c r="S130" s="28" t="s">
        <v>18</v>
      </c>
      <c r="T130" s="20" t="s">
        <v>158</v>
      </c>
    </row>
    <row r="131" spans="1:20" ht="37.5" customHeight="1" x14ac:dyDescent="0.25">
      <c r="A131" s="20" t="s">
        <v>160</v>
      </c>
      <c r="B131">
        <f t="shared" si="8"/>
        <v>22017</v>
      </c>
      <c r="C131">
        <v>3001</v>
      </c>
      <c r="D131">
        <v>19016</v>
      </c>
      <c r="F131">
        <f t="shared" si="7"/>
        <v>380</v>
      </c>
      <c r="G131" s="21">
        <f t="shared" si="13"/>
        <v>126</v>
      </c>
      <c r="H131" s="22">
        <v>66618010446</v>
      </c>
      <c r="I131" s="23">
        <v>170</v>
      </c>
      <c r="J131" s="24"/>
      <c r="K131" s="25">
        <v>21637</v>
      </c>
      <c r="L131" s="24">
        <f t="shared" si="9"/>
        <v>380</v>
      </c>
      <c r="M131" s="25">
        <v>2937</v>
      </c>
      <c r="N131" s="26">
        <f t="shared" si="10"/>
        <v>16079</v>
      </c>
      <c r="O131" s="25">
        <v>18700</v>
      </c>
      <c r="P131" s="24">
        <f t="shared" si="11"/>
        <v>316</v>
      </c>
      <c r="Q131" s="27"/>
      <c r="R131" s="24">
        <f t="shared" si="12"/>
        <v>0</v>
      </c>
      <c r="S131" s="28" t="s">
        <v>18</v>
      </c>
      <c r="T131" s="20" t="s">
        <v>160</v>
      </c>
    </row>
    <row r="132" spans="1:20" ht="37.5" customHeight="1" x14ac:dyDescent="0.25">
      <c r="A132" s="20" t="s">
        <v>161</v>
      </c>
      <c r="B132">
        <f t="shared" si="8"/>
        <v>23747</v>
      </c>
      <c r="C132">
        <v>4140</v>
      </c>
      <c r="D132">
        <v>19607</v>
      </c>
      <c r="F132">
        <f t="shared" si="7"/>
        <v>559</v>
      </c>
      <c r="G132" s="21">
        <f t="shared" si="13"/>
        <v>127</v>
      </c>
      <c r="H132" s="22">
        <v>88819010090</v>
      </c>
      <c r="I132" s="23">
        <v>171</v>
      </c>
      <c r="J132" s="24"/>
      <c r="K132" s="25">
        <v>23188</v>
      </c>
      <c r="L132" s="24">
        <f t="shared" si="9"/>
        <v>559</v>
      </c>
      <c r="M132" s="25">
        <v>4027</v>
      </c>
      <c r="N132" s="26">
        <f t="shared" si="10"/>
        <v>15580</v>
      </c>
      <c r="O132" s="25">
        <v>19161</v>
      </c>
      <c r="P132" s="24">
        <f t="shared" si="11"/>
        <v>446</v>
      </c>
      <c r="Q132" s="27"/>
      <c r="R132" s="24">
        <f t="shared" si="12"/>
        <v>0</v>
      </c>
      <c r="S132" s="28" t="s">
        <v>18</v>
      </c>
      <c r="T132" s="20" t="s">
        <v>161</v>
      </c>
    </row>
    <row r="133" spans="1:20" ht="37.5" customHeight="1" x14ac:dyDescent="0.25">
      <c r="A133" s="20" t="s">
        <v>162</v>
      </c>
      <c r="B133">
        <f t="shared" si="8"/>
        <v>20704</v>
      </c>
      <c r="C133">
        <v>3466</v>
      </c>
      <c r="D133">
        <v>17238</v>
      </c>
      <c r="F133">
        <f t="shared" si="7"/>
        <v>633</v>
      </c>
      <c r="G133" s="21">
        <f t="shared" si="13"/>
        <v>128</v>
      </c>
      <c r="H133" s="22">
        <v>66622040618</v>
      </c>
      <c r="I133" s="23">
        <v>173</v>
      </c>
      <c r="J133" s="24"/>
      <c r="K133" s="25">
        <v>20071</v>
      </c>
      <c r="L133" s="24">
        <f t="shared" si="9"/>
        <v>633</v>
      </c>
      <c r="M133" s="25">
        <v>3358</v>
      </c>
      <c r="N133" s="26">
        <f t="shared" si="10"/>
        <v>13880</v>
      </c>
      <c r="O133" s="25">
        <v>16713</v>
      </c>
      <c r="P133" s="24">
        <f t="shared" si="11"/>
        <v>525</v>
      </c>
      <c r="Q133" s="27"/>
      <c r="R133" s="24">
        <f t="shared" si="12"/>
        <v>0</v>
      </c>
      <c r="S133" s="28" t="s">
        <v>18</v>
      </c>
      <c r="T133" s="20" t="s">
        <v>162</v>
      </c>
    </row>
    <row r="134" spans="1:20" ht="37.5" customHeight="1" x14ac:dyDescent="0.25">
      <c r="A134" s="20" t="s">
        <v>163</v>
      </c>
      <c r="B134">
        <f t="shared" si="8"/>
        <v>13013</v>
      </c>
      <c r="C134">
        <v>1749</v>
      </c>
      <c r="D134">
        <v>11264</v>
      </c>
      <c r="F134">
        <f t="shared" ref="F134:F197" si="15">L134</f>
        <v>20</v>
      </c>
      <c r="G134" s="21">
        <f t="shared" si="13"/>
        <v>129</v>
      </c>
      <c r="H134" s="22">
        <v>66619040054</v>
      </c>
      <c r="I134" s="23">
        <v>174</v>
      </c>
      <c r="J134" s="24"/>
      <c r="K134" s="25">
        <v>12993</v>
      </c>
      <c r="L134" s="24">
        <f t="shared" si="9"/>
        <v>20</v>
      </c>
      <c r="M134" s="25">
        <v>1743</v>
      </c>
      <c r="N134" s="26">
        <f t="shared" si="10"/>
        <v>9521</v>
      </c>
      <c r="O134" s="25">
        <v>11250</v>
      </c>
      <c r="P134" s="24">
        <f t="shared" si="11"/>
        <v>14</v>
      </c>
      <c r="Q134" s="27"/>
      <c r="R134" s="24">
        <f t="shared" si="12"/>
        <v>0</v>
      </c>
      <c r="S134" s="28" t="s">
        <v>18</v>
      </c>
      <c r="T134" s="20" t="s">
        <v>163</v>
      </c>
    </row>
    <row r="135" spans="1:20" ht="37.5" customHeight="1" x14ac:dyDescent="0.25">
      <c r="A135" s="20" t="s">
        <v>164</v>
      </c>
      <c r="B135">
        <f t="shared" ref="B135:B198" si="16">C135+D135</f>
        <v>12548</v>
      </c>
      <c r="C135">
        <v>3622</v>
      </c>
      <c r="D135">
        <v>8926</v>
      </c>
      <c r="E135">
        <v>19649</v>
      </c>
      <c r="F135">
        <f t="shared" si="15"/>
        <v>391</v>
      </c>
      <c r="G135" s="21">
        <f t="shared" si="13"/>
        <v>130</v>
      </c>
      <c r="H135" s="22">
        <v>99723050154</v>
      </c>
      <c r="I135" s="23">
        <v>176</v>
      </c>
      <c r="J135" s="24"/>
      <c r="K135" s="25">
        <f>M135+O135</f>
        <v>12157</v>
      </c>
      <c r="L135" s="24">
        <f t="shared" ref="L135:L198" si="17">B135-K135</f>
        <v>391</v>
      </c>
      <c r="M135" s="25">
        <v>3496</v>
      </c>
      <c r="N135" s="26">
        <f t="shared" ref="N135:N198" si="18">D135-M135</f>
        <v>5430</v>
      </c>
      <c r="O135" s="25">
        <v>8661</v>
      </c>
      <c r="P135" s="24">
        <f t="shared" ref="P135:P198" si="19">D135-O135</f>
        <v>265</v>
      </c>
      <c r="Q135" s="27">
        <v>18226</v>
      </c>
      <c r="R135" s="24">
        <f t="shared" ref="R135:R198" si="20">E135-Q135</f>
        <v>1423</v>
      </c>
      <c r="S135" s="28" t="s">
        <v>18</v>
      </c>
      <c r="T135" s="20" t="s">
        <v>164</v>
      </c>
    </row>
    <row r="136" spans="1:20" ht="37.5" customHeight="1" x14ac:dyDescent="0.25">
      <c r="A136" s="20" t="s">
        <v>165</v>
      </c>
      <c r="B136">
        <f t="shared" si="16"/>
        <v>9646</v>
      </c>
      <c r="C136">
        <v>1558</v>
      </c>
      <c r="D136">
        <v>8088</v>
      </c>
      <c r="F136">
        <f t="shared" si="15"/>
        <v>207</v>
      </c>
      <c r="G136" s="21">
        <f t="shared" ref="G136:G199" si="21">G135+1</f>
        <v>131</v>
      </c>
      <c r="H136" s="22">
        <v>66622030081</v>
      </c>
      <c r="I136" s="23">
        <v>177</v>
      </c>
      <c r="J136" s="24"/>
      <c r="K136" s="25">
        <v>9439</v>
      </c>
      <c r="L136" s="24">
        <f t="shared" si="17"/>
        <v>207</v>
      </c>
      <c r="M136" s="25">
        <v>1544</v>
      </c>
      <c r="N136" s="26">
        <f t="shared" si="18"/>
        <v>6544</v>
      </c>
      <c r="O136" s="25">
        <v>7895</v>
      </c>
      <c r="P136" s="24">
        <f t="shared" si="19"/>
        <v>193</v>
      </c>
      <c r="Q136" s="27"/>
      <c r="R136" s="24">
        <f t="shared" si="20"/>
        <v>0</v>
      </c>
      <c r="S136" s="28" t="s">
        <v>18</v>
      </c>
      <c r="T136" s="20" t="s">
        <v>165</v>
      </c>
    </row>
    <row r="137" spans="1:20" ht="37.5" customHeight="1" x14ac:dyDescent="0.25">
      <c r="A137" s="20" t="s">
        <v>166</v>
      </c>
      <c r="B137">
        <f t="shared" si="16"/>
        <v>28268</v>
      </c>
      <c r="C137">
        <v>4696</v>
      </c>
      <c r="D137">
        <v>23572</v>
      </c>
      <c r="F137">
        <f t="shared" si="15"/>
        <v>423</v>
      </c>
      <c r="G137" s="21">
        <f t="shared" si="21"/>
        <v>132</v>
      </c>
      <c r="H137" s="22">
        <v>88820030314</v>
      </c>
      <c r="I137" s="23">
        <v>178</v>
      </c>
      <c r="J137" s="24"/>
      <c r="K137" s="25">
        <v>27845</v>
      </c>
      <c r="L137" s="24">
        <f t="shared" si="17"/>
        <v>423</v>
      </c>
      <c r="M137" s="25">
        <v>4625</v>
      </c>
      <c r="N137" s="26">
        <f t="shared" si="18"/>
        <v>18947</v>
      </c>
      <c r="O137" s="25">
        <v>23220</v>
      </c>
      <c r="P137" s="24">
        <f t="shared" si="19"/>
        <v>352</v>
      </c>
      <c r="Q137" s="27"/>
      <c r="R137" s="24">
        <f t="shared" si="20"/>
        <v>0</v>
      </c>
      <c r="S137" s="28" t="s">
        <v>18</v>
      </c>
      <c r="T137" s="20" t="s">
        <v>166</v>
      </c>
    </row>
    <row r="138" spans="1:20" ht="37.5" customHeight="1" x14ac:dyDescent="0.25">
      <c r="A138" s="20" t="s">
        <v>167</v>
      </c>
      <c r="B138">
        <f t="shared" si="16"/>
        <v>41201</v>
      </c>
      <c r="C138">
        <v>6719</v>
      </c>
      <c r="D138">
        <v>34482</v>
      </c>
      <c r="F138">
        <f t="shared" si="15"/>
        <v>171</v>
      </c>
      <c r="G138" s="21">
        <f t="shared" si="21"/>
        <v>133</v>
      </c>
      <c r="H138" s="22">
        <v>23015010484</v>
      </c>
      <c r="I138" s="23" t="s">
        <v>168</v>
      </c>
      <c r="J138" s="24"/>
      <c r="K138" s="25">
        <v>41030</v>
      </c>
      <c r="L138" s="24">
        <f t="shared" si="17"/>
        <v>171</v>
      </c>
      <c r="M138" s="25">
        <v>6711</v>
      </c>
      <c r="N138" s="26">
        <f t="shared" si="18"/>
        <v>27771</v>
      </c>
      <c r="O138" s="25">
        <v>34319</v>
      </c>
      <c r="P138" s="24">
        <f t="shared" si="19"/>
        <v>163</v>
      </c>
      <c r="Q138" s="27"/>
      <c r="R138" s="24">
        <f t="shared" si="20"/>
        <v>0</v>
      </c>
      <c r="S138" s="28" t="s">
        <v>18</v>
      </c>
      <c r="T138" s="20" t="s">
        <v>167</v>
      </c>
    </row>
    <row r="139" spans="1:20" ht="37.5" customHeight="1" x14ac:dyDescent="0.25">
      <c r="A139" s="20" t="s">
        <v>169</v>
      </c>
      <c r="B139">
        <f t="shared" si="16"/>
        <v>22313</v>
      </c>
      <c r="C139">
        <v>3685</v>
      </c>
      <c r="D139">
        <v>18628</v>
      </c>
      <c r="F139">
        <f t="shared" si="15"/>
        <v>338</v>
      </c>
      <c r="G139" s="21">
        <f t="shared" si="21"/>
        <v>134</v>
      </c>
      <c r="H139" s="22">
        <v>66621040116</v>
      </c>
      <c r="I139" s="23">
        <v>179</v>
      </c>
      <c r="J139" s="24"/>
      <c r="K139" s="25">
        <v>21975</v>
      </c>
      <c r="L139" s="24">
        <f t="shared" si="17"/>
        <v>338</v>
      </c>
      <c r="M139" s="25">
        <v>3623</v>
      </c>
      <c r="N139" s="26">
        <f t="shared" si="18"/>
        <v>15005</v>
      </c>
      <c r="O139" s="25">
        <v>18352</v>
      </c>
      <c r="P139" s="24">
        <f t="shared" si="19"/>
        <v>276</v>
      </c>
      <c r="Q139" s="27"/>
      <c r="R139" s="24">
        <f t="shared" si="20"/>
        <v>0</v>
      </c>
      <c r="S139" s="28" t="s">
        <v>18</v>
      </c>
      <c r="T139" s="20" t="s">
        <v>169</v>
      </c>
    </row>
    <row r="140" spans="1:20" ht="37.5" customHeight="1" x14ac:dyDescent="0.25">
      <c r="A140" s="20" t="s">
        <v>170</v>
      </c>
      <c r="B140">
        <f t="shared" si="16"/>
        <v>26690</v>
      </c>
      <c r="C140">
        <v>7583</v>
      </c>
      <c r="D140">
        <v>19107</v>
      </c>
      <c r="E140">
        <v>27180</v>
      </c>
      <c r="F140">
        <f t="shared" si="15"/>
        <v>852</v>
      </c>
      <c r="G140" s="21">
        <f t="shared" si="21"/>
        <v>135</v>
      </c>
      <c r="H140" s="22">
        <v>99622050047</v>
      </c>
      <c r="I140" s="23">
        <v>180</v>
      </c>
      <c r="J140" s="24"/>
      <c r="K140" s="25">
        <f>M140+O140</f>
        <v>25838</v>
      </c>
      <c r="L140" s="24">
        <f t="shared" si="17"/>
        <v>852</v>
      </c>
      <c r="M140" s="25">
        <v>7329</v>
      </c>
      <c r="N140" s="26">
        <f t="shared" si="18"/>
        <v>11778</v>
      </c>
      <c r="O140" s="25">
        <v>18509</v>
      </c>
      <c r="P140" s="24">
        <f t="shared" si="19"/>
        <v>598</v>
      </c>
      <c r="Q140" s="27">
        <v>25867</v>
      </c>
      <c r="R140" s="24">
        <f t="shared" si="20"/>
        <v>1313</v>
      </c>
      <c r="S140" s="28" t="s">
        <v>18</v>
      </c>
      <c r="T140" s="20" t="s">
        <v>170</v>
      </c>
    </row>
    <row r="141" spans="1:20" ht="37.5" customHeight="1" x14ac:dyDescent="0.25">
      <c r="A141" s="20" t="s">
        <v>171</v>
      </c>
      <c r="B141">
        <f t="shared" si="16"/>
        <v>14805</v>
      </c>
      <c r="C141">
        <v>1975</v>
      </c>
      <c r="D141">
        <v>12830</v>
      </c>
      <c r="F141">
        <f t="shared" si="15"/>
        <v>98</v>
      </c>
      <c r="G141" s="21">
        <f t="shared" si="21"/>
        <v>136</v>
      </c>
      <c r="H141" s="22">
        <v>66621050251</v>
      </c>
      <c r="I141" s="23" t="s">
        <v>172</v>
      </c>
      <c r="J141" s="24"/>
      <c r="K141" s="25">
        <v>14707</v>
      </c>
      <c r="L141" s="24">
        <f t="shared" si="17"/>
        <v>98</v>
      </c>
      <c r="M141" s="25">
        <v>1964</v>
      </c>
      <c r="N141" s="26">
        <f t="shared" si="18"/>
        <v>10866</v>
      </c>
      <c r="O141" s="25">
        <v>12743</v>
      </c>
      <c r="P141" s="24">
        <f t="shared" si="19"/>
        <v>87</v>
      </c>
      <c r="Q141" s="27"/>
      <c r="R141" s="24">
        <f t="shared" si="20"/>
        <v>0</v>
      </c>
      <c r="S141" s="28" t="s">
        <v>18</v>
      </c>
      <c r="T141" s="20" t="s">
        <v>171</v>
      </c>
    </row>
    <row r="142" spans="1:20" ht="37.5" customHeight="1" x14ac:dyDescent="0.25">
      <c r="A142" s="20" t="s">
        <v>173</v>
      </c>
      <c r="B142">
        <f t="shared" si="16"/>
        <v>2679</v>
      </c>
      <c r="C142">
        <v>556</v>
      </c>
      <c r="D142">
        <v>2123</v>
      </c>
      <c r="E142">
        <v>5076</v>
      </c>
      <c r="F142">
        <f t="shared" si="15"/>
        <v>181</v>
      </c>
      <c r="G142" s="21">
        <f t="shared" si="21"/>
        <v>137</v>
      </c>
      <c r="H142" s="22">
        <v>99624040137</v>
      </c>
      <c r="I142" s="23">
        <v>181</v>
      </c>
      <c r="J142" s="24"/>
      <c r="K142" s="25">
        <f>M142+O142</f>
        <v>2498</v>
      </c>
      <c r="L142" s="24">
        <f t="shared" si="17"/>
        <v>181</v>
      </c>
      <c r="M142" s="25">
        <v>516</v>
      </c>
      <c r="N142" s="26">
        <f t="shared" si="18"/>
        <v>1607</v>
      </c>
      <c r="O142" s="25">
        <v>1982</v>
      </c>
      <c r="P142" s="24">
        <f t="shared" si="19"/>
        <v>141</v>
      </c>
      <c r="Q142" s="27">
        <v>4158</v>
      </c>
      <c r="R142" s="24">
        <f t="shared" si="20"/>
        <v>918</v>
      </c>
      <c r="S142" s="28" t="s">
        <v>18</v>
      </c>
      <c r="T142" s="20" t="s">
        <v>173</v>
      </c>
    </row>
    <row r="143" spans="1:20" ht="37.5" customHeight="1" x14ac:dyDescent="0.25">
      <c r="A143" s="20" t="s">
        <v>174</v>
      </c>
      <c r="B143">
        <f t="shared" si="16"/>
        <v>54359</v>
      </c>
      <c r="C143">
        <v>8049</v>
      </c>
      <c r="D143">
        <v>46310</v>
      </c>
      <c r="F143">
        <f t="shared" si="15"/>
        <v>484</v>
      </c>
      <c r="G143" s="21">
        <f t="shared" si="21"/>
        <v>138</v>
      </c>
      <c r="H143" s="22">
        <v>66616031416</v>
      </c>
      <c r="I143" s="23">
        <v>182</v>
      </c>
      <c r="J143" s="24"/>
      <c r="K143" s="25">
        <v>53875</v>
      </c>
      <c r="L143" s="24">
        <f t="shared" si="17"/>
        <v>484</v>
      </c>
      <c r="M143" s="25">
        <v>7975</v>
      </c>
      <c r="N143" s="26">
        <f t="shared" si="18"/>
        <v>38335</v>
      </c>
      <c r="O143" s="25">
        <v>45900</v>
      </c>
      <c r="P143" s="24">
        <f t="shared" si="19"/>
        <v>410</v>
      </c>
      <c r="Q143" s="27"/>
      <c r="R143" s="24">
        <f t="shared" si="20"/>
        <v>0</v>
      </c>
      <c r="S143" s="28" t="s">
        <v>18</v>
      </c>
      <c r="T143" s="20" t="s">
        <v>174</v>
      </c>
    </row>
    <row r="144" spans="1:20" ht="37.5" customHeight="1" x14ac:dyDescent="0.25">
      <c r="A144" s="20" t="s">
        <v>175</v>
      </c>
      <c r="B144">
        <f t="shared" si="16"/>
        <v>3084</v>
      </c>
      <c r="C144">
        <v>288</v>
      </c>
      <c r="D144">
        <v>2796</v>
      </c>
      <c r="F144">
        <f t="shared" si="15"/>
        <v>122</v>
      </c>
      <c r="G144" s="21">
        <f t="shared" si="21"/>
        <v>139</v>
      </c>
      <c r="H144" s="22">
        <v>66623011104</v>
      </c>
      <c r="I144" s="23">
        <v>183</v>
      </c>
      <c r="J144" s="24"/>
      <c r="K144" s="25">
        <v>2962</v>
      </c>
      <c r="L144" s="24">
        <f t="shared" si="17"/>
        <v>122</v>
      </c>
      <c r="M144" s="25">
        <v>265</v>
      </c>
      <c r="N144" s="26">
        <f t="shared" si="18"/>
        <v>2531</v>
      </c>
      <c r="O144" s="25">
        <v>2697</v>
      </c>
      <c r="P144" s="24">
        <f t="shared" si="19"/>
        <v>99</v>
      </c>
      <c r="Q144" s="27"/>
      <c r="R144" s="24">
        <f t="shared" si="20"/>
        <v>0</v>
      </c>
      <c r="S144" s="28" t="s">
        <v>18</v>
      </c>
      <c r="T144" s="20" t="s">
        <v>175</v>
      </c>
    </row>
    <row r="145" spans="1:20" ht="37.5" customHeight="1" x14ac:dyDescent="0.25">
      <c r="A145" s="20" t="s">
        <v>176</v>
      </c>
      <c r="B145">
        <f t="shared" si="16"/>
        <v>9892</v>
      </c>
      <c r="C145">
        <v>2503</v>
      </c>
      <c r="D145">
        <v>7389</v>
      </c>
      <c r="E145">
        <v>9614</v>
      </c>
      <c r="F145">
        <f t="shared" si="15"/>
        <v>556</v>
      </c>
      <c r="G145" s="21">
        <f t="shared" si="21"/>
        <v>140</v>
      </c>
      <c r="H145" s="22">
        <v>99624020224</v>
      </c>
      <c r="I145" s="23">
        <v>185</v>
      </c>
      <c r="J145" s="24"/>
      <c r="K145" s="25">
        <f>M145+O145</f>
        <v>9336</v>
      </c>
      <c r="L145" s="24">
        <f t="shared" si="17"/>
        <v>556</v>
      </c>
      <c r="M145" s="25">
        <v>2326</v>
      </c>
      <c r="N145" s="26">
        <f t="shared" si="18"/>
        <v>5063</v>
      </c>
      <c r="O145" s="25">
        <v>7010</v>
      </c>
      <c r="P145" s="24">
        <f t="shared" si="19"/>
        <v>379</v>
      </c>
      <c r="Q145" s="27">
        <v>8258</v>
      </c>
      <c r="R145" s="24">
        <f t="shared" si="20"/>
        <v>1356</v>
      </c>
      <c r="S145" s="28" t="s">
        <v>18</v>
      </c>
      <c r="T145" s="20" t="s">
        <v>176</v>
      </c>
    </row>
    <row r="146" spans="1:20" ht="37.5" customHeight="1" x14ac:dyDescent="0.25">
      <c r="A146" s="20" t="s">
        <v>177</v>
      </c>
      <c r="B146">
        <f t="shared" si="16"/>
        <v>4578</v>
      </c>
      <c r="C146">
        <v>1312</v>
      </c>
      <c r="D146">
        <v>3266</v>
      </c>
      <c r="E146">
        <v>6561</v>
      </c>
      <c r="F146">
        <f t="shared" si="15"/>
        <v>615</v>
      </c>
      <c r="G146" s="21">
        <f t="shared" si="21"/>
        <v>141</v>
      </c>
      <c r="H146" s="22">
        <v>99624040105</v>
      </c>
      <c r="I146" s="23">
        <v>187</v>
      </c>
      <c r="J146" s="24"/>
      <c r="K146" s="25">
        <f>M146+O146</f>
        <v>3963</v>
      </c>
      <c r="L146" s="24">
        <f t="shared" si="17"/>
        <v>615</v>
      </c>
      <c r="M146" s="25">
        <v>1155</v>
      </c>
      <c r="N146" s="26">
        <f t="shared" si="18"/>
        <v>2111</v>
      </c>
      <c r="O146" s="25">
        <v>2808</v>
      </c>
      <c r="P146" s="24">
        <f t="shared" si="19"/>
        <v>458</v>
      </c>
      <c r="Q146" s="27">
        <v>5395</v>
      </c>
      <c r="R146" s="24">
        <f t="shared" si="20"/>
        <v>1166</v>
      </c>
      <c r="S146" s="28" t="s">
        <v>18</v>
      </c>
      <c r="T146" s="20" t="s">
        <v>177</v>
      </c>
    </row>
    <row r="147" spans="1:20" ht="37.5" customHeight="1" x14ac:dyDescent="0.25">
      <c r="A147" s="20" t="s">
        <v>178</v>
      </c>
      <c r="B147">
        <f t="shared" si="16"/>
        <v>12035</v>
      </c>
      <c r="C147">
        <v>3043</v>
      </c>
      <c r="D147">
        <v>8992</v>
      </c>
      <c r="E147">
        <v>10387</v>
      </c>
      <c r="F147">
        <f t="shared" si="15"/>
        <v>830</v>
      </c>
      <c r="G147" s="21">
        <f t="shared" si="21"/>
        <v>142</v>
      </c>
      <c r="H147" s="22">
        <v>99624020295</v>
      </c>
      <c r="I147" s="23">
        <v>188</v>
      </c>
      <c r="J147" s="24"/>
      <c r="K147" s="25">
        <f>M147+O147</f>
        <v>11205</v>
      </c>
      <c r="L147" s="24">
        <f t="shared" si="17"/>
        <v>830</v>
      </c>
      <c r="M147" s="25">
        <v>2838</v>
      </c>
      <c r="N147" s="26">
        <f t="shared" si="18"/>
        <v>6154</v>
      </c>
      <c r="O147" s="25">
        <v>8367</v>
      </c>
      <c r="P147" s="24">
        <f t="shared" si="19"/>
        <v>625</v>
      </c>
      <c r="Q147" s="27">
        <v>8652</v>
      </c>
      <c r="R147" s="24">
        <f t="shared" si="20"/>
        <v>1735</v>
      </c>
      <c r="S147" s="28" t="s">
        <v>18</v>
      </c>
      <c r="T147" s="20" t="s">
        <v>178</v>
      </c>
    </row>
    <row r="148" spans="1:20" ht="37.5" customHeight="1" x14ac:dyDescent="0.25">
      <c r="A148" s="20" t="s">
        <v>179</v>
      </c>
      <c r="B148">
        <f t="shared" si="16"/>
        <v>11421</v>
      </c>
      <c r="C148">
        <v>2989</v>
      </c>
      <c r="D148">
        <v>8432</v>
      </c>
      <c r="E148">
        <v>9253</v>
      </c>
      <c r="F148">
        <f t="shared" si="15"/>
        <v>805</v>
      </c>
      <c r="G148" s="21">
        <f t="shared" si="21"/>
        <v>143</v>
      </c>
      <c r="H148" s="22">
        <v>99624020294</v>
      </c>
      <c r="I148" s="23" t="s">
        <v>180</v>
      </c>
      <c r="J148" s="24"/>
      <c r="K148" s="25">
        <f>M148+O148</f>
        <v>10616</v>
      </c>
      <c r="L148" s="24">
        <f t="shared" si="17"/>
        <v>805</v>
      </c>
      <c r="M148" s="25">
        <v>2745</v>
      </c>
      <c r="N148" s="26">
        <f t="shared" si="18"/>
        <v>5687</v>
      </c>
      <c r="O148" s="25">
        <v>7871</v>
      </c>
      <c r="P148" s="24">
        <f t="shared" si="19"/>
        <v>561</v>
      </c>
      <c r="Q148" s="27">
        <v>7601</v>
      </c>
      <c r="R148" s="24">
        <f t="shared" si="20"/>
        <v>1652</v>
      </c>
      <c r="S148" s="28" t="s">
        <v>18</v>
      </c>
      <c r="T148" s="20" t="s">
        <v>179</v>
      </c>
    </row>
    <row r="149" spans="1:20" ht="37.5" customHeight="1" x14ac:dyDescent="0.25">
      <c r="A149" s="20" t="s">
        <v>181</v>
      </c>
      <c r="B149">
        <f t="shared" si="16"/>
        <v>8769</v>
      </c>
      <c r="C149">
        <v>2564</v>
      </c>
      <c r="D149">
        <v>6205</v>
      </c>
      <c r="E149">
        <v>24782</v>
      </c>
      <c r="F149">
        <f t="shared" si="15"/>
        <v>538</v>
      </c>
      <c r="G149" s="21">
        <f t="shared" si="21"/>
        <v>144</v>
      </c>
      <c r="H149" s="22">
        <v>99623080133</v>
      </c>
      <c r="I149" s="23">
        <v>189</v>
      </c>
      <c r="J149" s="24"/>
      <c r="K149" s="25">
        <f>M149+O149</f>
        <v>8231</v>
      </c>
      <c r="L149" s="24">
        <f t="shared" si="17"/>
        <v>538</v>
      </c>
      <c r="M149" s="25">
        <v>2384</v>
      </c>
      <c r="N149" s="26">
        <f t="shared" si="18"/>
        <v>3821</v>
      </c>
      <c r="O149" s="25">
        <v>5847</v>
      </c>
      <c r="P149" s="24">
        <f t="shared" si="19"/>
        <v>358</v>
      </c>
      <c r="Q149" s="27">
        <v>22940</v>
      </c>
      <c r="R149" s="24">
        <f t="shared" si="20"/>
        <v>1842</v>
      </c>
      <c r="S149" s="28" t="s">
        <v>18</v>
      </c>
      <c r="T149" s="20" t="s">
        <v>181</v>
      </c>
    </row>
    <row r="150" spans="1:20" ht="37.5" customHeight="1" x14ac:dyDescent="0.25">
      <c r="A150" s="20" t="s">
        <v>182</v>
      </c>
      <c r="B150">
        <f t="shared" si="16"/>
        <v>60466</v>
      </c>
      <c r="C150">
        <v>9746</v>
      </c>
      <c r="D150">
        <v>50720</v>
      </c>
      <c r="F150">
        <f t="shared" si="15"/>
        <v>2667</v>
      </c>
      <c r="G150" s="21">
        <f t="shared" si="21"/>
        <v>145</v>
      </c>
      <c r="H150" s="22">
        <v>88820020301</v>
      </c>
      <c r="I150" s="23">
        <v>190</v>
      </c>
      <c r="J150" s="24"/>
      <c r="K150" s="25">
        <v>57799</v>
      </c>
      <c r="L150" s="24">
        <f t="shared" si="17"/>
        <v>2667</v>
      </c>
      <c r="M150" s="25">
        <v>9345</v>
      </c>
      <c r="N150" s="26">
        <f t="shared" si="18"/>
        <v>41375</v>
      </c>
      <c r="O150" s="25">
        <v>48454</v>
      </c>
      <c r="P150" s="24">
        <f t="shared" si="19"/>
        <v>2266</v>
      </c>
      <c r="Q150" s="27"/>
      <c r="R150" s="24">
        <f t="shared" si="20"/>
        <v>0</v>
      </c>
      <c r="S150" s="28" t="s">
        <v>18</v>
      </c>
      <c r="T150" s="20" t="s">
        <v>182</v>
      </c>
    </row>
    <row r="151" spans="1:20" ht="37.5" customHeight="1" x14ac:dyDescent="0.25">
      <c r="A151" s="20" t="s">
        <v>183</v>
      </c>
      <c r="B151">
        <f t="shared" si="16"/>
        <v>92588</v>
      </c>
      <c r="C151">
        <v>17009</v>
      </c>
      <c r="D151">
        <v>75579</v>
      </c>
      <c r="F151">
        <f t="shared" si="15"/>
        <v>838</v>
      </c>
      <c r="G151" s="21">
        <f t="shared" si="21"/>
        <v>146</v>
      </c>
      <c r="H151" s="22">
        <v>66617010316</v>
      </c>
      <c r="I151" s="23">
        <v>192</v>
      </c>
      <c r="J151" s="24"/>
      <c r="K151" s="25">
        <v>91750</v>
      </c>
      <c r="L151" s="24">
        <f t="shared" si="17"/>
        <v>838</v>
      </c>
      <c r="M151" s="25">
        <v>16823</v>
      </c>
      <c r="N151" s="26">
        <f t="shared" si="18"/>
        <v>58756</v>
      </c>
      <c r="O151" s="25">
        <v>74927</v>
      </c>
      <c r="P151" s="24">
        <f t="shared" si="19"/>
        <v>652</v>
      </c>
      <c r="Q151" s="27"/>
      <c r="R151" s="24">
        <f t="shared" si="20"/>
        <v>0</v>
      </c>
      <c r="S151" s="28" t="s">
        <v>18</v>
      </c>
      <c r="T151" s="20" t="s">
        <v>183</v>
      </c>
    </row>
    <row r="152" spans="1:20" ht="37.5" customHeight="1" x14ac:dyDescent="0.25">
      <c r="A152" s="20" t="s">
        <v>184</v>
      </c>
      <c r="B152">
        <f t="shared" si="16"/>
        <v>46570</v>
      </c>
      <c r="C152">
        <v>7688</v>
      </c>
      <c r="D152">
        <v>38882</v>
      </c>
      <c r="F152">
        <f t="shared" si="15"/>
        <v>1396</v>
      </c>
      <c r="G152" s="21">
        <f t="shared" si="21"/>
        <v>147</v>
      </c>
      <c r="H152" s="22">
        <v>66621040124</v>
      </c>
      <c r="I152" s="23">
        <v>194</v>
      </c>
      <c r="J152" s="24"/>
      <c r="K152" s="25">
        <v>45174</v>
      </c>
      <c r="L152" s="24">
        <f t="shared" si="17"/>
        <v>1396</v>
      </c>
      <c r="M152" s="25">
        <v>7493</v>
      </c>
      <c r="N152" s="26">
        <f t="shared" si="18"/>
        <v>31389</v>
      </c>
      <c r="O152" s="25">
        <v>37681</v>
      </c>
      <c r="P152" s="24">
        <f t="shared" si="19"/>
        <v>1201</v>
      </c>
      <c r="Q152" s="27"/>
      <c r="R152" s="24">
        <f t="shared" si="20"/>
        <v>0</v>
      </c>
      <c r="S152" s="28" t="s">
        <v>18</v>
      </c>
      <c r="T152" s="20" t="s">
        <v>184</v>
      </c>
    </row>
    <row r="153" spans="1:20" ht="37.5" customHeight="1" x14ac:dyDescent="0.25">
      <c r="A153" s="20" t="s">
        <v>185</v>
      </c>
      <c r="B153">
        <f t="shared" si="16"/>
        <v>41424</v>
      </c>
      <c r="C153">
        <v>8023</v>
      </c>
      <c r="D153">
        <v>33401</v>
      </c>
      <c r="F153">
        <f t="shared" si="15"/>
        <v>1021</v>
      </c>
      <c r="G153" s="21">
        <f t="shared" si="21"/>
        <v>148</v>
      </c>
      <c r="H153" s="22">
        <v>66622010397</v>
      </c>
      <c r="I153" s="23">
        <v>196</v>
      </c>
      <c r="J153" s="24"/>
      <c r="K153" s="25">
        <v>40403</v>
      </c>
      <c r="L153" s="24">
        <f t="shared" si="17"/>
        <v>1021</v>
      </c>
      <c r="M153" s="25">
        <v>7825</v>
      </c>
      <c r="N153" s="26">
        <f t="shared" si="18"/>
        <v>25576</v>
      </c>
      <c r="O153" s="25">
        <v>32578</v>
      </c>
      <c r="P153" s="24">
        <f t="shared" si="19"/>
        <v>823</v>
      </c>
      <c r="Q153" s="27"/>
      <c r="R153" s="24">
        <f t="shared" si="20"/>
        <v>0</v>
      </c>
      <c r="S153" s="28" t="s">
        <v>18</v>
      </c>
      <c r="T153" s="20" t="s">
        <v>185</v>
      </c>
    </row>
    <row r="154" spans="1:20" ht="37.5" customHeight="1" x14ac:dyDescent="0.25">
      <c r="A154" s="20" t="s">
        <v>186</v>
      </c>
      <c r="B154">
        <f t="shared" si="16"/>
        <v>13459</v>
      </c>
      <c r="C154">
        <v>3241</v>
      </c>
      <c r="D154">
        <v>10218</v>
      </c>
      <c r="E154">
        <v>24257</v>
      </c>
      <c r="F154">
        <f t="shared" si="15"/>
        <v>783</v>
      </c>
      <c r="G154" s="21">
        <f t="shared" si="21"/>
        <v>149</v>
      </c>
      <c r="H154" s="22">
        <v>99723070174</v>
      </c>
      <c r="I154" s="23">
        <v>202</v>
      </c>
      <c r="J154" s="24"/>
      <c r="K154" s="25">
        <f>M154+O154</f>
        <v>12676</v>
      </c>
      <c r="L154" s="24">
        <f t="shared" si="17"/>
        <v>783</v>
      </c>
      <c r="M154" s="25">
        <v>3049</v>
      </c>
      <c r="N154" s="26">
        <f t="shared" si="18"/>
        <v>7169</v>
      </c>
      <c r="O154" s="25">
        <v>9627</v>
      </c>
      <c r="P154" s="24">
        <f t="shared" si="19"/>
        <v>591</v>
      </c>
      <c r="Q154" s="27">
        <v>23017</v>
      </c>
      <c r="R154" s="24">
        <f t="shared" si="20"/>
        <v>1240</v>
      </c>
      <c r="S154" s="28" t="s">
        <v>18</v>
      </c>
      <c r="T154" s="20" t="s">
        <v>186</v>
      </c>
    </row>
    <row r="155" spans="1:20" ht="37.5" customHeight="1" x14ac:dyDescent="0.25">
      <c r="A155" s="20" t="s">
        <v>187</v>
      </c>
      <c r="B155">
        <f t="shared" si="16"/>
        <v>5687</v>
      </c>
      <c r="C155">
        <v>980</v>
      </c>
      <c r="D155">
        <v>4707</v>
      </c>
      <c r="E155">
        <v>10233</v>
      </c>
      <c r="F155">
        <f t="shared" si="15"/>
        <v>247</v>
      </c>
      <c r="G155" s="21">
        <f t="shared" si="21"/>
        <v>150</v>
      </c>
      <c r="H155" s="22">
        <v>99624010193</v>
      </c>
      <c r="I155" s="23">
        <v>203</v>
      </c>
      <c r="J155" s="24"/>
      <c r="K155" s="25">
        <f>M155+O155</f>
        <v>5440</v>
      </c>
      <c r="L155" s="24">
        <f t="shared" si="17"/>
        <v>247</v>
      </c>
      <c r="M155" s="25">
        <v>917</v>
      </c>
      <c r="N155" s="26">
        <f t="shared" si="18"/>
        <v>3790</v>
      </c>
      <c r="O155" s="25">
        <v>4523</v>
      </c>
      <c r="P155" s="24">
        <f t="shared" si="19"/>
        <v>184</v>
      </c>
      <c r="Q155" s="27">
        <v>8968</v>
      </c>
      <c r="R155" s="24">
        <f t="shared" si="20"/>
        <v>1265</v>
      </c>
      <c r="S155" s="28" t="s">
        <v>18</v>
      </c>
      <c r="T155" s="20" t="s">
        <v>187</v>
      </c>
    </row>
    <row r="156" spans="1:20" ht="37.5" customHeight="1" x14ac:dyDescent="0.25">
      <c r="A156" s="20" t="s">
        <v>188</v>
      </c>
      <c r="B156">
        <f t="shared" si="16"/>
        <v>7219</v>
      </c>
      <c r="C156">
        <v>1490</v>
      </c>
      <c r="D156">
        <v>5729</v>
      </c>
      <c r="F156">
        <f t="shared" si="15"/>
        <v>394</v>
      </c>
      <c r="G156" s="21">
        <f t="shared" si="21"/>
        <v>151</v>
      </c>
      <c r="H156" s="22">
        <v>66623011455</v>
      </c>
      <c r="I156" s="23">
        <v>205</v>
      </c>
      <c r="J156" s="24"/>
      <c r="K156" s="25">
        <v>6825</v>
      </c>
      <c r="L156" s="24">
        <f t="shared" si="17"/>
        <v>394</v>
      </c>
      <c r="M156" s="25">
        <v>1414</v>
      </c>
      <c r="N156" s="26">
        <f t="shared" si="18"/>
        <v>4315</v>
      </c>
      <c r="O156" s="25">
        <v>5411</v>
      </c>
      <c r="P156" s="24">
        <f t="shared" si="19"/>
        <v>318</v>
      </c>
      <c r="Q156" s="27"/>
      <c r="R156" s="24">
        <f t="shared" si="20"/>
        <v>0</v>
      </c>
      <c r="S156" s="28" t="s">
        <v>18</v>
      </c>
      <c r="T156" s="20" t="s">
        <v>188</v>
      </c>
    </row>
    <row r="157" spans="1:20" ht="37.5" customHeight="1" x14ac:dyDescent="0.25">
      <c r="A157" s="20" t="s">
        <v>189</v>
      </c>
      <c r="B157">
        <f t="shared" si="16"/>
        <v>5200</v>
      </c>
      <c r="C157">
        <v>1363</v>
      </c>
      <c r="D157">
        <v>3837</v>
      </c>
      <c r="E157">
        <v>10119</v>
      </c>
      <c r="F157">
        <f t="shared" si="15"/>
        <v>274</v>
      </c>
      <c r="G157" s="21">
        <f t="shared" si="21"/>
        <v>152</v>
      </c>
      <c r="H157" s="22">
        <v>99624020032</v>
      </c>
      <c r="I157" s="23">
        <v>206</v>
      </c>
      <c r="J157" s="24"/>
      <c r="K157" s="25">
        <f>M157+O157</f>
        <v>4926</v>
      </c>
      <c r="L157" s="24">
        <f t="shared" si="17"/>
        <v>274</v>
      </c>
      <c r="M157" s="25">
        <v>1290</v>
      </c>
      <c r="N157" s="26">
        <f t="shared" si="18"/>
        <v>2547</v>
      </c>
      <c r="O157" s="25">
        <v>3636</v>
      </c>
      <c r="P157" s="24">
        <f t="shared" si="19"/>
        <v>201</v>
      </c>
      <c r="Q157" s="27">
        <v>8739</v>
      </c>
      <c r="R157" s="24">
        <f t="shared" si="20"/>
        <v>1380</v>
      </c>
      <c r="S157" s="28" t="s">
        <v>18</v>
      </c>
      <c r="T157" s="20" t="s">
        <v>189</v>
      </c>
    </row>
    <row r="158" spans="1:20" ht="37.5" customHeight="1" x14ac:dyDescent="0.25">
      <c r="A158" s="20" t="s">
        <v>190</v>
      </c>
      <c r="B158">
        <f t="shared" si="16"/>
        <v>8712</v>
      </c>
      <c r="C158">
        <v>2122</v>
      </c>
      <c r="D158">
        <v>6590</v>
      </c>
      <c r="E158">
        <v>14020</v>
      </c>
      <c r="F158">
        <f t="shared" si="15"/>
        <v>428</v>
      </c>
      <c r="G158" s="21">
        <f t="shared" si="21"/>
        <v>153</v>
      </c>
      <c r="H158" s="22">
        <v>99723070195</v>
      </c>
      <c r="I158" s="23">
        <v>207</v>
      </c>
      <c r="J158" s="24"/>
      <c r="K158" s="25">
        <f>M158+O158</f>
        <v>8284</v>
      </c>
      <c r="L158" s="24">
        <f t="shared" si="17"/>
        <v>428</v>
      </c>
      <c r="M158" s="25">
        <v>2007</v>
      </c>
      <c r="N158" s="26">
        <f t="shared" si="18"/>
        <v>4583</v>
      </c>
      <c r="O158" s="25">
        <v>6277</v>
      </c>
      <c r="P158" s="24">
        <f t="shared" si="19"/>
        <v>313</v>
      </c>
      <c r="Q158" s="27">
        <v>12984</v>
      </c>
      <c r="R158" s="24">
        <f t="shared" si="20"/>
        <v>1036</v>
      </c>
      <c r="S158" s="28" t="s">
        <v>18</v>
      </c>
      <c r="T158" s="20" t="s">
        <v>190</v>
      </c>
    </row>
    <row r="159" spans="1:20" ht="37.5" customHeight="1" x14ac:dyDescent="0.25">
      <c r="A159" s="20" t="s">
        <v>191</v>
      </c>
      <c r="B159">
        <f t="shared" si="16"/>
        <v>124</v>
      </c>
      <c r="C159">
        <v>22</v>
      </c>
      <c r="D159">
        <v>102</v>
      </c>
      <c r="F159">
        <f t="shared" si="15"/>
        <v>0</v>
      </c>
      <c r="G159" s="21">
        <f t="shared" si="21"/>
        <v>154</v>
      </c>
      <c r="H159" s="22">
        <v>66621040245</v>
      </c>
      <c r="I159" s="23">
        <v>208</v>
      </c>
      <c r="J159" s="24"/>
      <c r="K159" s="25">
        <v>124</v>
      </c>
      <c r="L159" s="24">
        <f t="shared" si="17"/>
        <v>0</v>
      </c>
      <c r="M159" s="25">
        <v>22</v>
      </c>
      <c r="N159" s="26">
        <f t="shared" si="18"/>
        <v>80</v>
      </c>
      <c r="O159" s="25">
        <v>102</v>
      </c>
      <c r="P159" s="24">
        <f t="shared" si="19"/>
        <v>0</v>
      </c>
      <c r="Q159" s="27"/>
      <c r="R159" s="24">
        <f t="shared" si="20"/>
        <v>0</v>
      </c>
      <c r="S159" s="28" t="s">
        <v>18</v>
      </c>
      <c r="T159" s="20" t="s">
        <v>191</v>
      </c>
    </row>
    <row r="160" spans="1:20" ht="37.5" customHeight="1" x14ac:dyDescent="0.25">
      <c r="A160" s="20" t="s">
        <v>192</v>
      </c>
      <c r="B160">
        <f t="shared" si="16"/>
        <v>54143</v>
      </c>
      <c r="C160">
        <v>8267</v>
      </c>
      <c r="D160">
        <v>45876</v>
      </c>
      <c r="F160">
        <f t="shared" si="15"/>
        <v>15</v>
      </c>
      <c r="G160" s="21">
        <f t="shared" si="21"/>
        <v>155</v>
      </c>
      <c r="H160" s="22">
        <v>23007040004</v>
      </c>
      <c r="I160" s="23">
        <v>209</v>
      </c>
      <c r="J160" s="24"/>
      <c r="K160" s="25">
        <v>54128</v>
      </c>
      <c r="L160" s="24">
        <f t="shared" si="17"/>
        <v>15</v>
      </c>
      <c r="M160" s="25">
        <v>8265</v>
      </c>
      <c r="N160" s="26">
        <f t="shared" si="18"/>
        <v>37611</v>
      </c>
      <c r="O160" s="25">
        <v>45863</v>
      </c>
      <c r="P160" s="24">
        <f t="shared" si="19"/>
        <v>13</v>
      </c>
      <c r="Q160" s="27"/>
      <c r="R160" s="24">
        <f t="shared" si="20"/>
        <v>0</v>
      </c>
      <c r="S160" s="28" t="s">
        <v>18</v>
      </c>
      <c r="T160" s="20" t="s">
        <v>192</v>
      </c>
    </row>
    <row r="161" spans="1:20" ht="37.5" customHeight="1" x14ac:dyDescent="0.25">
      <c r="A161" s="20" t="s">
        <v>193</v>
      </c>
      <c r="B161">
        <f t="shared" si="16"/>
        <v>30404</v>
      </c>
      <c r="C161">
        <v>4940</v>
      </c>
      <c r="D161">
        <v>25464</v>
      </c>
      <c r="F161">
        <f t="shared" si="15"/>
        <v>594</v>
      </c>
      <c r="G161" s="21">
        <f t="shared" si="21"/>
        <v>156</v>
      </c>
      <c r="H161" s="22">
        <v>66622020448</v>
      </c>
      <c r="I161" s="23" t="s">
        <v>194</v>
      </c>
      <c r="J161" s="24"/>
      <c r="K161" s="25">
        <v>29810</v>
      </c>
      <c r="L161" s="24">
        <f t="shared" si="17"/>
        <v>594</v>
      </c>
      <c r="M161" s="25">
        <v>4835</v>
      </c>
      <c r="N161" s="26">
        <f t="shared" si="18"/>
        <v>20629</v>
      </c>
      <c r="O161" s="25">
        <v>24975</v>
      </c>
      <c r="P161" s="24">
        <f t="shared" si="19"/>
        <v>489</v>
      </c>
      <c r="Q161" s="27"/>
      <c r="R161" s="24">
        <f t="shared" si="20"/>
        <v>0</v>
      </c>
      <c r="S161" s="28" t="s">
        <v>18</v>
      </c>
      <c r="T161" s="20" t="s">
        <v>193</v>
      </c>
    </row>
    <row r="162" spans="1:20" ht="37.5" customHeight="1" x14ac:dyDescent="0.25">
      <c r="A162" s="20" t="s">
        <v>195</v>
      </c>
      <c r="B162">
        <f t="shared" si="16"/>
        <v>8113</v>
      </c>
      <c r="C162">
        <v>2200</v>
      </c>
      <c r="D162">
        <v>5913</v>
      </c>
      <c r="E162">
        <v>9837</v>
      </c>
      <c r="F162">
        <f t="shared" si="15"/>
        <v>404</v>
      </c>
      <c r="G162" s="21">
        <f t="shared" si="21"/>
        <v>157</v>
      </c>
      <c r="H162" s="22">
        <v>99723060023</v>
      </c>
      <c r="I162" s="23">
        <v>210</v>
      </c>
      <c r="J162" s="24"/>
      <c r="K162" s="25">
        <f>M162+O162</f>
        <v>7709</v>
      </c>
      <c r="L162" s="24">
        <f t="shared" si="17"/>
        <v>404</v>
      </c>
      <c r="M162" s="25">
        <v>2101</v>
      </c>
      <c r="N162" s="26">
        <f t="shared" si="18"/>
        <v>3812</v>
      </c>
      <c r="O162" s="25">
        <v>5608</v>
      </c>
      <c r="P162" s="24">
        <f t="shared" si="19"/>
        <v>305</v>
      </c>
      <c r="Q162" s="27">
        <v>9266</v>
      </c>
      <c r="R162" s="24">
        <f t="shared" si="20"/>
        <v>571</v>
      </c>
      <c r="S162" s="28" t="s">
        <v>18</v>
      </c>
      <c r="T162" s="20" t="s">
        <v>195</v>
      </c>
    </row>
    <row r="163" spans="1:20" ht="37.5" customHeight="1" x14ac:dyDescent="0.25">
      <c r="A163" s="20" t="s">
        <v>196</v>
      </c>
      <c r="B163">
        <f t="shared" si="16"/>
        <v>23359</v>
      </c>
      <c r="C163">
        <v>4139</v>
      </c>
      <c r="D163">
        <v>19220</v>
      </c>
      <c r="F163">
        <f t="shared" si="15"/>
        <v>311</v>
      </c>
      <c r="G163" s="21">
        <f t="shared" si="21"/>
        <v>158</v>
      </c>
      <c r="H163" s="22">
        <v>66618010029</v>
      </c>
      <c r="I163" s="23">
        <v>211</v>
      </c>
      <c r="J163" s="24"/>
      <c r="K163" s="25">
        <v>23048</v>
      </c>
      <c r="L163" s="24">
        <f t="shared" si="17"/>
        <v>311</v>
      </c>
      <c r="M163" s="25">
        <v>4091</v>
      </c>
      <c r="N163" s="26">
        <f t="shared" si="18"/>
        <v>15129</v>
      </c>
      <c r="O163" s="25">
        <v>18957</v>
      </c>
      <c r="P163" s="24">
        <f t="shared" si="19"/>
        <v>263</v>
      </c>
      <c r="Q163" s="27"/>
      <c r="R163" s="24">
        <f t="shared" si="20"/>
        <v>0</v>
      </c>
      <c r="S163" s="28" t="s">
        <v>18</v>
      </c>
      <c r="T163" s="20" t="s">
        <v>196</v>
      </c>
    </row>
    <row r="164" spans="1:20" ht="37.5" customHeight="1" x14ac:dyDescent="0.25">
      <c r="A164" s="20" t="s">
        <v>197</v>
      </c>
      <c r="B164">
        <f t="shared" si="16"/>
        <v>50441</v>
      </c>
      <c r="C164">
        <v>7747</v>
      </c>
      <c r="D164">
        <v>42694</v>
      </c>
      <c r="F164">
        <f t="shared" si="15"/>
        <v>665</v>
      </c>
      <c r="G164" s="21">
        <f t="shared" si="21"/>
        <v>159</v>
      </c>
      <c r="H164" s="22">
        <v>66616020261</v>
      </c>
      <c r="I164" s="23">
        <v>212</v>
      </c>
      <c r="J164" s="24"/>
      <c r="K164" s="25">
        <v>49776</v>
      </c>
      <c r="L164" s="24">
        <f t="shared" si="17"/>
        <v>665</v>
      </c>
      <c r="M164" s="25">
        <v>7660</v>
      </c>
      <c r="N164" s="26">
        <f t="shared" si="18"/>
        <v>35034</v>
      </c>
      <c r="O164" s="25">
        <v>42116</v>
      </c>
      <c r="P164" s="24">
        <f t="shared" si="19"/>
        <v>578</v>
      </c>
      <c r="Q164" s="27"/>
      <c r="R164" s="24">
        <f t="shared" si="20"/>
        <v>0</v>
      </c>
      <c r="S164" s="28" t="s">
        <v>18</v>
      </c>
      <c r="T164" s="20" t="s">
        <v>197</v>
      </c>
    </row>
    <row r="165" spans="1:20" ht="37.5" customHeight="1" x14ac:dyDescent="0.25">
      <c r="A165" s="20" t="s">
        <v>198</v>
      </c>
      <c r="B165">
        <f t="shared" si="16"/>
        <v>65061</v>
      </c>
      <c r="C165">
        <v>10243</v>
      </c>
      <c r="D165">
        <v>54818</v>
      </c>
      <c r="F165">
        <f t="shared" si="15"/>
        <v>941</v>
      </c>
      <c r="G165" s="21">
        <f t="shared" si="21"/>
        <v>160</v>
      </c>
      <c r="H165" s="22">
        <v>88819050359</v>
      </c>
      <c r="I165" s="23" t="s">
        <v>199</v>
      </c>
      <c r="J165" s="24"/>
      <c r="K165" s="25">
        <v>64120</v>
      </c>
      <c r="L165" s="24">
        <f t="shared" si="17"/>
        <v>941</v>
      </c>
      <c r="M165" s="25">
        <v>10101</v>
      </c>
      <c r="N165" s="26">
        <f t="shared" si="18"/>
        <v>44717</v>
      </c>
      <c r="O165" s="25">
        <v>54019</v>
      </c>
      <c r="P165" s="24">
        <f t="shared" si="19"/>
        <v>799</v>
      </c>
      <c r="Q165" s="27"/>
      <c r="R165" s="24">
        <f t="shared" si="20"/>
        <v>0</v>
      </c>
      <c r="S165" s="28" t="s">
        <v>18</v>
      </c>
      <c r="T165" s="20" t="s">
        <v>198</v>
      </c>
    </row>
    <row r="166" spans="1:20" ht="37.5" customHeight="1" x14ac:dyDescent="0.25">
      <c r="A166" s="20" t="s">
        <v>200</v>
      </c>
      <c r="B166">
        <f t="shared" si="16"/>
        <v>20791</v>
      </c>
      <c r="C166">
        <v>2246</v>
      </c>
      <c r="D166">
        <v>18545</v>
      </c>
      <c r="F166">
        <f t="shared" si="15"/>
        <v>268</v>
      </c>
      <c r="G166" s="21">
        <f t="shared" si="21"/>
        <v>161</v>
      </c>
      <c r="H166" s="22">
        <v>88819030266</v>
      </c>
      <c r="I166" s="23" t="s">
        <v>201</v>
      </c>
      <c r="J166" s="24"/>
      <c r="K166" s="25">
        <v>20523</v>
      </c>
      <c r="L166" s="24">
        <f t="shared" si="17"/>
        <v>268</v>
      </c>
      <c r="M166" s="25">
        <v>2209</v>
      </c>
      <c r="N166" s="26">
        <f t="shared" si="18"/>
        <v>16336</v>
      </c>
      <c r="O166" s="25">
        <v>18314</v>
      </c>
      <c r="P166" s="24">
        <f t="shared" si="19"/>
        <v>231</v>
      </c>
      <c r="Q166" s="27"/>
      <c r="R166" s="24">
        <f t="shared" si="20"/>
        <v>0</v>
      </c>
      <c r="S166" s="28" t="s">
        <v>18</v>
      </c>
      <c r="T166" s="20" t="s">
        <v>200</v>
      </c>
    </row>
    <row r="167" spans="1:20" ht="37.5" customHeight="1" x14ac:dyDescent="0.25">
      <c r="A167" s="20" t="s">
        <v>202</v>
      </c>
      <c r="B167">
        <f t="shared" si="16"/>
        <v>14227</v>
      </c>
      <c r="C167">
        <v>3398</v>
      </c>
      <c r="D167">
        <v>10829</v>
      </c>
      <c r="E167">
        <v>12193</v>
      </c>
      <c r="F167">
        <f t="shared" si="15"/>
        <v>553</v>
      </c>
      <c r="G167" s="21">
        <f t="shared" si="21"/>
        <v>162</v>
      </c>
      <c r="H167" s="22">
        <v>99623080260</v>
      </c>
      <c r="I167" s="23">
        <v>213</v>
      </c>
      <c r="J167" s="24"/>
      <c r="K167" s="25">
        <f>M167+O167</f>
        <v>13674</v>
      </c>
      <c r="L167" s="24">
        <f t="shared" si="17"/>
        <v>553</v>
      </c>
      <c r="M167" s="25">
        <v>3263</v>
      </c>
      <c r="N167" s="26">
        <f t="shared" si="18"/>
        <v>7566</v>
      </c>
      <c r="O167" s="25">
        <v>10411</v>
      </c>
      <c r="P167" s="24">
        <f t="shared" si="19"/>
        <v>418</v>
      </c>
      <c r="Q167" s="27">
        <v>11237</v>
      </c>
      <c r="R167" s="24">
        <f t="shared" si="20"/>
        <v>956</v>
      </c>
      <c r="S167" s="28" t="s">
        <v>18</v>
      </c>
      <c r="T167" s="20" t="s">
        <v>202</v>
      </c>
    </row>
    <row r="168" spans="1:20" ht="37.5" customHeight="1" x14ac:dyDescent="0.25">
      <c r="A168" s="20" t="s">
        <v>203</v>
      </c>
      <c r="B168">
        <f t="shared" si="16"/>
        <v>20017</v>
      </c>
      <c r="C168">
        <v>4320</v>
      </c>
      <c r="D168">
        <v>15697</v>
      </c>
      <c r="F168">
        <f t="shared" si="15"/>
        <v>331</v>
      </c>
      <c r="G168" s="21">
        <f t="shared" si="21"/>
        <v>163</v>
      </c>
      <c r="H168" s="22">
        <v>88820020165</v>
      </c>
      <c r="I168" s="23">
        <v>214</v>
      </c>
      <c r="J168" s="24"/>
      <c r="K168" s="25">
        <v>19686</v>
      </c>
      <c r="L168" s="24">
        <f t="shared" si="17"/>
        <v>331</v>
      </c>
      <c r="M168" s="25">
        <v>4223</v>
      </c>
      <c r="N168" s="26">
        <f t="shared" si="18"/>
        <v>11474</v>
      </c>
      <c r="O168" s="25">
        <v>15463</v>
      </c>
      <c r="P168" s="24">
        <f t="shared" si="19"/>
        <v>234</v>
      </c>
      <c r="Q168" s="27"/>
      <c r="R168" s="24">
        <f t="shared" si="20"/>
        <v>0</v>
      </c>
      <c r="S168" s="28" t="s">
        <v>18</v>
      </c>
      <c r="T168" s="20" t="s">
        <v>203</v>
      </c>
    </row>
    <row r="169" spans="1:20" ht="37.5" customHeight="1" x14ac:dyDescent="0.25">
      <c r="A169" s="20" t="s">
        <v>204</v>
      </c>
      <c r="B169">
        <f t="shared" si="16"/>
        <v>166143</v>
      </c>
      <c r="C169">
        <v>39760</v>
      </c>
      <c r="D169">
        <v>126383</v>
      </c>
      <c r="F169">
        <f t="shared" si="15"/>
        <v>1238</v>
      </c>
      <c r="G169" s="21">
        <f t="shared" si="21"/>
        <v>164</v>
      </c>
      <c r="H169" s="22">
        <v>10020070</v>
      </c>
      <c r="I169" s="23">
        <v>215</v>
      </c>
      <c r="J169" s="24"/>
      <c r="K169" s="25">
        <v>164905</v>
      </c>
      <c r="L169" s="24">
        <f t="shared" si="17"/>
        <v>1238</v>
      </c>
      <c r="M169" s="25">
        <v>39583</v>
      </c>
      <c r="N169" s="26">
        <f t="shared" si="18"/>
        <v>86800</v>
      </c>
      <c r="O169" s="25">
        <v>125322</v>
      </c>
      <c r="P169" s="24">
        <f t="shared" si="19"/>
        <v>1061</v>
      </c>
      <c r="Q169" s="27"/>
      <c r="R169" s="24">
        <f t="shared" si="20"/>
        <v>0</v>
      </c>
      <c r="S169" s="28" t="s">
        <v>18</v>
      </c>
      <c r="T169" s="20" t="s">
        <v>204</v>
      </c>
    </row>
    <row r="170" spans="1:20" ht="37.5" customHeight="1" x14ac:dyDescent="0.25">
      <c r="A170" s="20" t="s">
        <v>205</v>
      </c>
      <c r="B170">
        <f t="shared" si="16"/>
        <v>19901</v>
      </c>
      <c r="C170">
        <v>4485</v>
      </c>
      <c r="D170">
        <v>15416</v>
      </c>
      <c r="E170">
        <v>16987</v>
      </c>
      <c r="F170">
        <f t="shared" si="15"/>
        <v>531</v>
      </c>
      <c r="G170" s="21">
        <f t="shared" si="21"/>
        <v>165</v>
      </c>
      <c r="H170" s="22">
        <v>99723040061</v>
      </c>
      <c r="I170" s="23">
        <v>216</v>
      </c>
      <c r="J170" s="24"/>
      <c r="K170" s="25">
        <f>M170+O170</f>
        <v>19370</v>
      </c>
      <c r="L170" s="24">
        <f t="shared" si="17"/>
        <v>531</v>
      </c>
      <c r="M170" s="25">
        <v>4346</v>
      </c>
      <c r="N170" s="26">
        <f t="shared" si="18"/>
        <v>11070</v>
      </c>
      <c r="O170" s="25">
        <v>15024</v>
      </c>
      <c r="P170" s="24">
        <f t="shared" si="19"/>
        <v>392</v>
      </c>
      <c r="Q170" s="27">
        <v>15883</v>
      </c>
      <c r="R170" s="24">
        <f t="shared" si="20"/>
        <v>1104</v>
      </c>
      <c r="S170" s="28" t="s">
        <v>18</v>
      </c>
      <c r="T170" s="20" t="s">
        <v>205</v>
      </c>
    </row>
    <row r="171" spans="1:20" ht="37.5" customHeight="1" x14ac:dyDescent="0.25">
      <c r="A171" s="20" t="s">
        <v>206</v>
      </c>
      <c r="B171">
        <f t="shared" si="16"/>
        <v>7115</v>
      </c>
      <c r="C171">
        <v>1507</v>
      </c>
      <c r="D171">
        <v>5608</v>
      </c>
      <c r="E171">
        <v>8652</v>
      </c>
      <c r="F171">
        <f t="shared" si="15"/>
        <v>262</v>
      </c>
      <c r="G171" s="21">
        <f t="shared" si="21"/>
        <v>166</v>
      </c>
      <c r="H171" s="22">
        <v>99624010043</v>
      </c>
      <c r="I171" s="23">
        <v>217</v>
      </c>
      <c r="J171" s="24"/>
      <c r="K171" s="25">
        <f>M171+O171</f>
        <v>6853</v>
      </c>
      <c r="L171" s="24">
        <f t="shared" si="17"/>
        <v>262</v>
      </c>
      <c r="M171" s="25">
        <v>1431</v>
      </c>
      <c r="N171" s="26">
        <f t="shared" si="18"/>
        <v>4177</v>
      </c>
      <c r="O171" s="25">
        <v>5422</v>
      </c>
      <c r="P171" s="24">
        <f t="shared" si="19"/>
        <v>186</v>
      </c>
      <c r="Q171" s="27">
        <v>7639</v>
      </c>
      <c r="R171" s="24">
        <f t="shared" si="20"/>
        <v>1013</v>
      </c>
      <c r="S171" s="28" t="s">
        <v>18</v>
      </c>
      <c r="T171" s="20" t="s">
        <v>206</v>
      </c>
    </row>
    <row r="172" spans="1:20" ht="37.5" customHeight="1" x14ac:dyDescent="0.25">
      <c r="A172" s="20" t="s">
        <v>207</v>
      </c>
      <c r="B172">
        <f t="shared" si="16"/>
        <v>25276</v>
      </c>
      <c r="C172">
        <v>3658</v>
      </c>
      <c r="D172">
        <v>21618</v>
      </c>
      <c r="F172">
        <f t="shared" si="15"/>
        <v>408</v>
      </c>
      <c r="G172" s="21">
        <f t="shared" si="21"/>
        <v>167</v>
      </c>
      <c r="H172" s="22">
        <v>88818020468</v>
      </c>
      <c r="I172" s="23">
        <v>218</v>
      </c>
      <c r="J172" s="24"/>
      <c r="K172" s="25">
        <v>24868</v>
      </c>
      <c r="L172" s="24">
        <f t="shared" si="17"/>
        <v>408</v>
      </c>
      <c r="M172" s="25">
        <v>3591</v>
      </c>
      <c r="N172" s="26">
        <f t="shared" si="18"/>
        <v>18027</v>
      </c>
      <c r="O172" s="25">
        <v>21277</v>
      </c>
      <c r="P172" s="24">
        <f t="shared" si="19"/>
        <v>341</v>
      </c>
      <c r="Q172" s="27"/>
      <c r="R172" s="24">
        <f t="shared" si="20"/>
        <v>0</v>
      </c>
      <c r="S172" s="28" t="s">
        <v>18</v>
      </c>
      <c r="T172" s="20" t="s">
        <v>207</v>
      </c>
    </row>
    <row r="173" spans="1:20" ht="37.5" customHeight="1" x14ac:dyDescent="0.25">
      <c r="A173" s="20" t="s">
        <v>208</v>
      </c>
      <c r="B173">
        <f t="shared" si="16"/>
        <v>63421</v>
      </c>
      <c r="C173">
        <v>9095</v>
      </c>
      <c r="D173">
        <v>54326</v>
      </c>
      <c r="F173">
        <f t="shared" si="15"/>
        <v>960</v>
      </c>
      <c r="G173" s="21">
        <f t="shared" si="21"/>
        <v>168</v>
      </c>
      <c r="H173" s="22">
        <v>88820030315</v>
      </c>
      <c r="I173" s="23">
        <v>219</v>
      </c>
      <c r="J173" s="24"/>
      <c r="K173" s="25">
        <v>62461</v>
      </c>
      <c r="L173" s="24">
        <f t="shared" si="17"/>
        <v>960</v>
      </c>
      <c r="M173" s="25">
        <v>8955</v>
      </c>
      <c r="N173" s="26">
        <f t="shared" si="18"/>
        <v>45371</v>
      </c>
      <c r="O173" s="25">
        <v>53506</v>
      </c>
      <c r="P173" s="24">
        <f t="shared" si="19"/>
        <v>820</v>
      </c>
      <c r="Q173" s="27"/>
      <c r="R173" s="24">
        <f t="shared" si="20"/>
        <v>0</v>
      </c>
      <c r="S173" s="28" t="s">
        <v>18</v>
      </c>
      <c r="T173" s="20" t="s">
        <v>208</v>
      </c>
    </row>
    <row r="174" spans="1:20" ht="37.5" customHeight="1" x14ac:dyDescent="0.25">
      <c r="A174" s="20" t="s">
        <v>209</v>
      </c>
      <c r="B174">
        <f t="shared" si="16"/>
        <v>11097</v>
      </c>
      <c r="C174">
        <v>2111</v>
      </c>
      <c r="D174">
        <v>8986</v>
      </c>
      <c r="F174">
        <f t="shared" si="15"/>
        <v>576</v>
      </c>
      <c r="G174" s="21">
        <f t="shared" si="21"/>
        <v>169</v>
      </c>
      <c r="H174" s="22">
        <v>66621050350</v>
      </c>
      <c r="I174" s="23">
        <v>220</v>
      </c>
      <c r="J174" s="24"/>
      <c r="K174" s="25">
        <v>10521</v>
      </c>
      <c r="L174" s="24">
        <f t="shared" si="17"/>
        <v>576</v>
      </c>
      <c r="M174" s="25">
        <v>1988</v>
      </c>
      <c r="N174" s="26">
        <f t="shared" si="18"/>
        <v>6998</v>
      </c>
      <c r="O174" s="25">
        <v>8533</v>
      </c>
      <c r="P174" s="24">
        <f t="shared" si="19"/>
        <v>453</v>
      </c>
      <c r="Q174" s="27"/>
      <c r="R174" s="24">
        <f t="shared" si="20"/>
        <v>0</v>
      </c>
      <c r="S174" s="28" t="s">
        <v>18</v>
      </c>
      <c r="T174" s="20" t="s">
        <v>209</v>
      </c>
    </row>
    <row r="175" spans="1:20" ht="37.5" customHeight="1" x14ac:dyDescent="0.25">
      <c r="A175" s="20" t="s">
        <v>210</v>
      </c>
      <c r="B175">
        <f t="shared" si="16"/>
        <v>22762</v>
      </c>
      <c r="C175">
        <v>4106</v>
      </c>
      <c r="D175">
        <v>18656</v>
      </c>
      <c r="E175">
        <v>27976</v>
      </c>
      <c r="F175">
        <f t="shared" si="15"/>
        <v>684</v>
      </c>
      <c r="G175" s="21">
        <f t="shared" si="21"/>
        <v>170</v>
      </c>
      <c r="H175" s="22">
        <v>99622050016</v>
      </c>
      <c r="I175" s="23">
        <v>221</v>
      </c>
      <c r="J175" s="24"/>
      <c r="K175" s="25">
        <f>M175+O175</f>
        <v>22078</v>
      </c>
      <c r="L175" s="24">
        <f t="shared" si="17"/>
        <v>684</v>
      </c>
      <c r="M175" s="25">
        <v>3970</v>
      </c>
      <c r="N175" s="26">
        <f t="shared" si="18"/>
        <v>14686</v>
      </c>
      <c r="O175" s="25">
        <v>18108</v>
      </c>
      <c r="P175" s="24">
        <f t="shared" si="19"/>
        <v>548</v>
      </c>
      <c r="Q175" s="27">
        <v>26745</v>
      </c>
      <c r="R175" s="24">
        <f t="shared" si="20"/>
        <v>1231</v>
      </c>
      <c r="S175" s="28" t="s">
        <v>18</v>
      </c>
      <c r="T175" s="20" t="s">
        <v>210</v>
      </c>
    </row>
    <row r="176" spans="1:20" ht="37.5" customHeight="1" x14ac:dyDescent="0.25">
      <c r="A176" s="20" t="s">
        <v>211</v>
      </c>
      <c r="B176">
        <f t="shared" si="16"/>
        <v>8253</v>
      </c>
      <c r="C176">
        <v>2142</v>
      </c>
      <c r="D176">
        <v>6111</v>
      </c>
      <c r="E176">
        <v>12128</v>
      </c>
      <c r="F176">
        <f t="shared" si="15"/>
        <v>490</v>
      </c>
      <c r="G176" s="21">
        <f t="shared" si="21"/>
        <v>171</v>
      </c>
      <c r="H176" s="22">
        <v>99624010014</v>
      </c>
      <c r="I176" s="23">
        <v>223</v>
      </c>
      <c r="J176" s="24"/>
      <c r="K176" s="25">
        <f>M176+O176</f>
        <v>7763</v>
      </c>
      <c r="L176" s="24">
        <f t="shared" si="17"/>
        <v>490</v>
      </c>
      <c r="M176" s="25">
        <v>2006</v>
      </c>
      <c r="N176" s="26">
        <f t="shared" si="18"/>
        <v>4105</v>
      </c>
      <c r="O176" s="25">
        <v>5757</v>
      </c>
      <c r="P176" s="24">
        <f t="shared" si="19"/>
        <v>354</v>
      </c>
      <c r="Q176" s="27">
        <v>10905</v>
      </c>
      <c r="R176" s="24">
        <f t="shared" si="20"/>
        <v>1223</v>
      </c>
      <c r="S176" s="28" t="s">
        <v>18</v>
      </c>
      <c r="T176" s="20" t="s">
        <v>211</v>
      </c>
    </row>
    <row r="177" spans="1:20" ht="37.5" customHeight="1" x14ac:dyDescent="0.25">
      <c r="A177" s="20" t="s">
        <v>212</v>
      </c>
      <c r="B177">
        <f t="shared" si="16"/>
        <v>79169</v>
      </c>
      <c r="C177">
        <v>13750</v>
      </c>
      <c r="D177">
        <v>65419</v>
      </c>
      <c r="F177">
        <f t="shared" si="15"/>
        <v>553</v>
      </c>
      <c r="G177" s="21">
        <f t="shared" si="21"/>
        <v>172</v>
      </c>
      <c r="H177" s="22">
        <v>23014090969</v>
      </c>
      <c r="I177" s="23">
        <v>226</v>
      </c>
      <c r="J177" s="24"/>
      <c r="K177" s="25">
        <v>78616</v>
      </c>
      <c r="L177" s="24">
        <f t="shared" si="17"/>
        <v>553</v>
      </c>
      <c r="M177" s="25">
        <v>13658</v>
      </c>
      <c r="N177" s="26">
        <f t="shared" si="18"/>
        <v>51761</v>
      </c>
      <c r="O177" s="25">
        <v>64958</v>
      </c>
      <c r="P177" s="24">
        <f t="shared" si="19"/>
        <v>461</v>
      </c>
      <c r="Q177" s="27"/>
      <c r="R177" s="24">
        <f t="shared" si="20"/>
        <v>0</v>
      </c>
      <c r="S177" s="28" t="s">
        <v>18</v>
      </c>
      <c r="T177" s="20" t="s">
        <v>212</v>
      </c>
    </row>
    <row r="178" spans="1:20" ht="37.5" customHeight="1" x14ac:dyDescent="0.25">
      <c r="A178" s="20" t="s">
        <v>213</v>
      </c>
      <c r="B178">
        <f t="shared" si="16"/>
        <v>5027</v>
      </c>
      <c r="C178">
        <v>945</v>
      </c>
      <c r="D178">
        <v>4082</v>
      </c>
      <c r="E178">
        <v>5873</v>
      </c>
      <c r="F178">
        <f t="shared" si="15"/>
        <v>465</v>
      </c>
      <c r="G178" s="21">
        <f t="shared" si="21"/>
        <v>173</v>
      </c>
      <c r="H178" s="22">
        <v>99624020282</v>
      </c>
      <c r="I178" s="23">
        <v>227</v>
      </c>
      <c r="J178" s="24"/>
      <c r="K178" s="25">
        <f>M178+O178</f>
        <v>4562</v>
      </c>
      <c r="L178" s="24">
        <f t="shared" si="17"/>
        <v>465</v>
      </c>
      <c r="M178" s="25">
        <v>835</v>
      </c>
      <c r="N178" s="26">
        <f t="shared" si="18"/>
        <v>3247</v>
      </c>
      <c r="O178" s="25">
        <v>3727</v>
      </c>
      <c r="P178" s="24">
        <f t="shared" si="19"/>
        <v>355</v>
      </c>
      <c r="Q178" s="27">
        <v>5115</v>
      </c>
      <c r="R178" s="24">
        <f t="shared" si="20"/>
        <v>758</v>
      </c>
      <c r="S178" s="28" t="s">
        <v>18</v>
      </c>
      <c r="T178" s="20" t="s">
        <v>213</v>
      </c>
    </row>
    <row r="179" spans="1:20" ht="37.5" customHeight="1" x14ac:dyDescent="0.25">
      <c r="A179" s="20" t="s">
        <v>214</v>
      </c>
      <c r="B179">
        <f t="shared" si="16"/>
        <v>14175</v>
      </c>
      <c r="C179">
        <v>3748</v>
      </c>
      <c r="D179">
        <v>10427</v>
      </c>
      <c r="E179">
        <v>7427</v>
      </c>
      <c r="F179">
        <f t="shared" si="15"/>
        <v>535</v>
      </c>
      <c r="G179" s="21">
        <f t="shared" si="21"/>
        <v>174</v>
      </c>
      <c r="H179" s="22">
        <v>99723050013</v>
      </c>
      <c r="I179" s="23">
        <v>228</v>
      </c>
      <c r="J179" s="24"/>
      <c r="K179" s="25">
        <f>M179+O179</f>
        <v>13640</v>
      </c>
      <c r="L179" s="24">
        <f t="shared" si="17"/>
        <v>535</v>
      </c>
      <c r="M179" s="25">
        <v>3604</v>
      </c>
      <c r="N179" s="26">
        <f t="shared" si="18"/>
        <v>6823</v>
      </c>
      <c r="O179" s="25">
        <v>10036</v>
      </c>
      <c r="P179" s="24">
        <f t="shared" si="19"/>
        <v>391</v>
      </c>
      <c r="Q179" s="27">
        <v>6967</v>
      </c>
      <c r="R179" s="24">
        <f t="shared" si="20"/>
        <v>460</v>
      </c>
      <c r="S179" s="28" t="s">
        <v>18</v>
      </c>
      <c r="T179" s="20" t="s">
        <v>214</v>
      </c>
    </row>
    <row r="180" spans="1:20" ht="37.5" customHeight="1" x14ac:dyDescent="0.25">
      <c r="A180" s="20" t="s">
        <v>215</v>
      </c>
      <c r="B180">
        <f t="shared" si="16"/>
        <v>4194</v>
      </c>
      <c r="C180">
        <v>1043</v>
      </c>
      <c r="D180">
        <v>3151</v>
      </c>
      <c r="E180">
        <v>5294</v>
      </c>
      <c r="F180">
        <f t="shared" si="15"/>
        <v>291</v>
      </c>
      <c r="G180" s="21">
        <f t="shared" si="21"/>
        <v>175</v>
      </c>
      <c r="H180" s="22">
        <v>99624020033</v>
      </c>
      <c r="I180" s="23">
        <v>229</v>
      </c>
      <c r="J180" s="24"/>
      <c r="K180" s="25">
        <f>M180+O180</f>
        <v>3903</v>
      </c>
      <c r="L180" s="24">
        <f t="shared" si="17"/>
        <v>291</v>
      </c>
      <c r="M180" s="25">
        <v>970</v>
      </c>
      <c r="N180" s="26">
        <f t="shared" si="18"/>
        <v>2181</v>
      </c>
      <c r="O180" s="25">
        <v>2933</v>
      </c>
      <c r="P180" s="24">
        <f t="shared" si="19"/>
        <v>218</v>
      </c>
      <c r="Q180" s="27">
        <v>4638</v>
      </c>
      <c r="R180" s="24">
        <f t="shared" si="20"/>
        <v>656</v>
      </c>
      <c r="S180" s="28" t="s">
        <v>18</v>
      </c>
      <c r="T180" s="20" t="s">
        <v>215</v>
      </c>
    </row>
    <row r="181" spans="1:20" ht="37.5" customHeight="1" x14ac:dyDescent="0.25">
      <c r="A181" s="20" t="s">
        <v>216</v>
      </c>
      <c r="B181">
        <f t="shared" si="16"/>
        <v>21277</v>
      </c>
      <c r="C181">
        <v>3116</v>
      </c>
      <c r="D181">
        <v>18161</v>
      </c>
      <c r="F181">
        <f t="shared" si="15"/>
        <v>595</v>
      </c>
      <c r="G181" s="21">
        <f t="shared" si="21"/>
        <v>176</v>
      </c>
      <c r="H181" s="22">
        <v>66621100152</v>
      </c>
      <c r="I181" s="23">
        <v>230</v>
      </c>
      <c r="J181" s="24"/>
      <c r="K181" s="25">
        <v>20682</v>
      </c>
      <c r="L181" s="24">
        <f t="shared" si="17"/>
        <v>595</v>
      </c>
      <c r="M181" s="25">
        <v>3032</v>
      </c>
      <c r="N181" s="26">
        <f t="shared" si="18"/>
        <v>15129</v>
      </c>
      <c r="O181" s="25">
        <v>17650</v>
      </c>
      <c r="P181" s="24">
        <f t="shared" si="19"/>
        <v>511</v>
      </c>
      <c r="Q181" s="27"/>
      <c r="R181" s="24">
        <f t="shared" si="20"/>
        <v>0</v>
      </c>
      <c r="S181" s="28" t="s">
        <v>18</v>
      </c>
      <c r="T181" s="20" t="s">
        <v>216</v>
      </c>
    </row>
    <row r="182" spans="1:20" ht="37.5" customHeight="1" x14ac:dyDescent="0.25">
      <c r="A182" s="20" t="s">
        <v>217</v>
      </c>
      <c r="B182">
        <f t="shared" si="16"/>
        <v>37737</v>
      </c>
      <c r="C182">
        <v>6279</v>
      </c>
      <c r="D182">
        <v>31458</v>
      </c>
      <c r="F182">
        <f t="shared" si="15"/>
        <v>855</v>
      </c>
      <c r="G182" s="21">
        <f t="shared" si="21"/>
        <v>177</v>
      </c>
      <c r="H182" s="22">
        <v>66622020267</v>
      </c>
      <c r="I182" s="23">
        <v>232</v>
      </c>
      <c r="J182" s="24"/>
      <c r="K182" s="25">
        <v>36882</v>
      </c>
      <c r="L182" s="24">
        <f t="shared" si="17"/>
        <v>855</v>
      </c>
      <c r="M182" s="25">
        <v>6100</v>
      </c>
      <c r="N182" s="26">
        <f t="shared" si="18"/>
        <v>25358</v>
      </c>
      <c r="O182" s="25">
        <v>30782</v>
      </c>
      <c r="P182" s="24">
        <f t="shared" si="19"/>
        <v>676</v>
      </c>
      <c r="Q182" s="27"/>
      <c r="R182" s="24">
        <f t="shared" si="20"/>
        <v>0</v>
      </c>
      <c r="S182" s="28" t="s">
        <v>18</v>
      </c>
      <c r="T182" s="20" t="s">
        <v>217</v>
      </c>
    </row>
    <row r="183" spans="1:20" ht="37.5" customHeight="1" x14ac:dyDescent="0.25">
      <c r="A183" s="20" t="s">
        <v>218</v>
      </c>
      <c r="B183">
        <f t="shared" si="16"/>
        <v>38908</v>
      </c>
      <c r="C183">
        <v>6830</v>
      </c>
      <c r="D183">
        <v>32078</v>
      </c>
      <c r="F183">
        <f t="shared" si="15"/>
        <v>662</v>
      </c>
      <c r="G183" s="21">
        <f t="shared" si="21"/>
        <v>178</v>
      </c>
      <c r="H183" s="22">
        <v>66621050279</v>
      </c>
      <c r="I183" s="23">
        <v>233</v>
      </c>
      <c r="J183" s="24"/>
      <c r="K183" s="25">
        <v>38246</v>
      </c>
      <c r="L183" s="24">
        <f t="shared" si="17"/>
        <v>662</v>
      </c>
      <c r="M183" s="25">
        <v>6718</v>
      </c>
      <c r="N183" s="26">
        <f t="shared" si="18"/>
        <v>25360</v>
      </c>
      <c r="O183" s="25">
        <v>31528</v>
      </c>
      <c r="P183" s="24">
        <f t="shared" si="19"/>
        <v>550</v>
      </c>
      <c r="Q183" s="27"/>
      <c r="R183" s="24">
        <f t="shared" si="20"/>
        <v>0</v>
      </c>
      <c r="S183" s="28" t="s">
        <v>18</v>
      </c>
      <c r="T183" s="20" t="s">
        <v>218</v>
      </c>
    </row>
    <row r="184" spans="1:20" ht="37.5" customHeight="1" x14ac:dyDescent="0.25">
      <c r="A184" s="20" t="s">
        <v>219</v>
      </c>
      <c r="B184">
        <f t="shared" si="16"/>
        <v>9533</v>
      </c>
      <c r="C184">
        <v>1105</v>
      </c>
      <c r="D184">
        <v>8428</v>
      </c>
      <c r="E184">
        <v>13143</v>
      </c>
      <c r="F184">
        <f t="shared" si="15"/>
        <v>294</v>
      </c>
      <c r="G184" s="21">
        <f t="shared" si="21"/>
        <v>179</v>
      </c>
      <c r="H184" s="22">
        <v>99723010031</v>
      </c>
      <c r="I184" s="23">
        <v>234</v>
      </c>
      <c r="J184" s="24"/>
      <c r="K184" s="25">
        <f>M184+O184</f>
        <v>9239</v>
      </c>
      <c r="L184" s="24">
        <f t="shared" si="17"/>
        <v>294</v>
      </c>
      <c r="M184" s="25">
        <v>1062</v>
      </c>
      <c r="N184" s="26">
        <f t="shared" si="18"/>
        <v>7366</v>
      </c>
      <c r="O184" s="25">
        <v>8177</v>
      </c>
      <c r="P184" s="24">
        <f t="shared" si="19"/>
        <v>251</v>
      </c>
      <c r="Q184" s="27">
        <v>12502</v>
      </c>
      <c r="R184" s="24">
        <f t="shared" si="20"/>
        <v>641</v>
      </c>
      <c r="S184" s="28" t="s">
        <v>18</v>
      </c>
      <c r="T184" s="20" t="s">
        <v>219</v>
      </c>
    </row>
    <row r="185" spans="1:20" ht="37.5" customHeight="1" x14ac:dyDescent="0.25">
      <c r="A185" s="20" t="s">
        <v>220</v>
      </c>
      <c r="B185">
        <f t="shared" si="16"/>
        <v>22490</v>
      </c>
      <c r="C185">
        <v>4212</v>
      </c>
      <c r="D185">
        <v>18278</v>
      </c>
      <c r="F185">
        <f t="shared" si="15"/>
        <v>632</v>
      </c>
      <c r="G185" s="21">
        <f t="shared" si="21"/>
        <v>180</v>
      </c>
      <c r="H185" s="22">
        <v>88819010152</v>
      </c>
      <c r="I185" s="23">
        <v>235</v>
      </c>
      <c r="J185" s="24"/>
      <c r="K185" s="25">
        <v>21858</v>
      </c>
      <c r="L185" s="24">
        <f t="shared" si="17"/>
        <v>632</v>
      </c>
      <c r="M185" s="25">
        <v>4110</v>
      </c>
      <c r="N185" s="26">
        <f t="shared" si="18"/>
        <v>14168</v>
      </c>
      <c r="O185" s="25">
        <v>17748</v>
      </c>
      <c r="P185" s="24">
        <f t="shared" si="19"/>
        <v>530</v>
      </c>
      <c r="Q185" s="27"/>
      <c r="R185" s="24">
        <f t="shared" si="20"/>
        <v>0</v>
      </c>
      <c r="S185" s="28" t="s">
        <v>18</v>
      </c>
      <c r="T185" s="20" t="s">
        <v>220</v>
      </c>
    </row>
    <row r="186" spans="1:20" ht="37.5" customHeight="1" x14ac:dyDescent="0.25">
      <c r="A186" s="20" t="s">
        <v>221</v>
      </c>
      <c r="B186">
        <f t="shared" si="16"/>
        <v>27506</v>
      </c>
      <c r="C186">
        <v>4661</v>
      </c>
      <c r="D186">
        <v>22845</v>
      </c>
      <c r="F186">
        <f t="shared" si="15"/>
        <v>76</v>
      </c>
      <c r="G186" s="21">
        <f t="shared" si="21"/>
        <v>181</v>
      </c>
      <c r="H186" s="22">
        <v>23014060426</v>
      </c>
      <c r="I186" s="23">
        <v>236</v>
      </c>
      <c r="J186" s="24"/>
      <c r="K186" s="25">
        <v>27430</v>
      </c>
      <c r="L186" s="24">
        <f t="shared" si="17"/>
        <v>76</v>
      </c>
      <c r="M186" s="25">
        <v>4650</v>
      </c>
      <c r="N186" s="26">
        <f t="shared" si="18"/>
        <v>18195</v>
      </c>
      <c r="O186" s="25">
        <v>22780</v>
      </c>
      <c r="P186" s="24">
        <f t="shared" si="19"/>
        <v>65</v>
      </c>
      <c r="Q186" s="27"/>
      <c r="R186" s="24">
        <f t="shared" si="20"/>
        <v>0</v>
      </c>
      <c r="S186" s="28" t="s">
        <v>18</v>
      </c>
      <c r="T186" s="20" t="s">
        <v>221</v>
      </c>
    </row>
    <row r="187" spans="1:20" ht="37.5" customHeight="1" x14ac:dyDescent="0.25">
      <c r="A187" s="20" t="s">
        <v>222</v>
      </c>
      <c r="B187">
        <f t="shared" si="16"/>
        <v>31165</v>
      </c>
      <c r="C187">
        <v>4786</v>
      </c>
      <c r="D187">
        <v>26379</v>
      </c>
      <c r="F187">
        <f t="shared" si="15"/>
        <v>318</v>
      </c>
      <c r="G187" s="21">
        <f t="shared" si="21"/>
        <v>182</v>
      </c>
      <c r="H187" s="22">
        <v>66622010399</v>
      </c>
      <c r="I187" s="23">
        <v>237</v>
      </c>
      <c r="J187" s="24"/>
      <c r="K187" s="25">
        <v>30847</v>
      </c>
      <c r="L187" s="24">
        <f t="shared" si="17"/>
        <v>318</v>
      </c>
      <c r="M187" s="25">
        <v>4742</v>
      </c>
      <c r="N187" s="26">
        <f t="shared" si="18"/>
        <v>21637</v>
      </c>
      <c r="O187" s="25">
        <v>26105</v>
      </c>
      <c r="P187" s="24">
        <f t="shared" si="19"/>
        <v>274</v>
      </c>
      <c r="Q187" s="27"/>
      <c r="R187" s="24">
        <f t="shared" si="20"/>
        <v>0</v>
      </c>
      <c r="S187" s="28" t="s">
        <v>18</v>
      </c>
      <c r="T187" s="20" t="s">
        <v>222</v>
      </c>
    </row>
    <row r="188" spans="1:20" ht="37.5" customHeight="1" x14ac:dyDescent="0.25">
      <c r="A188" s="20" t="s">
        <v>223</v>
      </c>
      <c r="B188">
        <f t="shared" si="16"/>
        <v>78919</v>
      </c>
      <c r="C188">
        <v>22301</v>
      </c>
      <c r="D188">
        <v>56618</v>
      </c>
      <c r="F188">
        <f t="shared" si="15"/>
        <v>277</v>
      </c>
      <c r="G188" s="21">
        <f t="shared" si="21"/>
        <v>183</v>
      </c>
      <c r="H188" s="22">
        <v>10020047</v>
      </c>
      <c r="I188" s="23">
        <v>238</v>
      </c>
      <c r="J188" s="24"/>
      <c r="K188" s="25">
        <v>78642</v>
      </c>
      <c r="L188" s="24">
        <f t="shared" si="17"/>
        <v>277</v>
      </c>
      <c r="M188" s="25">
        <v>22256</v>
      </c>
      <c r="N188" s="26">
        <f t="shared" si="18"/>
        <v>34362</v>
      </c>
      <c r="O188" s="25">
        <v>56386</v>
      </c>
      <c r="P188" s="24">
        <f t="shared" si="19"/>
        <v>232</v>
      </c>
      <c r="Q188" s="27"/>
      <c r="R188" s="24">
        <f t="shared" si="20"/>
        <v>0</v>
      </c>
      <c r="S188" s="28" t="s">
        <v>18</v>
      </c>
      <c r="T188" s="20" t="s">
        <v>223</v>
      </c>
    </row>
    <row r="189" spans="1:20" ht="37.5" customHeight="1" x14ac:dyDescent="0.25">
      <c r="A189" s="20" t="s">
        <v>224</v>
      </c>
      <c r="B189">
        <f t="shared" si="16"/>
        <v>5747</v>
      </c>
      <c r="C189">
        <v>1513</v>
      </c>
      <c r="D189">
        <v>4234</v>
      </c>
      <c r="E189">
        <v>4628</v>
      </c>
      <c r="F189">
        <f t="shared" si="15"/>
        <v>603</v>
      </c>
      <c r="G189" s="21">
        <f t="shared" si="21"/>
        <v>184</v>
      </c>
      <c r="H189" s="22">
        <v>99624030267</v>
      </c>
      <c r="I189" s="23">
        <v>240</v>
      </c>
      <c r="J189" s="24"/>
      <c r="K189" s="25">
        <f>M189+O189</f>
        <v>5144</v>
      </c>
      <c r="L189" s="24">
        <f t="shared" si="17"/>
        <v>603</v>
      </c>
      <c r="M189" s="25">
        <v>1339</v>
      </c>
      <c r="N189" s="26">
        <f t="shared" si="18"/>
        <v>2895</v>
      </c>
      <c r="O189" s="25">
        <v>3805</v>
      </c>
      <c r="P189" s="24">
        <f t="shared" si="19"/>
        <v>429</v>
      </c>
      <c r="Q189" s="27">
        <v>3794</v>
      </c>
      <c r="R189" s="24">
        <f t="shared" si="20"/>
        <v>834</v>
      </c>
      <c r="S189" s="28" t="s">
        <v>18</v>
      </c>
      <c r="T189" s="20" t="s">
        <v>224</v>
      </c>
    </row>
    <row r="190" spans="1:20" ht="37.5" customHeight="1" x14ac:dyDescent="0.25">
      <c r="A190" s="20" t="s">
        <v>225</v>
      </c>
      <c r="B190">
        <f t="shared" si="16"/>
        <v>13842</v>
      </c>
      <c r="C190">
        <v>2823</v>
      </c>
      <c r="D190">
        <v>11019</v>
      </c>
      <c r="E190">
        <v>21585</v>
      </c>
      <c r="F190">
        <f t="shared" si="15"/>
        <v>375</v>
      </c>
      <c r="G190" s="21">
        <f t="shared" si="21"/>
        <v>185</v>
      </c>
      <c r="H190" s="22">
        <v>99423020035</v>
      </c>
      <c r="I190" s="23">
        <v>243</v>
      </c>
      <c r="J190" s="24"/>
      <c r="K190" s="25">
        <f>M190+O190</f>
        <v>13467</v>
      </c>
      <c r="L190" s="24">
        <f t="shared" si="17"/>
        <v>375</v>
      </c>
      <c r="M190" s="25">
        <v>2711</v>
      </c>
      <c r="N190" s="26">
        <f t="shared" si="18"/>
        <v>8308</v>
      </c>
      <c r="O190" s="25">
        <v>10756</v>
      </c>
      <c r="P190" s="24">
        <f t="shared" si="19"/>
        <v>263</v>
      </c>
      <c r="Q190" s="27">
        <v>20559</v>
      </c>
      <c r="R190" s="24">
        <f t="shared" si="20"/>
        <v>1026</v>
      </c>
      <c r="S190" s="28" t="s">
        <v>18</v>
      </c>
      <c r="T190" s="20" t="s">
        <v>225</v>
      </c>
    </row>
    <row r="191" spans="1:20" ht="37.5" customHeight="1" x14ac:dyDescent="0.25">
      <c r="A191" s="20" t="s">
        <v>226</v>
      </c>
      <c r="B191">
        <f t="shared" si="16"/>
        <v>4025</v>
      </c>
      <c r="C191">
        <v>949</v>
      </c>
      <c r="D191">
        <v>3076</v>
      </c>
      <c r="E191">
        <v>4836</v>
      </c>
      <c r="F191">
        <f t="shared" si="15"/>
        <v>448</v>
      </c>
      <c r="G191" s="21">
        <f t="shared" si="21"/>
        <v>186</v>
      </c>
      <c r="H191" s="22">
        <v>99624040003</v>
      </c>
      <c r="I191" s="23">
        <v>244</v>
      </c>
      <c r="J191" s="24"/>
      <c r="K191" s="25">
        <f>M191+O191</f>
        <v>3577</v>
      </c>
      <c r="L191" s="24">
        <f t="shared" si="17"/>
        <v>448</v>
      </c>
      <c r="M191" s="25">
        <v>816</v>
      </c>
      <c r="N191" s="26">
        <f t="shared" si="18"/>
        <v>2260</v>
      </c>
      <c r="O191" s="25">
        <v>2761</v>
      </c>
      <c r="P191" s="24">
        <f t="shared" si="19"/>
        <v>315</v>
      </c>
      <c r="Q191" s="27">
        <v>3907</v>
      </c>
      <c r="R191" s="24">
        <f t="shared" si="20"/>
        <v>929</v>
      </c>
      <c r="S191" s="28" t="s">
        <v>18</v>
      </c>
      <c r="T191" s="20" t="s">
        <v>226</v>
      </c>
    </row>
    <row r="192" spans="1:20" ht="37.5" customHeight="1" x14ac:dyDescent="0.25">
      <c r="A192" s="20" t="s">
        <v>227</v>
      </c>
      <c r="B192">
        <f t="shared" si="16"/>
        <v>48765</v>
      </c>
      <c r="C192">
        <v>8860</v>
      </c>
      <c r="D192">
        <v>39905</v>
      </c>
      <c r="F192">
        <f t="shared" si="15"/>
        <v>609</v>
      </c>
      <c r="G192" s="21">
        <f t="shared" si="21"/>
        <v>187</v>
      </c>
      <c r="H192" s="22">
        <v>66616031340</v>
      </c>
      <c r="I192" s="23">
        <v>245</v>
      </c>
      <c r="J192" s="24"/>
      <c r="K192" s="25">
        <v>48156</v>
      </c>
      <c r="L192" s="24">
        <f t="shared" si="17"/>
        <v>609</v>
      </c>
      <c r="M192" s="25">
        <v>8740</v>
      </c>
      <c r="N192" s="26">
        <f t="shared" si="18"/>
        <v>31165</v>
      </c>
      <c r="O192" s="25">
        <v>39416</v>
      </c>
      <c r="P192" s="24">
        <f t="shared" si="19"/>
        <v>489</v>
      </c>
      <c r="Q192" s="27"/>
      <c r="R192" s="24">
        <f t="shared" si="20"/>
        <v>0</v>
      </c>
      <c r="S192" s="28" t="s">
        <v>18</v>
      </c>
      <c r="T192" s="20" t="s">
        <v>227</v>
      </c>
    </row>
    <row r="193" spans="1:20" ht="37.5" customHeight="1" x14ac:dyDescent="0.25">
      <c r="A193" s="20" t="s">
        <v>228</v>
      </c>
      <c r="B193">
        <f t="shared" si="16"/>
        <v>928</v>
      </c>
      <c r="C193">
        <v>280</v>
      </c>
      <c r="D193">
        <v>648</v>
      </c>
      <c r="E193">
        <v>3823</v>
      </c>
      <c r="F193">
        <f t="shared" si="15"/>
        <v>238</v>
      </c>
      <c r="G193" s="21">
        <f t="shared" si="21"/>
        <v>188</v>
      </c>
      <c r="H193" s="22">
        <v>99624050071</v>
      </c>
      <c r="I193" s="23">
        <v>246</v>
      </c>
      <c r="J193" s="24"/>
      <c r="K193" s="25">
        <f>M193+O193</f>
        <v>690</v>
      </c>
      <c r="L193" s="24">
        <f t="shared" si="17"/>
        <v>238</v>
      </c>
      <c r="M193" s="25">
        <v>193</v>
      </c>
      <c r="N193" s="26">
        <f t="shared" si="18"/>
        <v>455</v>
      </c>
      <c r="O193" s="25">
        <v>497</v>
      </c>
      <c r="P193" s="24">
        <f t="shared" si="19"/>
        <v>151</v>
      </c>
      <c r="Q193" s="27">
        <v>2709</v>
      </c>
      <c r="R193" s="24">
        <f t="shared" si="20"/>
        <v>1114</v>
      </c>
      <c r="S193" s="28" t="s">
        <v>18</v>
      </c>
      <c r="T193" s="20" t="s">
        <v>228</v>
      </c>
    </row>
    <row r="194" spans="1:20" ht="37.5" customHeight="1" x14ac:dyDescent="0.25">
      <c r="A194" s="20" t="s">
        <v>229</v>
      </c>
      <c r="B194">
        <f t="shared" si="16"/>
        <v>20614</v>
      </c>
      <c r="C194">
        <v>5818</v>
      </c>
      <c r="D194">
        <v>14796</v>
      </c>
      <c r="E194">
        <v>16873</v>
      </c>
      <c r="F194">
        <f t="shared" si="15"/>
        <v>568</v>
      </c>
      <c r="G194" s="21">
        <f t="shared" si="21"/>
        <v>189</v>
      </c>
      <c r="H194" s="22">
        <v>99722040019</v>
      </c>
      <c r="I194" s="23">
        <v>249</v>
      </c>
      <c r="J194" s="24"/>
      <c r="K194" s="25">
        <f>M194+O194</f>
        <v>20046</v>
      </c>
      <c r="L194" s="24">
        <f t="shared" si="17"/>
        <v>568</v>
      </c>
      <c r="M194" s="25">
        <v>5668</v>
      </c>
      <c r="N194" s="26">
        <f t="shared" si="18"/>
        <v>9128</v>
      </c>
      <c r="O194" s="25">
        <v>14378</v>
      </c>
      <c r="P194" s="24">
        <f t="shared" si="19"/>
        <v>418</v>
      </c>
      <c r="Q194" s="27">
        <v>15968</v>
      </c>
      <c r="R194" s="24">
        <f t="shared" si="20"/>
        <v>905</v>
      </c>
      <c r="S194" s="28" t="s">
        <v>18</v>
      </c>
      <c r="T194" s="20" t="s">
        <v>229</v>
      </c>
    </row>
    <row r="195" spans="1:20" ht="37.5" customHeight="1" x14ac:dyDescent="0.25">
      <c r="A195" s="20" t="s">
        <v>230</v>
      </c>
      <c r="B195">
        <f t="shared" si="16"/>
        <v>99227</v>
      </c>
      <c r="C195">
        <v>21502</v>
      </c>
      <c r="D195">
        <v>77725</v>
      </c>
      <c r="F195">
        <f t="shared" si="15"/>
        <v>282</v>
      </c>
      <c r="G195" s="21">
        <f t="shared" si="21"/>
        <v>190</v>
      </c>
      <c r="H195" s="22">
        <v>23010050033</v>
      </c>
      <c r="I195" s="23">
        <v>251</v>
      </c>
      <c r="J195" s="24"/>
      <c r="K195" s="25">
        <v>98945</v>
      </c>
      <c r="L195" s="24">
        <f t="shared" si="17"/>
        <v>282</v>
      </c>
      <c r="M195" s="25">
        <v>21467</v>
      </c>
      <c r="N195" s="26">
        <f t="shared" si="18"/>
        <v>56258</v>
      </c>
      <c r="O195" s="25">
        <v>77478</v>
      </c>
      <c r="P195" s="24">
        <f t="shared" si="19"/>
        <v>247</v>
      </c>
      <c r="Q195" s="27"/>
      <c r="R195" s="24">
        <f t="shared" si="20"/>
        <v>0</v>
      </c>
      <c r="S195" s="28" t="s">
        <v>18</v>
      </c>
      <c r="T195" s="20" t="s">
        <v>230</v>
      </c>
    </row>
    <row r="196" spans="1:20" ht="37.5" customHeight="1" x14ac:dyDescent="0.25">
      <c r="A196" s="20" t="s">
        <v>231</v>
      </c>
      <c r="B196">
        <f t="shared" si="16"/>
        <v>9928</v>
      </c>
      <c r="C196">
        <v>2194</v>
      </c>
      <c r="D196">
        <v>7734</v>
      </c>
      <c r="E196">
        <v>13509</v>
      </c>
      <c r="F196">
        <f t="shared" si="15"/>
        <v>427</v>
      </c>
      <c r="G196" s="21">
        <f t="shared" si="21"/>
        <v>191</v>
      </c>
      <c r="H196" s="22">
        <v>99723070134</v>
      </c>
      <c r="I196" s="23">
        <v>252</v>
      </c>
      <c r="J196" s="24"/>
      <c r="K196" s="25">
        <f>M196+O196</f>
        <v>9501</v>
      </c>
      <c r="L196" s="24">
        <f t="shared" si="17"/>
        <v>427</v>
      </c>
      <c r="M196" s="25">
        <v>2109</v>
      </c>
      <c r="N196" s="26">
        <f t="shared" si="18"/>
        <v>5625</v>
      </c>
      <c r="O196" s="25">
        <v>7392</v>
      </c>
      <c r="P196" s="24">
        <f t="shared" si="19"/>
        <v>342</v>
      </c>
      <c r="Q196" s="27">
        <v>12449</v>
      </c>
      <c r="R196" s="24">
        <f t="shared" si="20"/>
        <v>1060</v>
      </c>
      <c r="S196" s="28" t="s">
        <v>18</v>
      </c>
      <c r="T196" s="20" t="s">
        <v>231</v>
      </c>
    </row>
    <row r="197" spans="1:20" ht="37.5" customHeight="1" x14ac:dyDescent="0.25">
      <c r="A197" s="20" t="s">
        <v>232</v>
      </c>
      <c r="B197">
        <f t="shared" si="16"/>
        <v>744</v>
      </c>
      <c r="C197">
        <v>203</v>
      </c>
      <c r="D197">
        <v>541</v>
      </c>
      <c r="E197">
        <v>2590</v>
      </c>
      <c r="F197">
        <f t="shared" si="15"/>
        <v>365</v>
      </c>
      <c r="G197" s="21">
        <f t="shared" si="21"/>
        <v>192</v>
      </c>
      <c r="H197" s="22">
        <v>99624050233</v>
      </c>
      <c r="I197" s="23">
        <v>253</v>
      </c>
      <c r="J197" s="24"/>
      <c r="K197" s="25">
        <f>M197+O197</f>
        <v>379</v>
      </c>
      <c r="L197" s="24">
        <f t="shared" si="17"/>
        <v>365</v>
      </c>
      <c r="M197" s="25">
        <v>116</v>
      </c>
      <c r="N197" s="26">
        <f t="shared" si="18"/>
        <v>425</v>
      </c>
      <c r="O197" s="25">
        <v>263</v>
      </c>
      <c r="P197" s="24">
        <f t="shared" si="19"/>
        <v>278</v>
      </c>
      <c r="Q197" s="27">
        <v>1690</v>
      </c>
      <c r="R197" s="24">
        <f t="shared" si="20"/>
        <v>900</v>
      </c>
      <c r="S197" s="28" t="s">
        <v>18</v>
      </c>
      <c r="T197" s="20" t="s">
        <v>232</v>
      </c>
    </row>
    <row r="198" spans="1:20" ht="37.5" customHeight="1" x14ac:dyDescent="0.25">
      <c r="A198" s="20" t="s">
        <v>233</v>
      </c>
      <c r="B198">
        <f t="shared" si="16"/>
        <v>40521</v>
      </c>
      <c r="C198">
        <v>5537</v>
      </c>
      <c r="D198">
        <v>34984</v>
      </c>
      <c r="F198">
        <f t="shared" ref="F198:F261" si="22">L198</f>
        <v>284</v>
      </c>
      <c r="G198" s="21">
        <f t="shared" si="21"/>
        <v>193</v>
      </c>
      <c r="H198" s="22">
        <v>23015100094</v>
      </c>
      <c r="I198" s="23">
        <v>254</v>
      </c>
      <c r="J198" s="24"/>
      <c r="K198" s="25">
        <v>40237</v>
      </c>
      <c r="L198" s="24">
        <f t="shared" si="17"/>
        <v>284</v>
      </c>
      <c r="M198" s="25">
        <v>5492</v>
      </c>
      <c r="N198" s="26">
        <f t="shared" si="18"/>
        <v>29492</v>
      </c>
      <c r="O198" s="25">
        <v>34745</v>
      </c>
      <c r="P198" s="24">
        <f t="shared" si="19"/>
        <v>239</v>
      </c>
      <c r="Q198" s="27"/>
      <c r="R198" s="24">
        <f t="shared" si="20"/>
        <v>0</v>
      </c>
      <c r="S198" s="28" t="s">
        <v>18</v>
      </c>
      <c r="T198" s="20" t="s">
        <v>233</v>
      </c>
    </row>
    <row r="199" spans="1:20" ht="37.5" customHeight="1" x14ac:dyDescent="0.25">
      <c r="A199" s="20" t="s">
        <v>234</v>
      </c>
      <c r="B199">
        <f t="shared" ref="B199:B262" si="23">C199+D199</f>
        <v>7114</v>
      </c>
      <c r="C199">
        <v>1408</v>
      </c>
      <c r="D199">
        <v>5706</v>
      </c>
      <c r="E199">
        <v>5650</v>
      </c>
      <c r="F199">
        <f t="shared" si="22"/>
        <v>374</v>
      </c>
      <c r="G199" s="21">
        <f t="shared" si="21"/>
        <v>194</v>
      </c>
      <c r="H199" s="22">
        <v>99624010068</v>
      </c>
      <c r="I199" s="23">
        <v>255</v>
      </c>
      <c r="J199" s="24"/>
      <c r="K199" s="25">
        <f>M199+O199</f>
        <v>6740</v>
      </c>
      <c r="L199" s="24">
        <f t="shared" ref="L199:L262" si="24">B199-K199</f>
        <v>374</v>
      </c>
      <c r="M199" s="25">
        <v>1321</v>
      </c>
      <c r="N199" s="26">
        <f t="shared" ref="N199:N262" si="25">D199-M199</f>
        <v>4385</v>
      </c>
      <c r="O199" s="25">
        <v>5419</v>
      </c>
      <c r="P199" s="24">
        <f t="shared" ref="P199:P262" si="26">D199-O199</f>
        <v>287</v>
      </c>
      <c r="Q199" s="27">
        <v>4959</v>
      </c>
      <c r="R199" s="24">
        <f t="shared" ref="R199:R262" si="27">E199-Q199</f>
        <v>691</v>
      </c>
      <c r="S199" s="28" t="s">
        <v>18</v>
      </c>
      <c r="T199" s="20" t="s">
        <v>234</v>
      </c>
    </row>
    <row r="200" spans="1:20" ht="37.5" customHeight="1" x14ac:dyDescent="0.25">
      <c r="A200" s="20" t="s">
        <v>235</v>
      </c>
      <c r="B200">
        <f t="shared" si="23"/>
        <v>7045</v>
      </c>
      <c r="C200">
        <v>1947</v>
      </c>
      <c r="D200">
        <v>5098</v>
      </c>
      <c r="E200">
        <v>4366</v>
      </c>
      <c r="F200">
        <f t="shared" si="22"/>
        <v>1012</v>
      </c>
      <c r="G200" s="21">
        <f t="shared" ref="G200:G263" si="28">G199+1</f>
        <v>195</v>
      </c>
      <c r="H200" s="22">
        <v>99624040064</v>
      </c>
      <c r="I200" s="23">
        <v>257</v>
      </c>
      <c r="J200" s="24"/>
      <c r="K200" s="25">
        <f>M200+O200</f>
        <v>6033</v>
      </c>
      <c r="L200" s="24">
        <f t="shared" si="24"/>
        <v>1012</v>
      </c>
      <c r="M200" s="25">
        <v>1658</v>
      </c>
      <c r="N200" s="26">
        <f t="shared" si="25"/>
        <v>3440</v>
      </c>
      <c r="O200" s="25">
        <v>4375</v>
      </c>
      <c r="P200" s="24">
        <f t="shared" si="26"/>
        <v>723</v>
      </c>
      <c r="Q200" s="27">
        <v>3634</v>
      </c>
      <c r="R200" s="24">
        <f t="shared" si="27"/>
        <v>732</v>
      </c>
      <c r="S200" s="28" t="s">
        <v>18</v>
      </c>
      <c r="T200" s="20" t="s">
        <v>235</v>
      </c>
    </row>
    <row r="201" spans="1:20" ht="37.5" customHeight="1" x14ac:dyDescent="0.25">
      <c r="A201" s="20" t="s">
        <v>236</v>
      </c>
      <c r="B201">
        <f t="shared" si="23"/>
        <v>11743</v>
      </c>
      <c r="C201">
        <v>1324</v>
      </c>
      <c r="D201">
        <v>10419</v>
      </c>
      <c r="F201">
        <f t="shared" si="22"/>
        <v>415</v>
      </c>
      <c r="G201" s="21">
        <f t="shared" si="28"/>
        <v>196</v>
      </c>
      <c r="H201" s="22">
        <v>66622060060</v>
      </c>
      <c r="I201" s="23">
        <v>258</v>
      </c>
      <c r="J201" s="24"/>
      <c r="K201" s="25">
        <v>11328</v>
      </c>
      <c r="L201" s="24">
        <f t="shared" si="24"/>
        <v>415</v>
      </c>
      <c r="M201" s="25">
        <v>1284</v>
      </c>
      <c r="N201" s="26">
        <f t="shared" si="25"/>
        <v>9135</v>
      </c>
      <c r="O201" s="25">
        <v>10044</v>
      </c>
      <c r="P201" s="24">
        <f t="shared" si="26"/>
        <v>375</v>
      </c>
      <c r="Q201" s="27"/>
      <c r="R201" s="24">
        <f t="shared" si="27"/>
        <v>0</v>
      </c>
      <c r="S201" s="28" t="s">
        <v>18</v>
      </c>
      <c r="T201" s="20" t="s">
        <v>236</v>
      </c>
    </row>
    <row r="202" spans="1:20" ht="37.5" customHeight="1" x14ac:dyDescent="0.25">
      <c r="A202" s="20" t="s">
        <v>237</v>
      </c>
      <c r="B202">
        <f t="shared" si="23"/>
        <v>18311</v>
      </c>
      <c r="C202">
        <v>4883</v>
      </c>
      <c r="D202">
        <v>13428</v>
      </c>
      <c r="E202">
        <v>9831</v>
      </c>
      <c r="F202">
        <f t="shared" si="22"/>
        <v>862</v>
      </c>
      <c r="G202" s="21">
        <f t="shared" si="28"/>
        <v>197</v>
      </c>
      <c r="H202" s="22">
        <v>99723070142</v>
      </c>
      <c r="I202" s="23">
        <v>259</v>
      </c>
      <c r="J202" s="24"/>
      <c r="K202" s="25">
        <f>M202+O202</f>
        <v>17449</v>
      </c>
      <c r="L202" s="24">
        <f t="shared" si="24"/>
        <v>862</v>
      </c>
      <c r="M202" s="25">
        <v>4659</v>
      </c>
      <c r="N202" s="26">
        <f t="shared" si="25"/>
        <v>8769</v>
      </c>
      <c r="O202" s="25">
        <v>12790</v>
      </c>
      <c r="P202" s="24">
        <f t="shared" si="26"/>
        <v>638</v>
      </c>
      <c r="Q202" s="27">
        <v>9088</v>
      </c>
      <c r="R202" s="24">
        <f t="shared" si="27"/>
        <v>743</v>
      </c>
      <c r="S202" s="28" t="s">
        <v>18</v>
      </c>
      <c r="T202" s="20" t="s">
        <v>237</v>
      </c>
    </row>
    <row r="203" spans="1:20" ht="37.5" customHeight="1" x14ac:dyDescent="0.25">
      <c r="A203" s="20" t="s">
        <v>238</v>
      </c>
      <c r="B203">
        <f t="shared" si="23"/>
        <v>5561</v>
      </c>
      <c r="C203">
        <v>1134</v>
      </c>
      <c r="D203">
        <v>4427</v>
      </c>
      <c r="E203">
        <v>5659</v>
      </c>
      <c r="F203">
        <f t="shared" si="22"/>
        <v>569</v>
      </c>
      <c r="G203" s="21">
        <f t="shared" si="28"/>
        <v>198</v>
      </c>
      <c r="H203" s="22">
        <v>99624030173</v>
      </c>
      <c r="I203" s="23">
        <v>260</v>
      </c>
      <c r="J203" s="24"/>
      <c r="K203" s="25">
        <f>M203+O203</f>
        <v>4992</v>
      </c>
      <c r="L203" s="24">
        <f t="shared" si="24"/>
        <v>569</v>
      </c>
      <c r="M203" s="25">
        <v>1019</v>
      </c>
      <c r="N203" s="26">
        <f t="shared" si="25"/>
        <v>3408</v>
      </c>
      <c r="O203" s="25">
        <v>3973</v>
      </c>
      <c r="P203" s="24">
        <f t="shared" si="26"/>
        <v>454</v>
      </c>
      <c r="Q203" s="27">
        <v>4848</v>
      </c>
      <c r="R203" s="24">
        <f t="shared" si="27"/>
        <v>811</v>
      </c>
      <c r="S203" s="28" t="s">
        <v>18</v>
      </c>
      <c r="T203" s="20" t="s">
        <v>238</v>
      </c>
    </row>
    <row r="204" spans="1:20" ht="37.5" customHeight="1" x14ac:dyDescent="0.25">
      <c r="A204" s="20" t="s">
        <v>239</v>
      </c>
      <c r="B204">
        <f t="shared" si="23"/>
        <v>22380</v>
      </c>
      <c r="C204">
        <v>4171</v>
      </c>
      <c r="D204">
        <v>18209</v>
      </c>
      <c r="F204">
        <f t="shared" si="22"/>
        <v>238</v>
      </c>
      <c r="G204" s="21">
        <f t="shared" si="28"/>
        <v>199</v>
      </c>
      <c r="H204" s="22">
        <v>88820050191</v>
      </c>
      <c r="I204" s="23">
        <v>262</v>
      </c>
      <c r="J204" s="24"/>
      <c r="K204" s="25">
        <v>22142</v>
      </c>
      <c r="L204" s="24">
        <f t="shared" si="24"/>
        <v>238</v>
      </c>
      <c r="M204" s="25">
        <v>4125</v>
      </c>
      <c r="N204" s="26">
        <f t="shared" si="25"/>
        <v>14084</v>
      </c>
      <c r="O204" s="25">
        <v>18017</v>
      </c>
      <c r="P204" s="24">
        <f t="shared" si="26"/>
        <v>192</v>
      </c>
      <c r="Q204" s="27"/>
      <c r="R204" s="24">
        <f t="shared" si="27"/>
        <v>0</v>
      </c>
      <c r="S204" s="28" t="s">
        <v>18</v>
      </c>
      <c r="T204" s="20" t="s">
        <v>239</v>
      </c>
    </row>
    <row r="205" spans="1:20" ht="37.5" customHeight="1" x14ac:dyDescent="0.25">
      <c r="A205" s="20" t="s">
        <v>240</v>
      </c>
      <c r="B205">
        <f t="shared" si="23"/>
        <v>38252</v>
      </c>
      <c r="C205">
        <v>6297</v>
      </c>
      <c r="D205">
        <v>31955</v>
      </c>
      <c r="F205">
        <f t="shared" si="22"/>
        <v>502</v>
      </c>
      <c r="G205" s="21">
        <f t="shared" si="28"/>
        <v>200</v>
      </c>
      <c r="H205" s="22">
        <v>66617020154</v>
      </c>
      <c r="I205" s="23">
        <v>263</v>
      </c>
      <c r="J205" s="24"/>
      <c r="K205" s="25">
        <v>37750</v>
      </c>
      <c r="L205" s="24">
        <f t="shared" si="24"/>
        <v>502</v>
      </c>
      <c r="M205" s="25">
        <v>6205</v>
      </c>
      <c r="N205" s="26">
        <f t="shared" si="25"/>
        <v>25750</v>
      </c>
      <c r="O205" s="25">
        <v>31545</v>
      </c>
      <c r="P205" s="24">
        <f t="shared" si="26"/>
        <v>410</v>
      </c>
      <c r="Q205" s="27"/>
      <c r="R205" s="24">
        <f t="shared" si="27"/>
        <v>0</v>
      </c>
      <c r="S205" s="28" t="s">
        <v>18</v>
      </c>
      <c r="T205" s="20" t="s">
        <v>240</v>
      </c>
    </row>
    <row r="206" spans="1:20" ht="37.5" customHeight="1" x14ac:dyDescent="0.25">
      <c r="A206" s="20" t="s">
        <v>241</v>
      </c>
      <c r="B206">
        <f t="shared" si="23"/>
        <v>1986</v>
      </c>
      <c r="C206">
        <v>255</v>
      </c>
      <c r="D206">
        <v>1731</v>
      </c>
      <c r="F206">
        <f t="shared" si="22"/>
        <v>586</v>
      </c>
      <c r="G206" s="21">
        <f t="shared" si="28"/>
        <v>201</v>
      </c>
      <c r="H206" s="22">
        <v>66619040264</v>
      </c>
      <c r="I206" s="23">
        <v>264</v>
      </c>
      <c r="J206" s="24"/>
      <c r="K206" s="25">
        <v>1400</v>
      </c>
      <c r="L206" s="24">
        <f t="shared" si="24"/>
        <v>586</v>
      </c>
      <c r="M206" s="25">
        <v>104</v>
      </c>
      <c r="N206" s="26">
        <f t="shared" si="25"/>
        <v>1627</v>
      </c>
      <c r="O206" s="25">
        <v>1296</v>
      </c>
      <c r="P206" s="24">
        <f t="shared" si="26"/>
        <v>435</v>
      </c>
      <c r="Q206" s="27"/>
      <c r="R206" s="24">
        <f t="shared" si="27"/>
        <v>0</v>
      </c>
      <c r="S206" s="28" t="s">
        <v>18</v>
      </c>
      <c r="T206" s="20" t="s">
        <v>241</v>
      </c>
    </row>
    <row r="207" spans="1:20" ht="37.5" customHeight="1" x14ac:dyDescent="0.25">
      <c r="A207" s="20" t="s">
        <v>242</v>
      </c>
      <c r="B207">
        <f t="shared" si="23"/>
        <v>24494</v>
      </c>
      <c r="C207">
        <v>4471</v>
      </c>
      <c r="D207">
        <v>20023</v>
      </c>
      <c r="F207">
        <f t="shared" si="22"/>
        <v>270</v>
      </c>
      <c r="G207" s="21">
        <f t="shared" si="28"/>
        <v>202</v>
      </c>
      <c r="H207" s="22">
        <v>66616020476</v>
      </c>
      <c r="I207" s="23">
        <v>265</v>
      </c>
      <c r="J207" s="24"/>
      <c r="K207" s="25">
        <v>24224</v>
      </c>
      <c r="L207" s="24">
        <f t="shared" si="24"/>
        <v>270</v>
      </c>
      <c r="M207" s="25">
        <v>4428</v>
      </c>
      <c r="N207" s="26">
        <f t="shared" si="25"/>
        <v>15595</v>
      </c>
      <c r="O207" s="25">
        <v>19796</v>
      </c>
      <c r="P207" s="24">
        <f t="shared" si="26"/>
        <v>227</v>
      </c>
      <c r="Q207" s="27"/>
      <c r="R207" s="24">
        <f t="shared" si="27"/>
        <v>0</v>
      </c>
      <c r="S207" s="28" t="s">
        <v>18</v>
      </c>
      <c r="T207" s="20" t="s">
        <v>242</v>
      </c>
    </row>
    <row r="208" spans="1:20" ht="37.5" customHeight="1" x14ac:dyDescent="0.25">
      <c r="A208" s="20" t="s">
        <v>243</v>
      </c>
      <c r="B208">
        <f t="shared" si="23"/>
        <v>10298</v>
      </c>
      <c r="C208">
        <v>2676</v>
      </c>
      <c r="D208">
        <v>7622</v>
      </c>
      <c r="E208">
        <v>9007</v>
      </c>
      <c r="F208">
        <f t="shared" si="22"/>
        <v>471</v>
      </c>
      <c r="G208" s="21">
        <f t="shared" si="28"/>
        <v>203</v>
      </c>
      <c r="H208" s="22">
        <v>99624010044</v>
      </c>
      <c r="I208" s="23">
        <v>266</v>
      </c>
      <c r="J208" s="24"/>
      <c r="K208" s="25">
        <f>M208+O208</f>
        <v>9827</v>
      </c>
      <c r="L208" s="24">
        <f t="shared" si="24"/>
        <v>471</v>
      </c>
      <c r="M208" s="25">
        <v>2537</v>
      </c>
      <c r="N208" s="26">
        <f t="shared" si="25"/>
        <v>5085</v>
      </c>
      <c r="O208" s="25">
        <v>7290</v>
      </c>
      <c r="P208" s="24">
        <f t="shared" si="26"/>
        <v>332</v>
      </c>
      <c r="Q208" s="27">
        <v>7998</v>
      </c>
      <c r="R208" s="24">
        <f t="shared" si="27"/>
        <v>1009</v>
      </c>
      <c r="S208" s="28" t="s">
        <v>18</v>
      </c>
      <c r="T208" s="20" t="s">
        <v>243</v>
      </c>
    </row>
    <row r="209" spans="1:20" ht="37.5" customHeight="1" x14ac:dyDescent="0.25">
      <c r="A209" s="20" t="s">
        <v>244</v>
      </c>
      <c r="B209">
        <f t="shared" si="23"/>
        <v>8811</v>
      </c>
      <c r="C209">
        <v>2540</v>
      </c>
      <c r="D209">
        <v>6271</v>
      </c>
      <c r="E209">
        <v>6639</v>
      </c>
      <c r="F209">
        <f t="shared" si="22"/>
        <v>564</v>
      </c>
      <c r="G209" s="21">
        <f t="shared" si="28"/>
        <v>204</v>
      </c>
      <c r="H209" s="22">
        <v>99624010069</v>
      </c>
      <c r="I209" s="23">
        <v>270</v>
      </c>
      <c r="J209" s="24"/>
      <c r="K209" s="25">
        <f>M209+O209</f>
        <v>8247</v>
      </c>
      <c r="L209" s="24">
        <f t="shared" si="24"/>
        <v>564</v>
      </c>
      <c r="M209" s="25">
        <v>2386</v>
      </c>
      <c r="N209" s="26">
        <f t="shared" si="25"/>
        <v>3885</v>
      </c>
      <c r="O209" s="25">
        <v>5861</v>
      </c>
      <c r="P209" s="24">
        <f t="shared" si="26"/>
        <v>410</v>
      </c>
      <c r="Q209" s="27">
        <v>5850</v>
      </c>
      <c r="R209" s="24">
        <f t="shared" si="27"/>
        <v>789</v>
      </c>
      <c r="S209" s="28" t="s">
        <v>18</v>
      </c>
      <c r="T209" s="20" t="s">
        <v>244</v>
      </c>
    </row>
    <row r="210" spans="1:20" ht="37.5" customHeight="1" x14ac:dyDescent="0.25">
      <c r="A210" s="20" t="s">
        <v>245</v>
      </c>
      <c r="B210">
        <f t="shared" si="23"/>
        <v>6874</v>
      </c>
      <c r="C210">
        <v>1409</v>
      </c>
      <c r="D210">
        <v>5465</v>
      </c>
      <c r="E210">
        <v>5659</v>
      </c>
      <c r="F210">
        <f t="shared" si="22"/>
        <v>372</v>
      </c>
      <c r="G210" s="21">
        <f t="shared" si="28"/>
        <v>205</v>
      </c>
      <c r="H210" s="22">
        <v>99623080422</v>
      </c>
      <c r="I210" s="23">
        <v>271</v>
      </c>
      <c r="J210" s="24"/>
      <c r="K210" s="25">
        <f>M210+O210</f>
        <v>6502</v>
      </c>
      <c r="L210" s="24">
        <f t="shared" si="24"/>
        <v>372</v>
      </c>
      <c r="M210" s="25">
        <v>1311</v>
      </c>
      <c r="N210" s="26">
        <f t="shared" si="25"/>
        <v>4154</v>
      </c>
      <c r="O210" s="25">
        <v>5191</v>
      </c>
      <c r="P210" s="24">
        <f t="shared" si="26"/>
        <v>274</v>
      </c>
      <c r="Q210" s="27">
        <v>5146</v>
      </c>
      <c r="R210" s="24">
        <f t="shared" si="27"/>
        <v>513</v>
      </c>
      <c r="S210" s="28" t="s">
        <v>18</v>
      </c>
      <c r="T210" s="20" t="s">
        <v>245</v>
      </c>
    </row>
    <row r="211" spans="1:20" ht="37.5" customHeight="1" x14ac:dyDescent="0.25">
      <c r="A211" s="20" t="s">
        <v>246</v>
      </c>
      <c r="B211">
        <f t="shared" si="23"/>
        <v>9030</v>
      </c>
      <c r="C211">
        <v>1380</v>
      </c>
      <c r="D211">
        <v>7650</v>
      </c>
      <c r="F211">
        <f t="shared" si="22"/>
        <v>442</v>
      </c>
      <c r="G211" s="21">
        <f t="shared" si="28"/>
        <v>206</v>
      </c>
      <c r="H211" s="22">
        <v>66619040029</v>
      </c>
      <c r="I211" s="23">
        <v>273</v>
      </c>
      <c r="J211" s="24"/>
      <c r="K211" s="25">
        <v>8588</v>
      </c>
      <c r="L211" s="24">
        <f t="shared" si="24"/>
        <v>442</v>
      </c>
      <c r="M211" s="25">
        <v>1310</v>
      </c>
      <c r="N211" s="26">
        <f t="shared" si="25"/>
        <v>6340</v>
      </c>
      <c r="O211" s="25">
        <v>7278</v>
      </c>
      <c r="P211" s="24">
        <f t="shared" si="26"/>
        <v>372</v>
      </c>
      <c r="Q211" s="27"/>
      <c r="R211" s="24">
        <f t="shared" si="27"/>
        <v>0</v>
      </c>
      <c r="S211" s="28" t="s">
        <v>18</v>
      </c>
      <c r="T211" s="20" t="s">
        <v>246</v>
      </c>
    </row>
    <row r="212" spans="1:20" ht="37.5" customHeight="1" x14ac:dyDescent="0.25">
      <c r="A212" s="20" t="s">
        <v>247</v>
      </c>
      <c r="B212">
        <f t="shared" si="23"/>
        <v>22327</v>
      </c>
      <c r="C212">
        <v>3813</v>
      </c>
      <c r="D212">
        <v>18514</v>
      </c>
      <c r="F212">
        <f t="shared" si="22"/>
        <v>155</v>
      </c>
      <c r="G212" s="21">
        <f t="shared" si="28"/>
        <v>207</v>
      </c>
      <c r="H212" s="22">
        <v>88818020302</v>
      </c>
      <c r="I212" s="23">
        <v>274</v>
      </c>
      <c r="J212" s="24"/>
      <c r="K212" s="25">
        <v>22172</v>
      </c>
      <c r="L212" s="24">
        <f t="shared" si="24"/>
        <v>155</v>
      </c>
      <c r="M212" s="25">
        <v>3778</v>
      </c>
      <c r="N212" s="26">
        <f t="shared" si="25"/>
        <v>14736</v>
      </c>
      <c r="O212" s="25">
        <v>18394</v>
      </c>
      <c r="P212" s="24">
        <f t="shared" si="26"/>
        <v>120</v>
      </c>
      <c r="Q212" s="27"/>
      <c r="R212" s="24">
        <f t="shared" si="27"/>
        <v>0</v>
      </c>
      <c r="S212" s="28" t="s">
        <v>18</v>
      </c>
      <c r="T212" s="20" t="s">
        <v>247</v>
      </c>
    </row>
    <row r="213" spans="1:20" ht="37.5" customHeight="1" x14ac:dyDescent="0.25">
      <c r="A213" s="20" t="s">
        <v>248</v>
      </c>
      <c r="B213">
        <f t="shared" si="23"/>
        <v>23144</v>
      </c>
      <c r="C213">
        <v>4599</v>
      </c>
      <c r="D213">
        <v>18545</v>
      </c>
      <c r="F213">
        <f t="shared" si="22"/>
        <v>185</v>
      </c>
      <c r="G213" s="21">
        <f t="shared" si="28"/>
        <v>208</v>
      </c>
      <c r="H213" s="22">
        <v>23015101076</v>
      </c>
      <c r="I213" s="23">
        <v>275</v>
      </c>
      <c r="J213" s="24"/>
      <c r="K213" s="25">
        <v>22959</v>
      </c>
      <c r="L213" s="24">
        <f t="shared" si="24"/>
        <v>185</v>
      </c>
      <c r="M213" s="25">
        <v>4565</v>
      </c>
      <c r="N213" s="26">
        <f t="shared" si="25"/>
        <v>13980</v>
      </c>
      <c r="O213" s="25">
        <v>18394</v>
      </c>
      <c r="P213" s="24">
        <f t="shared" si="26"/>
        <v>151</v>
      </c>
      <c r="Q213" s="27"/>
      <c r="R213" s="24">
        <f t="shared" si="27"/>
        <v>0</v>
      </c>
      <c r="S213" s="28" t="s">
        <v>18</v>
      </c>
      <c r="T213" s="20" t="s">
        <v>248</v>
      </c>
    </row>
    <row r="214" spans="1:20" ht="37.5" customHeight="1" x14ac:dyDescent="0.25">
      <c r="A214" s="20" t="s">
        <v>249</v>
      </c>
      <c r="B214">
        <f t="shared" si="23"/>
        <v>19664</v>
      </c>
      <c r="C214">
        <v>3550</v>
      </c>
      <c r="D214">
        <v>16114</v>
      </c>
      <c r="E214">
        <v>24862</v>
      </c>
      <c r="F214">
        <f t="shared" si="22"/>
        <v>545</v>
      </c>
      <c r="G214" s="21">
        <f t="shared" si="28"/>
        <v>209</v>
      </c>
      <c r="H214" s="22">
        <v>99722030001</v>
      </c>
      <c r="I214" s="23">
        <v>277</v>
      </c>
      <c r="J214" s="24"/>
      <c r="K214" s="25">
        <f>M214+O214</f>
        <v>19119</v>
      </c>
      <c r="L214" s="24">
        <f t="shared" si="24"/>
        <v>545</v>
      </c>
      <c r="M214" s="25">
        <v>3450</v>
      </c>
      <c r="N214" s="26">
        <f t="shared" si="25"/>
        <v>12664</v>
      </c>
      <c r="O214" s="25">
        <v>15669</v>
      </c>
      <c r="P214" s="24">
        <f t="shared" si="26"/>
        <v>445</v>
      </c>
      <c r="Q214" s="27">
        <v>23926</v>
      </c>
      <c r="R214" s="24">
        <f t="shared" si="27"/>
        <v>936</v>
      </c>
      <c r="S214" s="28" t="s">
        <v>18</v>
      </c>
      <c r="T214" s="20" t="s">
        <v>249</v>
      </c>
    </row>
    <row r="215" spans="1:20" ht="37.5" customHeight="1" x14ac:dyDescent="0.25">
      <c r="A215" s="20" t="s">
        <v>250</v>
      </c>
      <c r="B215">
        <f t="shared" si="23"/>
        <v>31105</v>
      </c>
      <c r="C215">
        <v>6710</v>
      </c>
      <c r="D215">
        <v>24395</v>
      </c>
      <c r="F215">
        <f t="shared" si="22"/>
        <v>519</v>
      </c>
      <c r="G215" s="21">
        <f t="shared" si="28"/>
        <v>210</v>
      </c>
      <c r="H215" s="22">
        <v>66621050287</v>
      </c>
      <c r="I215" s="23">
        <v>278</v>
      </c>
      <c r="J215" s="24"/>
      <c r="K215" s="25">
        <v>30586</v>
      </c>
      <c r="L215" s="24">
        <f t="shared" si="24"/>
        <v>519</v>
      </c>
      <c r="M215" s="25">
        <v>6613</v>
      </c>
      <c r="N215" s="26">
        <f t="shared" si="25"/>
        <v>17782</v>
      </c>
      <c r="O215" s="25">
        <v>23973</v>
      </c>
      <c r="P215" s="24">
        <f t="shared" si="26"/>
        <v>422</v>
      </c>
      <c r="Q215" s="27"/>
      <c r="R215" s="24">
        <f t="shared" si="27"/>
        <v>0</v>
      </c>
      <c r="S215" s="28" t="s">
        <v>18</v>
      </c>
      <c r="T215" s="20" t="s">
        <v>250</v>
      </c>
    </row>
    <row r="216" spans="1:20" ht="37.5" customHeight="1" x14ac:dyDescent="0.25">
      <c r="A216" s="20" t="s">
        <v>251</v>
      </c>
      <c r="B216">
        <f t="shared" si="23"/>
        <v>585</v>
      </c>
      <c r="C216">
        <v>62</v>
      </c>
      <c r="D216">
        <v>523</v>
      </c>
      <c r="F216">
        <f t="shared" si="22"/>
        <v>18</v>
      </c>
      <c r="G216" s="21">
        <f t="shared" si="28"/>
        <v>211</v>
      </c>
      <c r="H216" s="22">
        <v>88820040421</v>
      </c>
      <c r="I216" s="23">
        <v>280</v>
      </c>
      <c r="J216" s="24"/>
      <c r="K216" s="25">
        <v>567</v>
      </c>
      <c r="L216" s="24">
        <f t="shared" si="24"/>
        <v>18</v>
      </c>
      <c r="M216" s="25">
        <v>60</v>
      </c>
      <c r="N216" s="26">
        <f t="shared" si="25"/>
        <v>463</v>
      </c>
      <c r="O216" s="25">
        <v>507</v>
      </c>
      <c r="P216" s="24">
        <f t="shared" si="26"/>
        <v>16</v>
      </c>
      <c r="Q216" s="27"/>
      <c r="R216" s="24">
        <f t="shared" si="27"/>
        <v>0</v>
      </c>
      <c r="S216" s="28" t="s">
        <v>18</v>
      </c>
      <c r="T216" s="20" t="s">
        <v>251</v>
      </c>
    </row>
    <row r="217" spans="1:20" ht="37.5" customHeight="1" x14ac:dyDescent="0.25">
      <c r="A217" s="20" t="s">
        <v>252</v>
      </c>
      <c r="B217">
        <f t="shared" si="23"/>
        <v>28550</v>
      </c>
      <c r="C217">
        <v>6302</v>
      </c>
      <c r="D217">
        <v>22248</v>
      </c>
      <c r="E217">
        <v>12216</v>
      </c>
      <c r="F217">
        <f t="shared" si="22"/>
        <v>949</v>
      </c>
      <c r="G217" s="21">
        <f t="shared" si="28"/>
        <v>212</v>
      </c>
      <c r="H217" s="22">
        <v>99723050079</v>
      </c>
      <c r="I217" s="23">
        <v>281</v>
      </c>
      <c r="J217" s="24"/>
      <c r="K217" s="25">
        <f>M217+O217</f>
        <v>27601</v>
      </c>
      <c r="L217" s="24">
        <f t="shared" si="24"/>
        <v>949</v>
      </c>
      <c r="M217" s="25">
        <v>6105</v>
      </c>
      <c r="N217" s="26">
        <f t="shared" si="25"/>
        <v>16143</v>
      </c>
      <c r="O217" s="25">
        <v>21496</v>
      </c>
      <c r="P217" s="24">
        <f t="shared" si="26"/>
        <v>752</v>
      </c>
      <c r="Q217" s="27">
        <v>11413</v>
      </c>
      <c r="R217" s="24">
        <f t="shared" si="27"/>
        <v>803</v>
      </c>
      <c r="S217" s="28" t="s">
        <v>18</v>
      </c>
      <c r="T217" s="20" t="s">
        <v>252</v>
      </c>
    </row>
    <row r="218" spans="1:20" ht="37.5" customHeight="1" x14ac:dyDescent="0.25">
      <c r="A218" s="20" t="s">
        <v>253</v>
      </c>
      <c r="B218">
        <f t="shared" si="23"/>
        <v>31704</v>
      </c>
      <c r="C218">
        <v>7309</v>
      </c>
      <c r="D218">
        <v>24395</v>
      </c>
      <c r="E218">
        <v>19675</v>
      </c>
      <c r="F218">
        <f t="shared" si="22"/>
        <v>191</v>
      </c>
      <c r="G218" s="21">
        <f t="shared" si="28"/>
        <v>213</v>
      </c>
      <c r="H218" s="22">
        <v>99722020010</v>
      </c>
      <c r="I218" s="23">
        <v>282</v>
      </c>
      <c r="J218" s="24"/>
      <c r="K218" s="25">
        <f>M218+O218</f>
        <v>31513</v>
      </c>
      <c r="L218" s="24">
        <f t="shared" si="24"/>
        <v>191</v>
      </c>
      <c r="M218" s="25">
        <v>7114</v>
      </c>
      <c r="N218" s="26">
        <f t="shared" si="25"/>
        <v>17281</v>
      </c>
      <c r="O218" s="25">
        <v>24399</v>
      </c>
      <c r="P218" s="24">
        <f t="shared" si="26"/>
        <v>-4</v>
      </c>
      <c r="Q218" s="27">
        <v>18622</v>
      </c>
      <c r="R218" s="24">
        <f t="shared" si="27"/>
        <v>1053</v>
      </c>
      <c r="S218" s="28" t="s">
        <v>18</v>
      </c>
      <c r="T218" s="20" t="s">
        <v>253</v>
      </c>
    </row>
    <row r="219" spans="1:20" ht="37.5" customHeight="1" x14ac:dyDescent="0.25">
      <c r="A219" s="20" t="s">
        <v>254</v>
      </c>
      <c r="B219">
        <f t="shared" si="23"/>
        <v>6964</v>
      </c>
      <c r="C219">
        <v>1580</v>
      </c>
      <c r="D219">
        <v>5384</v>
      </c>
      <c r="E219">
        <v>776</v>
      </c>
      <c r="F219">
        <f t="shared" si="22"/>
        <v>2078</v>
      </c>
      <c r="G219" s="21">
        <f t="shared" si="28"/>
        <v>214</v>
      </c>
      <c r="H219" s="22">
        <v>99624050118</v>
      </c>
      <c r="I219" s="23">
        <v>283</v>
      </c>
      <c r="J219" s="24"/>
      <c r="K219" s="25">
        <f>M219+O219</f>
        <v>4886</v>
      </c>
      <c r="L219" s="24">
        <f t="shared" si="24"/>
        <v>2078</v>
      </c>
      <c r="M219" s="25">
        <v>1054</v>
      </c>
      <c r="N219" s="26">
        <f t="shared" si="25"/>
        <v>4330</v>
      </c>
      <c r="O219" s="25">
        <v>3832</v>
      </c>
      <c r="P219" s="24">
        <f t="shared" si="26"/>
        <v>1552</v>
      </c>
      <c r="Q219" s="27">
        <v>425</v>
      </c>
      <c r="R219" s="24">
        <f t="shared" si="27"/>
        <v>351</v>
      </c>
      <c r="S219" s="28" t="s">
        <v>18</v>
      </c>
      <c r="T219" s="20" t="s">
        <v>254</v>
      </c>
    </row>
    <row r="220" spans="1:20" ht="37.5" customHeight="1" x14ac:dyDescent="0.25">
      <c r="A220" s="20" t="s">
        <v>255</v>
      </c>
      <c r="B220">
        <f t="shared" si="23"/>
        <v>14139</v>
      </c>
      <c r="C220">
        <v>3325</v>
      </c>
      <c r="D220">
        <v>10814</v>
      </c>
      <c r="E220">
        <v>28941</v>
      </c>
      <c r="F220">
        <f t="shared" si="22"/>
        <v>467</v>
      </c>
      <c r="G220" s="21">
        <f t="shared" si="28"/>
        <v>215</v>
      </c>
      <c r="H220" s="22">
        <v>99723060144</v>
      </c>
      <c r="I220" s="23">
        <v>285</v>
      </c>
      <c r="J220" s="24"/>
      <c r="K220" s="25">
        <f>M220+O220</f>
        <v>13672</v>
      </c>
      <c r="L220" s="24">
        <f t="shared" si="24"/>
        <v>467</v>
      </c>
      <c r="M220" s="25">
        <v>3174</v>
      </c>
      <c r="N220" s="26">
        <f t="shared" si="25"/>
        <v>7640</v>
      </c>
      <c r="O220" s="25">
        <v>10498</v>
      </c>
      <c r="P220" s="24">
        <f t="shared" si="26"/>
        <v>316</v>
      </c>
      <c r="Q220" s="27">
        <v>28080</v>
      </c>
      <c r="R220" s="24">
        <f t="shared" si="27"/>
        <v>861</v>
      </c>
      <c r="S220" s="28" t="s">
        <v>18</v>
      </c>
      <c r="T220" s="20" t="s">
        <v>255</v>
      </c>
    </row>
    <row r="221" spans="1:20" ht="37.5" customHeight="1" x14ac:dyDescent="0.25">
      <c r="A221" s="20" t="s">
        <v>256</v>
      </c>
      <c r="B221">
        <f t="shared" si="23"/>
        <v>1807</v>
      </c>
      <c r="C221">
        <v>201</v>
      </c>
      <c r="D221">
        <v>1606</v>
      </c>
      <c r="F221">
        <f t="shared" si="22"/>
        <v>123</v>
      </c>
      <c r="G221" s="21">
        <f t="shared" si="28"/>
        <v>216</v>
      </c>
      <c r="H221" s="22">
        <v>88819010242</v>
      </c>
      <c r="I221" s="23">
        <v>288</v>
      </c>
      <c r="J221" s="24"/>
      <c r="K221" s="25">
        <v>1684</v>
      </c>
      <c r="L221" s="24">
        <f t="shared" si="24"/>
        <v>123</v>
      </c>
      <c r="M221" s="25">
        <v>187</v>
      </c>
      <c r="N221" s="26">
        <f t="shared" si="25"/>
        <v>1419</v>
      </c>
      <c r="O221" s="25">
        <v>1497</v>
      </c>
      <c r="P221" s="24">
        <f t="shared" si="26"/>
        <v>109</v>
      </c>
      <c r="Q221" s="27"/>
      <c r="R221" s="24">
        <f t="shared" si="27"/>
        <v>0</v>
      </c>
      <c r="S221" s="28" t="s">
        <v>18</v>
      </c>
      <c r="T221" s="20" t="s">
        <v>256</v>
      </c>
    </row>
    <row r="222" spans="1:20" ht="37.5" customHeight="1" x14ac:dyDescent="0.25">
      <c r="A222" s="20" t="s">
        <v>257</v>
      </c>
      <c r="B222">
        <f t="shared" si="23"/>
        <v>10268</v>
      </c>
      <c r="C222">
        <v>1631</v>
      </c>
      <c r="D222">
        <v>8637</v>
      </c>
      <c r="F222">
        <f t="shared" si="22"/>
        <v>135</v>
      </c>
      <c r="G222" s="21">
        <f t="shared" si="28"/>
        <v>217</v>
      </c>
      <c r="H222" s="22">
        <v>66622010398</v>
      </c>
      <c r="I222" s="23">
        <v>289</v>
      </c>
      <c r="J222" s="24"/>
      <c r="K222" s="25">
        <v>10133</v>
      </c>
      <c r="L222" s="24">
        <f t="shared" si="24"/>
        <v>135</v>
      </c>
      <c r="M222" s="25">
        <v>1606</v>
      </c>
      <c r="N222" s="26">
        <f t="shared" si="25"/>
        <v>7031</v>
      </c>
      <c r="O222" s="25">
        <v>8527</v>
      </c>
      <c r="P222" s="24">
        <f t="shared" si="26"/>
        <v>110</v>
      </c>
      <c r="Q222" s="27"/>
      <c r="R222" s="24">
        <f t="shared" si="27"/>
        <v>0</v>
      </c>
      <c r="S222" s="28" t="s">
        <v>18</v>
      </c>
      <c r="T222" s="20" t="s">
        <v>257</v>
      </c>
    </row>
    <row r="223" spans="1:20" ht="37.5" customHeight="1" x14ac:dyDescent="0.25">
      <c r="A223" s="20" t="s">
        <v>258</v>
      </c>
      <c r="B223">
        <f t="shared" si="23"/>
        <v>22169</v>
      </c>
      <c r="C223">
        <v>3427</v>
      </c>
      <c r="D223">
        <v>18742</v>
      </c>
      <c r="F223">
        <f t="shared" si="22"/>
        <v>264</v>
      </c>
      <c r="G223" s="21">
        <f t="shared" si="28"/>
        <v>218</v>
      </c>
      <c r="H223" s="22">
        <v>88818010215</v>
      </c>
      <c r="I223" s="23" t="s">
        <v>259</v>
      </c>
      <c r="J223" s="24"/>
      <c r="K223" s="25">
        <v>21905</v>
      </c>
      <c r="L223" s="24">
        <f t="shared" si="24"/>
        <v>264</v>
      </c>
      <c r="M223" s="25">
        <v>3314</v>
      </c>
      <c r="N223" s="26">
        <f t="shared" si="25"/>
        <v>15428</v>
      </c>
      <c r="O223" s="25">
        <v>18591</v>
      </c>
      <c r="P223" s="24">
        <f t="shared" si="26"/>
        <v>151</v>
      </c>
      <c r="Q223" s="27"/>
      <c r="R223" s="24">
        <f t="shared" si="27"/>
        <v>0</v>
      </c>
      <c r="S223" s="28" t="s">
        <v>18</v>
      </c>
      <c r="T223" s="20" t="s">
        <v>258</v>
      </c>
    </row>
    <row r="224" spans="1:20" ht="37.5" customHeight="1" x14ac:dyDescent="0.25">
      <c r="A224" s="20" t="s">
        <v>260</v>
      </c>
      <c r="B224">
        <f t="shared" si="23"/>
        <v>7406</v>
      </c>
      <c r="C224">
        <v>1154</v>
      </c>
      <c r="D224">
        <v>6252</v>
      </c>
      <c r="F224">
        <f t="shared" si="22"/>
        <v>436</v>
      </c>
      <c r="G224" s="21">
        <f t="shared" si="28"/>
        <v>219</v>
      </c>
      <c r="H224" s="22">
        <v>66621050162</v>
      </c>
      <c r="I224" s="23">
        <v>292</v>
      </c>
      <c r="J224" s="24"/>
      <c r="K224" s="25">
        <v>6970</v>
      </c>
      <c r="L224" s="24">
        <f t="shared" si="24"/>
        <v>436</v>
      </c>
      <c r="M224" s="25">
        <v>1073</v>
      </c>
      <c r="N224" s="26">
        <f t="shared" si="25"/>
        <v>5179</v>
      </c>
      <c r="O224" s="25">
        <v>5897</v>
      </c>
      <c r="P224" s="24">
        <f t="shared" si="26"/>
        <v>355</v>
      </c>
      <c r="Q224" s="27"/>
      <c r="R224" s="24">
        <f t="shared" si="27"/>
        <v>0</v>
      </c>
      <c r="S224" s="28" t="s">
        <v>18</v>
      </c>
      <c r="T224" s="20" t="s">
        <v>260</v>
      </c>
    </row>
    <row r="225" spans="1:20" ht="37.5" customHeight="1" x14ac:dyDescent="0.25">
      <c r="A225" s="20" t="s">
        <v>261</v>
      </c>
      <c r="B225">
        <f t="shared" si="23"/>
        <v>11834</v>
      </c>
      <c r="C225">
        <v>2277</v>
      </c>
      <c r="D225">
        <v>9557</v>
      </c>
      <c r="F225">
        <f t="shared" si="22"/>
        <v>45</v>
      </c>
      <c r="G225" s="21">
        <f t="shared" si="28"/>
        <v>220</v>
      </c>
      <c r="H225" s="22">
        <v>88818030041</v>
      </c>
      <c r="I225" s="23" t="s">
        <v>262</v>
      </c>
      <c r="J225" s="24"/>
      <c r="K225" s="25">
        <v>11789</v>
      </c>
      <c r="L225" s="24">
        <f t="shared" si="24"/>
        <v>45</v>
      </c>
      <c r="M225" s="25">
        <v>2271</v>
      </c>
      <c r="N225" s="26">
        <f t="shared" si="25"/>
        <v>7286</v>
      </c>
      <c r="O225" s="25">
        <v>9518</v>
      </c>
      <c r="P225" s="24">
        <f t="shared" si="26"/>
        <v>39</v>
      </c>
      <c r="Q225" s="27"/>
      <c r="R225" s="24">
        <f t="shared" si="27"/>
        <v>0</v>
      </c>
      <c r="S225" s="28" t="s">
        <v>18</v>
      </c>
      <c r="T225" s="20" t="s">
        <v>261</v>
      </c>
    </row>
    <row r="226" spans="1:20" ht="37.5" customHeight="1" x14ac:dyDescent="0.25">
      <c r="A226" s="20" t="s">
        <v>263</v>
      </c>
      <c r="B226">
        <f t="shared" si="23"/>
        <v>1521</v>
      </c>
      <c r="C226">
        <v>399</v>
      </c>
      <c r="D226">
        <v>1122</v>
      </c>
      <c r="E226">
        <v>2947</v>
      </c>
      <c r="F226">
        <f t="shared" si="22"/>
        <v>459</v>
      </c>
      <c r="G226" s="21">
        <f t="shared" si="28"/>
        <v>221</v>
      </c>
      <c r="H226" s="22">
        <v>99624050058</v>
      </c>
      <c r="I226" s="23">
        <v>293</v>
      </c>
      <c r="J226" s="24"/>
      <c r="K226" s="25">
        <f>M226+O226</f>
        <v>1062</v>
      </c>
      <c r="L226" s="24">
        <f t="shared" si="24"/>
        <v>459</v>
      </c>
      <c r="M226" s="25">
        <v>288</v>
      </c>
      <c r="N226" s="26">
        <f t="shared" si="25"/>
        <v>834</v>
      </c>
      <c r="O226" s="25">
        <v>774</v>
      </c>
      <c r="P226" s="24">
        <f t="shared" si="26"/>
        <v>348</v>
      </c>
      <c r="Q226" s="27">
        <v>2032</v>
      </c>
      <c r="R226" s="24">
        <f t="shared" si="27"/>
        <v>915</v>
      </c>
      <c r="S226" s="28" t="s">
        <v>18</v>
      </c>
      <c r="T226" s="20" t="s">
        <v>263</v>
      </c>
    </row>
    <row r="227" spans="1:20" ht="37.5" customHeight="1" x14ac:dyDescent="0.25">
      <c r="A227" s="20" t="s">
        <v>264</v>
      </c>
      <c r="B227">
        <f t="shared" si="23"/>
        <v>3101</v>
      </c>
      <c r="C227">
        <v>582</v>
      </c>
      <c r="D227">
        <v>2519</v>
      </c>
      <c r="F227">
        <f t="shared" si="22"/>
        <v>494</v>
      </c>
      <c r="G227" s="21">
        <f t="shared" si="28"/>
        <v>222</v>
      </c>
      <c r="H227" s="22">
        <v>66623030340</v>
      </c>
      <c r="I227" s="23">
        <v>296</v>
      </c>
      <c r="J227" s="24"/>
      <c r="K227" s="25">
        <v>2607</v>
      </c>
      <c r="L227" s="24">
        <f t="shared" si="24"/>
        <v>494</v>
      </c>
      <c r="M227" s="25">
        <v>480</v>
      </c>
      <c r="N227" s="26">
        <f t="shared" si="25"/>
        <v>2039</v>
      </c>
      <c r="O227" s="25">
        <v>2127</v>
      </c>
      <c r="P227" s="24">
        <f t="shared" si="26"/>
        <v>392</v>
      </c>
      <c r="Q227" s="27"/>
      <c r="R227" s="24">
        <f t="shared" si="27"/>
        <v>0</v>
      </c>
      <c r="S227" s="28" t="s">
        <v>18</v>
      </c>
      <c r="T227" s="20" t="s">
        <v>264</v>
      </c>
    </row>
    <row r="228" spans="1:20" ht="37.5" customHeight="1" x14ac:dyDescent="0.25">
      <c r="A228" s="20" t="s">
        <v>265</v>
      </c>
      <c r="B228">
        <f t="shared" si="23"/>
        <v>7522</v>
      </c>
      <c r="C228">
        <v>2295</v>
      </c>
      <c r="D228">
        <v>5227</v>
      </c>
      <c r="E228">
        <v>17022</v>
      </c>
      <c r="F228">
        <f t="shared" si="22"/>
        <v>363</v>
      </c>
      <c r="G228" s="21">
        <f t="shared" si="28"/>
        <v>223</v>
      </c>
      <c r="H228" s="22">
        <v>99723070040</v>
      </c>
      <c r="I228" s="23">
        <v>298</v>
      </c>
      <c r="J228" s="24"/>
      <c r="K228" s="25">
        <f>M228+O228</f>
        <v>7159</v>
      </c>
      <c r="L228" s="24">
        <f t="shared" si="24"/>
        <v>363</v>
      </c>
      <c r="M228" s="25">
        <v>2160</v>
      </c>
      <c r="N228" s="26">
        <f t="shared" si="25"/>
        <v>3067</v>
      </c>
      <c r="O228" s="25">
        <v>4999</v>
      </c>
      <c r="P228" s="24">
        <f t="shared" si="26"/>
        <v>228</v>
      </c>
      <c r="Q228" s="27">
        <v>15933</v>
      </c>
      <c r="R228" s="24">
        <f t="shared" si="27"/>
        <v>1089</v>
      </c>
      <c r="S228" s="28" t="s">
        <v>18</v>
      </c>
      <c r="T228" s="20" t="s">
        <v>265</v>
      </c>
    </row>
    <row r="229" spans="1:20" ht="37.5" customHeight="1" x14ac:dyDescent="0.25">
      <c r="A229" s="20" t="s">
        <v>266</v>
      </c>
      <c r="B229">
        <f t="shared" si="23"/>
        <v>4307</v>
      </c>
      <c r="C229">
        <v>978</v>
      </c>
      <c r="D229">
        <v>3329</v>
      </c>
      <c r="E229">
        <v>6345</v>
      </c>
      <c r="F229">
        <f t="shared" si="22"/>
        <v>599</v>
      </c>
      <c r="G229" s="21">
        <f t="shared" si="28"/>
        <v>224</v>
      </c>
      <c r="H229" s="22">
        <v>99624040241</v>
      </c>
      <c r="I229" s="23">
        <v>299</v>
      </c>
      <c r="J229" s="24"/>
      <c r="K229" s="25">
        <f>M229+O229</f>
        <v>3708</v>
      </c>
      <c r="L229" s="24">
        <f t="shared" si="24"/>
        <v>599</v>
      </c>
      <c r="M229" s="25">
        <v>839</v>
      </c>
      <c r="N229" s="26">
        <f t="shared" si="25"/>
        <v>2490</v>
      </c>
      <c r="O229" s="25">
        <v>2869</v>
      </c>
      <c r="P229" s="24">
        <f t="shared" si="26"/>
        <v>460</v>
      </c>
      <c r="Q229" s="27">
        <v>4992</v>
      </c>
      <c r="R229" s="24">
        <f t="shared" si="27"/>
        <v>1353</v>
      </c>
      <c r="S229" s="28" t="s">
        <v>18</v>
      </c>
      <c r="T229" s="20" t="s">
        <v>266</v>
      </c>
    </row>
    <row r="230" spans="1:20" ht="37.5" customHeight="1" x14ac:dyDescent="0.25">
      <c r="A230" s="20" t="s">
        <v>267</v>
      </c>
      <c r="B230">
        <f t="shared" si="23"/>
        <v>50235</v>
      </c>
      <c r="C230">
        <v>8729</v>
      </c>
      <c r="D230">
        <v>41506</v>
      </c>
      <c r="F230">
        <f t="shared" si="22"/>
        <v>733</v>
      </c>
      <c r="G230" s="21">
        <f t="shared" si="28"/>
        <v>225</v>
      </c>
      <c r="H230" s="22">
        <v>66616031083</v>
      </c>
      <c r="I230" s="23">
        <v>300</v>
      </c>
      <c r="J230" s="24"/>
      <c r="K230" s="25">
        <v>49502</v>
      </c>
      <c r="L230" s="24">
        <f t="shared" si="24"/>
        <v>733</v>
      </c>
      <c r="M230" s="25">
        <v>8580</v>
      </c>
      <c r="N230" s="26">
        <f t="shared" si="25"/>
        <v>32926</v>
      </c>
      <c r="O230" s="25">
        <v>40922</v>
      </c>
      <c r="P230" s="24">
        <f t="shared" si="26"/>
        <v>584</v>
      </c>
      <c r="Q230" s="27"/>
      <c r="R230" s="24">
        <f t="shared" si="27"/>
        <v>0</v>
      </c>
      <c r="S230" s="28" t="s">
        <v>18</v>
      </c>
      <c r="T230" s="20" t="s">
        <v>267</v>
      </c>
    </row>
    <row r="231" spans="1:20" ht="37.5" customHeight="1" x14ac:dyDescent="0.25">
      <c r="A231" s="20" t="s">
        <v>268</v>
      </c>
      <c r="B231">
        <f t="shared" si="23"/>
        <v>54945</v>
      </c>
      <c r="C231">
        <v>10255</v>
      </c>
      <c r="D231">
        <v>44690</v>
      </c>
      <c r="F231">
        <f t="shared" si="22"/>
        <v>9</v>
      </c>
      <c r="G231" s="21">
        <f t="shared" si="28"/>
        <v>226</v>
      </c>
      <c r="H231" s="22">
        <v>66616020025</v>
      </c>
      <c r="I231" s="23">
        <v>301</v>
      </c>
      <c r="J231" s="24"/>
      <c r="K231" s="25">
        <v>54936</v>
      </c>
      <c r="L231" s="24">
        <f t="shared" si="24"/>
        <v>9</v>
      </c>
      <c r="M231" s="25">
        <v>10255</v>
      </c>
      <c r="N231" s="26">
        <f t="shared" si="25"/>
        <v>34435</v>
      </c>
      <c r="O231" s="25">
        <v>44681</v>
      </c>
      <c r="P231" s="24">
        <f t="shared" si="26"/>
        <v>9</v>
      </c>
      <c r="Q231" s="27"/>
      <c r="R231" s="24">
        <f t="shared" si="27"/>
        <v>0</v>
      </c>
      <c r="S231" s="28" t="s">
        <v>18</v>
      </c>
      <c r="T231" s="20" t="s">
        <v>268</v>
      </c>
    </row>
    <row r="232" spans="1:20" ht="37.5" customHeight="1" x14ac:dyDescent="0.25">
      <c r="A232" s="20" t="s">
        <v>269</v>
      </c>
      <c r="B232">
        <f t="shared" si="23"/>
        <v>49339</v>
      </c>
      <c r="C232">
        <v>11415</v>
      </c>
      <c r="D232">
        <v>37924</v>
      </c>
      <c r="F232">
        <f t="shared" si="22"/>
        <v>539</v>
      </c>
      <c r="G232" s="21">
        <f t="shared" si="28"/>
        <v>227</v>
      </c>
      <c r="H232" s="22">
        <v>88818030046</v>
      </c>
      <c r="I232" s="23">
        <v>302</v>
      </c>
      <c r="J232" s="24"/>
      <c r="K232" s="25">
        <v>48800</v>
      </c>
      <c r="L232" s="24">
        <f t="shared" si="24"/>
        <v>539</v>
      </c>
      <c r="M232" s="25">
        <v>11259</v>
      </c>
      <c r="N232" s="26">
        <f t="shared" si="25"/>
        <v>26665</v>
      </c>
      <c r="O232" s="25">
        <v>37541</v>
      </c>
      <c r="P232" s="24">
        <f t="shared" si="26"/>
        <v>383</v>
      </c>
      <c r="Q232" s="27"/>
      <c r="R232" s="24">
        <f t="shared" si="27"/>
        <v>0</v>
      </c>
      <c r="S232" s="28" t="s">
        <v>18</v>
      </c>
      <c r="T232" s="20" t="s">
        <v>269</v>
      </c>
    </row>
    <row r="233" spans="1:20" ht="37.5" customHeight="1" x14ac:dyDescent="0.25">
      <c r="A233" s="20" t="s">
        <v>270</v>
      </c>
      <c r="B233">
        <f t="shared" si="23"/>
        <v>29003</v>
      </c>
      <c r="C233">
        <v>6387</v>
      </c>
      <c r="D233">
        <v>22616</v>
      </c>
      <c r="E233">
        <v>46960</v>
      </c>
      <c r="F233">
        <f t="shared" si="22"/>
        <v>615</v>
      </c>
      <c r="G233" s="21">
        <f t="shared" si="28"/>
        <v>228</v>
      </c>
      <c r="H233" s="22">
        <v>99622010037</v>
      </c>
      <c r="I233" s="23">
        <v>304</v>
      </c>
      <c r="J233" s="24"/>
      <c r="K233" s="25">
        <f>M233+O233</f>
        <v>28388</v>
      </c>
      <c r="L233" s="24">
        <f t="shared" si="24"/>
        <v>615</v>
      </c>
      <c r="M233" s="25">
        <v>6219</v>
      </c>
      <c r="N233" s="26">
        <f t="shared" si="25"/>
        <v>16397</v>
      </c>
      <c r="O233" s="25">
        <v>22169</v>
      </c>
      <c r="P233" s="24">
        <f t="shared" si="26"/>
        <v>447</v>
      </c>
      <c r="Q233" s="27">
        <v>44745</v>
      </c>
      <c r="R233" s="24">
        <f t="shared" si="27"/>
        <v>2215</v>
      </c>
      <c r="S233" s="28" t="s">
        <v>18</v>
      </c>
      <c r="T233" s="20" t="s">
        <v>270</v>
      </c>
    </row>
    <row r="234" spans="1:20" ht="37.5" customHeight="1" x14ac:dyDescent="0.25">
      <c r="A234" s="20" t="s">
        <v>271</v>
      </c>
      <c r="B234">
        <f t="shared" si="23"/>
        <v>18391</v>
      </c>
      <c r="C234">
        <v>3371</v>
      </c>
      <c r="D234">
        <v>15020</v>
      </c>
      <c r="F234">
        <f t="shared" si="22"/>
        <v>230</v>
      </c>
      <c r="G234" s="21">
        <f t="shared" si="28"/>
        <v>229</v>
      </c>
      <c r="H234" s="22">
        <v>23015100691</v>
      </c>
      <c r="I234" s="23">
        <v>305</v>
      </c>
      <c r="J234" s="24"/>
      <c r="K234" s="25">
        <v>18161</v>
      </c>
      <c r="L234" s="24">
        <f t="shared" si="24"/>
        <v>230</v>
      </c>
      <c r="M234" s="25">
        <v>3329</v>
      </c>
      <c r="N234" s="26">
        <f t="shared" si="25"/>
        <v>11691</v>
      </c>
      <c r="O234" s="25">
        <v>14832</v>
      </c>
      <c r="P234" s="24">
        <f t="shared" si="26"/>
        <v>188</v>
      </c>
      <c r="Q234" s="27"/>
      <c r="R234" s="24">
        <f t="shared" si="27"/>
        <v>0</v>
      </c>
      <c r="S234" s="28" t="s">
        <v>18</v>
      </c>
      <c r="T234" s="20" t="s">
        <v>271</v>
      </c>
    </row>
    <row r="235" spans="1:20" ht="37.5" customHeight="1" x14ac:dyDescent="0.25">
      <c r="A235" s="20" t="s">
        <v>272</v>
      </c>
      <c r="B235">
        <f t="shared" si="23"/>
        <v>2589</v>
      </c>
      <c r="C235">
        <v>584</v>
      </c>
      <c r="D235">
        <v>2005</v>
      </c>
      <c r="E235">
        <v>7750</v>
      </c>
      <c r="F235">
        <f t="shared" si="22"/>
        <v>217</v>
      </c>
      <c r="G235" s="21">
        <f t="shared" si="28"/>
        <v>230</v>
      </c>
      <c r="H235" s="22">
        <v>99624030268</v>
      </c>
      <c r="I235" s="23">
        <v>306</v>
      </c>
      <c r="J235" s="24"/>
      <c r="K235" s="25">
        <f>M235+O235</f>
        <v>2372</v>
      </c>
      <c r="L235" s="24">
        <f t="shared" si="24"/>
        <v>217</v>
      </c>
      <c r="M235" s="25">
        <v>529</v>
      </c>
      <c r="N235" s="26">
        <f t="shared" si="25"/>
        <v>1476</v>
      </c>
      <c r="O235" s="25">
        <v>1843</v>
      </c>
      <c r="P235" s="24">
        <f t="shared" si="26"/>
        <v>162</v>
      </c>
      <c r="Q235" s="27">
        <v>6536</v>
      </c>
      <c r="R235" s="24">
        <f t="shared" si="27"/>
        <v>1214</v>
      </c>
      <c r="S235" s="28" t="s">
        <v>18</v>
      </c>
      <c r="T235" s="20" t="s">
        <v>272</v>
      </c>
    </row>
    <row r="236" spans="1:20" ht="37.5" customHeight="1" x14ac:dyDescent="0.25">
      <c r="A236" s="20" t="s">
        <v>273</v>
      </c>
      <c r="B236">
        <f t="shared" si="23"/>
        <v>110314</v>
      </c>
      <c r="C236">
        <v>17880</v>
      </c>
      <c r="D236">
        <v>92434</v>
      </c>
      <c r="F236">
        <f t="shared" si="22"/>
        <v>677</v>
      </c>
      <c r="G236" s="21">
        <f t="shared" si="28"/>
        <v>231</v>
      </c>
      <c r="H236" s="22">
        <v>23013010184</v>
      </c>
      <c r="I236" s="23">
        <v>307</v>
      </c>
      <c r="J236" s="24"/>
      <c r="K236" s="25">
        <v>109637</v>
      </c>
      <c r="L236" s="24">
        <f t="shared" si="24"/>
        <v>677</v>
      </c>
      <c r="M236" s="25">
        <v>17758</v>
      </c>
      <c r="N236" s="26">
        <f t="shared" si="25"/>
        <v>74676</v>
      </c>
      <c r="O236" s="25">
        <v>91879</v>
      </c>
      <c r="P236" s="24">
        <f t="shared" si="26"/>
        <v>555</v>
      </c>
      <c r="Q236" s="27"/>
      <c r="R236" s="24">
        <f t="shared" si="27"/>
        <v>0</v>
      </c>
      <c r="S236" s="28" t="s">
        <v>18</v>
      </c>
      <c r="T236" s="20" t="s">
        <v>273</v>
      </c>
    </row>
    <row r="237" spans="1:20" ht="37.5" customHeight="1" x14ac:dyDescent="0.25">
      <c r="A237" s="20" t="s">
        <v>274</v>
      </c>
      <c r="B237">
        <f t="shared" si="23"/>
        <v>38386</v>
      </c>
      <c r="C237">
        <v>6934</v>
      </c>
      <c r="D237">
        <v>31452</v>
      </c>
      <c r="F237">
        <f t="shared" si="22"/>
        <v>575</v>
      </c>
      <c r="G237" s="21">
        <f t="shared" si="28"/>
        <v>232</v>
      </c>
      <c r="H237" s="22">
        <v>66618010459</v>
      </c>
      <c r="I237" s="23">
        <v>308</v>
      </c>
      <c r="J237" s="24"/>
      <c r="K237" s="25">
        <v>37811</v>
      </c>
      <c r="L237" s="24">
        <f t="shared" si="24"/>
        <v>575</v>
      </c>
      <c r="M237" s="25">
        <v>6828</v>
      </c>
      <c r="N237" s="26">
        <f t="shared" si="25"/>
        <v>24624</v>
      </c>
      <c r="O237" s="25">
        <v>30983</v>
      </c>
      <c r="P237" s="24">
        <f t="shared" si="26"/>
        <v>469</v>
      </c>
      <c r="Q237" s="27"/>
      <c r="R237" s="24">
        <f t="shared" si="27"/>
        <v>0</v>
      </c>
      <c r="S237" s="28" t="s">
        <v>18</v>
      </c>
      <c r="T237" s="20" t="s">
        <v>274</v>
      </c>
    </row>
    <row r="238" spans="1:20" ht="37.5" customHeight="1" x14ac:dyDescent="0.25">
      <c r="A238" s="20" t="s">
        <v>275</v>
      </c>
      <c r="B238">
        <f t="shared" si="23"/>
        <v>51942</v>
      </c>
      <c r="C238">
        <v>9501</v>
      </c>
      <c r="D238">
        <v>42441</v>
      </c>
      <c r="F238">
        <f t="shared" si="22"/>
        <v>221</v>
      </c>
      <c r="G238" s="21">
        <f t="shared" si="28"/>
        <v>233</v>
      </c>
      <c r="H238" s="22">
        <v>88819030038</v>
      </c>
      <c r="I238" s="23">
        <v>309</v>
      </c>
      <c r="J238" s="24"/>
      <c r="K238" s="25">
        <v>51721</v>
      </c>
      <c r="L238" s="24">
        <f t="shared" si="24"/>
        <v>221</v>
      </c>
      <c r="M238" s="25">
        <v>9461</v>
      </c>
      <c r="N238" s="26">
        <f t="shared" si="25"/>
        <v>32980</v>
      </c>
      <c r="O238" s="25">
        <v>42260</v>
      </c>
      <c r="P238" s="24">
        <f t="shared" si="26"/>
        <v>181</v>
      </c>
      <c r="Q238" s="27"/>
      <c r="R238" s="24">
        <f t="shared" si="27"/>
        <v>0</v>
      </c>
      <c r="S238" s="28" t="s">
        <v>18</v>
      </c>
      <c r="T238" s="20" t="s">
        <v>275</v>
      </c>
    </row>
    <row r="239" spans="1:20" ht="37.5" customHeight="1" x14ac:dyDescent="0.25">
      <c r="A239" s="20" t="s">
        <v>276</v>
      </c>
      <c r="B239">
        <f t="shared" si="23"/>
        <v>422</v>
      </c>
      <c r="C239">
        <v>124</v>
      </c>
      <c r="D239">
        <v>298</v>
      </c>
      <c r="E239">
        <v>1400</v>
      </c>
      <c r="F239">
        <f t="shared" si="22"/>
        <v>422</v>
      </c>
      <c r="G239" s="21">
        <f t="shared" si="28"/>
        <v>234</v>
      </c>
      <c r="H239" s="22">
        <v>99625010148</v>
      </c>
      <c r="I239" s="23">
        <v>312</v>
      </c>
      <c r="J239" s="24"/>
      <c r="K239" s="25">
        <v>0</v>
      </c>
      <c r="L239" s="24">
        <f t="shared" si="24"/>
        <v>422</v>
      </c>
      <c r="M239" s="25">
        <v>0</v>
      </c>
      <c r="N239" s="26">
        <f t="shared" si="25"/>
        <v>298</v>
      </c>
      <c r="O239" s="25">
        <v>0</v>
      </c>
      <c r="P239" s="24">
        <f t="shared" si="26"/>
        <v>298</v>
      </c>
      <c r="Q239" s="27">
        <v>0</v>
      </c>
      <c r="R239" s="24">
        <f t="shared" si="27"/>
        <v>1400</v>
      </c>
      <c r="S239" s="28" t="s">
        <v>18</v>
      </c>
      <c r="T239" s="20" t="s">
        <v>276</v>
      </c>
    </row>
    <row r="240" spans="1:20" ht="37.5" customHeight="1" x14ac:dyDescent="0.25">
      <c r="A240" s="20" t="s">
        <v>277</v>
      </c>
      <c r="B240">
        <f t="shared" si="23"/>
        <v>19923</v>
      </c>
      <c r="C240">
        <v>3415</v>
      </c>
      <c r="D240">
        <v>16508</v>
      </c>
      <c r="F240">
        <f t="shared" si="22"/>
        <v>167</v>
      </c>
      <c r="G240" s="21">
        <f t="shared" si="28"/>
        <v>235</v>
      </c>
      <c r="H240" s="22">
        <v>66621100392</v>
      </c>
      <c r="I240" s="23">
        <v>313</v>
      </c>
      <c r="J240" s="24"/>
      <c r="K240" s="25">
        <v>19756</v>
      </c>
      <c r="L240" s="24">
        <f t="shared" si="24"/>
        <v>167</v>
      </c>
      <c r="M240" s="25">
        <v>3387</v>
      </c>
      <c r="N240" s="26">
        <f t="shared" si="25"/>
        <v>13121</v>
      </c>
      <c r="O240" s="25">
        <v>16369</v>
      </c>
      <c r="P240" s="24">
        <f t="shared" si="26"/>
        <v>139</v>
      </c>
      <c r="Q240" s="27"/>
      <c r="R240" s="24">
        <f t="shared" si="27"/>
        <v>0</v>
      </c>
      <c r="S240" s="28" t="s">
        <v>18</v>
      </c>
      <c r="T240" s="20" t="s">
        <v>277</v>
      </c>
    </row>
    <row r="241" spans="1:20" ht="37.5" customHeight="1" x14ac:dyDescent="0.25">
      <c r="A241" s="20" t="s">
        <v>278</v>
      </c>
      <c r="B241">
        <f t="shared" si="23"/>
        <v>15426</v>
      </c>
      <c r="C241">
        <v>3465</v>
      </c>
      <c r="D241">
        <v>11961</v>
      </c>
      <c r="E241">
        <v>10372</v>
      </c>
      <c r="F241">
        <f t="shared" si="22"/>
        <v>630</v>
      </c>
      <c r="G241" s="21">
        <f t="shared" si="28"/>
        <v>236</v>
      </c>
      <c r="H241" s="22">
        <v>99623080272</v>
      </c>
      <c r="I241" s="23">
        <v>314</v>
      </c>
      <c r="J241" s="24"/>
      <c r="K241" s="25">
        <f>M241+O241</f>
        <v>14796</v>
      </c>
      <c r="L241" s="24">
        <f t="shared" si="24"/>
        <v>630</v>
      </c>
      <c r="M241" s="25">
        <v>3298</v>
      </c>
      <c r="N241" s="26">
        <f t="shared" si="25"/>
        <v>8663</v>
      </c>
      <c r="O241" s="25">
        <v>11498</v>
      </c>
      <c r="P241" s="24">
        <f t="shared" si="26"/>
        <v>463</v>
      </c>
      <c r="Q241" s="27">
        <v>9394</v>
      </c>
      <c r="R241" s="24">
        <f t="shared" si="27"/>
        <v>978</v>
      </c>
      <c r="S241" s="28" t="s">
        <v>18</v>
      </c>
      <c r="T241" s="20" t="s">
        <v>278</v>
      </c>
    </row>
    <row r="242" spans="1:20" ht="37.5" customHeight="1" x14ac:dyDescent="0.25">
      <c r="A242" s="20" t="s">
        <v>279</v>
      </c>
      <c r="B242">
        <f t="shared" si="23"/>
        <v>19651</v>
      </c>
      <c r="C242">
        <v>5215</v>
      </c>
      <c r="D242">
        <v>14436</v>
      </c>
      <c r="E242">
        <v>23737</v>
      </c>
      <c r="F242">
        <f t="shared" si="22"/>
        <v>430</v>
      </c>
      <c r="G242" s="21">
        <f t="shared" si="28"/>
        <v>237</v>
      </c>
      <c r="H242" s="22">
        <v>99722040004</v>
      </c>
      <c r="I242" s="23">
        <v>315</v>
      </c>
      <c r="J242" s="24"/>
      <c r="K242" s="25">
        <f>M242+O242</f>
        <v>19221</v>
      </c>
      <c r="L242" s="24">
        <f t="shared" si="24"/>
        <v>430</v>
      </c>
      <c r="M242" s="25">
        <v>5088</v>
      </c>
      <c r="N242" s="26">
        <f t="shared" si="25"/>
        <v>9348</v>
      </c>
      <c r="O242" s="25">
        <v>14133</v>
      </c>
      <c r="P242" s="24">
        <f t="shared" si="26"/>
        <v>303</v>
      </c>
      <c r="Q242" s="27">
        <v>22574</v>
      </c>
      <c r="R242" s="24">
        <f t="shared" si="27"/>
        <v>1163</v>
      </c>
      <c r="S242" s="28" t="s">
        <v>18</v>
      </c>
      <c r="T242" s="20" t="s">
        <v>279</v>
      </c>
    </row>
    <row r="243" spans="1:20" ht="37.5" customHeight="1" x14ac:dyDescent="0.25">
      <c r="A243" s="20" t="s">
        <v>280</v>
      </c>
      <c r="B243">
        <f t="shared" si="23"/>
        <v>52094</v>
      </c>
      <c r="C243">
        <v>8947</v>
      </c>
      <c r="D243">
        <v>43147</v>
      </c>
      <c r="F243">
        <f t="shared" si="22"/>
        <v>776</v>
      </c>
      <c r="G243" s="21">
        <f t="shared" si="28"/>
        <v>238</v>
      </c>
      <c r="H243" s="22">
        <v>66616031294</v>
      </c>
      <c r="I243" s="23">
        <v>318</v>
      </c>
      <c r="J243" s="24"/>
      <c r="K243" s="25">
        <v>51318</v>
      </c>
      <c r="L243" s="24">
        <f t="shared" si="24"/>
        <v>776</v>
      </c>
      <c r="M243" s="25">
        <v>8818</v>
      </c>
      <c r="N243" s="26">
        <f t="shared" si="25"/>
        <v>34329</v>
      </c>
      <c r="O243" s="25">
        <v>42500</v>
      </c>
      <c r="P243" s="24">
        <f t="shared" si="26"/>
        <v>647</v>
      </c>
      <c r="Q243" s="27"/>
      <c r="R243" s="24">
        <f t="shared" si="27"/>
        <v>0</v>
      </c>
      <c r="S243" s="28" t="s">
        <v>18</v>
      </c>
      <c r="T243" s="20" t="s">
        <v>280</v>
      </c>
    </row>
    <row r="244" spans="1:20" ht="37.5" customHeight="1" x14ac:dyDescent="0.25">
      <c r="A244" s="20" t="s">
        <v>281</v>
      </c>
      <c r="B244">
        <f t="shared" si="23"/>
        <v>2904</v>
      </c>
      <c r="C244">
        <v>532</v>
      </c>
      <c r="D244">
        <v>2372</v>
      </c>
      <c r="F244">
        <f t="shared" si="22"/>
        <v>34</v>
      </c>
      <c r="G244" s="21">
        <f t="shared" si="28"/>
        <v>239</v>
      </c>
      <c r="H244" s="22">
        <v>88820030162</v>
      </c>
      <c r="I244" s="23">
        <v>319</v>
      </c>
      <c r="J244" s="24"/>
      <c r="K244" s="25">
        <v>2870</v>
      </c>
      <c r="L244" s="24">
        <f t="shared" si="24"/>
        <v>34</v>
      </c>
      <c r="M244" s="25">
        <v>525</v>
      </c>
      <c r="N244" s="26">
        <f t="shared" si="25"/>
        <v>1847</v>
      </c>
      <c r="O244" s="25">
        <v>2345</v>
      </c>
      <c r="P244" s="24">
        <f t="shared" si="26"/>
        <v>27</v>
      </c>
      <c r="Q244" s="27"/>
      <c r="R244" s="24">
        <f t="shared" si="27"/>
        <v>0</v>
      </c>
      <c r="S244" s="28" t="s">
        <v>18</v>
      </c>
      <c r="T244" s="20" t="s">
        <v>281</v>
      </c>
    </row>
    <row r="245" spans="1:20" ht="37.5" customHeight="1" x14ac:dyDescent="0.25">
      <c r="A245" s="20" t="s">
        <v>282</v>
      </c>
      <c r="B245">
        <f t="shared" si="23"/>
        <v>16280</v>
      </c>
      <c r="C245">
        <v>2694</v>
      </c>
      <c r="D245">
        <v>13586</v>
      </c>
      <c r="F245">
        <f t="shared" si="22"/>
        <v>49</v>
      </c>
      <c r="G245" s="21">
        <f t="shared" si="28"/>
        <v>240</v>
      </c>
      <c r="H245" s="22">
        <v>23015100469</v>
      </c>
      <c r="I245" s="23">
        <v>320</v>
      </c>
      <c r="J245" s="24"/>
      <c r="K245" s="25">
        <v>16231</v>
      </c>
      <c r="L245" s="24">
        <f t="shared" si="24"/>
        <v>49</v>
      </c>
      <c r="M245" s="25">
        <v>2685</v>
      </c>
      <c r="N245" s="26">
        <f t="shared" si="25"/>
        <v>10901</v>
      </c>
      <c r="O245" s="25">
        <v>13546</v>
      </c>
      <c r="P245" s="24">
        <f t="shared" si="26"/>
        <v>40</v>
      </c>
      <c r="Q245" s="27"/>
      <c r="R245" s="24">
        <f t="shared" si="27"/>
        <v>0</v>
      </c>
      <c r="S245" s="28" t="s">
        <v>18</v>
      </c>
      <c r="T245" s="20" t="s">
        <v>282</v>
      </c>
    </row>
    <row r="246" spans="1:20" ht="37.5" customHeight="1" x14ac:dyDescent="0.25">
      <c r="A246" s="20" t="s">
        <v>283</v>
      </c>
      <c r="B246">
        <f t="shared" si="23"/>
        <v>61305</v>
      </c>
      <c r="C246">
        <v>9838</v>
      </c>
      <c r="D246">
        <v>51467</v>
      </c>
      <c r="F246">
        <f t="shared" si="22"/>
        <v>379</v>
      </c>
      <c r="G246" s="21">
        <f t="shared" si="28"/>
        <v>241</v>
      </c>
      <c r="H246" s="22">
        <v>88818010183</v>
      </c>
      <c r="I246" s="23" t="s">
        <v>284</v>
      </c>
      <c r="J246" s="24"/>
      <c r="K246" s="25">
        <v>60926</v>
      </c>
      <c r="L246" s="24">
        <f t="shared" si="24"/>
        <v>379</v>
      </c>
      <c r="M246" s="25">
        <v>9777</v>
      </c>
      <c r="N246" s="26">
        <f t="shared" si="25"/>
        <v>41690</v>
      </c>
      <c r="O246" s="25">
        <v>51149</v>
      </c>
      <c r="P246" s="24">
        <f t="shared" si="26"/>
        <v>318</v>
      </c>
      <c r="Q246" s="27"/>
      <c r="R246" s="24">
        <f t="shared" si="27"/>
        <v>0</v>
      </c>
      <c r="S246" s="28" t="s">
        <v>18</v>
      </c>
      <c r="T246" s="20" t="s">
        <v>283</v>
      </c>
    </row>
    <row r="247" spans="1:20" ht="37.5" customHeight="1" x14ac:dyDescent="0.25">
      <c r="A247" s="20" t="s">
        <v>285</v>
      </c>
      <c r="B247">
        <f t="shared" si="23"/>
        <v>5599</v>
      </c>
      <c r="C247">
        <v>1190</v>
      </c>
      <c r="D247">
        <v>4409</v>
      </c>
      <c r="E247">
        <v>16979</v>
      </c>
      <c r="F247">
        <f t="shared" si="22"/>
        <v>255</v>
      </c>
      <c r="G247" s="21">
        <f t="shared" si="28"/>
        <v>242</v>
      </c>
      <c r="H247" s="22">
        <v>99723070034</v>
      </c>
      <c r="I247" s="23">
        <v>321</v>
      </c>
      <c r="J247" s="24"/>
      <c r="K247" s="25">
        <f>M247+O247</f>
        <v>5344</v>
      </c>
      <c r="L247" s="24">
        <f t="shared" si="24"/>
        <v>255</v>
      </c>
      <c r="M247" s="25">
        <v>1130</v>
      </c>
      <c r="N247" s="26">
        <f t="shared" si="25"/>
        <v>3279</v>
      </c>
      <c r="O247" s="25">
        <v>4214</v>
      </c>
      <c r="P247" s="24">
        <f t="shared" si="26"/>
        <v>195</v>
      </c>
      <c r="Q247" s="27">
        <v>15767</v>
      </c>
      <c r="R247" s="24">
        <f t="shared" si="27"/>
        <v>1212</v>
      </c>
      <c r="S247" s="28" t="s">
        <v>18</v>
      </c>
      <c r="T247" s="20" t="s">
        <v>285</v>
      </c>
    </row>
    <row r="248" spans="1:20" ht="37.5" customHeight="1" x14ac:dyDescent="0.25">
      <c r="A248" s="20" t="s">
        <v>286</v>
      </c>
      <c r="B248">
        <f t="shared" si="23"/>
        <v>32740</v>
      </c>
      <c r="C248">
        <v>5764</v>
      </c>
      <c r="D248">
        <v>26976</v>
      </c>
      <c r="F248">
        <f t="shared" si="22"/>
        <v>235</v>
      </c>
      <c r="G248" s="21">
        <f t="shared" si="28"/>
        <v>243</v>
      </c>
      <c r="H248" s="22">
        <v>88819030414</v>
      </c>
      <c r="I248" s="23" t="s">
        <v>287</v>
      </c>
      <c r="J248" s="24"/>
      <c r="K248" s="25">
        <v>32505</v>
      </c>
      <c r="L248" s="24">
        <f t="shared" si="24"/>
        <v>235</v>
      </c>
      <c r="M248" s="25">
        <v>5722</v>
      </c>
      <c r="N248" s="26">
        <f t="shared" si="25"/>
        <v>21254</v>
      </c>
      <c r="O248" s="25">
        <v>26783</v>
      </c>
      <c r="P248" s="24">
        <f t="shared" si="26"/>
        <v>193</v>
      </c>
      <c r="Q248" s="27"/>
      <c r="R248" s="24">
        <f t="shared" si="27"/>
        <v>0</v>
      </c>
      <c r="S248" s="28" t="s">
        <v>18</v>
      </c>
      <c r="T248" s="20" t="s">
        <v>286</v>
      </c>
    </row>
    <row r="249" spans="1:20" ht="37.5" customHeight="1" x14ac:dyDescent="0.25">
      <c r="A249" s="20" t="s">
        <v>288</v>
      </c>
      <c r="B249">
        <f t="shared" si="23"/>
        <v>9133</v>
      </c>
      <c r="C249">
        <v>2066</v>
      </c>
      <c r="D249">
        <v>7067</v>
      </c>
      <c r="E249">
        <v>16000</v>
      </c>
      <c r="F249">
        <f t="shared" si="22"/>
        <v>423</v>
      </c>
      <c r="G249" s="21">
        <f t="shared" si="28"/>
        <v>244</v>
      </c>
      <c r="H249" s="22">
        <v>99723060040</v>
      </c>
      <c r="I249" s="23">
        <v>322</v>
      </c>
      <c r="J249" s="24"/>
      <c r="K249" s="25">
        <f>M249+O249</f>
        <v>8710</v>
      </c>
      <c r="L249" s="24">
        <f t="shared" si="24"/>
        <v>423</v>
      </c>
      <c r="M249" s="25">
        <v>1970</v>
      </c>
      <c r="N249" s="26">
        <f t="shared" si="25"/>
        <v>5097</v>
      </c>
      <c r="O249" s="25">
        <v>6740</v>
      </c>
      <c r="P249" s="24">
        <f t="shared" si="26"/>
        <v>327</v>
      </c>
      <c r="Q249" s="27">
        <v>14877</v>
      </c>
      <c r="R249" s="24">
        <f t="shared" si="27"/>
        <v>1123</v>
      </c>
      <c r="S249" s="28" t="s">
        <v>18</v>
      </c>
      <c r="T249" s="20" t="s">
        <v>288</v>
      </c>
    </row>
    <row r="250" spans="1:20" ht="37.5" customHeight="1" x14ac:dyDescent="0.25">
      <c r="A250" s="20" t="s">
        <v>289</v>
      </c>
      <c r="B250">
        <f t="shared" si="23"/>
        <v>5165</v>
      </c>
      <c r="C250">
        <v>1097</v>
      </c>
      <c r="D250">
        <v>4068</v>
      </c>
      <c r="F250">
        <f t="shared" si="22"/>
        <v>411</v>
      </c>
      <c r="G250" s="21">
        <f t="shared" si="28"/>
        <v>245</v>
      </c>
      <c r="H250" s="22">
        <v>66622010140</v>
      </c>
      <c r="I250" s="23">
        <v>325</v>
      </c>
      <c r="J250" s="24"/>
      <c r="K250" s="25">
        <v>4754</v>
      </c>
      <c r="L250" s="24">
        <f t="shared" si="24"/>
        <v>411</v>
      </c>
      <c r="M250" s="25">
        <v>996</v>
      </c>
      <c r="N250" s="26">
        <f t="shared" si="25"/>
        <v>3072</v>
      </c>
      <c r="O250" s="25">
        <v>3758</v>
      </c>
      <c r="P250" s="24">
        <f t="shared" si="26"/>
        <v>310</v>
      </c>
      <c r="Q250" s="27"/>
      <c r="R250" s="24">
        <f t="shared" si="27"/>
        <v>0</v>
      </c>
      <c r="S250" s="28" t="s">
        <v>18</v>
      </c>
      <c r="T250" s="20" t="s">
        <v>289</v>
      </c>
    </row>
    <row r="251" spans="1:20" ht="37.5" customHeight="1" x14ac:dyDescent="0.25">
      <c r="A251" s="20" t="s">
        <v>290</v>
      </c>
      <c r="B251">
        <f t="shared" si="23"/>
        <v>12520</v>
      </c>
      <c r="C251">
        <v>2157</v>
      </c>
      <c r="D251">
        <v>10363</v>
      </c>
      <c r="F251">
        <f t="shared" si="22"/>
        <v>1378</v>
      </c>
      <c r="G251" s="21">
        <f t="shared" si="28"/>
        <v>246</v>
      </c>
      <c r="H251" s="22">
        <v>66621040368</v>
      </c>
      <c r="I251" s="23">
        <v>327</v>
      </c>
      <c r="J251" s="24"/>
      <c r="K251" s="25">
        <v>11142</v>
      </c>
      <c r="L251" s="24">
        <f t="shared" si="24"/>
        <v>1378</v>
      </c>
      <c r="M251" s="25">
        <v>1890</v>
      </c>
      <c r="N251" s="26">
        <f t="shared" si="25"/>
        <v>8473</v>
      </c>
      <c r="O251" s="25">
        <v>9252</v>
      </c>
      <c r="P251" s="24">
        <f t="shared" si="26"/>
        <v>1111</v>
      </c>
      <c r="Q251" s="27"/>
      <c r="R251" s="24">
        <f t="shared" si="27"/>
        <v>0</v>
      </c>
      <c r="S251" s="28" t="s">
        <v>18</v>
      </c>
      <c r="T251" s="20" t="s">
        <v>290</v>
      </c>
    </row>
    <row r="252" spans="1:20" ht="37.5" customHeight="1" x14ac:dyDescent="0.25">
      <c r="A252" s="20" t="s">
        <v>291</v>
      </c>
      <c r="B252">
        <f t="shared" si="23"/>
        <v>25652</v>
      </c>
      <c r="C252">
        <v>6385</v>
      </c>
      <c r="D252">
        <v>19267</v>
      </c>
      <c r="E252">
        <v>7650</v>
      </c>
      <c r="F252">
        <f t="shared" si="22"/>
        <v>1256</v>
      </c>
      <c r="G252" s="21">
        <f t="shared" si="28"/>
        <v>247</v>
      </c>
      <c r="H252" s="22">
        <v>99624020147</v>
      </c>
      <c r="I252" s="23">
        <v>328</v>
      </c>
      <c r="J252" s="24"/>
      <c r="K252" s="25">
        <f>M252+O252</f>
        <v>24396</v>
      </c>
      <c r="L252" s="24">
        <f t="shared" si="24"/>
        <v>1256</v>
      </c>
      <c r="M252" s="25">
        <v>6038</v>
      </c>
      <c r="N252" s="26">
        <f t="shared" si="25"/>
        <v>13229</v>
      </c>
      <c r="O252" s="25">
        <v>18358</v>
      </c>
      <c r="P252" s="24">
        <f t="shared" si="26"/>
        <v>909</v>
      </c>
      <c r="Q252" s="27">
        <v>6273</v>
      </c>
      <c r="R252" s="24">
        <f t="shared" si="27"/>
        <v>1377</v>
      </c>
      <c r="S252" s="28" t="s">
        <v>18</v>
      </c>
      <c r="T252" s="20" t="s">
        <v>291</v>
      </c>
    </row>
    <row r="253" spans="1:20" ht="37.5" customHeight="1" x14ac:dyDescent="0.25">
      <c r="A253" s="20" t="s">
        <v>292</v>
      </c>
      <c r="B253">
        <f t="shared" si="23"/>
        <v>30104</v>
      </c>
      <c r="C253">
        <v>6862</v>
      </c>
      <c r="D253">
        <v>23242</v>
      </c>
      <c r="E253">
        <v>42398</v>
      </c>
      <c r="F253">
        <f t="shared" si="22"/>
        <v>1002</v>
      </c>
      <c r="G253" s="21">
        <f t="shared" si="28"/>
        <v>248</v>
      </c>
      <c r="H253" s="22">
        <v>99722030014</v>
      </c>
      <c r="I253" s="23" t="s">
        <v>293</v>
      </c>
      <c r="J253" s="24"/>
      <c r="K253" s="25">
        <f>M253+O253</f>
        <v>29102</v>
      </c>
      <c r="L253" s="24">
        <f t="shared" si="24"/>
        <v>1002</v>
      </c>
      <c r="M253" s="25">
        <v>6565</v>
      </c>
      <c r="N253" s="26">
        <f t="shared" si="25"/>
        <v>16677</v>
      </c>
      <c r="O253" s="25">
        <v>22537</v>
      </c>
      <c r="P253" s="24">
        <f t="shared" si="26"/>
        <v>705</v>
      </c>
      <c r="Q253" s="27">
        <v>40374</v>
      </c>
      <c r="R253" s="24">
        <f t="shared" si="27"/>
        <v>2024</v>
      </c>
      <c r="S253" s="28" t="s">
        <v>18</v>
      </c>
      <c r="T253" s="20" t="s">
        <v>292</v>
      </c>
    </row>
    <row r="254" spans="1:20" ht="37.5" customHeight="1" x14ac:dyDescent="0.25">
      <c r="A254" s="20" t="s">
        <v>294</v>
      </c>
      <c r="B254">
        <f t="shared" si="23"/>
        <v>9450</v>
      </c>
      <c r="C254">
        <v>2134</v>
      </c>
      <c r="D254">
        <v>7316</v>
      </c>
      <c r="E254">
        <v>14525</v>
      </c>
      <c r="F254">
        <f t="shared" si="22"/>
        <v>427</v>
      </c>
      <c r="G254" s="21">
        <f t="shared" si="28"/>
        <v>249</v>
      </c>
      <c r="H254" s="22">
        <v>99623080518</v>
      </c>
      <c r="I254" s="23">
        <v>330</v>
      </c>
      <c r="J254" s="24"/>
      <c r="K254" s="25">
        <f>M254+O254</f>
        <v>9023</v>
      </c>
      <c r="L254" s="24">
        <f t="shared" si="24"/>
        <v>427</v>
      </c>
      <c r="M254" s="25">
        <v>2020</v>
      </c>
      <c r="N254" s="26">
        <f t="shared" si="25"/>
        <v>5296</v>
      </c>
      <c r="O254" s="25">
        <v>7003</v>
      </c>
      <c r="P254" s="24">
        <f t="shared" si="26"/>
        <v>313</v>
      </c>
      <c r="Q254" s="27">
        <v>13097</v>
      </c>
      <c r="R254" s="24">
        <f t="shared" si="27"/>
        <v>1428</v>
      </c>
      <c r="S254" s="28" t="s">
        <v>18</v>
      </c>
      <c r="T254" s="20" t="s">
        <v>294</v>
      </c>
    </row>
    <row r="255" spans="1:20" ht="37.5" customHeight="1" x14ac:dyDescent="0.25">
      <c r="A255" s="20" t="s">
        <v>295</v>
      </c>
      <c r="B255">
        <f t="shared" si="23"/>
        <v>12703</v>
      </c>
      <c r="C255">
        <v>3027</v>
      </c>
      <c r="D255">
        <v>9676</v>
      </c>
      <c r="F255">
        <f t="shared" si="22"/>
        <v>260</v>
      </c>
      <c r="G255" s="21">
        <f t="shared" si="28"/>
        <v>250</v>
      </c>
      <c r="H255" s="22">
        <v>66622060215</v>
      </c>
      <c r="I255" s="23">
        <v>334</v>
      </c>
      <c r="J255" s="24"/>
      <c r="K255" s="25">
        <v>12443</v>
      </c>
      <c r="L255" s="24">
        <f t="shared" si="24"/>
        <v>260</v>
      </c>
      <c r="M255" s="25">
        <v>2962</v>
      </c>
      <c r="N255" s="26">
        <f t="shared" si="25"/>
        <v>6714</v>
      </c>
      <c r="O255" s="25">
        <v>9481</v>
      </c>
      <c r="P255" s="24">
        <f t="shared" si="26"/>
        <v>195</v>
      </c>
      <c r="Q255" s="27"/>
      <c r="R255" s="24">
        <f t="shared" si="27"/>
        <v>0</v>
      </c>
      <c r="S255" s="28" t="s">
        <v>18</v>
      </c>
      <c r="T255" s="20" t="s">
        <v>295</v>
      </c>
    </row>
    <row r="256" spans="1:20" ht="37.5" customHeight="1" x14ac:dyDescent="0.25">
      <c r="A256" s="20" t="s">
        <v>296</v>
      </c>
      <c r="B256">
        <f t="shared" si="23"/>
        <v>27859</v>
      </c>
      <c r="C256">
        <v>6024</v>
      </c>
      <c r="D256">
        <v>21835</v>
      </c>
      <c r="F256">
        <f t="shared" si="22"/>
        <v>320</v>
      </c>
      <c r="G256" s="21">
        <f t="shared" si="28"/>
        <v>251</v>
      </c>
      <c r="H256" s="22">
        <v>66621010187</v>
      </c>
      <c r="I256" s="23">
        <v>335</v>
      </c>
      <c r="J256" s="24"/>
      <c r="K256" s="25">
        <v>27539</v>
      </c>
      <c r="L256" s="24">
        <f t="shared" si="24"/>
        <v>320</v>
      </c>
      <c r="M256" s="25">
        <v>5957</v>
      </c>
      <c r="N256" s="26">
        <f t="shared" si="25"/>
        <v>15878</v>
      </c>
      <c r="O256" s="25">
        <v>21582</v>
      </c>
      <c r="P256" s="24">
        <f t="shared" si="26"/>
        <v>253</v>
      </c>
      <c r="Q256" s="27"/>
      <c r="R256" s="24">
        <f t="shared" si="27"/>
        <v>0</v>
      </c>
      <c r="S256" s="28" t="s">
        <v>18</v>
      </c>
      <c r="T256" s="20" t="s">
        <v>296</v>
      </c>
    </row>
    <row r="257" spans="1:20" ht="37.5" customHeight="1" x14ac:dyDescent="0.25">
      <c r="A257" s="20" t="s">
        <v>297</v>
      </c>
      <c r="B257">
        <f t="shared" si="23"/>
        <v>2891</v>
      </c>
      <c r="C257">
        <v>215</v>
      </c>
      <c r="D257">
        <v>2676</v>
      </c>
      <c r="F257">
        <f t="shared" si="22"/>
        <v>27</v>
      </c>
      <c r="G257" s="21">
        <f t="shared" si="28"/>
        <v>252</v>
      </c>
      <c r="H257" s="22">
        <v>66622060126</v>
      </c>
      <c r="I257" s="23">
        <v>336</v>
      </c>
      <c r="J257" s="24"/>
      <c r="K257" s="25">
        <v>2864</v>
      </c>
      <c r="L257" s="24">
        <f t="shared" si="24"/>
        <v>27</v>
      </c>
      <c r="M257" s="25">
        <v>210</v>
      </c>
      <c r="N257" s="26">
        <f t="shared" si="25"/>
        <v>2466</v>
      </c>
      <c r="O257" s="25">
        <v>2654</v>
      </c>
      <c r="P257" s="24">
        <f t="shared" si="26"/>
        <v>22</v>
      </c>
      <c r="Q257" s="27"/>
      <c r="R257" s="24">
        <f t="shared" si="27"/>
        <v>0</v>
      </c>
      <c r="S257" s="28" t="s">
        <v>18</v>
      </c>
      <c r="T257" s="20" t="s">
        <v>297</v>
      </c>
    </row>
    <row r="258" spans="1:20" ht="37.5" customHeight="1" x14ac:dyDescent="0.25">
      <c r="A258" s="20" t="s">
        <v>298</v>
      </c>
      <c r="B258">
        <f t="shared" si="23"/>
        <v>29104</v>
      </c>
      <c r="C258">
        <v>5707</v>
      </c>
      <c r="D258">
        <v>23397</v>
      </c>
      <c r="F258">
        <f t="shared" si="22"/>
        <v>899</v>
      </c>
      <c r="G258" s="21">
        <f t="shared" si="28"/>
        <v>253</v>
      </c>
      <c r="H258" s="22">
        <v>88818030463</v>
      </c>
      <c r="I258" s="23">
        <v>338</v>
      </c>
      <c r="J258" s="24"/>
      <c r="K258" s="25">
        <v>28205</v>
      </c>
      <c r="L258" s="24">
        <f t="shared" si="24"/>
        <v>899</v>
      </c>
      <c r="M258" s="25">
        <v>5528</v>
      </c>
      <c r="N258" s="26">
        <f t="shared" si="25"/>
        <v>17869</v>
      </c>
      <c r="O258" s="25">
        <v>22677</v>
      </c>
      <c r="P258" s="24">
        <f t="shared" si="26"/>
        <v>720</v>
      </c>
      <c r="Q258" s="27"/>
      <c r="R258" s="24">
        <f t="shared" si="27"/>
        <v>0</v>
      </c>
      <c r="S258" s="28" t="s">
        <v>18</v>
      </c>
      <c r="T258" s="20" t="s">
        <v>298</v>
      </c>
    </row>
    <row r="259" spans="1:20" ht="37.5" customHeight="1" x14ac:dyDescent="0.25">
      <c r="A259" s="20" t="s">
        <v>299</v>
      </c>
      <c r="B259">
        <f t="shared" si="23"/>
        <v>37414</v>
      </c>
      <c r="C259">
        <v>6821</v>
      </c>
      <c r="D259">
        <v>30593</v>
      </c>
      <c r="F259">
        <f t="shared" si="22"/>
        <v>216</v>
      </c>
      <c r="G259" s="21">
        <f t="shared" si="28"/>
        <v>254</v>
      </c>
      <c r="H259" s="22">
        <v>66616020309</v>
      </c>
      <c r="I259" s="23">
        <v>339</v>
      </c>
      <c r="J259" s="24"/>
      <c r="K259" s="25">
        <v>37198</v>
      </c>
      <c r="L259" s="24">
        <f t="shared" si="24"/>
        <v>216</v>
      </c>
      <c r="M259" s="25">
        <v>6788</v>
      </c>
      <c r="N259" s="26">
        <f t="shared" si="25"/>
        <v>23805</v>
      </c>
      <c r="O259" s="25">
        <v>30410</v>
      </c>
      <c r="P259" s="24">
        <f t="shared" si="26"/>
        <v>183</v>
      </c>
      <c r="Q259" s="27"/>
      <c r="R259" s="24">
        <f t="shared" si="27"/>
        <v>0</v>
      </c>
      <c r="S259" s="28" t="s">
        <v>18</v>
      </c>
      <c r="T259" s="20" t="s">
        <v>299</v>
      </c>
    </row>
    <row r="260" spans="1:20" ht="37.5" customHeight="1" x14ac:dyDescent="0.25">
      <c r="A260" s="20" t="s">
        <v>300</v>
      </c>
      <c r="B260">
        <f t="shared" si="23"/>
        <v>28763</v>
      </c>
      <c r="C260">
        <v>7650</v>
      </c>
      <c r="D260">
        <v>21113</v>
      </c>
      <c r="E260">
        <v>43028</v>
      </c>
      <c r="F260">
        <f t="shared" si="22"/>
        <v>511</v>
      </c>
      <c r="G260" s="21">
        <f t="shared" si="28"/>
        <v>255</v>
      </c>
      <c r="H260" s="22">
        <v>99622010050</v>
      </c>
      <c r="I260" s="23">
        <v>340</v>
      </c>
      <c r="J260" s="24"/>
      <c r="K260" s="25">
        <f>M260+O260</f>
        <v>28252</v>
      </c>
      <c r="L260" s="24">
        <f t="shared" si="24"/>
        <v>511</v>
      </c>
      <c r="M260" s="25">
        <v>7502</v>
      </c>
      <c r="N260" s="26">
        <f t="shared" si="25"/>
        <v>13611</v>
      </c>
      <c r="O260" s="25">
        <v>20750</v>
      </c>
      <c r="P260" s="24">
        <f t="shared" si="26"/>
        <v>363</v>
      </c>
      <c r="Q260" s="27">
        <v>41100</v>
      </c>
      <c r="R260" s="24">
        <f t="shared" si="27"/>
        <v>1928</v>
      </c>
      <c r="S260" s="28" t="s">
        <v>18</v>
      </c>
      <c r="T260" s="20" t="s">
        <v>300</v>
      </c>
    </row>
    <row r="261" spans="1:20" ht="37.5" customHeight="1" x14ac:dyDescent="0.25">
      <c r="A261" s="20" t="s">
        <v>301</v>
      </c>
      <c r="B261">
        <f t="shared" si="23"/>
        <v>20916</v>
      </c>
      <c r="C261">
        <v>3854</v>
      </c>
      <c r="D261">
        <v>17062</v>
      </c>
      <c r="F261">
        <f t="shared" si="22"/>
        <v>771</v>
      </c>
      <c r="G261" s="21">
        <f t="shared" si="28"/>
        <v>256</v>
      </c>
      <c r="H261" s="22">
        <v>88820060187</v>
      </c>
      <c r="I261" s="23">
        <v>341</v>
      </c>
      <c r="J261" s="24"/>
      <c r="K261" s="25">
        <v>20145</v>
      </c>
      <c r="L261" s="24">
        <f t="shared" si="24"/>
        <v>771</v>
      </c>
      <c r="M261" s="25">
        <v>3700</v>
      </c>
      <c r="N261" s="26">
        <f t="shared" si="25"/>
        <v>13362</v>
      </c>
      <c r="O261" s="25">
        <v>16445</v>
      </c>
      <c r="P261" s="24">
        <f t="shared" si="26"/>
        <v>617</v>
      </c>
      <c r="Q261" s="27"/>
      <c r="R261" s="24">
        <f t="shared" si="27"/>
        <v>0</v>
      </c>
      <c r="S261" s="28" t="s">
        <v>18</v>
      </c>
      <c r="T261" s="20" t="s">
        <v>301</v>
      </c>
    </row>
    <row r="262" spans="1:20" ht="37.5" customHeight="1" x14ac:dyDescent="0.25">
      <c r="A262" s="20" t="s">
        <v>302</v>
      </c>
      <c r="B262">
        <f t="shared" si="23"/>
        <v>13924</v>
      </c>
      <c r="C262">
        <v>3095</v>
      </c>
      <c r="D262">
        <v>10829</v>
      </c>
      <c r="E262">
        <v>15568</v>
      </c>
      <c r="F262">
        <f t="shared" ref="F262:F325" si="29">L262</f>
        <v>474</v>
      </c>
      <c r="G262" s="21">
        <f t="shared" si="28"/>
        <v>257</v>
      </c>
      <c r="H262" s="22">
        <v>99723060189</v>
      </c>
      <c r="I262" s="23">
        <v>342</v>
      </c>
      <c r="J262" s="24"/>
      <c r="K262" s="25">
        <f>M262+O262</f>
        <v>13450</v>
      </c>
      <c r="L262" s="24">
        <f t="shared" si="24"/>
        <v>474</v>
      </c>
      <c r="M262" s="25">
        <v>2985</v>
      </c>
      <c r="N262" s="26">
        <f t="shared" si="25"/>
        <v>7844</v>
      </c>
      <c r="O262" s="25">
        <v>10465</v>
      </c>
      <c r="P262" s="24">
        <f t="shared" si="26"/>
        <v>364</v>
      </c>
      <c r="Q262" s="27">
        <v>14472</v>
      </c>
      <c r="R262" s="24">
        <f t="shared" si="27"/>
        <v>1096</v>
      </c>
      <c r="S262" s="28" t="s">
        <v>18</v>
      </c>
      <c r="T262" s="20" t="s">
        <v>302</v>
      </c>
    </row>
    <row r="263" spans="1:20" ht="37.5" customHeight="1" x14ac:dyDescent="0.25">
      <c r="A263" s="20" t="s">
        <v>303</v>
      </c>
      <c r="B263">
        <f t="shared" ref="B263:B326" si="30">C263+D263</f>
        <v>12611</v>
      </c>
      <c r="C263">
        <v>3340</v>
      </c>
      <c r="D263">
        <v>9271</v>
      </c>
      <c r="E263">
        <v>12653</v>
      </c>
      <c r="F263">
        <f t="shared" si="29"/>
        <v>1111</v>
      </c>
      <c r="G263" s="21">
        <f t="shared" si="28"/>
        <v>258</v>
      </c>
      <c r="H263" s="22">
        <v>99624030118</v>
      </c>
      <c r="I263" s="23">
        <v>343</v>
      </c>
      <c r="J263" s="24"/>
      <c r="K263" s="25">
        <f>M263+O263</f>
        <v>11500</v>
      </c>
      <c r="L263" s="24">
        <f t="shared" ref="L263:L326" si="31">B263-K263</f>
        <v>1111</v>
      </c>
      <c r="M263" s="25">
        <v>3012</v>
      </c>
      <c r="N263" s="26">
        <f t="shared" ref="N263:N326" si="32">D263-M263</f>
        <v>6259</v>
      </c>
      <c r="O263" s="25">
        <v>8488</v>
      </c>
      <c r="P263" s="24">
        <f t="shared" ref="P263:P326" si="33">D263-O263</f>
        <v>783</v>
      </c>
      <c r="Q263" s="27">
        <v>10762</v>
      </c>
      <c r="R263" s="24">
        <f t="shared" ref="R263:R326" si="34">E263-Q263</f>
        <v>1891</v>
      </c>
      <c r="S263" s="28" t="s">
        <v>18</v>
      </c>
      <c r="T263" s="20" t="s">
        <v>303</v>
      </c>
    </row>
    <row r="264" spans="1:20" ht="37.5" customHeight="1" x14ac:dyDescent="0.25">
      <c r="A264" s="20" t="s">
        <v>304</v>
      </c>
      <c r="B264">
        <f t="shared" si="30"/>
        <v>76984</v>
      </c>
      <c r="C264">
        <v>13829</v>
      </c>
      <c r="D264">
        <v>63155</v>
      </c>
      <c r="F264">
        <f t="shared" si="29"/>
        <v>595</v>
      </c>
      <c r="G264" s="21">
        <f t="shared" ref="G264:G323" si="35">G263+1</f>
        <v>259</v>
      </c>
      <c r="H264" s="22">
        <v>23014010304</v>
      </c>
      <c r="I264" s="23">
        <v>345</v>
      </c>
      <c r="J264" s="24"/>
      <c r="K264" s="25">
        <v>76389</v>
      </c>
      <c r="L264" s="24">
        <f t="shared" si="31"/>
        <v>595</v>
      </c>
      <c r="M264" s="25">
        <v>13715</v>
      </c>
      <c r="N264" s="26">
        <f t="shared" si="32"/>
        <v>49440</v>
      </c>
      <c r="O264" s="25">
        <v>62674</v>
      </c>
      <c r="P264" s="24">
        <f t="shared" si="33"/>
        <v>481</v>
      </c>
      <c r="Q264" s="27"/>
      <c r="R264" s="24">
        <f t="shared" si="34"/>
        <v>0</v>
      </c>
      <c r="S264" s="28" t="s">
        <v>18</v>
      </c>
      <c r="T264" s="20" t="s">
        <v>304</v>
      </c>
    </row>
    <row r="265" spans="1:20" ht="37.5" customHeight="1" x14ac:dyDescent="0.25">
      <c r="A265" s="20" t="s">
        <v>305</v>
      </c>
      <c r="B265">
        <f t="shared" si="30"/>
        <v>35732</v>
      </c>
      <c r="C265">
        <v>5528</v>
      </c>
      <c r="D265">
        <v>30204</v>
      </c>
      <c r="F265">
        <f t="shared" si="29"/>
        <v>825</v>
      </c>
      <c r="G265" s="21">
        <f t="shared" si="35"/>
        <v>260</v>
      </c>
      <c r="H265" s="22">
        <v>88819050373</v>
      </c>
      <c r="I265" s="23">
        <v>346</v>
      </c>
      <c r="J265" s="24"/>
      <c r="K265" s="25">
        <v>34907</v>
      </c>
      <c r="L265" s="24">
        <f t="shared" si="31"/>
        <v>825</v>
      </c>
      <c r="M265" s="25">
        <v>5388</v>
      </c>
      <c r="N265" s="26">
        <f t="shared" si="32"/>
        <v>24816</v>
      </c>
      <c r="O265" s="25">
        <v>29519</v>
      </c>
      <c r="P265" s="24">
        <f t="shared" si="33"/>
        <v>685</v>
      </c>
      <c r="Q265" s="27"/>
      <c r="R265" s="24">
        <f t="shared" si="34"/>
        <v>0</v>
      </c>
      <c r="S265" s="28" t="s">
        <v>18</v>
      </c>
      <c r="T265" s="20" t="s">
        <v>305</v>
      </c>
    </row>
    <row r="266" spans="1:20" ht="37.5" customHeight="1" x14ac:dyDescent="0.25">
      <c r="A266" s="20" t="s">
        <v>306</v>
      </c>
      <c r="B266">
        <f t="shared" si="30"/>
        <v>17178</v>
      </c>
      <c r="C266">
        <v>3076</v>
      </c>
      <c r="D266">
        <v>14102</v>
      </c>
      <c r="F266">
        <f t="shared" si="29"/>
        <v>180</v>
      </c>
      <c r="G266" s="21">
        <f t="shared" si="35"/>
        <v>261</v>
      </c>
      <c r="H266" s="22">
        <v>88820010307</v>
      </c>
      <c r="I266" s="23">
        <v>347</v>
      </c>
      <c r="J266" s="24"/>
      <c r="K266" s="25">
        <v>16998</v>
      </c>
      <c r="L266" s="24">
        <f t="shared" si="31"/>
        <v>180</v>
      </c>
      <c r="M266" s="25">
        <v>3024</v>
      </c>
      <c r="N266" s="26">
        <f t="shared" si="32"/>
        <v>11078</v>
      </c>
      <c r="O266" s="25">
        <v>13974</v>
      </c>
      <c r="P266" s="24">
        <f t="shared" si="33"/>
        <v>128</v>
      </c>
      <c r="Q266" s="27"/>
      <c r="R266" s="24">
        <f t="shared" si="34"/>
        <v>0</v>
      </c>
      <c r="S266" s="28" t="s">
        <v>18</v>
      </c>
      <c r="T266" s="20" t="s">
        <v>306</v>
      </c>
    </row>
    <row r="267" spans="1:20" ht="37.5" customHeight="1" x14ac:dyDescent="0.25">
      <c r="A267" s="20" t="s">
        <v>307</v>
      </c>
      <c r="B267">
        <f t="shared" si="30"/>
        <v>44735</v>
      </c>
      <c r="C267">
        <v>6918</v>
      </c>
      <c r="D267">
        <v>37817</v>
      </c>
      <c r="F267">
        <f t="shared" si="29"/>
        <v>558</v>
      </c>
      <c r="G267" s="21">
        <f t="shared" si="35"/>
        <v>262</v>
      </c>
      <c r="H267" s="22">
        <v>88819010250</v>
      </c>
      <c r="I267" s="23">
        <v>350</v>
      </c>
      <c r="J267" s="24"/>
      <c r="K267" s="25">
        <v>44177</v>
      </c>
      <c r="L267" s="24">
        <f t="shared" si="31"/>
        <v>558</v>
      </c>
      <c r="M267" s="25">
        <v>6828</v>
      </c>
      <c r="N267" s="26">
        <f t="shared" si="32"/>
        <v>30989</v>
      </c>
      <c r="O267" s="25">
        <v>37349</v>
      </c>
      <c r="P267" s="24">
        <f t="shared" si="33"/>
        <v>468</v>
      </c>
      <c r="Q267" s="27"/>
      <c r="R267" s="24">
        <f t="shared" si="34"/>
        <v>0</v>
      </c>
      <c r="S267" s="28" t="s">
        <v>18</v>
      </c>
      <c r="T267" s="20" t="s">
        <v>307</v>
      </c>
    </row>
    <row r="268" spans="1:20" ht="37.5" customHeight="1" x14ac:dyDescent="0.25">
      <c r="A268" s="20" t="s">
        <v>308</v>
      </c>
      <c r="B268">
        <f t="shared" si="30"/>
        <v>3168</v>
      </c>
      <c r="C268">
        <v>244</v>
      </c>
      <c r="D268">
        <v>2924</v>
      </c>
      <c r="F268">
        <f t="shared" si="29"/>
        <v>185</v>
      </c>
      <c r="G268" s="21">
        <f t="shared" si="35"/>
        <v>263</v>
      </c>
      <c r="H268" s="22">
        <v>66623011084</v>
      </c>
      <c r="I268" s="23">
        <v>351</v>
      </c>
      <c r="J268" s="24"/>
      <c r="K268" s="25">
        <v>2983</v>
      </c>
      <c r="L268" s="24">
        <f t="shared" si="31"/>
        <v>185</v>
      </c>
      <c r="M268" s="25">
        <v>244</v>
      </c>
      <c r="N268" s="26">
        <f t="shared" si="32"/>
        <v>2680</v>
      </c>
      <c r="O268" s="25">
        <v>2739</v>
      </c>
      <c r="P268" s="24">
        <f t="shared" si="33"/>
        <v>185</v>
      </c>
      <c r="Q268" s="27"/>
      <c r="R268" s="24">
        <f t="shared" si="34"/>
        <v>0</v>
      </c>
      <c r="S268" s="28" t="s">
        <v>18</v>
      </c>
      <c r="T268" s="20" t="s">
        <v>308</v>
      </c>
    </row>
    <row r="269" spans="1:20" ht="37.5" customHeight="1" x14ac:dyDescent="0.25">
      <c r="A269" s="20" t="s">
        <v>309</v>
      </c>
      <c r="B269">
        <f t="shared" si="30"/>
        <v>4351</v>
      </c>
      <c r="C269">
        <v>1327</v>
      </c>
      <c r="D269">
        <v>3024</v>
      </c>
      <c r="E269">
        <v>5279</v>
      </c>
      <c r="F269">
        <f t="shared" si="29"/>
        <v>513</v>
      </c>
      <c r="G269" s="21">
        <f t="shared" si="35"/>
        <v>264</v>
      </c>
      <c r="H269" s="22">
        <v>99624030210</v>
      </c>
      <c r="I269" s="23">
        <v>352</v>
      </c>
      <c r="J269" s="24"/>
      <c r="K269" s="25">
        <f>M269+O269</f>
        <v>3838</v>
      </c>
      <c r="L269" s="24">
        <f t="shared" si="31"/>
        <v>513</v>
      </c>
      <c r="M269" s="25">
        <v>1169</v>
      </c>
      <c r="N269" s="26">
        <f t="shared" si="32"/>
        <v>1855</v>
      </c>
      <c r="O269" s="25">
        <v>2669</v>
      </c>
      <c r="P269" s="24">
        <f t="shared" si="33"/>
        <v>355</v>
      </c>
      <c r="Q269" s="27">
        <v>4436</v>
      </c>
      <c r="R269" s="24">
        <f t="shared" si="34"/>
        <v>843</v>
      </c>
      <c r="S269" s="28" t="s">
        <v>18</v>
      </c>
      <c r="T269" s="20" t="s">
        <v>309</v>
      </c>
    </row>
    <row r="270" spans="1:20" ht="37.5" customHeight="1" x14ac:dyDescent="0.25">
      <c r="A270" s="20" t="s">
        <v>310</v>
      </c>
      <c r="B270">
        <f t="shared" si="30"/>
        <v>1563</v>
      </c>
      <c r="C270">
        <v>144</v>
      </c>
      <c r="D270">
        <v>1419</v>
      </c>
      <c r="F270">
        <f t="shared" si="29"/>
        <v>66</v>
      </c>
      <c r="G270" s="21">
        <f t="shared" si="35"/>
        <v>265</v>
      </c>
      <c r="H270" s="22">
        <v>66623011153</v>
      </c>
      <c r="I270" s="23">
        <v>353</v>
      </c>
      <c r="J270" s="24"/>
      <c r="K270" s="25">
        <v>1497</v>
      </c>
      <c r="L270" s="24">
        <f t="shared" si="31"/>
        <v>66</v>
      </c>
      <c r="M270" s="25">
        <v>138</v>
      </c>
      <c r="N270" s="26">
        <f t="shared" si="32"/>
        <v>1281</v>
      </c>
      <c r="O270" s="25">
        <v>1359</v>
      </c>
      <c r="P270" s="24">
        <f t="shared" si="33"/>
        <v>60</v>
      </c>
      <c r="Q270" s="27"/>
      <c r="R270" s="24">
        <f t="shared" si="34"/>
        <v>0</v>
      </c>
      <c r="S270" s="28" t="s">
        <v>18</v>
      </c>
      <c r="T270" s="20" t="s">
        <v>310</v>
      </c>
    </row>
    <row r="271" spans="1:20" ht="37.5" customHeight="1" x14ac:dyDescent="0.25">
      <c r="A271" s="20" t="s">
        <v>311</v>
      </c>
      <c r="B271">
        <f t="shared" si="30"/>
        <v>3251</v>
      </c>
      <c r="C271">
        <v>702</v>
      </c>
      <c r="D271">
        <v>2549</v>
      </c>
      <c r="F271">
        <f t="shared" si="29"/>
        <v>173</v>
      </c>
      <c r="G271" s="21">
        <f t="shared" si="35"/>
        <v>266</v>
      </c>
      <c r="H271" s="22">
        <v>66622050207</v>
      </c>
      <c r="I271" s="23">
        <v>354</v>
      </c>
      <c r="J271" s="24"/>
      <c r="K271" s="25">
        <v>3078</v>
      </c>
      <c r="L271" s="24">
        <f t="shared" si="31"/>
        <v>173</v>
      </c>
      <c r="M271" s="25">
        <v>661</v>
      </c>
      <c r="N271" s="26">
        <f t="shared" si="32"/>
        <v>1888</v>
      </c>
      <c r="O271" s="25">
        <v>2417</v>
      </c>
      <c r="P271" s="24">
        <f t="shared" si="33"/>
        <v>132</v>
      </c>
      <c r="Q271" s="27"/>
      <c r="R271" s="24">
        <f t="shared" si="34"/>
        <v>0</v>
      </c>
      <c r="S271" s="28" t="s">
        <v>18</v>
      </c>
      <c r="T271" s="20" t="s">
        <v>311</v>
      </c>
    </row>
    <row r="272" spans="1:20" ht="37.5" customHeight="1" x14ac:dyDescent="0.25">
      <c r="A272" s="20" t="s">
        <v>312</v>
      </c>
      <c r="B272">
        <f t="shared" si="30"/>
        <v>20344</v>
      </c>
      <c r="C272">
        <v>3534</v>
      </c>
      <c r="D272">
        <v>16810</v>
      </c>
      <c r="F272">
        <f t="shared" si="29"/>
        <v>109</v>
      </c>
      <c r="G272" s="21">
        <f t="shared" si="35"/>
        <v>267</v>
      </c>
      <c r="H272" s="22">
        <v>66622010135</v>
      </c>
      <c r="I272" s="23">
        <v>355</v>
      </c>
      <c r="J272" s="24"/>
      <c r="K272" s="25">
        <v>20235</v>
      </c>
      <c r="L272" s="24">
        <f t="shared" si="31"/>
        <v>109</v>
      </c>
      <c r="M272" s="25">
        <v>3517</v>
      </c>
      <c r="N272" s="26">
        <f t="shared" si="32"/>
        <v>13293</v>
      </c>
      <c r="O272" s="25">
        <v>16718</v>
      </c>
      <c r="P272" s="24">
        <f t="shared" si="33"/>
        <v>92</v>
      </c>
      <c r="Q272" s="27"/>
      <c r="R272" s="24">
        <f t="shared" si="34"/>
        <v>0</v>
      </c>
      <c r="S272" s="28" t="s">
        <v>18</v>
      </c>
      <c r="T272" s="20" t="s">
        <v>312</v>
      </c>
    </row>
    <row r="273" spans="1:20" ht="37.5" customHeight="1" x14ac:dyDescent="0.25">
      <c r="A273" s="20" t="s">
        <v>313</v>
      </c>
      <c r="B273">
        <f t="shared" si="30"/>
        <v>8014</v>
      </c>
      <c r="C273">
        <v>2143</v>
      </c>
      <c r="D273">
        <v>5871</v>
      </c>
      <c r="E273">
        <v>9185</v>
      </c>
      <c r="F273">
        <f t="shared" si="29"/>
        <v>494</v>
      </c>
      <c r="G273" s="21">
        <f t="shared" si="35"/>
        <v>268</v>
      </c>
      <c r="H273" s="22">
        <v>99623080539</v>
      </c>
      <c r="I273" s="23">
        <v>358</v>
      </c>
      <c r="J273" s="24"/>
      <c r="K273" s="25">
        <f>M273+O273</f>
        <v>7520</v>
      </c>
      <c r="L273" s="24">
        <f t="shared" si="31"/>
        <v>494</v>
      </c>
      <c r="M273" s="25">
        <v>2017</v>
      </c>
      <c r="N273" s="26">
        <f t="shared" si="32"/>
        <v>3854</v>
      </c>
      <c r="O273" s="25">
        <v>5503</v>
      </c>
      <c r="P273" s="24">
        <f t="shared" si="33"/>
        <v>368</v>
      </c>
      <c r="Q273" s="27">
        <v>8359</v>
      </c>
      <c r="R273" s="24">
        <f t="shared" si="34"/>
        <v>826</v>
      </c>
      <c r="S273" s="28" t="s">
        <v>18</v>
      </c>
      <c r="T273" s="20" t="s">
        <v>313</v>
      </c>
    </row>
    <row r="274" spans="1:20" ht="37.5" customHeight="1" x14ac:dyDescent="0.25">
      <c r="A274" s="20" t="s">
        <v>314</v>
      </c>
      <c r="B274">
        <f t="shared" si="30"/>
        <v>2677</v>
      </c>
      <c r="C274">
        <v>358</v>
      </c>
      <c r="D274">
        <v>2319</v>
      </c>
      <c r="F274">
        <f t="shared" si="29"/>
        <v>0</v>
      </c>
      <c r="G274" s="21">
        <f t="shared" si="35"/>
        <v>269</v>
      </c>
      <c r="H274" s="22">
        <v>66622040671</v>
      </c>
      <c r="I274" s="23">
        <v>361</v>
      </c>
      <c r="J274" s="24"/>
      <c r="K274" s="25">
        <v>2677</v>
      </c>
      <c r="L274" s="24">
        <f t="shared" si="31"/>
        <v>0</v>
      </c>
      <c r="M274" s="25">
        <v>358</v>
      </c>
      <c r="N274" s="26">
        <f t="shared" si="32"/>
        <v>1961</v>
      </c>
      <c r="O274" s="25">
        <v>2319</v>
      </c>
      <c r="P274" s="24">
        <f t="shared" si="33"/>
        <v>0</v>
      </c>
      <c r="Q274" s="27"/>
      <c r="R274" s="24">
        <f t="shared" si="34"/>
        <v>0</v>
      </c>
      <c r="S274" s="28" t="s">
        <v>18</v>
      </c>
      <c r="T274" s="20" t="s">
        <v>314</v>
      </c>
    </row>
    <row r="275" spans="1:20" ht="37.5" customHeight="1" x14ac:dyDescent="0.25">
      <c r="A275" s="20" t="s">
        <v>315</v>
      </c>
      <c r="B275">
        <f t="shared" si="30"/>
        <v>42916</v>
      </c>
      <c r="C275">
        <v>6946</v>
      </c>
      <c r="D275">
        <v>35970</v>
      </c>
      <c r="F275">
        <f t="shared" si="29"/>
        <v>493</v>
      </c>
      <c r="G275" s="21">
        <f t="shared" si="35"/>
        <v>270</v>
      </c>
      <c r="H275" s="22">
        <v>66618010279</v>
      </c>
      <c r="I275" s="23">
        <v>362</v>
      </c>
      <c r="J275" s="24"/>
      <c r="K275" s="25">
        <v>42423</v>
      </c>
      <c r="L275" s="24">
        <f t="shared" si="31"/>
        <v>493</v>
      </c>
      <c r="M275" s="25">
        <v>6840</v>
      </c>
      <c r="N275" s="26">
        <f t="shared" si="32"/>
        <v>29130</v>
      </c>
      <c r="O275" s="25">
        <v>35583</v>
      </c>
      <c r="P275" s="24">
        <f t="shared" si="33"/>
        <v>387</v>
      </c>
      <c r="Q275" s="27"/>
      <c r="R275" s="24">
        <f t="shared" si="34"/>
        <v>0</v>
      </c>
      <c r="S275" s="28" t="s">
        <v>18</v>
      </c>
      <c r="T275" s="20" t="s">
        <v>315</v>
      </c>
    </row>
    <row r="276" spans="1:20" ht="37.5" customHeight="1" x14ac:dyDescent="0.25">
      <c r="A276" s="20" t="s">
        <v>316</v>
      </c>
      <c r="B276">
        <f t="shared" si="30"/>
        <v>8849</v>
      </c>
      <c r="C276">
        <v>1390</v>
      </c>
      <c r="D276">
        <v>7459</v>
      </c>
      <c r="F276">
        <f t="shared" si="29"/>
        <v>129</v>
      </c>
      <c r="G276" s="21">
        <f t="shared" si="35"/>
        <v>271</v>
      </c>
      <c r="H276" s="22">
        <v>88819010001</v>
      </c>
      <c r="I276" s="23">
        <v>363</v>
      </c>
      <c r="J276" s="24"/>
      <c r="K276" s="25">
        <v>8720</v>
      </c>
      <c r="L276" s="24">
        <f t="shared" si="31"/>
        <v>129</v>
      </c>
      <c r="M276" s="25">
        <v>1366</v>
      </c>
      <c r="N276" s="26">
        <f t="shared" si="32"/>
        <v>6093</v>
      </c>
      <c r="O276" s="25">
        <v>7354</v>
      </c>
      <c r="P276" s="24">
        <f t="shared" si="33"/>
        <v>105</v>
      </c>
      <c r="Q276" s="27"/>
      <c r="R276" s="24">
        <f t="shared" si="34"/>
        <v>0</v>
      </c>
      <c r="S276" s="28" t="s">
        <v>18</v>
      </c>
      <c r="T276" s="20" t="s">
        <v>316</v>
      </c>
    </row>
    <row r="277" spans="1:20" ht="37.5" customHeight="1" x14ac:dyDescent="0.25">
      <c r="A277" s="20" t="s">
        <v>317</v>
      </c>
      <c r="B277">
        <f t="shared" si="30"/>
        <v>14052</v>
      </c>
      <c r="C277">
        <v>2056</v>
      </c>
      <c r="D277">
        <v>11996</v>
      </c>
      <c r="F277">
        <f t="shared" si="29"/>
        <v>315</v>
      </c>
      <c r="G277" s="21">
        <f t="shared" si="35"/>
        <v>272</v>
      </c>
      <c r="H277" s="22">
        <v>66622010400</v>
      </c>
      <c r="I277" s="23">
        <v>364</v>
      </c>
      <c r="J277" s="24"/>
      <c r="K277" s="25">
        <v>13737</v>
      </c>
      <c r="L277" s="24">
        <f t="shared" si="31"/>
        <v>315</v>
      </c>
      <c r="M277" s="25">
        <v>1997</v>
      </c>
      <c r="N277" s="26">
        <f t="shared" si="32"/>
        <v>9999</v>
      </c>
      <c r="O277" s="25">
        <v>11740</v>
      </c>
      <c r="P277" s="24">
        <f t="shared" si="33"/>
        <v>256</v>
      </c>
      <c r="Q277" s="27"/>
      <c r="R277" s="24">
        <f t="shared" si="34"/>
        <v>0</v>
      </c>
      <c r="S277" s="28" t="s">
        <v>18</v>
      </c>
      <c r="T277" s="20" t="s">
        <v>317</v>
      </c>
    </row>
    <row r="278" spans="1:20" ht="37.5" customHeight="1" x14ac:dyDescent="0.25">
      <c r="A278" s="20" t="s">
        <v>318</v>
      </c>
      <c r="B278">
        <f t="shared" si="30"/>
        <v>15554</v>
      </c>
      <c r="C278">
        <v>3521</v>
      </c>
      <c r="D278">
        <v>12033</v>
      </c>
      <c r="F278">
        <f t="shared" si="29"/>
        <v>323</v>
      </c>
      <c r="G278" s="21">
        <f t="shared" si="35"/>
        <v>273</v>
      </c>
      <c r="H278" s="22">
        <v>66622030026</v>
      </c>
      <c r="I278" s="23">
        <v>365</v>
      </c>
      <c r="J278" s="24"/>
      <c r="K278" s="25">
        <v>15231</v>
      </c>
      <c r="L278" s="24">
        <f t="shared" si="31"/>
        <v>323</v>
      </c>
      <c r="M278" s="25">
        <v>3456</v>
      </c>
      <c r="N278" s="26">
        <f t="shared" si="32"/>
        <v>8577</v>
      </c>
      <c r="O278" s="25">
        <v>11775</v>
      </c>
      <c r="P278" s="24">
        <f t="shared" si="33"/>
        <v>258</v>
      </c>
      <c r="Q278" s="27"/>
      <c r="R278" s="24">
        <f t="shared" si="34"/>
        <v>0</v>
      </c>
      <c r="S278" s="28" t="s">
        <v>18</v>
      </c>
      <c r="T278" s="20" t="s">
        <v>318</v>
      </c>
    </row>
    <row r="279" spans="1:20" ht="37.5" customHeight="1" x14ac:dyDescent="0.25">
      <c r="A279" s="20" t="s">
        <v>319</v>
      </c>
      <c r="B279">
        <f t="shared" si="30"/>
        <v>332</v>
      </c>
      <c r="C279">
        <v>105</v>
      </c>
      <c r="D279">
        <v>227</v>
      </c>
      <c r="E279">
        <v>1620</v>
      </c>
      <c r="F279">
        <f t="shared" si="29"/>
        <v>224</v>
      </c>
      <c r="G279" s="21">
        <f t="shared" si="35"/>
        <v>274</v>
      </c>
      <c r="H279" s="22">
        <v>99625010030</v>
      </c>
      <c r="I279" s="23">
        <v>366</v>
      </c>
      <c r="J279" s="24"/>
      <c r="K279" s="25">
        <f>M279+O279</f>
        <v>108</v>
      </c>
      <c r="L279" s="24">
        <f t="shared" si="31"/>
        <v>224</v>
      </c>
      <c r="M279" s="25">
        <v>39</v>
      </c>
      <c r="N279" s="26">
        <f t="shared" si="32"/>
        <v>188</v>
      </c>
      <c r="O279" s="25">
        <v>69</v>
      </c>
      <c r="P279" s="24">
        <f t="shared" si="33"/>
        <v>158</v>
      </c>
      <c r="Q279" s="27">
        <v>791</v>
      </c>
      <c r="R279" s="24">
        <f t="shared" si="34"/>
        <v>829</v>
      </c>
      <c r="S279" s="28" t="s">
        <v>18</v>
      </c>
      <c r="T279" s="20" t="s">
        <v>319</v>
      </c>
    </row>
    <row r="280" spans="1:20" ht="37.5" customHeight="1" x14ac:dyDescent="0.25">
      <c r="A280" s="20" t="s">
        <v>320</v>
      </c>
      <c r="B280">
        <f t="shared" si="30"/>
        <v>18592</v>
      </c>
      <c r="C280">
        <v>2911</v>
      </c>
      <c r="D280">
        <v>15681</v>
      </c>
      <c r="F280">
        <f t="shared" si="29"/>
        <v>842</v>
      </c>
      <c r="G280" s="21">
        <f t="shared" si="35"/>
        <v>275</v>
      </c>
      <c r="H280" s="22">
        <v>66621040177</v>
      </c>
      <c r="I280" s="23">
        <v>367</v>
      </c>
      <c r="J280" s="24"/>
      <c r="K280" s="25">
        <v>17750</v>
      </c>
      <c r="L280" s="24">
        <f t="shared" si="31"/>
        <v>842</v>
      </c>
      <c r="M280" s="25">
        <v>2791</v>
      </c>
      <c r="N280" s="26">
        <f t="shared" si="32"/>
        <v>12890</v>
      </c>
      <c r="O280" s="25">
        <v>14959</v>
      </c>
      <c r="P280" s="24">
        <f t="shared" si="33"/>
        <v>722</v>
      </c>
      <c r="Q280" s="27"/>
      <c r="R280" s="24">
        <f t="shared" si="34"/>
        <v>0</v>
      </c>
      <c r="S280" s="28" t="s">
        <v>18</v>
      </c>
      <c r="T280" s="20" t="s">
        <v>320</v>
      </c>
    </row>
    <row r="281" spans="1:20" ht="37.5" customHeight="1" x14ac:dyDescent="0.25">
      <c r="A281" s="20" t="s">
        <v>321</v>
      </c>
      <c r="B281">
        <f t="shared" si="30"/>
        <v>1410</v>
      </c>
      <c r="C281">
        <v>166</v>
      </c>
      <c r="D281">
        <v>1244</v>
      </c>
      <c r="F281">
        <f t="shared" si="29"/>
        <v>90</v>
      </c>
      <c r="G281" s="21">
        <f t="shared" si="35"/>
        <v>276</v>
      </c>
      <c r="H281" s="22">
        <v>66623030425</v>
      </c>
      <c r="I281" s="23">
        <v>368</v>
      </c>
      <c r="J281" s="24"/>
      <c r="K281" s="25">
        <v>1320</v>
      </c>
      <c r="L281" s="24">
        <f t="shared" si="31"/>
        <v>90</v>
      </c>
      <c r="M281" s="25">
        <v>146</v>
      </c>
      <c r="N281" s="26">
        <f t="shared" si="32"/>
        <v>1098</v>
      </c>
      <c r="O281" s="25">
        <v>1174</v>
      </c>
      <c r="P281" s="24">
        <f t="shared" si="33"/>
        <v>70</v>
      </c>
      <c r="Q281" s="27"/>
      <c r="R281" s="24">
        <f t="shared" si="34"/>
        <v>0</v>
      </c>
      <c r="S281" s="28" t="s">
        <v>18</v>
      </c>
      <c r="T281" s="20" t="s">
        <v>321</v>
      </c>
    </row>
    <row r="282" spans="1:20" ht="37.5" customHeight="1" x14ac:dyDescent="0.25">
      <c r="A282" s="20" t="s">
        <v>322</v>
      </c>
      <c r="B282">
        <f t="shared" si="30"/>
        <v>20856</v>
      </c>
      <c r="C282">
        <v>3299</v>
      </c>
      <c r="D282">
        <v>17557</v>
      </c>
      <c r="F282">
        <f t="shared" si="29"/>
        <v>244</v>
      </c>
      <c r="G282" s="21">
        <f t="shared" si="35"/>
        <v>277</v>
      </c>
      <c r="H282" s="22">
        <v>23013090451</v>
      </c>
      <c r="I282" s="23">
        <v>370</v>
      </c>
      <c r="J282" s="24"/>
      <c r="K282" s="25">
        <v>20612</v>
      </c>
      <c r="L282" s="24">
        <f t="shared" si="31"/>
        <v>244</v>
      </c>
      <c r="M282" s="25">
        <v>3260</v>
      </c>
      <c r="N282" s="26">
        <f t="shared" si="32"/>
        <v>14297</v>
      </c>
      <c r="O282" s="25">
        <v>17352</v>
      </c>
      <c r="P282" s="24">
        <f t="shared" si="33"/>
        <v>205</v>
      </c>
      <c r="Q282" s="27"/>
      <c r="R282" s="24">
        <f t="shared" si="34"/>
        <v>0</v>
      </c>
      <c r="S282" s="28" t="s">
        <v>18</v>
      </c>
      <c r="T282" s="20" t="s">
        <v>322</v>
      </c>
    </row>
    <row r="283" spans="1:20" ht="37.5" customHeight="1" x14ac:dyDescent="0.25">
      <c r="A283" s="20" t="s">
        <v>323</v>
      </c>
      <c r="B283">
        <f t="shared" si="30"/>
        <v>41414</v>
      </c>
      <c r="C283">
        <v>10948</v>
      </c>
      <c r="D283">
        <v>30466</v>
      </c>
      <c r="E283">
        <v>31230</v>
      </c>
      <c r="F283">
        <f t="shared" si="29"/>
        <v>1883</v>
      </c>
      <c r="G283" s="21">
        <f t="shared" si="35"/>
        <v>278</v>
      </c>
      <c r="H283" s="22">
        <v>99723030003</v>
      </c>
      <c r="I283" s="23">
        <v>371</v>
      </c>
      <c r="J283" s="24"/>
      <c r="K283" s="25">
        <f>M283+O283</f>
        <v>39531</v>
      </c>
      <c r="L283" s="24">
        <f t="shared" si="31"/>
        <v>1883</v>
      </c>
      <c r="M283" s="25">
        <v>10458</v>
      </c>
      <c r="N283" s="26">
        <f t="shared" si="32"/>
        <v>20008</v>
      </c>
      <c r="O283" s="25">
        <v>29073</v>
      </c>
      <c r="P283" s="24">
        <f t="shared" si="33"/>
        <v>1393</v>
      </c>
      <c r="Q283" s="27">
        <v>29465</v>
      </c>
      <c r="R283" s="24">
        <f t="shared" si="34"/>
        <v>1765</v>
      </c>
      <c r="S283" s="28" t="s">
        <v>18</v>
      </c>
      <c r="T283" s="20" t="s">
        <v>323</v>
      </c>
    </row>
    <row r="284" spans="1:20" ht="37.5" customHeight="1" x14ac:dyDescent="0.25">
      <c r="A284" s="20" t="s">
        <v>324</v>
      </c>
      <c r="B284">
        <f t="shared" si="30"/>
        <v>9454</v>
      </c>
      <c r="C284">
        <v>2152</v>
      </c>
      <c r="D284">
        <v>7302</v>
      </c>
      <c r="E284">
        <v>7056</v>
      </c>
      <c r="F284">
        <f t="shared" si="29"/>
        <v>759</v>
      </c>
      <c r="G284" s="21">
        <f t="shared" si="35"/>
        <v>279</v>
      </c>
      <c r="H284" s="22">
        <v>99624030186</v>
      </c>
      <c r="I284" s="23">
        <v>372</v>
      </c>
      <c r="J284" s="24"/>
      <c r="K284" s="25">
        <f>M284+O284</f>
        <v>8695</v>
      </c>
      <c r="L284" s="24">
        <f t="shared" si="31"/>
        <v>759</v>
      </c>
      <c r="M284" s="25">
        <v>1970</v>
      </c>
      <c r="N284" s="26">
        <f t="shared" si="32"/>
        <v>5332</v>
      </c>
      <c r="O284" s="25">
        <v>6725</v>
      </c>
      <c r="P284" s="24">
        <f t="shared" si="33"/>
        <v>577</v>
      </c>
      <c r="Q284" s="27">
        <v>5511</v>
      </c>
      <c r="R284" s="24">
        <f t="shared" si="34"/>
        <v>1545</v>
      </c>
      <c r="S284" s="28" t="s">
        <v>18</v>
      </c>
      <c r="T284" s="20" t="s">
        <v>324</v>
      </c>
    </row>
    <row r="285" spans="1:20" ht="37.5" customHeight="1" x14ac:dyDescent="0.25">
      <c r="A285" s="20" t="s">
        <v>325</v>
      </c>
      <c r="B285">
        <f t="shared" si="30"/>
        <v>12719</v>
      </c>
      <c r="C285">
        <v>2237</v>
      </c>
      <c r="D285">
        <v>10482</v>
      </c>
      <c r="F285">
        <f t="shared" si="29"/>
        <v>87</v>
      </c>
      <c r="G285" s="21">
        <f t="shared" si="35"/>
        <v>280</v>
      </c>
      <c r="H285" s="22">
        <v>66617020171</v>
      </c>
      <c r="I285" s="23">
        <v>374</v>
      </c>
      <c r="J285" s="24"/>
      <c r="K285" s="25">
        <v>12632</v>
      </c>
      <c r="L285" s="24">
        <f t="shared" si="31"/>
        <v>87</v>
      </c>
      <c r="M285" s="25">
        <v>2227</v>
      </c>
      <c r="N285" s="26">
        <f t="shared" si="32"/>
        <v>8255</v>
      </c>
      <c r="O285" s="25">
        <v>10405</v>
      </c>
      <c r="P285" s="24">
        <f t="shared" si="33"/>
        <v>77</v>
      </c>
      <c r="Q285" s="27"/>
      <c r="R285" s="24">
        <f t="shared" si="34"/>
        <v>0</v>
      </c>
      <c r="S285" s="28" t="s">
        <v>18</v>
      </c>
      <c r="T285" s="20" t="s">
        <v>325</v>
      </c>
    </row>
    <row r="286" spans="1:20" ht="37.5" customHeight="1" x14ac:dyDescent="0.25">
      <c r="A286" s="20" t="s">
        <v>326</v>
      </c>
      <c r="B286">
        <f t="shared" si="30"/>
        <v>41702</v>
      </c>
      <c r="C286">
        <v>7864</v>
      </c>
      <c r="D286">
        <v>33838</v>
      </c>
      <c r="F286">
        <f t="shared" si="29"/>
        <v>980</v>
      </c>
      <c r="G286" s="21">
        <f t="shared" si="35"/>
        <v>281</v>
      </c>
      <c r="H286" s="22">
        <v>66617010238</v>
      </c>
      <c r="I286" s="23">
        <v>395</v>
      </c>
      <c r="J286" s="24"/>
      <c r="K286" s="25">
        <v>40722</v>
      </c>
      <c r="L286" s="24">
        <f t="shared" si="31"/>
        <v>980</v>
      </c>
      <c r="M286" s="25">
        <v>7672</v>
      </c>
      <c r="N286" s="26">
        <f t="shared" si="32"/>
        <v>26166</v>
      </c>
      <c r="O286" s="25">
        <v>33050</v>
      </c>
      <c r="P286" s="24">
        <f t="shared" si="33"/>
        <v>788</v>
      </c>
      <c r="Q286" s="27"/>
      <c r="R286" s="24">
        <f t="shared" si="34"/>
        <v>0</v>
      </c>
      <c r="S286" s="28" t="s">
        <v>18</v>
      </c>
      <c r="T286" s="20" t="s">
        <v>326</v>
      </c>
    </row>
    <row r="287" spans="1:20" ht="37.5" customHeight="1" x14ac:dyDescent="0.25">
      <c r="A287" s="20" t="s">
        <v>327</v>
      </c>
      <c r="B287">
        <v>20689</v>
      </c>
      <c r="F287">
        <f t="shared" si="29"/>
        <v>226</v>
      </c>
      <c r="G287" s="21">
        <f t="shared" si="35"/>
        <v>282</v>
      </c>
      <c r="H287" s="22">
        <v>11818020160</v>
      </c>
      <c r="I287" s="23" t="s">
        <v>328</v>
      </c>
      <c r="J287" s="24"/>
      <c r="K287" s="25">
        <v>20463</v>
      </c>
      <c r="L287" s="24">
        <f t="shared" si="31"/>
        <v>226</v>
      </c>
      <c r="M287" s="25"/>
      <c r="N287" s="26">
        <f t="shared" si="32"/>
        <v>0</v>
      </c>
      <c r="O287" s="25"/>
      <c r="P287" s="24">
        <f t="shared" si="33"/>
        <v>0</v>
      </c>
      <c r="Q287" s="27"/>
      <c r="R287" s="24">
        <f t="shared" si="34"/>
        <v>0</v>
      </c>
      <c r="S287" s="28" t="s">
        <v>18</v>
      </c>
      <c r="T287" s="20" t="s">
        <v>327</v>
      </c>
    </row>
    <row r="288" spans="1:20" ht="37.5" customHeight="1" x14ac:dyDescent="0.25">
      <c r="A288" s="20" t="s">
        <v>329</v>
      </c>
      <c r="B288">
        <f t="shared" si="30"/>
        <v>63584</v>
      </c>
      <c r="C288">
        <v>10691</v>
      </c>
      <c r="D288">
        <v>52893</v>
      </c>
      <c r="F288">
        <f t="shared" si="29"/>
        <v>370</v>
      </c>
      <c r="G288" s="21">
        <f t="shared" si="35"/>
        <v>283</v>
      </c>
      <c r="H288" s="22">
        <v>23013040268</v>
      </c>
      <c r="I288" s="23" t="s">
        <v>330</v>
      </c>
      <c r="J288" s="24"/>
      <c r="K288" s="25">
        <v>63214</v>
      </c>
      <c r="L288" s="24">
        <f t="shared" si="31"/>
        <v>370</v>
      </c>
      <c r="M288" s="25">
        <v>10630</v>
      </c>
      <c r="N288" s="26">
        <f t="shared" si="32"/>
        <v>42263</v>
      </c>
      <c r="O288" s="25">
        <v>52584</v>
      </c>
      <c r="P288" s="24">
        <f t="shared" si="33"/>
        <v>309</v>
      </c>
      <c r="Q288" s="27"/>
      <c r="R288" s="24">
        <f t="shared" si="34"/>
        <v>0</v>
      </c>
      <c r="S288" s="28" t="s">
        <v>331</v>
      </c>
      <c r="T288" s="20" t="s">
        <v>329</v>
      </c>
    </row>
    <row r="289" spans="1:20" ht="37.5" customHeight="1" x14ac:dyDescent="0.25">
      <c r="A289" s="20" t="s">
        <v>332</v>
      </c>
      <c r="B289">
        <f t="shared" si="30"/>
        <v>20544</v>
      </c>
      <c r="C289">
        <v>2856</v>
      </c>
      <c r="D289">
        <v>17688</v>
      </c>
      <c r="F289">
        <f t="shared" si="29"/>
        <v>8</v>
      </c>
      <c r="G289" s="21">
        <f t="shared" si="35"/>
        <v>284</v>
      </c>
      <c r="H289" s="22">
        <v>88819050262</v>
      </c>
      <c r="I289" s="23" t="s">
        <v>333</v>
      </c>
      <c r="J289" s="24"/>
      <c r="K289" s="25">
        <v>20536</v>
      </c>
      <c r="L289" s="24">
        <f t="shared" si="31"/>
        <v>8</v>
      </c>
      <c r="M289" s="25">
        <v>2856</v>
      </c>
      <c r="N289" s="26">
        <f t="shared" si="32"/>
        <v>14832</v>
      </c>
      <c r="O289" s="25">
        <v>17680</v>
      </c>
      <c r="P289" s="24">
        <f t="shared" si="33"/>
        <v>8</v>
      </c>
      <c r="Q289" s="27"/>
      <c r="R289" s="24">
        <f t="shared" si="34"/>
        <v>0</v>
      </c>
      <c r="S289" s="28" t="s">
        <v>331</v>
      </c>
      <c r="T289" s="20" t="s">
        <v>332</v>
      </c>
    </row>
    <row r="290" spans="1:20" ht="37.5" customHeight="1" x14ac:dyDescent="0.25">
      <c r="A290" s="20"/>
      <c r="F290">
        <f t="shared" si="29"/>
        <v>0</v>
      </c>
      <c r="G290" s="21">
        <f t="shared" si="35"/>
        <v>285</v>
      </c>
      <c r="H290" s="22">
        <v>202842</v>
      </c>
      <c r="I290" s="23" t="s">
        <v>335</v>
      </c>
      <c r="J290" s="24"/>
      <c r="K290" s="25"/>
      <c r="L290" s="24">
        <f t="shared" si="31"/>
        <v>0</v>
      </c>
      <c r="M290" s="25"/>
      <c r="N290" s="26">
        <f t="shared" si="32"/>
        <v>0</v>
      </c>
      <c r="O290" s="25"/>
      <c r="P290" s="24">
        <f t="shared" si="33"/>
        <v>0</v>
      </c>
      <c r="Q290" s="27"/>
      <c r="R290" s="24">
        <f t="shared" si="34"/>
        <v>0</v>
      </c>
      <c r="S290" s="28" t="s">
        <v>331</v>
      </c>
      <c r="T290" s="20" t="s">
        <v>334</v>
      </c>
    </row>
    <row r="291" spans="1:20" ht="37.5" customHeight="1" x14ac:dyDescent="0.25">
      <c r="A291" s="20" t="s">
        <v>336</v>
      </c>
      <c r="B291">
        <f t="shared" si="30"/>
        <v>5807</v>
      </c>
      <c r="C291">
        <v>1272</v>
      </c>
      <c r="D291">
        <v>4535</v>
      </c>
      <c r="F291">
        <f t="shared" si="29"/>
        <v>108</v>
      </c>
      <c r="G291" s="21">
        <f t="shared" si="35"/>
        <v>286</v>
      </c>
      <c r="H291" s="22">
        <v>52521705125</v>
      </c>
      <c r="I291" s="23" t="s">
        <v>337</v>
      </c>
      <c r="J291" s="24"/>
      <c r="K291" s="25">
        <v>5699</v>
      </c>
      <c r="L291" s="24">
        <f t="shared" si="31"/>
        <v>108</v>
      </c>
      <c r="M291" s="25">
        <v>1265</v>
      </c>
      <c r="N291" s="26">
        <f t="shared" si="32"/>
        <v>3270</v>
      </c>
      <c r="O291" s="25">
        <v>4434</v>
      </c>
      <c r="P291" s="24">
        <f t="shared" si="33"/>
        <v>101</v>
      </c>
      <c r="Q291" s="27"/>
      <c r="R291" s="24">
        <f t="shared" si="34"/>
        <v>0</v>
      </c>
      <c r="S291" s="28" t="s">
        <v>331</v>
      </c>
      <c r="T291" s="20" t="s">
        <v>336</v>
      </c>
    </row>
    <row r="292" spans="1:20" ht="37.5" customHeight="1" x14ac:dyDescent="0.25">
      <c r="A292" s="20" t="s">
        <v>338</v>
      </c>
      <c r="B292">
        <f t="shared" si="30"/>
        <v>39539</v>
      </c>
      <c r="C292">
        <v>5623</v>
      </c>
      <c r="D292">
        <v>33916</v>
      </c>
      <c r="F292">
        <f t="shared" si="29"/>
        <v>927</v>
      </c>
      <c r="G292" s="21">
        <f t="shared" si="35"/>
        <v>287</v>
      </c>
      <c r="H292" s="22">
        <v>66621030106</v>
      </c>
      <c r="I292" s="23" t="s">
        <v>339</v>
      </c>
      <c r="J292" s="24"/>
      <c r="K292" s="25">
        <v>38612</v>
      </c>
      <c r="L292" s="24">
        <f t="shared" si="31"/>
        <v>927</v>
      </c>
      <c r="M292" s="25">
        <v>5481</v>
      </c>
      <c r="N292" s="26">
        <f t="shared" si="32"/>
        <v>28435</v>
      </c>
      <c r="O292" s="25">
        <v>33131</v>
      </c>
      <c r="P292" s="24">
        <f t="shared" si="33"/>
        <v>785</v>
      </c>
      <c r="Q292" s="27"/>
      <c r="R292" s="24">
        <f t="shared" si="34"/>
        <v>0</v>
      </c>
      <c r="S292" s="28" t="s">
        <v>331</v>
      </c>
      <c r="T292" s="20" t="s">
        <v>338</v>
      </c>
    </row>
    <row r="293" spans="1:20" ht="37.5" customHeight="1" x14ac:dyDescent="0.25">
      <c r="A293" s="20" t="s">
        <v>340</v>
      </c>
      <c r="B293">
        <f t="shared" si="30"/>
        <v>39123</v>
      </c>
      <c r="C293">
        <v>6990</v>
      </c>
      <c r="D293">
        <v>32133</v>
      </c>
      <c r="F293">
        <f t="shared" si="29"/>
        <v>1334</v>
      </c>
      <c r="G293" s="21">
        <f t="shared" si="35"/>
        <v>288</v>
      </c>
      <c r="H293" s="22">
        <v>66622050277</v>
      </c>
      <c r="I293" s="23" t="s">
        <v>341</v>
      </c>
      <c r="J293" s="24"/>
      <c r="K293" s="25">
        <v>37789</v>
      </c>
      <c r="L293" s="24">
        <f t="shared" si="31"/>
        <v>1334</v>
      </c>
      <c r="M293" s="25">
        <v>6749</v>
      </c>
      <c r="N293" s="26">
        <f t="shared" si="32"/>
        <v>25384</v>
      </c>
      <c r="O293" s="25">
        <v>31040</v>
      </c>
      <c r="P293" s="24">
        <f t="shared" si="33"/>
        <v>1093</v>
      </c>
      <c r="Q293" s="27"/>
      <c r="R293" s="24">
        <f t="shared" si="34"/>
        <v>0</v>
      </c>
      <c r="S293" s="28" t="s">
        <v>331</v>
      </c>
      <c r="T293" s="20" t="s">
        <v>340</v>
      </c>
    </row>
    <row r="294" spans="1:20" ht="37.5" customHeight="1" x14ac:dyDescent="0.25">
      <c r="A294" s="20" t="s">
        <v>342</v>
      </c>
      <c r="B294">
        <f t="shared" si="30"/>
        <v>39974</v>
      </c>
      <c r="C294">
        <v>7217</v>
      </c>
      <c r="D294">
        <v>32757</v>
      </c>
      <c r="F294">
        <f t="shared" si="29"/>
        <v>1360</v>
      </c>
      <c r="G294" s="21">
        <f t="shared" si="35"/>
        <v>289</v>
      </c>
      <c r="H294" s="22">
        <v>88819020222</v>
      </c>
      <c r="I294" s="23" t="s">
        <v>343</v>
      </c>
      <c r="J294" s="24"/>
      <c r="K294" s="25">
        <v>38614</v>
      </c>
      <c r="L294" s="24">
        <f t="shared" si="31"/>
        <v>1360</v>
      </c>
      <c r="M294" s="25">
        <v>6975</v>
      </c>
      <c r="N294" s="26">
        <f t="shared" si="32"/>
        <v>25782</v>
      </c>
      <c r="O294" s="25">
        <v>31639</v>
      </c>
      <c r="P294" s="24">
        <f t="shared" si="33"/>
        <v>1118</v>
      </c>
      <c r="Q294" s="27"/>
      <c r="R294" s="24">
        <f t="shared" si="34"/>
        <v>0</v>
      </c>
      <c r="S294" s="28" t="s">
        <v>331</v>
      </c>
      <c r="T294" s="20" t="s">
        <v>342</v>
      </c>
    </row>
    <row r="295" spans="1:20" ht="37.5" customHeight="1" x14ac:dyDescent="0.25">
      <c r="A295" s="20" t="s">
        <v>344</v>
      </c>
      <c r="B295">
        <f t="shared" si="30"/>
        <v>45564</v>
      </c>
      <c r="C295">
        <v>7923</v>
      </c>
      <c r="D295">
        <v>37641</v>
      </c>
      <c r="F295">
        <f t="shared" si="29"/>
        <v>549</v>
      </c>
      <c r="G295" s="21">
        <f t="shared" si="35"/>
        <v>290</v>
      </c>
      <c r="H295" s="22">
        <v>88819010112</v>
      </c>
      <c r="I295" s="23">
        <v>175</v>
      </c>
      <c r="J295" s="24"/>
      <c r="K295" s="25">
        <v>45015</v>
      </c>
      <c r="L295" s="24">
        <f t="shared" si="31"/>
        <v>549</v>
      </c>
      <c r="M295" s="25">
        <v>7810</v>
      </c>
      <c r="N295" s="26">
        <f t="shared" si="32"/>
        <v>29831</v>
      </c>
      <c r="O295" s="25">
        <v>37205</v>
      </c>
      <c r="P295" s="24">
        <f t="shared" si="33"/>
        <v>436</v>
      </c>
      <c r="Q295" s="27"/>
      <c r="R295" s="24">
        <f t="shared" si="34"/>
        <v>0</v>
      </c>
      <c r="S295" s="28" t="s">
        <v>345</v>
      </c>
      <c r="T295" s="20" t="s">
        <v>344</v>
      </c>
    </row>
    <row r="296" spans="1:20" ht="37.5" customHeight="1" x14ac:dyDescent="0.25">
      <c r="A296" s="20" t="s">
        <v>346</v>
      </c>
      <c r="B296">
        <f t="shared" si="30"/>
        <v>172156</v>
      </c>
      <c r="C296">
        <v>32167</v>
      </c>
      <c r="D296">
        <v>139989</v>
      </c>
      <c r="F296">
        <f t="shared" si="29"/>
        <v>1322</v>
      </c>
      <c r="G296" s="21">
        <f t="shared" si="35"/>
        <v>291</v>
      </c>
      <c r="H296" s="22">
        <v>88820020302</v>
      </c>
      <c r="I296" s="23" t="s">
        <v>347</v>
      </c>
      <c r="J296" s="24"/>
      <c r="K296" s="25">
        <v>170834</v>
      </c>
      <c r="L296" s="24">
        <f t="shared" si="31"/>
        <v>1322</v>
      </c>
      <c r="M296" s="25">
        <v>31929</v>
      </c>
      <c r="N296" s="26">
        <f t="shared" si="32"/>
        <v>108060</v>
      </c>
      <c r="O296" s="25">
        <v>138905</v>
      </c>
      <c r="P296" s="24">
        <f t="shared" si="33"/>
        <v>1084</v>
      </c>
      <c r="Q296" s="27"/>
      <c r="R296" s="24">
        <f t="shared" si="34"/>
        <v>0</v>
      </c>
      <c r="S296" s="28" t="s">
        <v>345</v>
      </c>
      <c r="T296" s="20" t="s">
        <v>346</v>
      </c>
    </row>
    <row r="297" spans="1:20" ht="37.5" customHeight="1" x14ac:dyDescent="0.25">
      <c r="A297" s="20" t="s">
        <v>348</v>
      </c>
      <c r="B297">
        <f t="shared" si="30"/>
        <v>2205</v>
      </c>
      <c r="C297">
        <v>855</v>
      </c>
      <c r="D297">
        <v>1350</v>
      </c>
      <c r="F297">
        <f t="shared" si="29"/>
        <v>6</v>
      </c>
      <c r="G297" s="21">
        <f t="shared" si="35"/>
        <v>292</v>
      </c>
      <c r="H297" s="22">
        <v>68228106728</v>
      </c>
      <c r="I297" s="23" t="s">
        <v>349</v>
      </c>
      <c r="J297" s="24"/>
      <c r="K297" s="25">
        <v>2199</v>
      </c>
      <c r="L297" s="24">
        <f t="shared" si="31"/>
        <v>6</v>
      </c>
      <c r="M297" s="25">
        <v>854</v>
      </c>
      <c r="N297" s="26">
        <f t="shared" si="32"/>
        <v>496</v>
      </c>
      <c r="O297" s="25">
        <v>1345</v>
      </c>
      <c r="P297" s="24">
        <f t="shared" si="33"/>
        <v>5</v>
      </c>
      <c r="Q297" s="27"/>
      <c r="R297" s="24">
        <f t="shared" si="34"/>
        <v>0</v>
      </c>
      <c r="S297" s="28" t="s">
        <v>345</v>
      </c>
      <c r="T297" s="20" t="s">
        <v>348</v>
      </c>
    </row>
    <row r="298" spans="1:20" ht="37.5" customHeight="1" x14ac:dyDescent="0.25">
      <c r="A298" s="20" t="s">
        <v>350</v>
      </c>
      <c r="B298">
        <f t="shared" si="30"/>
        <v>3260</v>
      </c>
      <c r="C298">
        <v>1329</v>
      </c>
      <c r="D298">
        <v>1931</v>
      </c>
      <c r="F298">
        <f t="shared" si="29"/>
        <v>20</v>
      </c>
      <c r="G298" s="21">
        <f t="shared" si="35"/>
        <v>293</v>
      </c>
      <c r="H298" s="22">
        <v>52521702910</v>
      </c>
      <c r="I298" s="23" t="s">
        <v>351</v>
      </c>
      <c r="J298" s="24"/>
      <c r="K298" s="25">
        <v>3240</v>
      </c>
      <c r="L298" s="24">
        <f t="shared" si="31"/>
        <v>20</v>
      </c>
      <c r="M298" s="25">
        <v>1328</v>
      </c>
      <c r="N298" s="26">
        <f t="shared" si="32"/>
        <v>603</v>
      </c>
      <c r="O298" s="25">
        <v>1912</v>
      </c>
      <c r="P298" s="24">
        <f t="shared" si="33"/>
        <v>19</v>
      </c>
      <c r="Q298" s="27"/>
      <c r="R298" s="24">
        <f t="shared" si="34"/>
        <v>0</v>
      </c>
      <c r="S298" s="28" t="s">
        <v>345</v>
      </c>
      <c r="T298" s="20" t="s">
        <v>350</v>
      </c>
    </row>
    <row r="299" spans="1:20" ht="37.5" customHeight="1" x14ac:dyDescent="0.25">
      <c r="A299" s="20" t="s">
        <v>352</v>
      </c>
      <c r="B299">
        <f t="shared" si="30"/>
        <v>1004</v>
      </c>
      <c r="C299">
        <v>691</v>
      </c>
      <c r="D299">
        <v>313</v>
      </c>
      <c r="F299">
        <f t="shared" si="29"/>
        <v>10</v>
      </c>
      <c r="G299" s="21">
        <f t="shared" si="35"/>
        <v>294</v>
      </c>
      <c r="H299" s="22">
        <v>68228106713</v>
      </c>
      <c r="I299" s="23" t="s">
        <v>353</v>
      </c>
      <c r="J299" s="24"/>
      <c r="K299" s="25">
        <v>994</v>
      </c>
      <c r="L299" s="24">
        <f t="shared" si="31"/>
        <v>10</v>
      </c>
      <c r="M299" s="25">
        <v>682</v>
      </c>
      <c r="N299" s="26">
        <f t="shared" si="32"/>
        <v>-369</v>
      </c>
      <c r="O299" s="25">
        <v>312</v>
      </c>
      <c r="P299" s="24">
        <f t="shared" si="33"/>
        <v>1</v>
      </c>
      <c r="Q299" s="27"/>
      <c r="R299" s="24">
        <f t="shared" si="34"/>
        <v>0</v>
      </c>
      <c r="S299" s="28" t="s">
        <v>345</v>
      </c>
      <c r="T299" s="20" t="s">
        <v>352</v>
      </c>
    </row>
    <row r="300" spans="1:20" ht="37.5" customHeight="1" x14ac:dyDescent="0.25">
      <c r="A300" s="20" t="s">
        <v>354</v>
      </c>
      <c r="B300">
        <f t="shared" si="30"/>
        <v>7060</v>
      </c>
      <c r="C300">
        <v>2431</v>
      </c>
      <c r="D300">
        <v>4629</v>
      </c>
      <c r="F300">
        <f t="shared" si="29"/>
        <v>46</v>
      </c>
      <c r="G300" s="21">
        <f t="shared" si="35"/>
        <v>295</v>
      </c>
      <c r="H300" s="22">
        <v>68228106725</v>
      </c>
      <c r="I300" s="23" t="s">
        <v>355</v>
      </c>
      <c r="J300" s="24"/>
      <c r="K300" s="25">
        <v>7014</v>
      </c>
      <c r="L300" s="24">
        <f t="shared" si="31"/>
        <v>46</v>
      </c>
      <c r="M300" s="25">
        <v>2414</v>
      </c>
      <c r="N300" s="26">
        <f t="shared" si="32"/>
        <v>2215</v>
      </c>
      <c r="O300" s="25">
        <v>4600</v>
      </c>
      <c r="P300" s="24">
        <f t="shared" si="33"/>
        <v>29</v>
      </c>
      <c r="Q300" s="27"/>
      <c r="R300" s="24">
        <f t="shared" si="34"/>
        <v>0</v>
      </c>
      <c r="S300" s="28" t="s">
        <v>345</v>
      </c>
      <c r="T300" s="20" t="s">
        <v>354</v>
      </c>
    </row>
    <row r="301" spans="1:20" ht="37.5" customHeight="1" x14ac:dyDescent="0.25">
      <c r="A301" s="20" t="s">
        <v>356</v>
      </c>
      <c r="B301">
        <f t="shared" si="30"/>
        <v>45220</v>
      </c>
      <c r="C301">
        <v>7867</v>
      </c>
      <c r="D301">
        <v>37353</v>
      </c>
      <c r="F301">
        <f t="shared" si="29"/>
        <v>0</v>
      </c>
      <c r="G301" s="21">
        <f t="shared" si="35"/>
        <v>296</v>
      </c>
      <c r="H301" s="22">
        <v>88820030383</v>
      </c>
      <c r="I301" s="23" t="s">
        <v>357</v>
      </c>
      <c r="J301" s="24"/>
      <c r="K301" s="25">
        <v>45220</v>
      </c>
      <c r="L301" s="24">
        <f t="shared" si="31"/>
        <v>0</v>
      </c>
      <c r="M301" s="25">
        <v>7867</v>
      </c>
      <c r="N301" s="26">
        <f t="shared" si="32"/>
        <v>29486</v>
      </c>
      <c r="O301" s="25">
        <v>37353</v>
      </c>
      <c r="P301" s="24">
        <f t="shared" si="33"/>
        <v>0</v>
      </c>
      <c r="Q301" s="27"/>
      <c r="R301" s="24">
        <f t="shared" si="34"/>
        <v>0</v>
      </c>
      <c r="S301" s="28" t="s">
        <v>345</v>
      </c>
      <c r="T301" s="20" t="s">
        <v>356</v>
      </c>
    </row>
    <row r="302" spans="1:20" ht="37.5" customHeight="1" x14ac:dyDescent="0.25">
      <c r="A302" s="20" t="s">
        <v>358</v>
      </c>
      <c r="B302">
        <f t="shared" si="30"/>
        <v>4528</v>
      </c>
      <c r="C302">
        <v>1085</v>
      </c>
      <c r="D302">
        <v>3443</v>
      </c>
      <c r="F302">
        <f t="shared" si="29"/>
        <v>109</v>
      </c>
      <c r="G302" s="21">
        <f t="shared" si="35"/>
        <v>297</v>
      </c>
      <c r="H302" s="22">
        <v>52521705126</v>
      </c>
      <c r="I302" s="23" t="s">
        <v>359</v>
      </c>
      <c r="J302" s="24"/>
      <c r="K302" s="25">
        <v>4419</v>
      </c>
      <c r="L302" s="24">
        <f t="shared" si="31"/>
        <v>109</v>
      </c>
      <c r="M302" s="25">
        <v>1075</v>
      </c>
      <c r="N302" s="26">
        <f t="shared" si="32"/>
        <v>2368</v>
      </c>
      <c r="O302" s="25">
        <v>3344</v>
      </c>
      <c r="P302" s="24">
        <f t="shared" si="33"/>
        <v>99</v>
      </c>
      <c r="Q302" s="27"/>
      <c r="R302" s="24">
        <f t="shared" si="34"/>
        <v>0</v>
      </c>
      <c r="S302" s="28" t="s">
        <v>345</v>
      </c>
      <c r="T302" s="20" t="s">
        <v>358</v>
      </c>
    </row>
    <row r="303" spans="1:20" ht="37.5" customHeight="1" x14ac:dyDescent="0.25">
      <c r="A303" s="20" t="s">
        <v>360</v>
      </c>
      <c r="F303">
        <f t="shared" si="29"/>
        <v>-18445</v>
      </c>
      <c r="G303" s="21">
        <f t="shared" si="35"/>
        <v>298</v>
      </c>
      <c r="H303" s="22">
        <v>53</v>
      </c>
      <c r="I303" s="23" t="s">
        <v>361</v>
      </c>
      <c r="J303" s="24"/>
      <c r="K303" s="25">
        <v>18445</v>
      </c>
      <c r="L303" s="24">
        <f t="shared" si="31"/>
        <v>-18445</v>
      </c>
      <c r="M303" s="25"/>
      <c r="N303" s="26">
        <f t="shared" si="32"/>
        <v>0</v>
      </c>
      <c r="O303" s="25"/>
      <c r="P303" s="24">
        <f t="shared" si="33"/>
        <v>0</v>
      </c>
      <c r="Q303" s="27"/>
      <c r="R303" s="24">
        <f t="shared" si="34"/>
        <v>0</v>
      </c>
      <c r="S303" s="28" t="s">
        <v>345</v>
      </c>
      <c r="T303" s="20" t="s">
        <v>360</v>
      </c>
    </row>
    <row r="304" spans="1:20" ht="37.5" customHeight="1" x14ac:dyDescent="0.25">
      <c r="A304" s="20" t="s">
        <v>362</v>
      </c>
      <c r="B304">
        <f t="shared" si="30"/>
        <v>6578</v>
      </c>
      <c r="C304">
        <v>1905</v>
      </c>
      <c r="D304">
        <v>4673</v>
      </c>
      <c r="F304">
        <f t="shared" si="29"/>
        <v>57</v>
      </c>
      <c r="G304" s="21">
        <f t="shared" si="35"/>
        <v>299</v>
      </c>
      <c r="H304" s="22">
        <v>52521702949</v>
      </c>
      <c r="I304" s="23" t="s">
        <v>363</v>
      </c>
      <c r="J304" s="24"/>
      <c r="K304" s="25">
        <v>6521</v>
      </c>
      <c r="L304" s="24">
        <f t="shared" si="31"/>
        <v>57</v>
      </c>
      <c r="M304" s="25">
        <v>1885</v>
      </c>
      <c r="N304" s="26">
        <f t="shared" si="32"/>
        <v>2788</v>
      </c>
      <c r="O304" s="25">
        <v>4636</v>
      </c>
      <c r="P304" s="24">
        <f t="shared" si="33"/>
        <v>37</v>
      </c>
      <c r="Q304" s="27"/>
      <c r="R304" s="24">
        <f t="shared" si="34"/>
        <v>0</v>
      </c>
      <c r="S304" s="28" t="s">
        <v>345</v>
      </c>
      <c r="T304" s="20" t="s">
        <v>362</v>
      </c>
    </row>
    <row r="305" spans="1:20" ht="37.5" customHeight="1" x14ac:dyDescent="0.25">
      <c r="A305" s="20" t="s">
        <v>364</v>
      </c>
      <c r="B305">
        <v>21693</v>
      </c>
      <c r="F305">
        <f t="shared" si="29"/>
        <v>251</v>
      </c>
      <c r="G305" s="21">
        <f t="shared" si="35"/>
        <v>300</v>
      </c>
      <c r="H305" s="22">
        <v>11617020109</v>
      </c>
      <c r="I305" s="23" t="s">
        <v>365</v>
      </c>
      <c r="J305" s="24"/>
      <c r="K305" s="25">
        <v>21442</v>
      </c>
      <c r="L305" s="24">
        <f t="shared" si="31"/>
        <v>251</v>
      </c>
      <c r="M305" s="25"/>
      <c r="N305" s="26">
        <f t="shared" si="32"/>
        <v>0</v>
      </c>
      <c r="O305" s="25"/>
      <c r="P305" s="24">
        <f t="shared" si="33"/>
        <v>0</v>
      </c>
      <c r="Q305" s="27"/>
      <c r="R305" s="24">
        <f t="shared" si="34"/>
        <v>0</v>
      </c>
      <c r="S305" s="28" t="s">
        <v>345</v>
      </c>
      <c r="T305" s="20" t="s">
        <v>364</v>
      </c>
    </row>
    <row r="306" spans="1:20" ht="37.5" customHeight="1" x14ac:dyDescent="0.25">
      <c r="A306" s="20" t="s">
        <v>366</v>
      </c>
      <c r="B306">
        <f t="shared" si="30"/>
        <v>2549</v>
      </c>
      <c r="C306">
        <v>69</v>
      </c>
      <c r="D306">
        <v>2480</v>
      </c>
      <c r="F306">
        <f t="shared" si="29"/>
        <v>100</v>
      </c>
      <c r="G306" s="21">
        <f t="shared" si="35"/>
        <v>301</v>
      </c>
      <c r="H306" s="22">
        <v>88820010376</v>
      </c>
      <c r="I306" s="23" t="s">
        <v>367</v>
      </c>
      <c r="J306" s="24"/>
      <c r="K306" s="25">
        <v>2449</v>
      </c>
      <c r="L306" s="24">
        <f t="shared" si="31"/>
        <v>100</v>
      </c>
      <c r="M306" s="25">
        <v>69</v>
      </c>
      <c r="N306" s="26">
        <f t="shared" si="32"/>
        <v>2411</v>
      </c>
      <c r="O306" s="25">
        <v>2380</v>
      </c>
      <c r="P306" s="24">
        <f t="shared" si="33"/>
        <v>100</v>
      </c>
      <c r="Q306" s="27"/>
      <c r="R306" s="24">
        <f t="shared" si="34"/>
        <v>0</v>
      </c>
      <c r="S306" s="28" t="s">
        <v>345</v>
      </c>
      <c r="T306" s="20" t="s">
        <v>366</v>
      </c>
    </row>
    <row r="307" spans="1:20" ht="37.5" customHeight="1" x14ac:dyDescent="0.25">
      <c r="A307" s="20" t="s">
        <v>368</v>
      </c>
      <c r="B307">
        <f t="shared" si="30"/>
        <v>6628</v>
      </c>
      <c r="C307">
        <v>918</v>
      </c>
      <c r="D307">
        <v>5710</v>
      </c>
      <c r="F307">
        <f t="shared" si="29"/>
        <v>159</v>
      </c>
      <c r="G307" s="21">
        <f t="shared" si="35"/>
        <v>302</v>
      </c>
      <c r="H307" s="22">
        <v>66619040412</v>
      </c>
      <c r="I307" s="23" t="s">
        <v>369</v>
      </c>
      <c r="J307" s="24"/>
      <c r="K307" s="25">
        <v>6469</v>
      </c>
      <c r="L307" s="24">
        <f t="shared" si="31"/>
        <v>159</v>
      </c>
      <c r="M307" s="25">
        <v>918</v>
      </c>
      <c r="N307" s="26">
        <f t="shared" si="32"/>
        <v>4792</v>
      </c>
      <c r="O307" s="25">
        <v>5551</v>
      </c>
      <c r="P307" s="24">
        <f t="shared" si="33"/>
        <v>159</v>
      </c>
      <c r="Q307" s="27"/>
      <c r="R307" s="24">
        <f t="shared" si="34"/>
        <v>0</v>
      </c>
      <c r="S307" s="28" t="s">
        <v>345</v>
      </c>
      <c r="T307" s="20" t="s">
        <v>368</v>
      </c>
    </row>
    <row r="308" spans="1:20" ht="37.5" customHeight="1" x14ac:dyDescent="0.25">
      <c r="A308" s="20" t="s">
        <v>370</v>
      </c>
      <c r="B308">
        <f t="shared" si="30"/>
        <v>53958</v>
      </c>
      <c r="C308">
        <v>8294</v>
      </c>
      <c r="D308">
        <v>45664</v>
      </c>
      <c r="F308">
        <f t="shared" si="29"/>
        <v>69</v>
      </c>
      <c r="G308" s="21">
        <f t="shared" si="35"/>
        <v>303</v>
      </c>
      <c r="H308" s="22">
        <v>23014040443</v>
      </c>
      <c r="I308" s="23" t="s">
        <v>371</v>
      </c>
      <c r="J308" s="24"/>
      <c r="K308" s="25">
        <v>53889</v>
      </c>
      <c r="L308" s="24">
        <f t="shared" si="31"/>
        <v>69</v>
      </c>
      <c r="M308" s="25">
        <v>8294</v>
      </c>
      <c r="N308" s="26">
        <f t="shared" si="32"/>
        <v>37370</v>
      </c>
      <c r="O308" s="25">
        <v>45595</v>
      </c>
      <c r="P308" s="24">
        <f t="shared" si="33"/>
        <v>69</v>
      </c>
      <c r="Q308" s="27"/>
      <c r="R308" s="24">
        <f t="shared" si="34"/>
        <v>0</v>
      </c>
      <c r="S308" s="28" t="s">
        <v>345</v>
      </c>
      <c r="T308" s="20" t="s">
        <v>370</v>
      </c>
    </row>
    <row r="309" spans="1:20" ht="37.5" customHeight="1" x14ac:dyDescent="0.25">
      <c r="A309" s="20" t="s">
        <v>372</v>
      </c>
      <c r="B309">
        <f t="shared" si="30"/>
        <v>6935</v>
      </c>
      <c r="C309">
        <v>1283</v>
      </c>
      <c r="D309">
        <v>5652</v>
      </c>
      <c r="F309">
        <f t="shared" si="29"/>
        <v>1035</v>
      </c>
      <c r="G309" s="21">
        <f t="shared" si="35"/>
        <v>304</v>
      </c>
      <c r="H309" s="22">
        <v>66623011406</v>
      </c>
      <c r="I309" s="23" t="s">
        <v>373</v>
      </c>
      <c r="J309" s="24"/>
      <c r="K309" s="25">
        <v>5900</v>
      </c>
      <c r="L309" s="24">
        <f t="shared" si="31"/>
        <v>1035</v>
      </c>
      <c r="M309" s="25"/>
      <c r="N309" s="26">
        <f t="shared" si="32"/>
        <v>5652</v>
      </c>
      <c r="O309" s="25"/>
      <c r="P309" s="24">
        <f t="shared" si="33"/>
        <v>5652</v>
      </c>
      <c r="Q309" s="27"/>
      <c r="R309" s="24">
        <f t="shared" si="34"/>
        <v>0</v>
      </c>
      <c r="S309" s="28" t="s">
        <v>345</v>
      </c>
      <c r="T309" s="20" t="s">
        <v>372</v>
      </c>
    </row>
    <row r="310" spans="1:20" ht="37.5" customHeight="1" x14ac:dyDescent="0.25">
      <c r="A310" s="20" t="s">
        <v>374</v>
      </c>
      <c r="B310">
        <f t="shared" si="30"/>
        <v>15831</v>
      </c>
      <c r="C310">
        <v>2613</v>
      </c>
      <c r="D310">
        <v>13218</v>
      </c>
      <c r="F310">
        <f t="shared" si="29"/>
        <v>3805</v>
      </c>
      <c r="G310" s="21">
        <f t="shared" si="35"/>
        <v>305</v>
      </c>
      <c r="H310" s="22">
        <v>66622050584</v>
      </c>
      <c r="I310" s="23" t="s">
        <v>373</v>
      </c>
      <c r="J310" s="24"/>
      <c r="K310" s="25">
        <v>12026</v>
      </c>
      <c r="L310" s="24">
        <f t="shared" si="31"/>
        <v>3805</v>
      </c>
      <c r="M310" s="25"/>
      <c r="N310" s="26">
        <f t="shared" si="32"/>
        <v>13218</v>
      </c>
      <c r="O310" s="25"/>
      <c r="P310" s="24">
        <f t="shared" si="33"/>
        <v>13218</v>
      </c>
      <c r="Q310" s="27"/>
      <c r="R310" s="24">
        <f t="shared" si="34"/>
        <v>0</v>
      </c>
      <c r="S310" s="28" t="s">
        <v>345</v>
      </c>
      <c r="T310" s="20" t="s">
        <v>374</v>
      </c>
    </row>
    <row r="311" spans="1:20" ht="37.5" customHeight="1" x14ac:dyDescent="0.25">
      <c r="A311" s="20" t="s">
        <v>375</v>
      </c>
      <c r="B311">
        <f t="shared" si="30"/>
        <v>25460</v>
      </c>
      <c r="C311">
        <v>4383</v>
      </c>
      <c r="D311">
        <v>21077</v>
      </c>
      <c r="F311">
        <f t="shared" si="29"/>
        <v>50</v>
      </c>
      <c r="G311" s="21">
        <f t="shared" si="35"/>
        <v>306</v>
      </c>
      <c r="H311" s="22">
        <v>23015100222</v>
      </c>
      <c r="I311" s="23" t="s">
        <v>376</v>
      </c>
      <c r="J311" s="24"/>
      <c r="K311" s="25">
        <v>25410</v>
      </c>
      <c r="L311" s="24">
        <f t="shared" si="31"/>
        <v>50</v>
      </c>
      <c r="M311" s="25"/>
      <c r="N311" s="26">
        <f t="shared" si="32"/>
        <v>21077</v>
      </c>
      <c r="O311" s="25"/>
      <c r="P311" s="24">
        <f t="shared" si="33"/>
        <v>21077</v>
      </c>
      <c r="Q311" s="27"/>
      <c r="R311" s="24">
        <f t="shared" si="34"/>
        <v>0</v>
      </c>
      <c r="S311" s="28" t="s">
        <v>345</v>
      </c>
      <c r="T311" s="20" t="s">
        <v>375</v>
      </c>
    </row>
    <row r="312" spans="1:20" ht="37.5" customHeight="1" x14ac:dyDescent="0.25">
      <c r="A312" s="20" t="s">
        <v>377</v>
      </c>
      <c r="B312">
        <f t="shared" si="30"/>
        <v>89394</v>
      </c>
      <c r="C312">
        <v>25160</v>
      </c>
      <c r="D312">
        <v>64234</v>
      </c>
      <c r="F312">
        <f t="shared" si="29"/>
        <v>716</v>
      </c>
      <c r="G312" s="21">
        <f t="shared" si="35"/>
        <v>307</v>
      </c>
      <c r="H312" s="22">
        <v>23014010472</v>
      </c>
      <c r="I312" s="23" t="s">
        <v>378</v>
      </c>
      <c r="J312" s="24"/>
      <c r="K312" s="25">
        <v>88678</v>
      </c>
      <c r="L312" s="24">
        <f t="shared" si="31"/>
        <v>716</v>
      </c>
      <c r="M312" s="25">
        <v>24930</v>
      </c>
      <c r="N312" s="26">
        <f t="shared" si="32"/>
        <v>39304</v>
      </c>
      <c r="O312" s="25">
        <v>63748</v>
      </c>
      <c r="P312" s="24">
        <f t="shared" si="33"/>
        <v>486</v>
      </c>
      <c r="Q312" s="27"/>
      <c r="R312" s="24">
        <f t="shared" si="34"/>
        <v>0</v>
      </c>
      <c r="S312" s="28" t="s">
        <v>345</v>
      </c>
      <c r="T312" s="20" t="s">
        <v>377</v>
      </c>
    </row>
    <row r="313" spans="1:20" ht="37.5" customHeight="1" x14ac:dyDescent="0.25">
      <c r="A313" s="20" t="s">
        <v>379</v>
      </c>
      <c r="B313">
        <f t="shared" si="30"/>
        <v>48267</v>
      </c>
      <c r="C313">
        <v>11790</v>
      </c>
      <c r="D313">
        <v>36477</v>
      </c>
      <c r="F313">
        <f t="shared" si="29"/>
        <v>1130</v>
      </c>
      <c r="G313" s="21">
        <f t="shared" si="35"/>
        <v>308</v>
      </c>
      <c r="H313" s="22">
        <v>23009070060</v>
      </c>
      <c r="I313" s="23" t="s">
        <v>380</v>
      </c>
      <c r="J313" s="24"/>
      <c r="K313" s="25">
        <v>47137</v>
      </c>
      <c r="L313" s="24">
        <f t="shared" si="31"/>
        <v>1130</v>
      </c>
      <c r="M313" s="25">
        <v>11643</v>
      </c>
      <c r="N313" s="26">
        <f t="shared" si="32"/>
        <v>24834</v>
      </c>
      <c r="O313" s="25">
        <v>35494</v>
      </c>
      <c r="P313" s="24">
        <f t="shared" si="33"/>
        <v>983</v>
      </c>
      <c r="Q313" s="27"/>
      <c r="R313" s="24">
        <f t="shared" si="34"/>
        <v>0</v>
      </c>
      <c r="S313" s="28" t="s">
        <v>345</v>
      </c>
      <c r="T313" s="20" t="s">
        <v>379</v>
      </c>
    </row>
    <row r="314" spans="1:20" ht="37.5" customHeight="1" x14ac:dyDescent="0.25">
      <c r="A314" s="20" t="s">
        <v>381</v>
      </c>
      <c r="B314">
        <f t="shared" si="30"/>
        <v>12176</v>
      </c>
      <c r="C314">
        <v>3687</v>
      </c>
      <c r="D314">
        <v>8489</v>
      </c>
      <c r="F314">
        <f t="shared" si="29"/>
        <v>76</v>
      </c>
      <c r="G314" s="21">
        <f t="shared" si="35"/>
        <v>309</v>
      </c>
      <c r="H314" s="22">
        <v>68228106811</v>
      </c>
      <c r="I314" s="23" t="s">
        <v>382</v>
      </c>
      <c r="J314" s="24"/>
      <c r="K314" s="25">
        <v>12100</v>
      </c>
      <c r="L314" s="24">
        <f t="shared" si="31"/>
        <v>76</v>
      </c>
      <c r="M314" s="25">
        <v>3664</v>
      </c>
      <c r="N314" s="26">
        <f t="shared" si="32"/>
        <v>4825</v>
      </c>
      <c r="O314" s="25">
        <v>8436</v>
      </c>
      <c r="P314" s="24">
        <f t="shared" si="33"/>
        <v>53</v>
      </c>
      <c r="Q314" s="27"/>
      <c r="R314" s="24">
        <f t="shared" si="34"/>
        <v>0</v>
      </c>
      <c r="S314" s="28" t="s">
        <v>345</v>
      </c>
      <c r="T314" s="20" t="s">
        <v>381</v>
      </c>
    </row>
    <row r="315" spans="1:20" ht="37.5" customHeight="1" x14ac:dyDescent="0.25">
      <c r="A315" s="20" t="s">
        <v>383</v>
      </c>
      <c r="B315">
        <f t="shared" si="30"/>
        <v>134457</v>
      </c>
      <c r="C315">
        <v>20635</v>
      </c>
      <c r="D315">
        <v>113822</v>
      </c>
      <c r="F315">
        <f t="shared" si="29"/>
        <v>2828</v>
      </c>
      <c r="G315" s="21">
        <f t="shared" si="35"/>
        <v>310</v>
      </c>
      <c r="H315" s="22">
        <v>23014010306</v>
      </c>
      <c r="I315" s="23" t="s">
        <v>384</v>
      </c>
      <c r="J315" s="24"/>
      <c r="K315" s="25">
        <v>131629</v>
      </c>
      <c r="L315" s="24">
        <f t="shared" si="31"/>
        <v>2828</v>
      </c>
      <c r="M315" s="25">
        <v>20539</v>
      </c>
      <c r="N315" s="26">
        <f t="shared" si="32"/>
        <v>93283</v>
      </c>
      <c r="O315" s="25">
        <v>111090</v>
      </c>
      <c r="P315" s="24">
        <f t="shared" si="33"/>
        <v>2732</v>
      </c>
      <c r="Q315" s="27"/>
      <c r="R315" s="24">
        <f t="shared" si="34"/>
        <v>0</v>
      </c>
      <c r="S315" s="28" t="s">
        <v>345</v>
      </c>
      <c r="T315" s="20" t="s">
        <v>383</v>
      </c>
    </row>
    <row r="316" spans="1:20" ht="37.5" customHeight="1" x14ac:dyDescent="0.25">
      <c r="A316" s="20" t="s">
        <v>385</v>
      </c>
      <c r="B316">
        <f t="shared" si="30"/>
        <v>842</v>
      </c>
      <c r="C316">
        <v>261</v>
      </c>
      <c r="D316">
        <v>581</v>
      </c>
      <c r="F316">
        <f t="shared" si="29"/>
        <v>23</v>
      </c>
      <c r="G316" s="21">
        <f t="shared" si="35"/>
        <v>311</v>
      </c>
      <c r="H316" s="22">
        <v>52521705712</v>
      </c>
      <c r="I316" s="23" t="s">
        <v>386</v>
      </c>
      <c r="J316" s="24"/>
      <c r="K316" s="25">
        <v>819</v>
      </c>
      <c r="L316" s="24">
        <f t="shared" si="31"/>
        <v>23</v>
      </c>
      <c r="M316" s="25">
        <v>255</v>
      </c>
      <c r="N316" s="26">
        <f t="shared" si="32"/>
        <v>326</v>
      </c>
      <c r="O316" s="25">
        <v>564</v>
      </c>
      <c r="P316" s="24">
        <f t="shared" si="33"/>
        <v>17</v>
      </c>
      <c r="Q316" s="27"/>
      <c r="R316" s="24">
        <f t="shared" si="34"/>
        <v>0</v>
      </c>
      <c r="S316" s="28" t="s">
        <v>345</v>
      </c>
      <c r="T316" s="20" t="s">
        <v>385</v>
      </c>
    </row>
    <row r="317" spans="1:20" ht="37.5" customHeight="1" x14ac:dyDescent="0.25">
      <c r="A317" s="20" t="s">
        <v>387</v>
      </c>
      <c r="B317">
        <f t="shared" si="30"/>
        <v>12149</v>
      </c>
      <c r="C317">
        <v>3990</v>
      </c>
      <c r="D317">
        <v>8159</v>
      </c>
      <c r="F317">
        <f t="shared" si="29"/>
        <v>43</v>
      </c>
      <c r="G317" s="21">
        <f t="shared" si="35"/>
        <v>312</v>
      </c>
      <c r="H317" s="22">
        <v>52521702946</v>
      </c>
      <c r="I317" s="23" t="s">
        <v>388</v>
      </c>
      <c r="J317" s="24"/>
      <c r="K317" s="25">
        <v>12106</v>
      </c>
      <c r="L317" s="24">
        <f t="shared" si="31"/>
        <v>43</v>
      </c>
      <c r="M317" s="25">
        <v>3975</v>
      </c>
      <c r="N317" s="26">
        <f t="shared" si="32"/>
        <v>4184</v>
      </c>
      <c r="O317" s="25">
        <v>8131</v>
      </c>
      <c r="P317" s="24">
        <f t="shared" si="33"/>
        <v>28</v>
      </c>
      <c r="Q317" s="27"/>
      <c r="R317" s="24">
        <f t="shared" si="34"/>
        <v>0</v>
      </c>
      <c r="S317" s="28" t="s">
        <v>345</v>
      </c>
      <c r="T317" s="20" t="s">
        <v>387</v>
      </c>
    </row>
    <row r="318" spans="1:20" ht="37.5" customHeight="1" x14ac:dyDescent="0.25">
      <c r="A318" s="20" t="s">
        <v>389</v>
      </c>
      <c r="B318">
        <f t="shared" si="30"/>
        <v>63790</v>
      </c>
      <c r="C318">
        <v>13104</v>
      </c>
      <c r="D318">
        <v>50686</v>
      </c>
      <c r="F318">
        <f t="shared" si="29"/>
        <v>958</v>
      </c>
      <c r="G318" s="21">
        <f t="shared" si="35"/>
        <v>313</v>
      </c>
      <c r="H318" s="22">
        <v>23014090711</v>
      </c>
      <c r="I318" s="23" t="s">
        <v>390</v>
      </c>
      <c r="J318" s="24"/>
      <c r="K318" s="25">
        <v>62832</v>
      </c>
      <c r="L318" s="24">
        <f t="shared" si="31"/>
        <v>958</v>
      </c>
      <c r="M318" s="25">
        <v>12761</v>
      </c>
      <c r="N318" s="26">
        <f t="shared" si="32"/>
        <v>37925</v>
      </c>
      <c r="O318" s="25">
        <v>50071</v>
      </c>
      <c r="P318" s="24">
        <f t="shared" si="33"/>
        <v>615</v>
      </c>
      <c r="Q318" s="27"/>
      <c r="R318" s="24">
        <f t="shared" si="34"/>
        <v>0</v>
      </c>
      <c r="S318" s="28" t="s">
        <v>345</v>
      </c>
      <c r="T318" s="20" t="s">
        <v>389</v>
      </c>
    </row>
    <row r="319" spans="1:20" ht="37.5" customHeight="1" x14ac:dyDescent="0.25">
      <c r="A319" s="20" t="s">
        <v>391</v>
      </c>
      <c r="B319">
        <v>25508</v>
      </c>
      <c r="F319">
        <f t="shared" si="29"/>
        <v>18</v>
      </c>
      <c r="G319" s="21">
        <f t="shared" si="35"/>
        <v>314</v>
      </c>
      <c r="H319" s="22">
        <v>57</v>
      </c>
      <c r="I319" s="23" t="s">
        <v>392</v>
      </c>
      <c r="J319" s="24"/>
      <c r="K319" s="25">
        <v>25490</v>
      </c>
      <c r="L319" s="24">
        <f t="shared" si="31"/>
        <v>18</v>
      </c>
      <c r="M319" s="25"/>
      <c r="N319" s="26">
        <f t="shared" si="32"/>
        <v>0</v>
      </c>
      <c r="O319" s="25"/>
      <c r="P319" s="24">
        <f t="shared" si="33"/>
        <v>0</v>
      </c>
      <c r="Q319" s="27"/>
      <c r="R319" s="24">
        <f t="shared" si="34"/>
        <v>0</v>
      </c>
      <c r="S319" s="28" t="s">
        <v>345</v>
      </c>
      <c r="T319" s="20" t="s">
        <v>391</v>
      </c>
    </row>
    <row r="320" spans="1:20" ht="37.5" customHeight="1" x14ac:dyDescent="0.25">
      <c r="A320" s="20" t="s">
        <v>393</v>
      </c>
      <c r="B320">
        <f t="shared" si="30"/>
        <v>62964</v>
      </c>
      <c r="C320">
        <v>12274</v>
      </c>
      <c r="D320">
        <v>50690</v>
      </c>
      <c r="F320">
        <f t="shared" si="29"/>
        <v>299</v>
      </c>
      <c r="G320" s="21">
        <f t="shared" si="35"/>
        <v>315</v>
      </c>
      <c r="H320" s="22">
        <v>23014010276</v>
      </c>
      <c r="I320" s="23" t="s">
        <v>394</v>
      </c>
      <c r="J320" s="24"/>
      <c r="K320" s="25">
        <v>62665</v>
      </c>
      <c r="L320" s="24">
        <f t="shared" si="31"/>
        <v>299</v>
      </c>
      <c r="M320" s="25">
        <v>12272</v>
      </c>
      <c r="N320" s="26">
        <f t="shared" si="32"/>
        <v>38418</v>
      </c>
      <c r="O320" s="25">
        <v>50393</v>
      </c>
      <c r="P320" s="24">
        <f t="shared" si="33"/>
        <v>297</v>
      </c>
      <c r="Q320" s="27"/>
      <c r="R320" s="24">
        <f t="shared" si="34"/>
        <v>0</v>
      </c>
      <c r="S320" s="28" t="s">
        <v>345</v>
      </c>
      <c r="T320" s="20" t="s">
        <v>393</v>
      </c>
    </row>
    <row r="321" spans="1:20" ht="37.5" customHeight="1" x14ac:dyDescent="0.25">
      <c r="A321" s="20" t="s">
        <v>395</v>
      </c>
      <c r="B321">
        <f t="shared" si="30"/>
        <v>2380</v>
      </c>
      <c r="C321">
        <v>209</v>
      </c>
      <c r="D321">
        <v>2171</v>
      </c>
      <c r="F321">
        <f t="shared" si="29"/>
        <v>34</v>
      </c>
      <c r="G321" s="21">
        <f t="shared" si="35"/>
        <v>316</v>
      </c>
      <c r="H321" s="22">
        <v>23009070146</v>
      </c>
      <c r="I321" s="23" t="s">
        <v>396</v>
      </c>
      <c r="J321" s="24"/>
      <c r="K321" s="25">
        <v>2346</v>
      </c>
      <c r="L321" s="24">
        <f t="shared" si="31"/>
        <v>34</v>
      </c>
      <c r="M321" s="25">
        <v>209</v>
      </c>
      <c r="N321" s="26">
        <f t="shared" si="32"/>
        <v>1962</v>
      </c>
      <c r="O321" s="25">
        <v>2137</v>
      </c>
      <c r="P321" s="24">
        <f t="shared" si="33"/>
        <v>34</v>
      </c>
      <c r="Q321" s="27"/>
      <c r="R321" s="24">
        <f t="shared" si="34"/>
        <v>0</v>
      </c>
      <c r="S321" s="28" t="s">
        <v>345</v>
      </c>
      <c r="T321" s="20" t="s">
        <v>395</v>
      </c>
    </row>
    <row r="322" spans="1:20" ht="37.5" customHeight="1" x14ac:dyDescent="0.25">
      <c r="A322" s="20" t="s">
        <v>397</v>
      </c>
      <c r="B322">
        <f t="shared" si="30"/>
        <v>138911</v>
      </c>
      <c r="C322">
        <v>12932</v>
      </c>
      <c r="D322">
        <v>125979</v>
      </c>
      <c r="F322">
        <f t="shared" si="29"/>
        <v>981</v>
      </c>
      <c r="G322" s="21">
        <f t="shared" si="35"/>
        <v>317</v>
      </c>
      <c r="H322" s="22">
        <v>88819020405</v>
      </c>
      <c r="I322" s="23" t="s">
        <v>398</v>
      </c>
      <c r="J322" s="24"/>
      <c r="K322" s="25">
        <v>137930</v>
      </c>
      <c r="L322" s="24">
        <f t="shared" si="31"/>
        <v>981</v>
      </c>
      <c r="M322" s="25">
        <v>12862</v>
      </c>
      <c r="N322" s="26">
        <f t="shared" si="32"/>
        <v>113117</v>
      </c>
      <c r="O322" s="25">
        <v>125068</v>
      </c>
      <c r="P322" s="24">
        <f t="shared" si="33"/>
        <v>911</v>
      </c>
      <c r="Q322" s="27"/>
      <c r="R322" s="24">
        <f t="shared" si="34"/>
        <v>0</v>
      </c>
      <c r="S322" s="28" t="s">
        <v>345</v>
      </c>
      <c r="T322" s="20" t="s">
        <v>397</v>
      </c>
    </row>
    <row r="323" spans="1:20" ht="37.5" customHeight="1" x14ac:dyDescent="0.25">
      <c r="A323" s="20" t="s">
        <v>399</v>
      </c>
      <c r="B323">
        <f t="shared" si="30"/>
        <v>707132</v>
      </c>
      <c r="C323">
        <v>115397</v>
      </c>
      <c r="D323">
        <v>591735</v>
      </c>
      <c r="F323">
        <f t="shared" si="29"/>
        <v>5887</v>
      </c>
      <c r="G323" s="21">
        <f t="shared" si="35"/>
        <v>318</v>
      </c>
      <c r="H323" s="22">
        <v>23014010545</v>
      </c>
      <c r="I323" s="23" t="s">
        <v>400</v>
      </c>
      <c r="J323" s="24"/>
      <c r="K323" s="25">
        <v>701245</v>
      </c>
      <c r="L323" s="24">
        <f t="shared" si="31"/>
        <v>5887</v>
      </c>
      <c r="M323" s="25">
        <v>114720</v>
      </c>
      <c r="N323" s="26">
        <f t="shared" si="32"/>
        <v>477015</v>
      </c>
      <c r="O323" s="25">
        <v>586525</v>
      </c>
      <c r="P323" s="24">
        <f t="shared" si="33"/>
        <v>5210</v>
      </c>
      <c r="Q323" s="27"/>
      <c r="R323" s="24">
        <f t="shared" si="34"/>
        <v>0</v>
      </c>
      <c r="S323" s="28" t="s">
        <v>345</v>
      </c>
      <c r="T323" s="20" t="s">
        <v>399</v>
      </c>
    </row>
    <row r="324" spans="1:20" ht="37.5" customHeight="1" x14ac:dyDescent="0.25">
      <c r="A324" s="20" t="s">
        <v>401</v>
      </c>
      <c r="B324">
        <f t="shared" si="30"/>
        <v>11999</v>
      </c>
      <c r="C324">
        <v>4023</v>
      </c>
      <c r="D324">
        <v>7976</v>
      </c>
      <c r="E324">
        <v>18076</v>
      </c>
      <c r="F324">
        <f t="shared" si="29"/>
        <v>693</v>
      </c>
      <c r="G324" s="21">
        <v>1</v>
      </c>
      <c r="H324" s="22">
        <v>99624010150</v>
      </c>
      <c r="I324" s="23">
        <v>354</v>
      </c>
      <c r="J324" s="24"/>
      <c r="K324" s="25">
        <f>M324+O324</f>
        <v>11306</v>
      </c>
      <c r="L324" s="24">
        <f t="shared" si="31"/>
        <v>693</v>
      </c>
      <c r="M324" s="25">
        <v>3789</v>
      </c>
      <c r="N324" s="26">
        <f t="shared" si="32"/>
        <v>4187</v>
      </c>
      <c r="O324" s="25">
        <v>7517</v>
      </c>
      <c r="P324" s="24">
        <f t="shared" si="33"/>
        <v>459</v>
      </c>
      <c r="Q324" s="27">
        <v>15699</v>
      </c>
      <c r="R324" s="24">
        <f t="shared" si="34"/>
        <v>2377</v>
      </c>
      <c r="S324" s="28" t="s">
        <v>18</v>
      </c>
      <c r="T324" s="20" t="s">
        <v>401</v>
      </c>
    </row>
    <row r="325" spans="1:20" ht="37.5" customHeight="1" x14ac:dyDescent="0.25">
      <c r="A325" s="20" t="s">
        <v>402</v>
      </c>
      <c r="B325">
        <f t="shared" si="30"/>
        <v>38174</v>
      </c>
      <c r="C325">
        <v>7745</v>
      </c>
      <c r="D325">
        <v>30429</v>
      </c>
      <c r="F325">
        <f t="shared" si="29"/>
        <v>894</v>
      </c>
      <c r="G325" s="21">
        <f>G324+1</f>
        <v>2</v>
      </c>
      <c r="H325" s="22">
        <v>66616020302</v>
      </c>
      <c r="I325" s="23">
        <v>355</v>
      </c>
      <c r="J325" s="24"/>
      <c r="K325" s="25">
        <v>37280</v>
      </c>
      <c r="L325" s="24">
        <f t="shared" si="31"/>
        <v>894</v>
      </c>
      <c r="M325" s="25">
        <v>7565</v>
      </c>
      <c r="N325" s="26">
        <f t="shared" si="32"/>
        <v>22864</v>
      </c>
      <c r="O325" s="25">
        <v>29715</v>
      </c>
      <c r="P325" s="24">
        <f t="shared" si="33"/>
        <v>714</v>
      </c>
      <c r="Q325" s="27"/>
      <c r="R325" s="24">
        <f t="shared" si="34"/>
        <v>0</v>
      </c>
      <c r="S325" s="28" t="s">
        <v>18</v>
      </c>
      <c r="T325" s="20" t="s">
        <v>402</v>
      </c>
    </row>
    <row r="326" spans="1:20" ht="37.5" customHeight="1" x14ac:dyDescent="0.25">
      <c r="A326" s="20" t="s">
        <v>403</v>
      </c>
      <c r="B326">
        <f t="shared" si="30"/>
        <v>10975</v>
      </c>
      <c r="C326">
        <v>3452</v>
      </c>
      <c r="D326">
        <v>7523</v>
      </c>
      <c r="E326">
        <v>17139</v>
      </c>
      <c r="F326">
        <f t="shared" ref="F326:F354" si="36">L326</f>
        <v>735</v>
      </c>
      <c r="G326" s="21">
        <f t="shared" ref="G326:G354" si="37">G325+1</f>
        <v>3</v>
      </c>
      <c r="H326" s="22">
        <v>99624010298</v>
      </c>
      <c r="I326" s="23" t="s">
        <v>404</v>
      </c>
      <c r="J326" s="24"/>
      <c r="K326" s="25">
        <f>M326+O326</f>
        <v>10240</v>
      </c>
      <c r="L326" s="24">
        <f t="shared" si="31"/>
        <v>735</v>
      </c>
      <c r="M326" s="25">
        <v>3244</v>
      </c>
      <c r="N326" s="26">
        <f t="shared" si="32"/>
        <v>4279</v>
      </c>
      <c r="O326" s="25">
        <v>6996</v>
      </c>
      <c r="P326" s="24">
        <f t="shared" si="33"/>
        <v>527</v>
      </c>
      <c r="Q326" s="27">
        <v>15006</v>
      </c>
      <c r="R326" s="24">
        <f t="shared" si="34"/>
        <v>2133</v>
      </c>
      <c r="S326" s="28" t="s">
        <v>18</v>
      </c>
      <c r="T326" s="20" t="s">
        <v>403</v>
      </c>
    </row>
    <row r="327" spans="1:20" ht="37.5" customHeight="1" x14ac:dyDescent="0.25">
      <c r="A327" s="20" t="s">
        <v>405</v>
      </c>
      <c r="B327">
        <f t="shared" ref="B327:B354" si="38">C327+D327</f>
        <v>190</v>
      </c>
      <c r="C327">
        <v>40</v>
      </c>
      <c r="D327">
        <v>150</v>
      </c>
      <c r="F327">
        <f t="shared" si="36"/>
        <v>0</v>
      </c>
      <c r="G327" s="21">
        <f t="shared" si="37"/>
        <v>4</v>
      </c>
      <c r="H327" s="22">
        <v>66623011073</v>
      </c>
      <c r="I327" s="23">
        <v>357</v>
      </c>
      <c r="J327" s="24"/>
      <c r="K327" s="25">
        <v>190</v>
      </c>
      <c r="L327" s="24">
        <f t="shared" ref="L327:L354" si="39">B327-K327</f>
        <v>0</v>
      </c>
      <c r="M327" s="25">
        <v>40</v>
      </c>
      <c r="N327" s="26">
        <f t="shared" ref="N327:N354" si="40">D327-M327</f>
        <v>110</v>
      </c>
      <c r="O327" s="25">
        <v>150</v>
      </c>
      <c r="P327" s="24">
        <f t="shared" ref="P327:P354" si="41">D327-O327</f>
        <v>0</v>
      </c>
      <c r="Q327" s="27"/>
      <c r="R327" s="24">
        <f t="shared" ref="R327:R354" si="42">E327-Q327</f>
        <v>0</v>
      </c>
      <c r="S327" s="28" t="s">
        <v>18</v>
      </c>
      <c r="T327" s="20" t="s">
        <v>405</v>
      </c>
    </row>
    <row r="328" spans="1:20" ht="37.5" customHeight="1" x14ac:dyDescent="0.25">
      <c r="A328" s="20" t="s">
        <v>406</v>
      </c>
      <c r="B328">
        <f t="shared" si="38"/>
        <v>28396</v>
      </c>
      <c r="C328">
        <v>4256</v>
      </c>
      <c r="D328">
        <v>24140</v>
      </c>
      <c r="E328">
        <v>32308</v>
      </c>
      <c r="F328">
        <f t="shared" si="36"/>
        <v>505</v>
      </c>
      <c r="G328" s="21">
        <f t="shared" si="37"/>
        <v>5</v>
      </c>
      <c r="H328" s="22">
        <v>99722006952</v>
      </c>
      <c r="I328" s="23">
        <v>367</v>
      </c>
      <c r="J328" s="24"/>
      <c r="K328" s="25">
        <f>M328+O328</f>
        <v>27891</v>
      </c>
      <c r="L328" s="24">
        <f t="shared" si="39"/>
        <v>505</v>
      </c>
      <c r="M328" s="25">
        <v>4199</v>
      </c>
      <c r="N328" s="26">
        <f t="shared" si="40"/>
        <v>19941</v>
      </c>
      <c r="O328" s="25">
        <v>23692</v>
      </c>
      <c r="P328" s="24">
        <f t="shared" si="41"/>
        <v>448</v>
      </c>
      <c r="Q328" s="27">
        <v>30685</v>
      </c>
      <c r="R328" s="24">
        <f t="shared" si="42"/>
        <v>1623</v>
      </c>
      <c r="S328" s="28" t="s">
        <v>18</v>
      </c>
      <c r="T328" s="20" t="s">
        <v>406</v>
      </c>
    </row>
    <row r="329" spans="1:20" ht="37.5" customHeight="1" x14ac:dyDescent="0.25">
      <c r="A329" s="20" t="s">
        <v>407</v>
      </c>
      <c r="B329">
        <f t="shared" si="38"/>
        <v>39364</v>
      </c>
      <c r="C329">
        <v>8346</v>
      </c>
      <c r="D329">
        <v>31018</v>
      </c>
      <c r="E329">
        <v>58517</v>
      </c>
      <c r="F329">
        <f t="shared" si="36"/>
        <v>1120</v>
      </c>
      <c r="G329" s="21">
        <f t="shared" si="37"/>
        <v>6</v>
      </c>
      <c r="H329" s="22">
        <v>99722007079</v>
      </c>
      <c r="I329" s="23">
        <v>372</v>
      </c>
      <c r="J329" s="24"/>
      <c r="K329" s="25">
        <f>M329+O329</f>
        <v>38244</v>
      </c>
      <c r="L329" s="24">
        <f t="shared" si="39"/>
        <v>1120</v>
      </c>
      <c r="M329" s="25">
        <v>8065</v>
      </c>
      <c r="N329" s="26">
        <f t="shared" si="40"/>
        <v>22953</v>
      </c>
      <c r="O329" s="25">
        <v>30179</v>
      </c>
      <c r="P329" s="24">
        <f t="shared" si="41"/>
        <v>839</v>
      </c>
      <c r="Q329" s="27">
        <v>55406</v>
      </c>
      <c r="R329" s="24">
        <f t="shared" si="42"/>
        <v>3111</v>
      </c>
      <c r="S329" s="28" t="s">
        <v>18</v>
      </c>
      <c r="T329" s="20" t="s">
        <v>407</v>
      </c>
    </row>
    <row r="330" spans="1:20" ht="37.5" customHeight="1" x14ac:dyDescent="0.25">
      <c r="A330" s="20" t="s">
        <v>408</v>
      </c>
      <c r="B330">
        <f t="shared" si="38"/>
        <v>22975</v>
      </c>
      <c r="C330">
        <v>6305</v>
      </c>
      <c r="D330">
        <v>16670</v>
      </c>
      <c r="E330">
        <v>18992</v>
      </c>
      <c r="F330">
        <f t="shared" si="36"/>
        <v>877</v>
      </c>
      <c r="G330" s="21">
        <f t="shared" si="37"/>
        <v>7</v>
      </c>
      <c r="H330" s="22">
        <v>9972306182</v>
      </c>
      <c r="I330" s="23">
        <v>373</v>
      </c>
      <c r="J330" s="24"/>
      <c r="K330" s="25">
        <f>M330+O330</f>
        <v>22098</v>
      </c>
      <c r="L330" s="24">
        <f t="shared" si="39"/>
        <v>877</v>
      </c>
      <c r="M330" s="25">
        <v>6062</v>
      </c>
      <c r="N330" s="26">
        <f t="shared" si="40"/>
        <v>10608</v>
      </c>
      <c r="O330" s="25">
        <v>16036</v>
      </c>
      <c r="P330" s="24">
        <f t="shared" si="41"/>
        <v>634</v>
      </c>
      <c r="Q330" s="27">
        <v>17571</v>
      </c>
      <c r="R330" s="24">
        <f t="shared" si="42"/>
        <v>1421</v>
      </c>
      <c r="S330" s="28" t="s">
        <v>18</v>
      </c>
      <c r="T330" s="20" t="s">
        <v>408</v>
      </c>
    </row>
    <row r="331" spans="1:20" ht="37.5" customHeight="1" x14ac:dyDescent="0.25">
      <c r="A331" s="20" t="s">
        <v>409</v>
      </c>
      <c r="B331">
        <f t="shared" si="38"/>
        <v>30658</v>
      </c>
      <c r="C331">
        <v>6536</v>
      </c>
      <c r="D331">
        <v>24122</v>
      </c>
      <c r="E331">
        <v>52067</v>
      </c>
      <c r="F331">
        <f t="shared" si="36"/>
        <v>535</v>
      </c>
      <c r="G331" s="21">
        <f t="shared" si="37"/>
        <v>8</v>
      </c>
      <c r="H331" s="22">
        <v>99722006851</v>
      </c>
      <c r="I331" s="23">
        <v>374</v>
      </c>
      <c r="J331" s="24"/>
      <c r="K331" s="25">
        <f>M331+O331</f>
        <v>30123</v>
      </c>
      <c r="L331" s="24">
        <f t="shared" si="39"/>
        <v>535</v>
      </c>
      <c r="M331" s="25">
        <v>6367</v>
      </c>
      <c r="N331" s="26">
        <f t="shared" si="40"/>
        <v>17755</v>
      </c>
      <c r="O331" s="25">
        <v>23756</v>
      </c>
      <c r="P331" s="24">
        <f t="shared" si="41"/>
        <v>366</v>
      </c>
      <c r="Q331" s="27">
        <v>50580</v>
      </c>
      <c r="R331" s="24">
        <f t="shared" si="42"/>
        <v>1487</v>
      </c>
      <c r="S331" s="28" t="s">
        <v>18</v>
      </c>
      <c r="T331" s="20" t="s">
        <v>409</v>
      </c>
    </row>
    <row r="332" spans="1:20" ht="37.5" customHeight="1" x14ac:dyDescent="0.25">
      <c r="A332" s="20" t="s">
        <v>410</v>
      </c>
      <c r="B332">
        <f t="shared" si="38"/>
        <v>5108</v>
      </c>
      <c r="C332">
        <v>902</v>
      </c>
      <c r="D332">
        <v>4206</v>
      </c>
      <c r="E332">
        <v>16486</v>
      </c>
      <c r="F332">
        <f t="shared" si="36"/>
        <v>598</v>
      </c>
      <c r="G332" s="21">
        <f t="shared" si="37"/>
        <v>9</v>
      </c>
      <c r="H332" s="22">
        <v>99622050037</v>
      </c>
      <c r="I332" s="23" t="s">
        <v>411</v>
      </c>
      <c r="J332" s="24"/>
      <c r="K332" s="25">
        <f>M332+O332</f>
        <v>4510</v>
      </c>
      <c r="L332" s="24">
        <f t="shared" si="39"/>
        <v>598</v>
      </c>
      <c r="M332" s="25">
        <v>727</v>
      </c>
      <c r="N332" s="26">
        <f t="shared" si="40"/>
        <v>3479</v>
      </c>
      <c r="O332" s="25">
        <v>3783</v>
      </c>
      <c r="P332" s="24">
        <f t="shared" si="41"/>
        <v>423</v>
      </c>
      <c r="Q332" s="27">
        <v>15068</v>
      </c>
      <c r="R332" s="24">
        <f t="shared" si="42"/>
        <v>1418</v>
      </c>
      <c r="S332" s="28" t="s">
        <v>18</v>
      </c>
      <c r="T332" s="20" t="s">
        <v>410</v>
      </c>
    </row>
    <row r="333" spans="1:20" ht="37.5" customHeight="1" x14ac:dyDescent="0.25">
      <c r="A333" s="20" t="s">
        <v>412</v>
      </c>
      <c r="B333">
        <f t="shared" si="38"/>
        <v>1195</v>
      </c>
      <c r="C333">
        <v>117</v>
      </c>
      <c r="D333">
        <v>1078</v>
      </c>
      <c r="F333">
        <f t="shared" si="36"/>
        <v>0</v>
      </c>
      <c r="G333" s="21">
        <f t="shared" si="37"/>
        <v>10</v>
      </c>
      <c r="H333" s="22">
        <v>88821080378</v>
      </c>
      <c r="I333" s="23">
        <v>375</v>
      </c>
      <c r="J333" s="24"/>
      <c r="K333" s="25">
        <v>1195</v>
      </c>
      <c r="L333" s="24">
        <f t="shared" si="39"/>
        <v>0</v>
      </c>
      <c r="M333" s="25">
        <v>117</v>
      </c>
      <c r="N333" s="26">
        <f t="shared" si="40"/>
        <v>961</v>
      </c>
      <c r="O333" s="25">
        <v>1078</v>
      </c>
      <c r="P333" s="24">
        <f t="shared" si="41"/>
        <v>0</v>
      </c>
      <c r="Q333" s="27"/>
      <c r="R333" s="24">
        <f t="shared" si="42"/>
        <v>0</v>
      </c>
      <c r="S333" s="28" t="s">
        <v>18</v>
      </c>
      <c r="T333" s="20" t="s">
        <v>412</v>
      </c>
    </row>
    <row r="334" spans="1:20" ht="37.5" customHeight="1" x14ac:dyDescent="0.25">
      <c r="A334" s="20" t="s">
        <v>413</v>
      </c>
      <c r="B334">
        <f t="shared" si="38"/>
        <v>5522</v>
      </c>
      <c r="C334">
        <v>495</v>
      </c>
      <c r="D334">
        <v>5027</v>
      </c>
      <c r="F334">
        <f t="shared" si="36"/>
        <v>157</v>
      </c>
      <c r="G334" s="21">
        <f t="shared" si="37"/>
        <v>11</v>
      </c>
      <c r="H334" s="22">
        <v>88820040065</v>
      </c>
      <c r="I334" s="23">
        <v>377</v>
      </c>
      <c r="J334" s="24"/>
      <c r="K334" s="25">
        <v>5365</v>
      </c>
      <c r="L334" s="24">
        <f t="shared" si="39"/>
        <v>157</v>
      </c>
      <c r="M334" s="25">
        <v>456</v>
      </c>
      <c r="N334" s="26">
        <f t="shared" si="40"/>
        <v>4571</v>
      </c>
      <c r="O334" s="25">
        <v>4909</v>
      </c>
      <c r="P334" s="24">
        <f t="shared" si="41"/>
        <v>118</v>
      </c>
      <c r="Q334" s="27"/>
      <c r="R334" s="24">
        <f t="shared" si="42"/>
        <v>0</v>
      </c>
      <c r="S334" s="28" t="s">
        <v>18</v>
      </c>
      <c r="T334" s="20" t="s">
        <v>413</v>
      </c>
    </row>
    <row r="335" spans="1:20" ht="37.5" customHeight="1" x14ac:dyDescent="0.25">
      <c r="A335" s="20" t="s">
        <v>414</v>
      </c>
      <c r="B335">
        <f t="shared" si="38"/>
        <v>3675</v>
      </c>
      <c r="C335">
        <v>970</v>
      </c>
      <c r="D335">
        <v>2705</v>
      </c>
      <c r="E335">
        <v>6322</v>
      </c>
      <c r="F335">
        <f t="shared" si="36"/>
        <v>440</v>
      </c>
      <c r="G335" s="21">
        <f t="shared" si="37"/>
        <v>12</v>
      </c>
      <c r="H335" s="22">
        <v>99624030393</v>
      </c>
      <c r="I335" s="23">
        <v>379</v>
      </c>
      <c r="J335" s="24"/>
      <c r="K335" s="25">
        <f>M335+O335</f>
        <v>3235</v>
      </c>
      <c r="L335" s="24">
        <f t="shared" si="39"/>
        <v>440</v>
      </c>
      <c r="M335" s="25">
        <v>837</v>
      </c>
      <c r="N335" s="26">
        <f t="shared" si="40"/>
        <v>1868</v>
      </c>
      <c r="O335" s="25">
        <v>2398</v>
      </c>
      <c r="P335" s="24">
        <f t="shared" si="41"/>
        <v>307</v>
      </c>
      <c r="Q335" s="27">
        <v>4002</v>
      </c>
      <c r="R335" s="24">
        <f t="shared" si="42"/>
        <v>2320</v>
      </c>
      <c r="S335" s="28" t="s">
        <v>18</v>
      </c>
      <c r="T335" s="20" t="s">
        <v>414</v>
      </c>
    </row>
    <row r="336" spans="1:20" ht="37.5" customHeight="1" x14ac:dyDescent="0.25">
      <c r="A336" s="20" t="s">
        <v>415</v>
      </c>
      <c r="B336">
        <f t="shared" si="38"/>
        <v>12848</v>
      </c>
      <c r="C336">
        <v>3546</v>
      </c>
      <c r="D336">
        <v>9302</v>
      </c>
      <c r="E336">
        <v>40136</v>
      </c>
      <c r="F336">
        <f t="shared" si="36"/>
        <v>760</v>
      </c>
      <c r="G336" s="21">
        <f t="shared" si="37"/>
        <v>13</v>
      </c>
      <c r="H336" s="22">
        <v>99723050094</v>
      </c>
      <c r="I336" s="23">
        <v>380</v>
      </c>
      <c r="J336" s="24"/>
      <c r="K336" s="25">
        <f>M336+O336</f>
        <v>12088</v>
      </c>
      <c r="L336" s="24">
        <f t="shared" si="39"/>
        <v>760</v>
      </c>
      <c r="M336" s="25">
        <v>3305</v>
      </c>
      <c r="N336" s="26">
        <f t="shared" si="40"/>
        <v>5997</v>
      </c>
      <c r="O336" s="25">
        <v>8783</v>
      </c>
      <c r="P336" s="24">
        <f t="shared" si="41"/>
        <v>519</v>
      </c>
      <c r="Q336" s="27">
        <v>37975</v>
      </c>
      <c r="R336" s="24">
        <f t="shared" si="42"/>
        <v>2161</v>
      </c>
      <c r="S336" s="28" t="s">
        <v>18</v>
      </c>
      <c r="T336" s="20" t="s">
        <v>415</v>
      </c>
    </row>
    <row r="337" spans="1:20" ht="37.5" customHeight="1" x14ac:dyDescent="0.25">
      <c r="A337" s="20" t="s">
        <v>416</v>
      </c>
      <c r="B337">
        <f t="shared" si="38"/>
        <v>15364</v>
      </c>
      <c r="C337">
        <v>2700</v>
      </c>
      <c r="D337">
        <v>12664</v>
      </c>
      <c r="F337">
        <f t="shared" si="36"/>
        <v>190</v>
      </c>
      <c r="G337" s="21">
        <f t="shared" si="37"/>
        <v>14</v>
      </c>
      <c r="H337" s="22">
        <v>88821080251</v>
      </c>
      <c r="I337" s="23">
        <v>384</v>
      </c>
      <c r="J337" s="24"/>
      <c r="K337" s="25">
        <v>15174</v>
      </c>
      <c r="L337" s="24">
        <f t="shared" si="39"/>
        <v>190</v>
      </c>
      <c r="M337" s="25">
        <v>2689</v>
      </c>
      <c r="N337" s="26">
        <f t="shared" si="40"/>
        <v>9975</v>
      </c>
      <c r="O337" s="25">
        <v>12485</v>
      </c>
      <c r="P337" s="24">
        <f t="shared" si="41"/>
        <v>179</v>
      </c>
      <c r="Q337" s="27"/>
      <c r="R337" s="24">
        <f t="shared" si="42"/>
        <v>0</v>
      </c>
      <c r="S337" s="28" t="s">
        <v>18</v>
      </c>
      <c r="T337" s="20" t="s">
        <v>416</v>
      </c>
    </row>
    <row r="338" spans="1:20" ht="37.5" customHeight="1" x14ac:dyDescent="0.25">
      <c r="A338" s="20" t="s">
        <v>417</v>
      </c>
      <c r="B338">
        <f t="shared" si="38"/>
        <v>23654</v>
      </c>
      <c r="C338">
        <v>3312</v>
      </c>
      <c r="D338">
        <v>20342</v>
      </c>
      <c r="F338">
        <f t="shared" si="36"/>
        <v>355</v>
      </c>
      <c r="G338" s="21">
        <f t="shared" si="37"/>
        <v>15</v>
      </c>
      <c r="H338" s="22">
        <v>88820050304</v>
      </c>
      <c r="I338" s="23">
        <v>386</v>
      </c>
      <c r="J338" s="24"/>
      <c r="K338" s="25">
        <v>23299</v>
      </c>
      <c r="L338" s="24">
        <f t="shared" si="39"/>
        <v>355</v>
      </c>
      <c r="M338" s="25">
        <v>3247</v>
      </c>
      <c r="N338" s="26">
        <f t="shared" si="40"/>
        <v>17095</v>
      </c>
      <c r="O338" s="25">
        <v>20052</v>
      </c>
      <c r="P338" s="24">
        <f t="shared" si="41"/>
        <v>290</v>
      </c>
      <c r="Q338" s="27"/>
      <c r="R338" s="24">
        <f t="shared" si="42"/>
        <v>0</v>
      </c>
      <c r="S338" s="28" t="s">
        <v>18</v>
      </c>
      <c r="T338" s="20" t="s">
        <v>417</v>
      </c>
    </row>
    <row r="339" spans="1:20" ht="37.5" customHeight="1" x14ac:dyDescent="0.25">
      <c r="A339" s="20" t="s">
        <v>418</v>
      </c>
      <c r="B339">
        <f t="shared" si="38"/>
        <v>11648</v>
      </c>
      <c r="C339">
        <v>2315</v>
      </c>
      <c r="D339">
        <v>9333</v>
      </c>
      <c r="F339">
        <f t="shared" si="36"/>
        <v>747</v>
      </c>
      <c r="G339" s="21">
        <f t="shared" si="37"/>
        <v>16</v>
      </c>
      <c r="H339" s="22">
        <v>66622060363</v>
      </c>
      <c r="I339" s="23">
        <v>386</v>
      </c>
      <c r="J339" s="24"/>
      <c r="K339" s="25">
        <v>10901</v>
      </c>
      <c r="L339" s="24">
        <f t="shared" si="39"/>
        <v>747</v>
      </c>
      <c r="M339" s="25">
        <v>2169</v>
      </c>
      <c r="N339" s="26">
        <f t="shared" si="40"/>
        <v>7164</v>
      </c>
      <c r="O339" s="25">
        <v>8732</v>
      </c>
      <c r="P339" s="24">
        <f t="shared" si="41"/>
        <v>601</v>
      </c>
      <c r="Q339" s="27"/>
      <c r="R339" s="24">
        <f t="shared" si="42"/>
        <v>0</v>
      </c>
      <c r="S339" s="28" t="s">
        <v>18</v>
      </c>
      <c r="T339" s="20" t="s">
        <v>418</v>
      </c>
    </row>
    <row r="340" spans="1:20" ht="37.5" customHeight="1" x14ac:dyDescent="0.25">
      <c r="A340" s="20" t="s">
        <v>419</v>
      </c>
      <c r="B340">
        <f t="shared" si="38"/>
        <v>25662</v>
      </c>
      <c r="C340">
        <v>6353</v>
      </c>
      <c r="D340">
        <v>19309</v>
      </c>
      <c r="E340">
        <v>7705</v>
      </c>
      <c r="F340">
        <f t="shared" si="36"/>
        <v>1689</v>
      </c>
      <c r="G340" s="21">
        <f t="shared" si="37"/>
        <v>17</v>
      </c>
      <c r="H340" s="22">
        <v>99624020192</v>
      </c>
      <c r="I340" s="23">
        <v>393</v>
      </c>
      <c r="J340" s="24"/>
      <c r="K340" s="25">
        <f>M340+O340</f>
        <v>23973</v>
      </c>
      <c r="L340" s="24">
        <f t="shared" si="39"/>
        <v>1689</v>
      </c>
      <c r="M340" s="25">
        <v>5896</v>
      </c>
      <c r="N340" s="26">
        <f t="shared" si="40"/>
        <v>13413</v>
      </c>
      <c r="O340" s="25">
        <v>18077</v>
      </c>
      <c r="P340" s="24">
        <f t="shared" si="41"/>
        <v>1232</v>
      </c>
      <c r="Q340" s="27">
        <v>6463</v>
      </c>
      <c r="R340" s="24">
        <f t="shared" si="42"/>
        <v>1242</v>
      </c>
      <c r="S340" s="28" t="s">
        <v>18</v>
      </c>
      <c r="T340" s="20" t="s">
        <v>419</v>
      </c>
    </row>
    <row r="341" spans="1:20" ht="37.5" customHeight="1" x14ac:dyDescent="0.25">
      <c r="A341" s="20" t="s">
        <v>420</v>
      </c>
      <c r="B341">
        <f t="shared" si="38"/>
        <v>246392</v>
      </c>
      <c r="C341">
        <v>40972</v>
      </c>
      <c r="D341">
        <v>205420</v>
      </c>
      <c r="F341">
        <f t="shared" si="36"/>
        <v>5401</v>
      </c>
      <c r="G341" s="21">
        <f t="shared" si="37"/>
        <v>18</v>
      </c>
      <c r="H341" s="22">
        <v>66616031177</v>
      </c>
      <c r="I341" s="23">
        <v>394</v>
      </c>
      <c r="J341" s="24"/>
      <c r="K341" s="25">
        <v>240991</v>
      </c>
      <c r="L341" s="24">
        <f t="shared" si="39"/>
        <v>5401</v>
      </c>
      <c r="M341" s="25">
        <v>40146</v>
      </c>
      <c r="N341" s="26">
        <f t="shared" si="40"/>
        <v>165274</v>
      </c>
      <c r="O341" s="25">
        <v>200845</v>
      </c>
      <c r="P341" s="24">
        <f t="shared" si="41"/>
        <v>4575</v>
      </c>
      <c r="Q341" s="27"/>
      <c r="R341" s="24">
        <f t="shared" si="42"/>
        <v>0</v>
      </c>
      <c r="S341" s="28" t="s">
        <v>18</v>
      </c>
      <c r="T341" s="20" t="s">
        <v>420</v>
      </c>
    </row>
    <row r="342" spans="1:20" ht="37.5" customHeight="1" x14ac:dyDescent="0.25">
      <c r="A342" s="20" t="s">
        <v>421</v>
      </c>
      <c r="B342">
        <f t="shared" si="38"/>
        <v>74370</v>
      </c>
      <c r="C342">
        <v>21036</v>
      </c>
      <c r="D342">
        <v>53334</v>
      </c>
      <c r="E342">
        <v>36824</v>
      </c>
      <c r="F342">
        <f t="shared" si="36"/>
        <v>2511</v>
      </c>
      <c r="G342" s="21">
        <f t="shared" si="37"/>
        <v>19</v>
      </c>
      <c r="H342" s="22">
        <v>99723010046</v>
      </c>
      <c r="I342" s="23">
        <v>396</v>
      </c>
      <c r="J342" s="24"/>
      <c r="K342" s="25">
        <f>M342+O342</f>
        <v>71859</v>
      </c>
      <c r="L342" s="24">
        <f t="shared" si="39"/>
        <v>2511</v>
      </c>
      <c r="M342" s="25">
        <v>20298</v>
      </c>
      <c r="N342" s="26">
        <f t="shared" si="40"/>
        <v>33036</v>
      </c>
      <c r="O342" s="25">
        <v>51561</v>
      </c>
      <c r="P342" s="24">
        <f t="shared" si="41"/>
        <v>1773</v>
      </c>
      <c r="Q342" s="27">
        <v>34987</v>
      </c>
      <c r="R342" s="24">
        <f t="shared" si="42"/>
        <v>1837</v>
      </c>
      <c r="S342" s="28" t="s">
        <v>18</v>
      </c>
      <c r="T342" s="20" t="s">
        <v>421</v>
      </c>
    </row>
    <row r="343" spans="1:20" ht="37.5" customHeight="1" x14ac:dyDescent="0.25">
      <c r="A343" s="20" t="s">
        <v>422</v>
      </c>
      <c r="B343">
        <f t="shared" si="38"/>
        <v>25078</v>
      </c>
      <c r="C343">
        <v>4289</v>
      </c>
      <c r="D343">
        <v>20789</v>
      </c>
      <c r="F343">
        <f t="shared" si="36"/>
        <v>833</v>
      </c>
      <c r="G343" s="21">
        <f t="shared" si="37"/>
        <v>20</v>
      </c>
      <c r="H343" s="22">
        <v>88820020364</v>
      </c>
      <c r="I343" s="23">
        <v>397</v>
      </c>
      <c r="J343" s="24"/>
      <c r="K343" s="25">
        <v>24245</v>
      </c>
      <c r="L343" s="24">
        <f t="shared" si="39"/>
        <v>833</v>
      </c>
      <c r="M343" s="25">
        <v>4030</v>
      </c>
      <c r="N343" s="26">
        <f t="shared" si="40"/>
        <v>16759</v>
      </c>
      <c r="O343" s="25">
        <v>20215</v>
      </c>
      <c r="P343" s="24">
        <f t="shared" si="41"/>
        <v>574</v>
      </c>
      <c r="Q343" s="27"/>
      <c r="R343" s="24">
        <f t="shared" si="42"/>
        <v>0</v>
      </c>
      <c r="S343" s="28" t="s">
        <v>18</v>
      </c>
      <c r="T343" s="20" t="s">
        <v>422</v>
      </c>
    </row>
    <row r="344" spans="1:20" ht="37.5" customHeight="1" x14ac:dyDescent="0.25">
      <c r="A344" s="20" t="s">
        <v>423</v>
      </c>
      <c r="B344">
        <f t="shared" si="38"/>
        <v>14780</v>
      </c>
      <c r="C344">
        <v>2464</v>
      </c>
      <c r="D344">
        <v>12316</v>
      </c>
      <c r="F344">
        <f t="shared" si="36"/>
        <v>41</v>
      </c>
      <c r="G344" s="21">
        <f t="shared" si="37"/>
        <v>21</v>
      </c>
      <c r="H344" s="22">
        <v>88819020396</v>
      </c>
      <c r="I344" s="23">
        <v>403</v>
      </c>
      <c r="J344" s="24"/>
      <c r="K344" s="25">
        <v>14739</v>
      </c>
      <c r="L344" s="24">
        <f t="shared" si="39"/>
        <v>41</v>
      </c>
      <c r="M344" s="25">
        <v>2456</v>
      </c>
      <c r="N344" s="26">
        <f t="shared" si="40"/>
        <v>9860</v>
      </c>
      <c r="O344" s="25">
        <v>12283</v>
      </c>
      <c r="P344" s="24">
        <f t="shared" si="41"/>
        <v>33</v>
      </c>
      <c r="Q344" s="27"/>
      <c r="R344" s="24">
        <f t="shared" si="42"/>
        <v>0</v>
      </c>
      <c r="S344" s="28" t="s">
        <v>18</v>
      </c>
      <c r="T344" s="20" t="s">
        <v>423</v>
      </c>
    </row>
    <row r="345" spans="1:20" ht="37.5" customHeight="1" x14ac:dyDescent="0.25">
      <c r="A345" s="20" t="s">
        <v>424</v>
      </c>
      <c r="B345">
        <f t="shared" si="38"/>
        <v>45416</v>
      </c>
      <c r="C345">
        <v>13747</v>
      </c>
      <c r="D345">
        <v>31669</v>
      </c>
      <c r="E345">
        <v>25045</v>
      </c>
      <c r="F345">
        <f t="shared" si="36"/>
        <v>1126</v>
      </c>
      <c r="G345" s="21">
        <f t="shared" si="37"/>
        <v>22</v>
      </c>
      <c r="H345" s="22">
        <v>99622050034</v>
      </c>
      <c r="I345" s="23" t="s">
        <v>425</v>
      </c>
      <c r="J345" s="24"/>
      <c r="K345" s="25">
        <f>M345+O345</f>
        <v>44290</v>
      </c>
      <c r="L345" s="24">
        <f t="shared" si="39"/>
        <v>1126</v>
      </c>
      <c r="M345" s="25">
        <v>13346</v>
      </c>
      <c r="N345" s="26">
        <f t="shared" si="40"/>
        <v>18323</v>
      </c>
      <c r="O345" s="25">
        <v>30944</v>
      </c>
      <c r="P345" s="24">
        <f t="shared" si="41"/>
        <v>725</v>
      </c>
      <c r="Q345" s="27">
        <v>23349</v>
      </c>
      <c r="R345" s="24">
        <f t="shared" si="42"/>
        <v>1696</v>
      </c>
      <c r="S345" s="28" t="s">
        <v>18</v>
      </c>
      <c r="T345" s="20" t="s">
        <v>424</v>
      </c>
    </row>
    <row r="346" spans="1:20" ht="37.5" customHeight="1" x14ac:dyDescent="0.25">
      <c r="A346" s="20" t="s">
        <v>426</v>
      </c>
      <c r="B346">
        <f t="shared" si="38"/>
        <v>4768</v>
      </c>
      <c r="C346">
        <v>613</v>
      </c>
      <c r="D346">
        <v>4155</v>
      </c>
      <c r="F346">
        <f t="shared" si="36"/>
        <v>110</v>
      </c>
      <c r="G346" s="21">
        <f t="shared" si="37"/>
        <v>23</v>
      </c>
      <c r="H346" s="22">
        <v>66621090230</v>
      </c>
      <c r="I346" s="23">
        <v>405</v>
      </c>
      <c r="J346" s="24"/>
      <c r="K346" s="25">
        <v>4658</v>
      </c>
      <c r="L346" s="24">
        <f t="shared" si="39"/>
        <v>110</v>
      </c>
      <c r="M346" s="25">
        <v>593</v>
      </c>
      <c r="N346" s="26">
        <f t="shared" si="40"/>
        <v>3562</v>
      </c>
      <c r="O346" s="25">
        <v>4065</v>
      </c>
      <c r="P346" s="24">
        <f t="shared" si="41"/>
        <v>90</v>
      </c>
      <c r="Q346" s="27"/>
      <c r="R346" s="24">
        <f t="shared" si="42"/>
        <v>0</v>
      </c>
      <c r="S346" s="28" t="s">
        <v>18</v>
      </c>
      <c r="T346" s="20" t="s">
        <v>426</v>
      </c>
    </row>
    <row r="347" spans="1:20" ht="37.5" customHeight="1" x14ac:dyDescent="0.25">
      <c r="A347" s="20" t="s">
        <v>427</v>
      </c>
      <c r="B347">
        <f t="shared" si="38"/>
        <v>21365</v>
      </c>
      <c r="C347">
        <v>5803</v>
      </c>
      <c r="D347">
        <v>15562</v>
      </c>
      <c r="E347">
        <v>23646</v>
      </c>
      <c r="F347">
        <f t="shared" si="36"/>
        <v>692</v>
      </c>
      <c r="G347" s="21">
        <f t="shared" si="37"/>
        <v>24</v>
      </c>
      <c r="H347" s="22">
        <v>99723060192</v>
      </c>
      <c r="I347" s="23">
        <v>407</v>
      </c>
      <c r="J347" s="24"/>
      <c r="K347" s="25">
        <f>M347+O347</f>
        <v>20673</v>
      </c>
      <c r="L347" s="24">
        <f t="shared" si="39"/>
        <v>692</v>
      </c>
      <c r="M347" s="25">
        <v>5601</v>
      </c>
      <c r="N347" s="26">
        <f t="shared" si="40"/>
        <v>9961</v>
      </c>
      <c r="O347" s="25">
        <v>15072</v>
      </c>
      <c r="P347" s="24">
        <f t="shared" si="41"/>
        <v>490</v>
      </c>
      <c r="Q347" s="27">
        <v>21849</v>
      </c>
      <c r="R347" s="24">
        <f t="shared" si="42"/>
        <v>1797</v>
      </c>
      <c r="S347" s="28" t="s">
        <v>18</v>
      </c>
      <c r="T347" s="20" t="s">
        <v>427</v>
      </c>
    </row>
    <row r="348" spans="1:20" ht="37.5" customHeight="1" x14ac:dyDescent="0.25">
      <c r="A348" s="20" t="s">
        <v>428</v>
      </c>
      <c r="B348">
        <f t="shared" si="38"/>
        <v>39877</v>
      </c>
      <c r="C348">
        <v>10946</v>
      </c>
      <c r="D348">
        <v>28931</v>
      </c>
      <c r="E348">
        <v>39065</v>
      </c>
      <c r="F348">
        <f t="shared" si="36"/>
        <v>931</v>
      </c>
      <c r="G348" s="21">
        <f t="shared" si="37"/>
        <v>25</v>
      </c>
      <c r="H348" s="22">
        <v>99622010039</v>
      </c>
      <c r="I348" s="23">
        <v>408</v>
      </c>
      <c r="J348" s="24"/>
      <c r="K348" s="25">
        <f>M348+O348</f>
        <v>38946</v>
      </c>
      <c r="L348" s="24">
        <f t="shared" si="39"/>
        <v>931</v>
      </c>
      <c r="M348" s="25">
        <v>10672</v>
      </c>
      <c r="N348" s="26">
        <f t="shared" si="40"/>
        <v>18259</v>
      </c>
      <c r="O348" s="25">
        <v>28274</v>
      </c>
      <c r="P348" s="24">
        <f t="shared" si="41"/>
        <v>657</v>
      </c>
      <c r="Q348" s="27">
        <v>36969</v>
      </c>
      <c r="R348" s="24">
        <f t="shared" si="42"/>
        <v>2096</v>
      </c>
      <c r="S348" s="28" t="s">
        <v>18</v>
      </c>
      <c r="T348" s="20" t="s">
        <v>428</v>
      </c>
    </row>
    <row r="349" spans="1:20" ht="37.5" customHeight="1" x14ac:dyDescent="0.25">
      <c r="A349" s="20" t="s">
        <v>429</v>
      </c>
      <c r="B349">
        <f t="shared" si="38"/>
        <v>43733</v>
      </c>
      <c r="C349">
        <v>11404</v>
      </c>
      <c r="D349">
        <v>32329</v>
      </c>
      <c r="E349">
        <v>38252</v>
      </c>
      <c r="F349">
        <f t="shared" si="36"/>
        <v>1213</v>
      </c>
      <c r="G349" s="21">
        <f t="shared" si="37"/>
        <v>26</v>
      </c>
      <c r="H349" s="22">
        <v>99622010038</v>
      </c>
      <c r="I349" s="23" t="s">
        <v>430</v>
      </c>
      <c r="J349" s="24"/>
      <c r="K349" s="25">
        <f>M349+O349</f>
        <v>42520</v>
      </c>
      <c r="L349" s="24">
        <f t="shared" si="39"/>
        <v>1213</v>
      </c>
      <c r="M349" s="25">
        <v>11064</v>
      </c>
      <c r="N349" s="26">
        <f t="shared" si="40"/>
        <v>21265</v>
      </c>
      <c r="O349" s="25">
        <v>31456</v>
      </c>
      <c r="P349" s="24">
        <f t="shared" si="41"/>
        <v>873</v>
      </c>
      <c r="Q349" s="27">
        <v>36514</v>
      </c>
      <c r="R349" s="24">
        <f t="shared" si="42"/>
        <v>1738</v>
      </c>
      <c r="S349" s="28" t="s">
        <v>18</v>
      </c>
      <c r="T349" s="20" t="s">
        <v>429</v>
      </c>
    </row>
    <row r="350" spans="1:20" ht="37.5" customHeight="1" x14ac:dyDescent="0.25">
      <c r="A350" s="20" t="s">
        <v>431</v>
      </c>
      <c r="B350">
        <f t="shared" si="38"/>
        <v>19282</v>
      </c>
      <c r="C350">
        <v>4451</v>
      </c>
      <c r="D350">
        <v>14831</v>
      </c>
      <c r="F350">
        <f t="shared" si="36"/>
        <v>1158</v>
      </c>
      <c r="G350" s="21">
        <f t="shared" si="37"/>
        <v>27</v>
      </c>
      <c r="H350" s="22">
        <v>66622050500</v>
      </c>
      <c r="I350" s="23" t="s">
        <v>432</v>
      </c>
      <c r="J350" s="24"/>
      <c r="K350" s="25">
        <v>18124</v>
      </c>
      <c r="L350" s="24">
        <f t="shared" si="39"/>
        <v>1158</v>
      </c>
      <c r="M350" s="25">
        <v>4174</v>
      </c>
      <c r="N350" s="26">
        <f t="shared" si="40"/>
        <v>10657</v>
      </c>
      <c r="O350" s="25">
        <v>13950</v>
      </c>
      <c r="P350" s="24">
        <f t="shared" si="41"/>
        <v>881</v>
      </c>
      <c r="Q350" s="27"/>
      <c r="R350" s="24">
        <f t="shared" si="42"/>
        <v>0</v>
      </c>
      <c r="S350" s="28" t="s">
        <v>331</v>
      </c>
      <c r="T350" s="20" t="s">
        <v>431</v>
      </c>
    </row>
    <row r="351" spans="1:20" ht="37.5" customHeight="1" x14ac:dyDescent="0.25">
      <c r="A351" s="20" t="s">
        <v>433</v>
      </c>
      <c r="B351">
        <f t="shared" si="38"/>
        <v>23357</v>
      </c>
      <c r="C351">
        <v>1680</v>
      </c>
      <c r="D351">
        <v>21677</v>
      </c>
      <c r="F351">
        <f t="shared" si="36"/>
        <v>242</v>
      </c>
      <c r="G351" s="21">
        <f t="shared" si="37"/>
        <v>28</v>
      </c>
      <c r="H351" s="22">
        <v>23010090021</v>
      </c>
      <c r="I351" s="23" t="s">
        <v>434</v>
      </c>
      <c r="J351" s="24"/>
      <c r="K351" s="25">
        <v>23115</v>
      </c>
      <c r="L351" s="24">
        <f t="shared" si="39"/>
        <v>242</v>
      </c>
      <c r="M351" s="25">
        <v>1671</v>
      </c>
      <c r="N351" s="26">
        <f t="shared" si="40"/>
        <v>20006</v>
      </c>
      <c r="O351" s="25">
        <v>21444</v>
      </c>
      <c r="P351" s="24">
        <f t="shared" si="41"/>
        <v>233</v>
      </c>
      <c r="Q351" s="27"/>
      <c r="R351" s="24">
        <f t="shared" si="42"/>
        <v>0</v>
      </c>
      <c r="S351" s="28" t="s">
        <v>345</v>
      </c>
      <c r="T351" s="20" t="s">
        <v>433</v>
      </c>
    </row>
    <row r="352" spans="1:20" ht="37.5" customHeight="1" x14ac:dyDescent="0.25">
      <c r="A352" s="20" t="s">
        <v>435</v>
      </c>
      <c r="B352">
        <f t="shared" si="38"/>
        <v>6964</v>
      </c>
      <c r="C352">
        <v>1181</v>
      </c>
      <c r="D352">
        <v>5783</v>
      </c>
      <c r="F352">
        <f t="shared" si="36"/>
        <v>82</v>
      </c>
      <c r="G352" s="21">
        <f t="shared" si="37"/>
        <v>29</v>
      </c>
      <c r="H352" s="22">
        <v>88819030189</v>
      </c>
      <c r="I352" s="23" t="s">
        <v>436</v>
      </c>
      <c r="J352" s="24"/>
      <c r="K352" s="25">
        <v>6882</v>
      </c>
      <c r="L352" s="24">
        <f t="shared" si="39"/>
        <v>82</v>
      </c>
      <c r="M352" s="25">
        <v>1181</v>
      </c>
      <c r="N352" s="26">
        <f t="shared" si="40"/>
        <v>4602</v>
      </c>
      <c r="O352" s="25">
        <v>5701</v>
      </c>
      <c r="P352" s="24">
        <f t="shared" si="41"/>
        <v>82</v>
      </c>
      <c r="Q352" s="27"/>
      <c r="R352" s="24">
        <f t="shared" si="42"/>
        <v>0</v>
      </c>
      <c r="S352" s="28" t="s">
        <v>345</v>
      </c>
      <c r="T352" s="20" t="s">
        <v>435</v>
      </c>
    </row>
    <row r="353" spans="1:20" ht="37.5" customHeight="1" x14ac:dyDescent="0.25">
      <c r="A353" s="20" t="s">
        <v>437</v>
      </c>
      <c r="B353">
        <f t="shared" si="38"/>
        <v>181217</v>
      </c>
      <c r="C353">
        <v>56879</v>
      </c>
      <c r="D353">
        <v>124338</v>
      </c>
      <c r="F353">
        <f t="shared" si="36"/>
        <v>2174</v>
      </c>
      <c r="G353" s="21">
        <f t="shared" si="37"/>
        <v>30</v>
      </c>
      <c r="H353" s="22">
        <v>88818020474</v>
      </c>
      <c r="I353" s="23" t="s">
        <v>438</v>
      </c>
      <c r="J353" s="24"/>
      <c r="K353" s="25">
        <v>179043</v>
      </c>
      <c r="L353" s="24">
        <f t="shared" si="39"/>
        <v>2174</v>
      </c>
      <c r="M353" s="25">
        <v>56232</v>
      </c>
      <c r="N353" s="26">
        <f t="shared" si="40"/>
        <v>68106</v>
      </c>
      <c r="O353" s="25">
        <v>122811</v>
      </c>
      <c r="P353" s="24">
        <f t="shared" si="41"/>
        <v>1527</v>
      </c>
      <c r="Q353" s="27"/>
      <c r="R353" s="24">
        <f t="shared" si="42"/>
        <v>0</v>
      </c>
      <c r="S353" s="28" t="s">
        <v>345</v>
      </c>
      <c r="T353" s="20" t="s">
        <v>437</v>
      </c>
    </row>
    <row r="354" spans="1:20" ht="37.5" customHeight="1" x14ac:dyDescent="0.25">
      <c r="A354" s="20" t="s">
        <v>439</v>
      </c>
      <c r="B354">
        <f t="shared" si="38"/>
        <v>100588</v>
      </c>
      <c r="C354">
        <v>31616</v>
      </c>
      <c r="D354">
        <v>68972</v>
      </c>
      <c r="F354">
        <f t="shared" si="36"/>
        <v>904</v>
      </c>
      <c r="G354" s="21">
        <f t="shared" si="37"/>
        <v>31</v>
      </c>
      <c r="H354" s="22">
        <v>88819020311</v>
      </c>
      <c r="I354" s="23" t="s">
        <v>440</v>
      </c>
      <c r="J354" s="24"/>
      <c r="K354" s="25">
        <v>99684</v>
      </c>
      <c r="L354" s="24">
        <f t="shared" si="39"/>
        <v>904</v>
      </c>
      <c r="M354" s="25">
        <v>31351</v>
      </c>
      <c r="N354" s="26">
        <f t="shared" si="40"/>
        <v>37621</v>
      </c>
      <c r="O354" s="25">
        <v>68333</v>
      </c>
      <c r="P354" s="24">
        <f t="shared" si="41"/>
        <v>639</v>
      </c>
      <c r="Q354" s="27"/>
      <c r="R354" s="24">
        <f t="shared" si="42"/>
        <v>0</v>
      </c>
      <c r="S354" s="28" t="s">
        <v>345</v>
      </c>
      <c r="T354" s="20" t="s">
        <v>439</v>
      </c>
    </row>
    <row r="355" spans="1:20" ht="37.5" customHeight="1" x14ac:dyDescent="0.25">
      <c r="A355" s="20"/>
      <c r="G355" s="21"/>
      <c r="H355" s="22"/>
      <c r="I355" s="23"/>
      <c r="J355" s="24"/>
      <c r="K355" s="25"/>
      <c r="L355" s="29"/>
      <c r="M355" s="25"/>
      <c r="N355" s="26"/>
      <c r="O355" s="25"/>
      <c r="P355" s="24"/>
      <c r="Q355" s="27"/>
      <c r="R355" s="24"/>
      <c r="S355" s="28"/>
      <c r="T355" s="20"/>
    </row>
    <row r="356" spans="1:20" ht="37.5" customHeight="1" x14ac:dyDescent="0.25">
      <c r="A356" s="20"/>
      <c r="G356" s="21"/>
      <c r="H356" s="22"/>
      <c r="I356" s="23"/>
      <c r="J356" s="24"/>
      <c r="K356" s="25"/>
      <c r="L356" s="29"/>
      <c r="M356" s="25"/>
      <c r="N356" s="26"/>
      <c r="O356" s="25"/>
      <c r="P356" s="24"/>
      <c r="Q356" s="27"/>
      <c r="R356" s="24"/>
      <c r="S356" s="28"/>
      <c r="T356" s="20"/>
    </row>
    <row r="357" spans="1:20" ht="37.5" customHeight="1" x14ac:dyDescent="0.25">
      <c r="A357" s="20"/>
      <c r="G357" s="21"/>
      <c r="H357" s="22"/>
      <c r="I357" s="23"/>
      <c r="J357" s="24"/>
      <c r="K357" s="25"/>
      <c r="L357" s="29"/>
      <c r="M357" s="25"/>
      <c r="N357" s="26"/>
      <c r="O357" s="25"/>
      <c r="P357" s="24"/>
      <c r="Q357" s="27"/>
      <c r="R357" s="24"/>
      <c r="S357" s="28"/>
      <c r="T357" s="20"/>
    </row>
    <row r="358" spans="1:20" ht="37.5" customHeight="1" x14ac:dyDescent="0.25">
      <c r="A358" s="20"/>
      <c r="G358" s="21"/>
      <c r="H358" s="22"/>
      <c r="I358" s="23"/>
      <c r="J358" s="24"/>
      <c r="K358" s="25"/>
      <c r="L358" s="29"/>
      <c r="M358" s="25"/>
      <c r="N358" s="26"/>
      <c r="O358" s="25"/>
      <c r="P358" s="24"/>
      <c r="Q358" s="27"/>
      <c r="R358" s="24"/>
      <c r="S358" s="28"/>
      <c r="T358" s="20"/>
    </row>
    <row r="359" spans="1:20" ht="37.5" customHeight="1" x14ac:dyDescent="0.25">
      <c r="A359" s="20"/>
      <c r="G359" s="21"/>
      <c r="H359" s="22"/>
      <c r="I359" s="23"/>
      <c r="J359" s="24"/>
      <c r="K359" s="25"/>
      <c r="L359" s="29"/>
      <c r="M359" s="25"/>
      <c r="N359" s="26"/>
      <c r="O359" s="25"/>
      <c r="P359" s="24"/>
      <c r="Q359" s="27"/>
      <c r="R359" s="24"/>
      <c r="S359" s="28"/>
      <c r="T359" s="20"/>
    </row>
    <row r="360" spans="1:20" ht="37.5" customHeight="1" x14ac:dyDescent="0.25">
      <c r="A360" s="20"/>
      <c r="G360" s="21"/>
      <c r="H360" s="22"/>
      <c r="I360" s="23"/>
      <c r="J360" s="24"/>
      <c r="K360" s="25"/>
      <c r="L360" s="29"/>
      <c r="M360" s="25"/>
      <c r="N360" s="26"/>
      <c r="O360" s="25"/>
      <c r="P360" s="24"/>
      <c r="Q360" s="27"/>
      <c r="R360" s="24"/>
      <c r="S360" s="28"/>
      <c r="T360" s="20"/>
    </row>
    <row r="361" spans="1:20" ht="37.5" customHeight="1" x14ac:dyDescent="0.25">
      <c r="A361" s="20"/>
      <c r="G361" s="21"/>
      <c r="H361" s="22"/>
      <c r="I361" s="23"/>
      <c r="J361" s="24"/>
      <c r="K361" s="25"/>
      <c r="L361" s="29"/>
      <c r="M361" s="25"/>
      <c r="N361" s="26"/>
      <c r="O361" s="25"/>
      <c r="P361" s="24"/>
      <c r="Q361" s="27"/>
      <c r="R361" s="24"/>
      <c r="S361" s="28"/>
      <c r="T361" s="20"/>
    </row>
    <row r="362" spans="1:20" ht="37.5" customHeight="1" x14ac:dyDescent="0.25">
      <c r="A362" s="20"/>
      <c r="G362" s="21"/>
      <c r="H362" s="22"/>
      <c r="I362" s="23"/>
      <c r="J362" s="24"/>
      <c r="K362" s="25"/>
      <c r="L362" s="29"/>
      <c r="M362" s="25"/>
      <c r="N362" s="26"/>
      <c r="O362" s="25"/>
      <c r="P362" s="24"/>
      <c r="Q362" s="27"/>
      <c r="R362" s="24"/>
      <c r="S362" s="28"/>
      <c r="T362" s="20"/>
    </row>
    <row r="363" spans="1:20" ht="37.5" customHeight="1" x14ac:dyDescent="0.25">
      <c r="A363" s="20"/>
      <c r="G363" s="21"/>
      <c r="H363" s="22"/>
      <c r="I363" s="23"/>
      <c r="J363" s="24"/>
      <c r="K363" s="25"/>
      <c r="L363" s="29"/>
      <c r="M363" s="25"/>
      <c r="N363" s="26"/>
      <c r="O363" s="25"/>
      <c r="P363" s="24"/>
      <c r="Q363" s="27"/>
      <c r="R363" s="24"/>
      <c r="S363" s="28"/>
      <c r="T363" s="20"/>
    </row>
    <row r="364" spans="1:20" ht="37.5" customHeight="1" x14ac:dyDescent="0.25">
      <c r="A364" s="20"/>
      <c r="G364" s="21"/>
      <c r="H364" s="22"/>
      <c r="I364" s="23"/>
      <c r="J364" s="24"/>
      <c r="K364" s="25"/>
      <c r="L364" s="29"/>
      <c r="M364" s="25"/>
      <c r="N364" s="26"/>
      <c r="O364" s="25"/>
      <c r="P364" s="24"/>
      <c r="Q364" s="27"/>
      <c r="R364" s="24"/>
      <c r="S364" s="28"/>
      <c r="T364" s="20"/>
    </row>
    <row r="365" spans="1:20" ht="37.5" customHeight="1" x14ac:dyDescent="0.25">
      <c r="A365" s="20"/>
      <c r="G365" s="21"/>
      <c r="H365" s="22"/>
      <c r="I365" s="23"/>
      <c r="J365" s="24"/>
      <c r="K365" s="25"/>
      <c r="L365" s="29"/>
      <c r="M365" s="25"/>
      <c r="N365" s="26"/>
      <c r="O365" s="25"/>
      <c r="P365" s="24"/>
      <c r="Q365" s="27"/>
      <c r="R365" s="24"/>
      <c r="S365" s="28"/>
      <c r="T365" s="20"/>
    </row>
    <row r="366" spans="1:20" ht="37.5" customHeight="1" x14ac:dyDescent="0.25">
      <c r="A366" s="20"/>
      <c r="G366" s="21"/>
      <c r="H366" s="22"/>
      <c r="I366" s="23"/>
      <c r="J366" s="24"/>
      <c r="K366" s="25"/>
      <c r="L366" s="29"/>
      <c r="M366" s="25"/>
      <c r="N366" s="26"/>
      <c r="O366" s="25"/>
      <c r="P366" s="24"/>
      <c r="Q366" s="27"/>
      <c r="R366" s="24"/>
      <c r="S366" s="28"/>
      <c r="T366" s="20"/>
    </row>
    <row r="367" spans="1:20" ht="37.5" customHeight="1" x14ac:dyDescent="0.25">
      <c r="A367" s="20"/>
      <c r="G367" s="21"/>
      <c r="H367" s="22"/>
      <c r="I367" s="23"/>
      <c r="J367" s="24"/>
      <c r="K367" s="25"/>
      <c r="L367" s="29"/>
      <c r="M367" s="25"/>
      <c r="N367" s="26"/>
      <c r="O367" s="25"/>
      <c r="P367" s="24"/>
      <c r="Q367" s="27"/>
      <c r="R367" s="24"/>
      <c r="S367" s="28"/>
      <c r="T367" s="20"/>
    </row>
    <row r="368" spans="1:20" ht="37.5" customHeight="1" x14ac:dyDescent="0.25">
      <c r="A368" s="20"/>
      <c r="G368" s="21"/>
      <c r="H368" s="22"/>
      <c r="I368" s="23"/>
      <c r="J368" s="24"/>
      <c r="K368" s="25"/>
      <c r="L368" s="29"/>
      <c r="M368" s="25"/>
      <c r="N368" s="26"/>
      <c r="O368" s="25"/>
      <c r="P368" s="24"/>
      <c r="Q368" s="27"/>
      <c r="R368" s="24"/>
      <c r="S368" s="28"/>
      <c r="T368" s="20"/>
    </row>
    <row r="369" spans="1:20" ht="37.5" customHeight="1" x14ac:dyDescent="0.25">
      <c r="A369" s="20"/>
      <c r="G369" s="21"/>
      <c r="H369" s="22"/>
      <c r="I369" s="23"/>
      <c r="J369" s="24"/>
      <c r="K369" s="25"/>
      <c r="L369" s="29"/>
      <c r="M369" s="25"/>
      <c r="N369" s="26"/>
      <c r="O369" s="25"/>
      <c r="P369" s="24"/>
      <c r="Q369" s="27"/>
      <c r="R369" s="24"/>
      <c r="S369" s="28"/>
      <c r="T369" s="20"/>
    </row>
    <row r="370" spans="1:20" ht="37.5" customHeight="1" x14ac:dyDescent="0.25">
      <c r="A370" s="20"/>
      <c r="G370" s="21"/>
      <c r="H370" s="22"/>
      <c r="I370" s="23"/>
      <c r="J370" s="24"/>
      <c r="K370" s="25"/>
      <c r="L370" s="29"/>
      <c r="M370" s="25"/>
      <c r="N370" s="26"/>
      <c r="O370" s="25"/>
      <c r="P370" s="24"/>
      <c r="Q370" s="27"/>
      <c r="R370" s="24"/>
      <c r="S370" s="28"/>
      <c r="T370" s="20"/>
    </row>
    <row r="371" spans="1:20" ht="37.5" customHeight="1" x14ac:dyDescent="0.25">
      <c r="A371" s="20"/>
      <c r="G371" s="21"/>
      <c r="H371" s="22"/>
      <c r="I371" s="23"/>
      <c r="J371" s="24"/>
      <c r="K371" s="25"/>
      <c r="L371" s="29"/>
      <c r="M371" s="25"/>
      <c r="N371" s="26"/>
      <c r="O371" s="25"/>
      <c r="P371" s="24"/>
      <c r="Q371" s="27"/>
      <c r="R371" s="24"/>
      <c r="S371" s="28"/>
      <c r="T371" s="20"/>
    </row>
    <row r="372" spans="1:20" ht="37.5" customHeight="1" x14ac:dyDescent="0.25">
      <c r="A372" s="20"/>
      <c r="G372" s="21"/>
      <c r="H372" s="22"/>
      <c r="I372" s="23"/>
      <c r="J372" s="24"/>
      <c r="K372" s="25"/>
      <c r="L372" s="29"/>
      <c r="M372" s="25"/>
      <c r="N372" s="26"/>
      <c r="O372" s="25"/>
      <c r="P372" s="24"/>
      <c r="Q372" s="27"/>
      <c r="R372" s="24"/>
      <c r="S372" s="28"/>
      <c r="T372" s="20"/>
    </row>
    <row r="373" spans="1:20" ht="37.5" customHeight="1" x14ac:dyDescent="0.25">
      <c r="A373" s="20"/>
      <c r="G373" s="21"/>
      <c r="H373" s="22"/>
      <c r="I373" s="23"/>
      <c r="J373" s="24"/>
      <c r="K373" s="25"/>
      <c r="L373" s="29"/>
      <c r="M373" s="25"/>
      <c r="N373" s="26"/>
      <c r="O373" s="25"/>
      <c r="P373" s="24"/>
      <c r="Q373" s="27"/>
      <c r="R373" s="24"/>
      <c r="S373" s="28"/>
      <c r="T373" s="20"/>
    </row>
    <row r="374" spans="1:20" ht="37.5" customHeight="1" x14ac:dyDescent="0.25">
      <c r="A374" s="20"/>
      <c r="G374" s="21"/>
      <c r="H374" s="22"/>
      <c r="I374" s="23"/>
      <c r="J374" s="24"/>
      <c r="K374" s="25"/>
      <c r="L374" s="29"/>
      <c r="M374" s="25"/>
      <c r="N374" s="26"/>
      <c r="O374" s="25"/>
      <c r="P374" s="24"/>
      <c r="Q374" s="27"/>
      <c r="R374" s="24"/>
      <c r="S374" s="28"/>
      <c r="T374" s="20"/>
    </row>
    <row r="375" spans="1:20" ht="37.5" customHeight="1" x14ac:dyDescent="0.25">
      <c r="A375" s="20"/>
      <c r="G375" s="21"/>
      <c r="H375" s="22"/>
      <c r="I375" s="23"/>
      <c r="J375" s="24"/>
      <c r="K375" s="25"/>
      <c r="L375" s="29"/>
      <c r="M375" s="25"/>
      <c r="N375" s="26"/>
      <c r="O375" s="25"/>
      <c r="P375" s="24"/>
      <c r="Q375" s="27"/>
      <c r="R375" s="24"/>
      <c r="S375" s="28"/>
      <c r="T375" s="20"/>
    </row>
    <row r="376" spans="1:20" ht="37.5" customHeight="1" x14ac:dyDescent="0.25">
      <c r="A376" s="20"/>
      <c r="G376" s="21"/>
      <c r="H376" s="22"/>
      <c r="I376" s="23"/>
      <c r="J376" s="24"/>
      <c r="K376" s="25"/>
      <c r="L376" s="29"/>
      <c r="M376" s="25"/>
      <c r="N376" s="26"/>
      <c r="O376" s="25"/>
      <c r="P376" s="24"/>
      <c r="Q376" s="27"/>
      <c r="R376" s="24"/>
      <c r="S376" s="28"/>
      <c r="T376" s="20"/>
    </row>
    <row r="377" spans="1:20" ht="37.5" customHeight="1" x14ac:dyDescent="0.25">
      <c r="A377" s="20"/>
      <c r="G377" s="21"/>
      <c r="H377" s="22"/>
      <c r="I377" s="23"/>
      <c r="J377" s="24"/>
      <c r="K377" s="25"/>
      <c r="L377" s="29"/>
      <c r="M377" s="25"/>
      <c r="N377" s="26"/>
      <c r="O377" s="25"/>
      <c r="P377" s="24"/>
      <c r="Q377" s="27"/>
      <c r="R377" s="24"/>
      <c r="S377" s="28"/>
      <c r="T377" s="20"/>
    </row>
    <row r="378" spans="1:20" ht="37.5" customHeight="1" x14ac:dyDescent="0.25">
      <c r="A378" s="20"/>
      <c r="G378" s="21"/>
      <c r="H378" s="22"/>
      <c r="I378" s="23"/>
      <c r="J378" s="24"/>
      <c r="K378" s="25"/>
      <c r="L378" s="29"/>
      <c r="M378" s="25"/>
      <c r="N378" s="26"/>
      <c r="O378" s="25"/>
      <c r="P378" s="24"/>
      <c r="Q378" s="27"/>
      <c r="R378" s="24"/>
      <c r="S378" s="28"/>
      <c r="T378" s="20"/>
    </row>
    <row r="379" spans="1:20" ht="37.5" customHeight="1" x14ac:dyDescent="0.25">
      <c r="A379" s="20"/>
      <c r="G379" s="21"/>
      <c r="H379" s="22"/>
      <c r="I379" s="23"/>
      <c r="J379" s="24"/>
      <c r="K379" s="25"/>
      <c r="L379" s="29"/>
      <c r="M379" s="25"/>
      <c r="N379" s="26"/>
      <c r="O379" s="25"/>
      <c r="P379" s="24"/>
      <c r="Q379" s="27"/>
      <c r="R379" s="24"/>
      <c r="S379" s="28"/>
      <c r="T379" s="20"/>
    </row>
    <row r="380" spans="1:20" ht="37.5" customHeight="1" x14ac:dyDescent="0.25">
      <c r="A380" s="20"/>
      <c r="G380" s="21"/>
      <c r="H380" s="22"/>
      <c r="I380" s="23"/>
      <c r="J380" s="24"/>
      <c r="K380" s="25"/>
      <c r="L380" s="29"/>
      <c r="M380" s="25"/>
      <c r="N380" s="26"/>
      <c r="O380" s="25"/>
      <c r="P380" s="24"/>
      <c r="Q380" s="27"/>
      <c r="R380" s="24"/>
      <c r="S380" s="28"/>
      <c r="T380" s="20"/>
    </row>
    <row r="381" spans="1:20" ht="37.5" customHeight="1" x14ac:dyDescent="0.25">
      <c r="A381" s="20"/>
      <c r="G381" s="21"/>
      <c r="H381" s="22"/>
      <c r="I381" s="23"/>
      <c r="J381" s="24"/>
      <c r="K381" s="25"/>
      <c r="L381" s="29"/>
      <c r="M381" s="25"/>
      <c r="N381" s="26"/>
      <c r="O381" s="25"/>
      <c r="P381" s="24"/>
      <c r="Q381" s="27"/>
      <c r="R381" s="24"/>
      <c r="S381" s="28"/>
      <c r="T381" s="20"/>
    </row>
    <row r="382" spans="1:20" ht="37.5" customHeight="1" x14ac:dyDescent="0.25">
      <c r="A382" s="20"/>
      <c r="G382" s="21"/>
      <c r="H382" s="22"/>
      <c r="I382" s="23"/>
      <c r="J382" s="24"/>
      <c r="K382" s="25"/>
      <c r="L382" s="29"/>
      <c r="M382" s="25"/>
      <c r="N382" s="26"/>
      <c r="O382" s="25"/>
      <c r="P382" s="24"/>
      <c r="Q382" s="27"/>
      <c r="R382" s="24"/>
      <c r="S382" s="28"/>
      <c r="T382" s="20"/>
    </row>
    <row r="383" spans="1:20" ht="37.5" customHeight="1" x14ac:dyDescent="0.25">
      <c r="A383" s="20"/>
      <c r="G383" s="21"/>
      <c r="H383" s="22"/>
      <c r="I383" s="23"/>
      <c r="J383" s="24"/>
      <c r="K383" s="25"/>
      <c r="L383" s="29"/>
      <c r="M383" s="25"/>
      <c r="N383" s="26"/>
      <c r="O383" s="25"/>
      <c r="P383" s="24"/>
      <c r="Q383" s="27"/>
      <c r="R383" s="24"/>
      <c r="S383" s="28"/>
      <c r="T383" s="20"/>
    </row>
    <row r="384" spans="1:20" ht="37.5" customHeight="1" x14ac:dyDescent="0.25">
      <c r="A384" s="20"/>
      <c r="G384" s="21"/>
      <c r="H384" s="22"/>
      <c r="I384" s="23"/>
      <c r="J384" s="24"/>
      <c r="K384" s="25"/>
      <c r="L384" s="29"/>
      <c r="M384" s="25"/>
      <c r="N384" s="26"/>
      <c r="O384" s="25"/>
      <c r="P384" s="24"/>
      <c r="Q384" s="27"/>
      <c r="R384" s="24"/>
      <c r="S384" s="28"/>
      <c r="T384" s="20"/>
    </row>
    <row r="385" spans="1:20" ht="37.5" customHeight="1" x14ac:dyDescent="0.25">
      <c r="A385" s="20"/>
      <c r="G385" s="21"/>
      <c r="H385" s="22"/>
      <c r="I385" s="23"/>
      <c r="J385" s="24"/>
      <c r="K385" s="25"/>
      <c r="L385" s="29"/>
      <c r="M385" s="25"/>
      <c r="N385" s="26"/>
      <c r="O385" s="25"/>
      <c r="P385" s="24"/>
      <c r="Q385" s="27"/>
      <c r="R385" s="24"/>
      <c r="S385" s="28"/>
      <c r="T385" s="20"/>
    </row>
    <row r="386" spans="1:20" ht="37.5" customHeight="1" x14ac:dyDescent="0.25">
      <c r="A386" s="20"/>
      <c r="G386" s="21"/>
      <c r="H386" s="22"/>
      <c r="I386" s="23"/>
      <c r="J386" s="24"/>
      <c r="K386" s="25"/>
      <c r="L386" s="29"/>
      <c r="M386" s="25"/>
      <c r="N386" s="26"/>
      <c r="O386" s="25"/>
      <c r="P386" s="24"/>
      <c r="Q386" s="27"/>
      <c r="R386" s="24"/>
      <c r="S386" s="28"/>
      <c r="T386" s="20"/>
    </row>
    <row r="387" spans="1:20" ht="37.5" customHeight="1" x14ac:dyDescent="0.25">
      <c r="A387" s="20"/>
      <c r="G387" s="21"/>
      <c r="H387" s="22"/>
      <c r="I387" s="23"/>
      <c r="J387" s="24"/>
      <c r="K387" s="25"/>
      <c r="L387" s="29"/>
      <c r="M387" s="25"/>
      <c r="N387" s="26"/>
      <c r="O387" s="25"/>
      <c r="P387" s="24"/>
      <c r="Q387" s="27"/>
      <c r="R387" s="24"/>
      <c r="S387" s="28"/>
      <c r="T387" s="20"/>
    </row>
    <row r="388" spans="1:20" ht="37.5" customHeight="1" x14ac:dyDescent="0.25">
      <c r="A388" s="20"/>
      <c r="G388" s="21"/>
      <c r="H388" s="22"/>
      <c r="I388" s="23"/>
      <c r="J388" s="24"/>
      <c r="K388" s="25"/>
      <c r="L388" s="29"/>
      <c r="M388" s="25"/>
      <c r="N388" s="26"/>
      <c r="O388" s="25"/>
      <c r="P388" s="24"/>
      <c r="Q388" s="27"/>
      <c r="R388" s="24"/>
      <c r="S388" s="28"/>
      <c r="T388" s="20"/>
    </row>
    <row r="389" spans="1:20" ht="37.5" customHeight="1" x14ac:dyDescent="0.25">
      <c r="A389" s="20"/>
      <c r="G389" s="21"/>
      <c r="H389" s="22"/>
      <c r="I389" s="23"/>
      <c r="J389" s="24"/>
      <c r="K389" s="25"/>
      <c r="L389" s="29"/>
      <c r="M389" s="25"/>
      <c r="N389" s="26"/>
      <c r="O389" s="25"/>
      <c r="P389" s="24"/>
      <c r="Q389" s="27"/>
      <c r="R389" s="24"/>
      <c r="S389" s="28"/>
      <c r="T389" s="20"/>
    </row>
    <row r="390" spans="1:20" ht="37.5" customHeight="1" x14ac:dyDescent="0.25">
      <c r="A390" s="20"/>
      <c r="G390" s="21"/>
      <c r="H390" s="22"/>
      <c r="I390" s="23"/>
      <c r="J390" s="24"/>
      <c r="K390" s="25"/>
      <c r="L390" s="29"/>
      <c r="M390" s="25"/>
      <c r="N390" s="26"/>
      <c r="O390" s="25"/>
      <c r="P390" s="24"/>
      <c r="Q390" s="27"/>
      <c r="R390" s="24"/>
      <c r="S390" s="28"/>
      <c r="T390" s="20"/>
    </row>
    <row r="391" spans="1:20" ht="37.5" customHeight="1" x14ac:dyDescent="0.25">
      <c r="A391" s="20"/>
      <c r="G391" s="21"/>
      <c r="H391" s="22"/>
      <c r="I391" s="23"/>
      <c r="J391" s="24"/>
      <c r="K391" s="25"/>
      <c r="L391" s="29"/>
      <c r="M391" s="25"/>
      <c r="N391" s="26"/>
      <c r="O391" s="25"/>
      <c r="P391" s="24"/>
      <c r="Q391" s="27"/>
      <c r="R391" s="24"/>
      <c r="S391" s="28"/>
      <c r="T391" s="20"/>
    </row>
    <row r="392" spans="1:20" ht="37.5" customHeight="1" x14ac:dyDescent="0.25">
      <c r="A392" s="20"/>
      <c r="G392" s="21"/>
      <c r="H392" s="22"/>
      <c r="I392" s="23"/>
      <c r="J392" s="24"/>
      <c r="K392" s="25"/>
      <c r="L392" s="29"/>
      <c r="M392" s="25"/>
      <c r="N392" s="26"/>
      <c r="O392" s="25"/>
      <c r="P392" s="24"/>
      <c r="Q392" s="27"/>
      <c r="R392" s="24"/>
      <c r="S392" s="28"/>
      <c r="T392" s="20"/>
    </row>
    <row r="393" spans="1:20" ht="37.5" customHeight="1" x14ac:dyDescent="0.25">
      <c r="A393" s="20"/>
      <c r="G393" s="21"/>
      <c r="H393" s="22"/>
      <c r="I393" s="23"/>
      <c r="J393" s="24"/>
      <c r="K393" s="25"/>
      <c r="L393" s="29"/>
      <c r="M393" s="25"/>
      <c r="N393" s="26"/>
      <c r="O393" s="25"/>
      <c r="P393" s="24"/>
      <c r="Q393" s="27"/>
      <c r="R393" s="24"/>
      <c r="S393" s="28"/>
      <c r="T393" s="20"/>
    </row>
    <row r="394" spans="1:20" ht="37.5" customHeight="1" x14ac:dyDescent="0.25">
      <c r="A394" s="20"/>
      <c r="G394" s="21"/>
      <c r="H394" s="22"/>
      <c r="I394" s="23"/>
      <c r="J394" s="24"/>
      <c r="K394" s="25"/>
      <c r="L394" s="29"/>
      <c r="M394" s="25"/>
      <c r="N394" s="26"/>
      <c r="O394" s="25"/>
      <c r="P394" s="24"/>
      <c r="Q394" s="27"/>
      <c r="R394" s="24"/>
      <c r="S394" s="28"/>
      <c r="T394" s="20"/>
    </row>
    <row r="395" spans="1:20" ht="37.5" customHeight="1" x14ac:dyDescent="0.25">
      <c r="A395" s="20"/>
      <c r="G395" s="21"/>
      <c r="H395" s="22"/>
      <c r="I395" s="23"/>
      <c r="J395" s="24"/>
      <c r="K395" s="25"/>
      <c r="L395" s="29"/>
      <c r="M395" s="25"/>
      <c r="N395" s="26"/>
      <c r="O395" s="25"/>
      <c r="P395" s="24"/>
      <c r="Q395" s="27"/>
      <c r="R395" s="24"/>
      <c r="S395" s="28"/>
      <c r="T395" s="20"/>
    </row>
    <row r="396" spans="1:20" ht="37.5" customHeight="1" x14ac:dyDescent="0.25">
      <c r="A396" s="20"/>
      <c r="G396" s="21"/>
      <c r="H396" s="22"/>
      <c r="I396" s="23"/>
      <c r="J396" s="24"/>
      <c r="K396" s="25"/>
      <c r="L396" s="29"/>
      <c r="M396" s="25"/>
      <c r="N396" s="26"/>
      <c r="O396" s="25"/>
      <c r="P396" s="24"/>
      <c r="Q396" s="27"/>
      <c r="R396" s="24"/>
      <c r="S396" s="28"/>
      <c r="T396" s="20"/>
    </row>
    <row r="397" spans="1:20" ht="37.5" customHeight="1" x14ac:dyDescent="0.25">
      <c r="A397" s="20"/>
      <c r="G397" s="21"/>
      <c r="H397" s="22"/>
      <c r="I397" s="23"/>
      <c r="J397" s="24"/>
      <c r="K397" s="25"/>
      <c r="L397" s="29"/>
      <c r="M397" s="25"/>
      <c r="N397" s="26"/>
      <c r="O397" s="25"/>
      <c r="P397" s="24"/>
      <c r="Q397" s="27"/>
      <c r="R397" s="24"/>
      <c r="S397" s="28"/>
      <c r="T397" s="20"/>
    </row>
    <row r="398" spans="1:20" ht="37.5" customHeight="1" x14ac:dyDescent="0.25">
      <c r="A398" s="20"/>
      <c r="G398" s="21"/>
      <c r="H398" s="22"/>
      <c r="I398" s="23"/>
      <c r="J398" s="24"/>
      <c r="K398" s="25"/>
      <c r="L398" s="29"/>
      <c r="M398" s="25"/>
      <c r="N398" s="26"/>
      <c r="O398" s="25"/>
      <c r="P398" s="24"/>
      <c r="Q398" s="27"/>
      <c r="R398" s="24"/>
      <c r="S398" s="28"/>
      <c r="T398" s="20"/>
    </row>
    <row r="399" spans="1:20" ht="37.5" customHeight="1" x14ac:dyDescent="0.25">
      <c r="A399" s="20"/>
      <c r="G399" s="21"/>
      <c r="H399" s="22"/>
      <c r="I399" s="23"/>
      <c r="J399" s="24"/>
      <c r="K399" s="25"/>
      <c r="L399" s="29"/>
      <c r="M399" s="25"/>
      <c r="N399" s="26"/>
      <c r="O399" s="25"/>
      <c r="P399" s="24"/>
      <c r="Q399" s="27"/>
      <c r="R399" s="24"/>
      <c r="S399" s="28"/>
      <c r="T399" s="20"/>
    </row>
    <row r="400" spans="1:20" ht="37.5" customHeight="1" x14ac:dyDescent="0.25">
      <c r="A400" s="20"/>
      <c r="G400" s="21"/>
      <c r="H400" s="22"/>
      <c r="I400" s="23"/>
      <c r="J400" s="24"/>
      <c r="K400" s="25"/>
      <c r="L400" s="29"/>
      <c r="M400" s="25"/>
      <c r="N400" s="26"/>
      <c r="O400" s="25"/>
      <c r="P400" s="24"/>
      <c r="Q400" s="27"/>
      <c r="R400" s="24"/>
      <c r="S400" s="28"/>
      <c r="T400" s="20"/>
    </row>
    <row r="401" spans="1:20" ht="37.5" customHeight="1" x14ac:dyDescent="0.25">
      <c r="A401" s="20"/>
      <c r="G401" s="21"/>
      <c r="H401" s="22"/>
      <c r="I401" s="23"/>
      <c r="J401" s="24"/>
      <c r="K401" s="25"/>
      <c r="L401" s="29"/>
      <c r="M401" s="25"/>
      <c r="N401" s="26"/>
      <c r="O401" s="25"/>
      <c r="P401" s="24"/>
      <c r="Q401" s="27"/>
      <c r="R401" s="24"/>
      <c r="S401" s="28"/>
      <c r="T401" s="20"/>
    </row>
    <row r="402" spans="1:20" ht="37.5" customHeight="1" x14ac:dyDescent="0.25">
      <c r="A402" s="20"/>
      <c r="G402" s="21"/>
      <c r="H402" s="22"/>
      <c r="I402" s="23"/>
      <c r="J402" s="24"/>
      <c r="K402" s="25"/>
      <c r="L402" s="29"/>
      <c r="M402" s="25"/>
      <c r="N402" s="26"/>
      <c r="O402" s="25"/>
      <c r="P402" s="24"/>
      <c r="Q402" s="27"/>
      <c r="R402" s="24"/>
      <c r="S402" s="28"/>
      <c r="T402" s="20"/>
    </row>
    <row r="403" spans="1:20" ht="37.5" customHeight="1" x14ac:dyDescent="0.25">
      <c r="A403" s="20"/>
      <c r="G403" s="21"/>
      <c r="H403" s="22"/>
      <c r="I403" s="23"/>
      <c r="J403" s="24"/>
      <c r="K403" s="25"/>
      <c r="L403" s="29"/>
      <c r="M403" s="25"/>
      <c r="N403" s="26"/>
      <c r="O403" s="25"/>
      <c r="P403" s="24"/>
      <c r="Q403" s="27"/>
      <c r="R403" s="24"/>
      <c r="S403" s="28"/>
      <c r="T403" s="20"/>
    </row>
    <row r="404" spans="1:20" ht="37.5" customHeight="1" x14ac:dyDescent="0.25">
      <c r="A404" s="20"/>
      <c r="G404" s="21"/>
      <c r="H404" s="22"/>
      <c r="I404" s="23"/>
      <c r="J404" s="24"/>
      <c r="K404" s="25"/>
      <c r="L404" s="29"/>
      <c r="M404" s="25"/>
      <c r="N404" s="26"/>
      <c r="O404" s="25"/>
      <c r="P404" s="24"/>
      <c r="Q404" s="27"/>
      <c r="R404" s="24"/>
      <c r="S404" s="28"/>
      <c r="T404" s="20"/>
    </row>
    <row r="405" spans="1:20" ht="37.5" customHeight="1" x14ac:dyDescent="0.25">
      <c r="A405" s="20"/>
      <c r="G405" s="21"/>
      <c r="H405" s="22"/>
      <c r="I405" s="23"/>
      <c r="J405" s="24"/>
      <c r="K405" s="25"/>
      <c r="L405" s="29"/>
      <c r="M405" s="25"/>
      <c r="N405" s="26"/>
      <c r="O405" s="25"/>
      <c r="P405" s="24"/>
      <c r="Q405" s="27"/>
      <c r="R405" s="24"/>
      <c r="S405" s="28"/>
      <c r="T405" s="20"/>
    </row>
    <row r="406" spans="1:20" ht="37.5" customHeight="1" x14ac:dyDescent="0.25">
      <c r="A406" s="20"/>
      <c r="G406" s="21"/>
      <c r="H406" s="22"/>
      <c r="I406" s="23"/>
      <c r="J406" s="24"/>
      <c r="K406" s="25"/>
      <c r="L406" s="29"/>
      <c r="M406" s="25"/>
      <c r="N406" s="26"/>
      <c r="O406" s="25"/>
      <c r="P406" s="24"/>
      <c r="Q406" s="27"/>
      <c r="R406" s="24"/>
      <c r="S406" s="28"/>
      <c r="T406" s="20"/>
    </row>
    <row r="407" spans="1:20" ht="37.5" customHeight="1" x14ac:dyDescent="0.25">
      <c r="A407" s="20"/>
      <c r="G407" s="21"/>
      <c r="H407" s="22"/>
      <c r="I407" s="23"/>
      <c r="J407" s="24"/>
      <c r="K407" s="25"/>
      <c r="L407" s="29"/>
      <c r="M407" s="25"/>
      <c r="N407" s="26"/>
      <c r="O407" s="25"/>
      <c r="P407" s="24"/>
      <c r="Q407" s="27"/>
      <c r="R407" s="24"/>
      <c r="S407" s="28"/>
      <c r="T407" s="20"/>
    </row>
    <row r="408" spans="1:20" ht="37.5" customHeight="1" x14ac:dyDescent="0.25">
      <c r="A408" s="20"/>
      <c r="G408" s="21"/>
      <c r="H408" s="22"/>
      <c r="I408" s="23"/>
      <c r="J408" s="24"/>
      <c r="K408" s="25"/>
      <c r="L408" s="29"/>
      <c r="M408" s="25"/>
      <c r="N408" s="26"/>
      <c r="O408" s="25"/>
      <c r="P408" s="24"/>
      <c r="Q408" s="27"/>
      <c r="R408" s="24"/>
      <c r="S408" s="28"/>
      <c r="T408" s="20"/>
    </row>
    <row r="409" spans="1:20" ht="37.5" customHeight="1" x14ac:dyDescent="0.25">
      <c r="A409" s="20"/>
      <c r="G409" s="21"/>
      <c r="H409" s="22"/>
      <c r="I409" s="23"/>
      <c r="J409" s="24"/>
      <c r="K409" s="25"/>
      <c r="L409" s="29"/>
      <c r="M409" s="25"/>
      <c r="N409" s="26"/>
      <c r="O409" s="25"/>
      <c r="P409" s="24"/>
      <c r="Q409" s="27"/>
      <c r="R409" s="24"/>
      <c r="S409" s="28"/>
      <c r="T409" s="20"/>
    </row>
    <row r="410" spans="1:20" ht="37.5" customHeight="1" x14ac:dyDescent="0.25">
      <c r="A410" s="20"/>
      <c r="G410" s="21"/>
      <c r="H410" s="22"/>
      <c r="I410" s="23"/>
      <c r="J410" s="24"/>
      <c r="K410" s="25"/>
      <c r="L410" s="29"/>
      <c r="M410" s="25"/>
      <c r="N410" s="26"/>
      <c r="O410" s="25"/>
      <c r="P410" s="24"/>
      <c r="Q410" s="27"/>
      <c r="R410" s="24"/>
      <c r="S410" s="28"/>
      <c r="T410" s="20"/>
    </row>
    <row r="411" spans="1:20" ht="37.5" customHeight="1" x14ac:dyDescent="0.25">
      <c r="A411" s="20"/>
      <c r="G411" s="21"/>
      <c r="H411" s="22"/>
      <c r="I411" s="23"/>
      <c r="J411" s="24"/>
      <c r="K411" s="25"/>
      <c r="L411" s="29"/>
      <c r="M411" s="25"/>
      <c r="N411" s="26"/>
      <c r="O411" s="25"/>
      <c r="P411" s="24"/>
      <c r="Q411" s="27"/>
      <c r="R411" s="24"/>
      <c r="S411" s="28"/>
      <c r="T411" s="20"/>
    </row>
    <row r="412" spans="1:20" ht="37.5" customHeight="1" x14ac:dyDescent="0.25">
      <c r="A412" s="20"/>
      <c r="G412" s="21"/>
      <c r="H412" s="22"/>
      <c r="I412" s="23"/>
      <c r="J412" s="24"/>
      <c r="K412" s="25"/>
      <c r="L412" s="29"/>
      <c r="M412" s="25"/>
      <c r="N412" s="26"/>
      <c r="O412" s="25"/>
      <c r="P412" s="24"/>
      <c r="Q412" s="27"/>
      <c r="R412" s="24"/>
      <c r="S412" s="28"/>
      <c r="T412" s="20"/>
    </row>
    <row r="413" spans="1:20" ht="37.5" customHeight="1" x14ac:dyDescent="0.25">
      <c r="A413" s="20"/>
      <c r="G413" s="21"/>
      <c r="H413" s="22"/>
      <c r="I413" s="23"/>
      <c r="J413" s="24"/>
      <c r="K413" s="25"/>
      <c r="L413" s="29"/>
      <c r="M413" s="25"/>
      <c r="N413" s="26"/>
      <c r="O413" s="25"/>
      <c r="P413" s="24"/>
      <c r="Q413" s="27"/>
      <c r="R413" s="24"/>
      <c r="S413" s="28"/>
      <c r="T413" s="20"/>
    </row>
    <row r="414" spans="1:20" ht="37.5" customHeight="1" x14ac:dyDescent="0.25">
      <c r="A414" s="20"/>
      <c r="G414" s="21"/>
      <c r="H414" s="22"/>
      <c r="I414" s="23"/>
      <c r="J414" s="24"/>
      <c r="K414" s="25"/>
      <c r="L414" s="29"/>
      <c r="M414" s="25"/>
      <c r="N414" s="26"/>
      <c r="O414" s="25"/>
      <c r="P414" s="24"/>
      <c r="Q414" s="27"/>
      <c r="R414" s="24"/>
      <c r="S414" s="28"/>
      <c r="T414" s="20"/>
    </row>
    <row r="415" spans="1:20" ht="37.5" customHeight="1" x14ac:dyDescent="0.25">
      <c r="A415" s="20"/>
      <c r="G415" s="21"/>
      <c r="H415" s="22"/>
      <c r="I415" s="23"/>
      <c r="J415" s="24"/>
      <c r="K415" s="25"/>
      <c r="L415" s="29"/>
      <c r="M415" s="25"/>
      <c r="N415" s="26"/>
      <c r="O415" s="25"/>
      <c r="P415" s="24"/>
      <c r="Q415" s="27"/>
      <c r="R415" s="24"/>
      <c r="S415" s="28"/>
      <c r="T415" s="20"/>
    </row>
    <row r="416" spans="1:20" ht="37.5" customHeight="1" x14ac:dyDescent="0.25">
      <c r="A416" s="20"/>
      <c r="G416" s="21"/>
      <c r="H416" s="22"/>
      <c r="I416" s="23"/>
      <c r="J416" s="24"/>
      <c r="K416" s="25"/>
      <c r="L416" s="29"/>
      <c r="M416" s="25"/>
      <c r="N416" s="26"/>
      <c r="O416" s="25"/>
      <c r="P416" s="24"/>
      <c r="Q416" s="27"/>
      <c r="R416" s="24"/>
      <c r="S416" s="28"/>
      <c r="T416" s="20"/>
    </row>
    <row r="417" spans="1:20" ht="37.5" customHeight="1" x14ac:dyDescent="0.25">
      <c r="A417" s="20"/>
      <c r="G417" s="21"/>
      <c r="H417" s="22"/>
      <c r="I417" s="23"/>
      <c r="J417" s="24"/>
      <c r="K417" s="25"/>
      <c r="L417" s="29"/>
      <c r="M417" s="25"/>
      <c r="N417" s="26"/>
      <c r="O417" s="25"/>
      <c r="P417" s="24"/>
      <c r="Q417" s="27"/>
      <c r="R417" s="24"/>
      <c r="S417" s="28"/>
      <c r="T417" s="20"/>
    </row>
    <row r="418" spans="1:20" ht="37.5" customHeight="1" x14ac:dyDescent="0.25">
      <c r="A418" s="20"/>
      <c r="G418" s="21"/>
      <c r="H418" s="22"/>
      <c r="I418" s="23"/>
      <c r="J418" s="24"/>
      <c r="K418" s="25"/>
      <c r="L418" s="29"/>
      <c r="M418" s="25"/>
      <c r="N418" s="26"/>
      <c r="O418" s="25"/>
      <c r="P418" s="24"/>
      <c r="Q418" s="27"/>
      <c r="R418" s="24"/>
      <c r="S418" s="28"/>
      <c r="T418" s="20"/>
    </row>
    <row r="419" spans="1:20" ht="37.5" customHeight="1" x14ac:dyDescent="0.25">
      <c r="A419" s="20"/>
      <c r="G419" s="21"/>
      <c r="H419" s="22"/>
      <c r="I419" s="23"/>
      <c r="J419" s="24"/>
      <c r="K419" s="25"/>
      <c r="L419" s="29"/>
      <c r="M419" s="25"/>
      <c r="N419" s="26"/>
      <c r="O419" s="25"/>
      <c r="P419" s="24"/>
      <c r="Q419" s="27"/>
      <c r="R419" s="24"/>
      <c r="S419" s="28"/>
      <c r="T419" s="20"/>
    </row>
    <row r="420" spans="1:20" x14ac:dyDescent="0.25">
      <c r="L420" s="35"/>
    </row>
    <row r="421" spans="1:20" x14ac:dyDescent="0.25">
      <c r="L421" s="35"/>
    </row>
    <row r="422" spans="1:20" x14ac:dyDescent="0.25">
      <c r="L422" s="35"/>
    </row>
    <row r="423" spans="1:20" x14ac:dyDescent="0.25">
      <c r="L423" s="35"/>
    </row>
    <row r="424" spans="1:20" x14ac:dyDescent="0.25">
      <c r="L424" s="35"/>
    </row>
    <row r="425" spans="1:20" x14ac:dyDescent="0.25">
      <c r="L425" s="35"/>
    </row>
    <row r="426" spans="1:20" x14ac:dyDescent="0.25">
      <c r="L426" s="35"/>
    </row>
    <row r="427" spans="1:20" x14ac:dyDescent="0.25">
      <c r="L427" s="35"/>
    </row>
    <row r="428" spans="1:20" x14ac:dyDescent="0.25">
      <c r="L428" s="35"/>
    </row>
    <row r="429" spans="1:20" x14ac:dyDescent="0.25">
      <c r="L429" s="35"/>
    </row>
    <row r="430" spans="1:20" x14ac:dyDescent="0.25">
      <c r="L430" s="35"/>
    </row>
    <row r="431" spans="1:20" x14ac:dyDescent="0.25">
      <c r="L431" s="35"/>
    </row>
    <row r="432" spans="1:20" x14ac:dyDescent="0.25">
      <c r="L432" s="35"/>
    </row>
    <row r="433" spans="12:12" x14ac:dyDescent="0.25">
      <c r="L433" s="35"/>
    </row>
    <row r="434" spans="12:12" x14ac:dyDescent="0.25">
      <c r="L434" s="35"/>
    </row>
    <row r="435" spans="12:12" x14ac:dyDescent="0.25">
      <c r="L435" s="35"/>
    </row>
    <row r="436" spans="12:12" x14ac:dyDescent="0.25">
      <c r="L436" s="35"/>
    </row>
    <row r="437" spans="12:12" x14ac:dyDescent="0.25">
      <c r="L437" s="35"/>
    </row>
    <row r="438" spans="12:12" x14ac:dyDescent="0.25">
      <c r="L438" s="35"/>
    </row>
    <row r="439" spans="12:12" x14ac:dyDescent="0.25">
      <c r="L439" s="35"/>
    </row>
    <row r="440" spans="12:12" x14ac:dyDescent="0.25">
      <c r="L440" s="35"/>
    </row>
    <row r="441" spans="12:12" x14ac:dyDescent="0.25">
      <c r="L441" s="35"/>
    </row>
    <row r="442" spans="12:12" x14ac:dyDescent="0.25">
      <c r="L442" s="35"/>
    </row>
    <row r="443" spans="12:12" x14ac:dyDescent="0.25">
      <c r="L443" s="35"/>
    </row>
    <row r="444" spans="12:12" x14ac:dyDescent="0.25">
      <c r="L444" s="35"/>
    </row>
    <row r="445" spans="12:12" x14ac:dyDescent="0.25">
      <c r="L445" s="35"/>
    </row>
    <row r="446" spans="12:12" x14ac:dyDescent="0.25">
      <c r="L446" s="35"/>
    </row>
    <row r="447" spans="12:12" x14ac:dyDescent="0.25">
      <c r="L447" s="35"/>
    </row>
    <row r="448" spans="12:12" x14ac:dyDescent="0.25">
      <c r="L448" s="35"/>
    </row>
    <row r="449" spans="12:12" x14ac:dyDescent="0.25">
      <c r="L449" s="35"/>
    </row>
    <row r="450" spans="12:12" x14ac:dyDescent="0.25">
      <c r="L450" s="35"/>
    </row>
    <row r="451" spans="12:12" x14ac:dyDescent="0.25">
      <c r="L451" s="35"/>
    </row>
    <row r="452" spans="12:12" x14ac:dyDescent="0.25">
      <c r="L452" s="35"/>
    </row>
    <row r="453" spans="12:12" x14ac:dyDescent="0.25">
      <c r="L453" s="35"/>
    </row>
    <row r="454" spans="12:12" x14ac:dyDescent="0.25">
      <c r="L454" s="35"/>
    </row>
    <row r="455" spans="12:12" x14ac:dyDescent="0.25">
      <c r="L455" s="35"/>
    </row>
    <row r="456" spans="12:12" x14ac:dyDescent="0.25">
      <c r="L456" s="35"/>
    </row>
    <row r="457" spans="12:12" x14ac:dyDescent="0.25">
      <c r="L457" s="35"/>
    </row>
    <row r="458" spans="12:12" x14ac:dyDescent="0.25">
      <c r="L458" s="35"/>
    </row>
    <row r="459" spans="12:12" x14ac:dyDescent="0.25">
      <c r="L459" s="35"/>
    </row>
    <row r="460" spans="12:12" x14ac:dyDescent="0.25">
      <c r="L460" s="35"/>
    </row>
    <row r="461" spans="12:12" x14ac:dyDescent="0.25">
      <c r="L461" s="35"/>
    </row>
    <row r="462" spans="12:12" x14ac:dyDescent="0.25">
      <c r="L462" s="35"/>
    </row>
    <row r="463" spans="12:12" x14ac:dyDescent="0.25">
      <c r="L463" s="35"/>
    </row>
    <row r="464" spans="12:12" x14ac:dyDescent="0.25">
      <c r="L464" s="35"/>
    </row>
    <row r="465" spans="12:12" x14ac:dyDescent="0.25">
      <c r="L465" s="35"/>
    </row>
    <row r="466" spans="12:12" x14ac:dyDescent="0.25">
      <c r="L466" s="35"/>
    </row>
    <row r="467" spans="12:12" x14ac:dyDescent="0.25">
      <c r="L467" s="35"/>
    </row>
    <row r="468" spans="12:12" x14ac:dyDescent="0.25">
      <c r="L468" s="35"/>
    </row>
    <row r="469" spans="12:12" x14ac:dyDescent="0.25">
      <c r="L469" s="35"/>
    </row>
    <row r="470" spans="12:12" x14ac:dyDescent="0.25">
      <c r="L470" s="35"/>
    </row>
    <row r="471" spans="12:12" x14ac:dyDescent="0.25">
      <c r="L471" s="35"/>
    </row>
    <row r="472" spans="12:12" x14ac:dyDescent="0.25">
      <c r="L472" s="35"/>
    </row>
    <row r="473" spans="12:12" x14ac:dyDescent="0.25">
      <c r="L473" s="35"/>
    </row>
    <row r="474" spans="12:12" x14ac:dyDescent="0.25">
      <c r="L474" s="35"/>
    </row>
    <row r="475" spans="12:12" x14ac:dyDescent="0.25">
      <c r="L475" s="35"/>
    </row>
    <row r="476" spans="12:12" x14ac:dyDescent="0.25">
      <c r="L476" s="35"/>
    </row>
    <row r="477" spans="12:12" x14ac:dyDescent="0.25">
      <c r="L477" s="35"/>
    </row>
    <row r="478" spans="12:12" x14ac:dyDescent="0.25">
      <c r="L478" s="35"/>
    </row>
    <row r="479" spans="12:12" x14ac:dyDescent="0.25">
      <c r="L479" s="35"/>
    </row>
    <row r="480" spans="12:12" x14ac:dyDescent="0.25">
      <c r="L480" s="35"/>
    </row>
    <row r="481" spans="12:12" x14ac:dyDescent="0.25">
      <c r="L481" s="35"/>
    </row>
    <row r="482" spans="12:12" x14ac:dyDescent="0.25">
      <c r="L482" s="35"/>
    </row>
    <row r="483" spans="12:12" x14ac:dyDescent="0.25">
      <c r="L483" s="35"/>
    </row>
    <row r="484" spans="12:12" x14ac:dyDescent="0.25">
      <c r="L484" s="35"/>
    </row>
    <row r="485" spans="12:12" x14ac:dyDescent="0.25">
      <c r="L485" s="35"/>
    </row>
    <row r="486" spans="12:12" x14ac:dyDescent="0.25">
      <c r="L486" s="35"/>
    </row>
    <row r="487" spans="12:12" x14ac:dyDescent="0.25">
      <c r="L487" s="35"/>
    </row>
    <row r="488" spans="12:12" x14ac:dyDescent="0.25">
      <c r="L488" s="35"/>
    </row>
    <row r="489" spans="12:12" x14ac:dyDescent="0.25">
      <c r="L489" s="35"/>
    </row>
    <row r="490" spans="12:12" x14ac:dyDescent="0.25">
      <c r="L490" s="35"/>
    </row>
    <row r="491" spans="12:12" x14ac:dyDescent="0.25">
      <c r="L491" s="35"/>
    </row>
    <row r="492" spans="12:12" x14ac:dyDescent="0.25">
      <c r="L492" s="35"/>
    </row>
    <row r="493" spans="12:12" x14ac:dyDescent="0.25">
      <c r="L493" s="35"/>
    </row>
    <row r="494" spans="12:12" x14ac:dyDescent="0.25">
      <c r="L494" s="35"/>
    </row>
    <row r="495" spans="12:12" x14ac:dyDescent="0.25">
      <c r="L495" s="35"/>
    </row>
    <row r="496" spans="12:12" x14ac:dyDescent="0.25">
      <c r="L496" s="35"/>
    </row>
    <row r="497" spans="12:12" x14ac:dyDescent="0.25">
      <c r="L497" s="35"/>
    </row>
    <row r="498" spans="12:12" x14ac:dyDescent="0.25">
      <c r="L498" s="35"/>
    </row>
    <row r="499" spans="12:12" x14ac:dyDescent="0.25">
      <c r="L499" s="35"/>
    </row>
    <row r="500" spans="12:12" x14ac:dyDescent="0.25">
      <c r="L500" s="35"/>
    </row>
    <row r="501" spans="12:12" x14ac:dyDescent="0.25">
      <c r="L501" s="35"/>
    </row>
    <row r="502" spans="12:12" x14ac:dyDescent="0.25">
      <c r="L502" s="35"/>
    </row>
    <row r="503" spans="12:12" x14ac:dyDescent="0.25">
      <c r="L503" s="35"/>
    </row>
    <row r="504" spans="12:12" x14ac:dyDescent="0.25">
      <c r="L504" s="35"/>
    </row>
    <row r="505" spans="12:12" x14ac:dyDescent="0.25">
      <c r="L505" s="35"/>
    </row>
    <row r="506" spans="12:12" x14ac:dyDescent="0.25">
      <c r="L506" s="35"/>
    </row>
    <row r="507" spans="12:12" x14ac:dyDescent="0.25">
      <c r="L507" s="35"/>
    </row>
    <row r="508" spans="12:12" x14ac:dyDescent="0.25">
      <c r="L508" s="35"/>
    </row>
    <row r="509" spans="12:12" x14ac:dyDescent="0.25">
      <c r="L509" s="35"/>
    </row>
    <row r="510" spans="12:12" x14ac:dyDescent="0.25">
      <c r="L510" s="35"/>
    </row>
    <row r="511" spans="12:12" x14ac:dyDescent="0.25">
      <c r="L511" s="35"/>
    </row>
    <row r="512" spans="12:12" x14ac:dyDescent="0.25">
      <c r="L512" s="35"/>
    </row>
    <row r="513" spans="12:12" x14ac:dyDescent="0.25">
      <c r="L513" s="35"/>
    </row>
    <row r="514" spans="12:12" x14ac:dyDescent="0.25">
      <c r="L514" s="35"/>
    </row>
    <row r="515" spans="12:12" x14ac:dyDescent="0.25">
      <c r="L515" s="35"/>
    </row>
    <row r="516" spans="12:12" x14ac:dyDescent="0.25">
      <c r="L516" s="35"/>
    </row>
    <row r="517" spans="12:12" x14ac:dyDescent="0.25">
      <c r="L517" s="35"/>
    </row>
    <row r="518" spans="12:12" x14ac:dyDescent="0.25">
      <c r="L518" s="35"/>
    </row>
    <row r="519" spans="12:12" x14ac:dyDescent="0.25">
      <c r="L519" s="35"/>
    </row>
    <row r="520" spans="12:12" x14ac:dyDescent="0.25">
      <c r="L520" s="35"/>
    </row>
    <row r="521" spans="12:12" x14ac:dyDescent="0.25">
      <c r="L521" s="35"/>
    </row>
    <row r="522" spans="12:12" x14ac:dyDescent="0.25">
      <c r="L522" s="35"/>
    </row>
    <row r="523" spans="12:12" x14ac:dyDescent="0.25">
      <c r="L523" s="35"/>
    </row>
    <row r="524" spans="12:12" x14ac:dyDescent="0.25">
      <c r="L524" s="35"/>
    </row>
    <row r="525" spans="12:12" x14ac:dyDescent="0.25">
      <c r="L525" s="35"/>
    </row>
    <row r="526" spans="12:12" x14ac:dyDescent="0.25">
      <c r="L526" s="35"/>
    </row>
    <row r="527" spans="12:12" x14ac:dyDescent="0.25">
      <c r="L527" s="35"/>
    </row>
    <row r="528" spans="12:12" x14ac:dyDescent="0.25">
      <c r="L528" s="35"/>
    </row>
    <row r="529" spans="12:12" x14ac:dyDescent="0.25">
      <c r="L529" s="35"/>
    </row>
    <row r="530" spans="12:12" x14ac:dyDescent="0.25">
      <c r="L530" s="35"/>
    </row>
    <row r="531" spans="12:12" x14ac:dyDescent="0.25">
      <c r="L531" s="35"/>
    </row>
    <row r="532" spans="12:12" x14ac:dyDescent="0.25">
      <c r="L532" s="35"/>
    </row>
    <row r="533" spans="12:12" x14ac:dyDescent="0.25">
      <c r="L533" s="35"/>
    </row>
    <row r="534" spans="12:12" x14ac:dyDescent="0.25">
      <c r="L534" s="35"/>
    </row>
    <row r="535" spans="12:12" x14ac:dyDescent="0.25">
      <c r="L535" s="35"/>
    </row>
    <row r="536" spans="12:12" x14ac:dyDescent="0.25">
      <c r="L536" s="35"/>
    </row>
    <row r="537" spans="12:12" x14ac:dyDescent="0.25">
      <c r="L537" s="35"/>
    </row>
    <row r="538" spans="12:12" x14ac:dyDescent="0.25">
      <c r="L538" s="35"/>
    </row>
    <row r="539" spans="12:12" x14ac:dyDescent="0.25">
      <c r="L539" s="35"/>
    </row>
    <row r="540" spans="12:12" x14ac:dyDescent="0.25">
      <c r="L540" s="35"/>
    </row>
    <row r="541" spans="12:12" x14ac:dyDescent="0.25">
      <c r="L541" s="35"/>
    </row>
    <row r="542" spans="12:12" x14ac:dyDescent="0.25">
      <c r="L542" s="35"/>
    </row>
    <row r="543" spans="12:12" x14ac:dyDescent="0.25">
      <c r="L543" s="35"/>
    </row>
    <row r="544" spans="12:12" x14ac:dyDescent="0.25">
      <c r="L544" s="35"/>
    </row>
    <row r="545" spans="12:12" x14ac:dyDescent="0.25">
      <c r="L545" s="35"/>
    </row>
    <row r="546" spans="12:12" x14ac:dyDescent="0.25">
      <c r="L546" s="35"/>
    </row>
    <row r="547" spans="12:12" x14ac:dyDescent="0.25">
      <c r="L547" s="35"/>
    </row>
    <row r="548" spans="12:12" x14ac:dyDescent="0.25">
      <c r="L548" s="35"/>
    </row>
    <row r="549" spans="12:12" x14ac:dyDescent="0.25">
      <c r="L549" s="35"/>
    </row>
    <row r="550" spans="12:12" x14ac:dyDescent="0.25">
      <c r="L550" s="35"/>
    </row>
    <row r="551" spans="12:12" x14ac:dyDescent="0.25">
      <c r="L551" s="35"/>
    </row>
    <row r="552" spans="12:12" x14ac:dyDescent="0.25">
      <c r="L552" s="35"/>
    </row>
    <row r="553" spans="12:12" x14ac:dyDescent="0.25">
      <c r="L553" s="35"/>
    </row>
    <row r="554" spans="12:12" x14ac:dyDescent="0.25">
      <c r="L554" s="35"/>
    </row>
    <row r="555" spans="12:12" x14ac:dyDescent="0.25">
      <c r="L555" s="35"/>
    </row>
    <row r="556" spans="12:12" x14ac:dyDescent="0.25">
      <c r="L556" s="35"/>
    </row>
    <row r="557" spans="12:12" x14ac:dyDescent="0.25">
      <c r="L557" s="35"/>
    </row>
    <row r="558" spans="12:12" x14ac:dyDescent="0.25">
      <c r="L558" s="35"/>
    </row>
    <row r="559" spans="12:12" x14ac:dyDescent="0.25">
      <c r="L559" s="35"/>
    </row>
    <row r="560" spans="12:12" x14ac:dyDescent="0.25">
      <c r="L560" s="35"/>
    </row>
    <row r="561" spans="12:12" x14ac:dyDescent="0.25">
      <c r="L561" s="35"/>
    </row>
    <row r="562" spans="12:12" x14ac:dyDescent="0.25">
      <c r="L562" s="35"/>
    </row>
    <row r="563" spans="12:12" x14ac:dyDescent="0.25">
      <c r="L563" s="35"/>
    </row>
    <row r="564" spans="12:12" x14ac:dyDescent="0.25">
      <c r="L564" s="35"/>
    </row>
    <row r="565" spans="12:12" x14ac:dyDescent="0.25">
      <c r="L565" s="35"/>
    </row>
    <row r="566" spans="12:12" x14ac:dyDescent="0.25">
      <c r="L566" s="35"/>
    </row>
    <row r="567" spans="12:12" x14ac:dyDescent="0.25">
      <c r="L567" s="35"/>
    </row>
    <row r="568" spans="12:12" x14ac:dyDescent="0.25">
      <c r="L568" s="35"/>
    </row>
    <row r="569" spans="12:12" x14ac:dyDescent="0.25">
      <c r="L569" s="35"/>
    </row>
    <row r="570" spans="12:12" x14ac:dyDescent="0.25">
      <c r="L570" s="35"/>
    </row>
    <row r="571" spans="12:12" x14ac:dyDescent="0.25">
      <c r="L571" s="35"/>
    </row>
    <row r="572" spans="12:12" x14ac:dyDescent="0.25">
      <c r="L572" s="35"/>
    </row>
    <row r="573" spans="12:12" x14ac:dyDescent="0.25">
      <c r="L573" s="35"/>
    </row>
    <row r="574" spans="12:12" x14ac:dyDescent="0.25">
      <c r="L574" s="35"/>
    </row>
    <row r="575" spans="12:12" x14ac:dyDescent="0.25">
      <c r="L575" s="35"/>
    </row>
    <row r="576" spans="12:12" x14ac:dyDescent="0.25">
      <c r="L576" s="35"/>
    </row>
    <row r="577" spans="12:12" x14ac:dyDescent="0.25">
      <c r="L577" s="35"/>
    </row>
    <row r="578" spans="12:12" x14ac:dyDescent="0.25">
      <c r="L578" s="35"/>
    </row>
    <row r="579" spans="12:12" x14ac:dyDescent="0.25">
      <c r="L579" s="35"/>
    </row>
    <row r="580" spans="12:12" x14ac:dyDescent="0.25">
      <c r="L580" s="35"/>
    </row>
    <row r="581" spans="12:12" x14ac:dyDescent="0.25">
      <c r="L581" s="35"/>
    </row>
    <row r="582" spans="12:12" x14ac:dyDescent="0.25">
      <c r="L582" s="35"/>
    </row>
    <row r="583" spans="12:12" x14ac:dyDescent="0.25">
      <c r="L583" s="35"/>
    </row>
    <row r="584" spans="12:12" x14ac:dyDescent="0.25">
      <c r="L584" s="35"/>
    </row>
    <row r="585" spans="12:12" x14ac:dyDescent="0.25">
      <c r="L585" s="35"/>
    </row>
    <row r="586" spans="12:12" x14ac:dyDescent="0.25">
      <c r="L586" s="35"/>
    </row>
    <row r="587" spans="12:12" x14ac:dyDescent="0.25">
      <c r="L587" s="35"/>
    </row>
    <row r="588" spans="12:12" x14ac:dyDescent="0.25">
      <c r="L588" s="35"/>
    </row>
    <row r="589" spans="12:12" x14ac:dyDescent="0.25">
      <c r="L589" s="35"/>
    </row>
    <row r="590" spans="12:12" x14ac:dyDescent="0.25">
      <c r="L590" s="35"/>
    </row>
    <row r="591" spans="12:12" x14ac:dyDescent="0.25">
      <c r="L591" s="35"/>
    </row>
    <row r="592" spans="12:12" x14ac:dyDescent="0.25">
      <c r="L592" s="35"/>
    </row>
    <row r="593" spans="12:12" x14ac:dyDescent="0.25">
      <c r="L593" s="35"/>
    </row>
    <row r="594" spans="12:12" x14ac:dyDescent="0.25">
      <c r="L594" s="35"/>
    </row>
    <row r="595" spans="12:12" x14ac:dyDescent="0.25">
      <c r="L595" s="35"/>
    </row>
    <row r="596" spans="12:12" x14ac:dyDescent="0.25">
      <c r="L596" s="35"/>
    </row>
    <row r="597" spans="12:12" x14ac:dyDescent="0.25">
      <c r="L597" s="35"/>
    </row>
    <row r="598" spans="12:12" x14ac:dyDescent="0.25">
      <c r="L598" s="35"/>
    </row>
    <row r="599" spans="12:12" x14ac:dyDescent="0.25">
      <c r="L599" s="35"/>
    </row>
    <row r="600" spans="12:12" x14ac:dyDescent="0.25">
      <c r="L600" s="35"/>
    </row>
    <row r="601" spans="12:12" x14ac:dyDescent="0.25">
      <c r="L601" s="35"/>
    </row>
    <row r="602" spans="12:12" x14ac:dyDescent="0.25">
      <c r="L602" s="35"/>
    </row>
    <row r="603" spans="12:12" x14ac:dyDescent="0.25">
      <c r="L603" s="35"/>
    </row>
    <row r="604" spans="12:12" x14ac:dyDescent="0.25">
      <c r="L604" s="35"/>
    </row>
    <row r="605" spans="12:12" x14ac:dyDescent="0.25">
      <c r="L605" s="35"/>
    </row>
    <row r="606" spans="12:12" x14ac:dyDescent="0.25">
      <c r="L606" s="35"/>
    </row>
    <row r="607" spans="12:12" x14ac:dyDescent="0.25">
      <c r="L607" s="35"/>
    </row>
    <row r="608" spans="12:12" x14ac:dyDescent="0.25">
      <c r="L608" s="35"/>
    </row>
    <row r="609" spans="12:12" x14ac:dyDescent="0.25">
      <c r="L609" s="35"/>
    </row>
    <row r="610" spans="12:12" x14ac:dyDescent="0.25">
      <c r="L610" s="35"/>
    </row>
    <row r="611" spans="12:12" x14ac:dyDescent="0.25">
      <c r="L611" s="35"/>
    </row>
    <row r="612" spans="12:12" x14ac:dyDescent="0.25">
      <c r="L612" s="35"/>
    </row>
    <row r="613" spans="12:12" x14ac:dyDescent="0.25">
      <c r="L613" s="35"/>
    </row>
    <row r="614" spans="12:12" x14ac:dyDescent="0.25">
      <c r="L614" s="35"/>
    </row>
    <row r="615" spans="12:12" x14ac:dyDescent="0.25">
      <c r="L615" s="35"/>
    </row>
    <row r="616" spans="12:12" x14ac:dyDescent="0.25">
      <c r="L616" s="35"/>
    </row>
    <row r="617" spans="12:12" x14ac:dyDescent="0.25">
      <c r="L617" s="35"/>
    </row>
    <row r="618" spans="12:12" x14ac:dyDescent="0.25">
      <c r="L618" s="35"/>
    </row>
    <row r="619" spans="12:12" x14ac:dyDescent="0.25">
      <c r="L619" s="35"/>
    </row>
    <row r="620" spans="12:12" x14ac:dyDescent="0.25">
      <c r="L620" s="35"/>
    </row>
    <row r="621" spans="12:12" x14ac:dyDescent="0.25">
      <c r="L621" s="35"/>
    </row>
    <row r="622" spans="12:12" x14ac:dyDescent="0.25">
      <c r="L622" s="35"/>
    </row>
    <row r="623" spans="12:12" x14ac:dyDescent="0.25">
      <c r="L623" s="35"/>
    </row>
    <row r="624" spans="12:12" x14ac:dyDescent="0.25">
      <c r="L624" s="35"/>
    </row>
    <row r="625" spans="12:12" x14ac:dyDescent="0.25">
      <c r="L625" s="35"/>
    </row>
    <row r="626" spans="12:12" x14ac:dyDescent="0.25">
      <c r="L626" s="35"/>
    </row>
    <row r="627" spans="12:12" x14ac:dyDescent="0.25">
      <c r="L627" s="35"/>
    </row>
    <row r="628" spans="12:12" x14ac:dyDescent="0.25">
      <c r="L628" s="35"/>
    </row>
    <row r="629" spans="12:12" x14ac:dyDescent="0.25">
      <c r="L629" s="35"/>
    </row>
    <row r="630" spans="12:12" x14ac:dyDescent="0.25">
      <c r="L630" s="35"/>
    </row>
    <row r="631" spans="12:12" x14ac:dyDescent="0.25">
      <c r="L631" s="35"/>
    </row>
    <row r="632" spans="12:12" x14ac:dyDescent="0.25">
      <c r="L632" s="35"/>
    </row>
    <row r="633" spans="12:12" x14ac:dyDescent="0.25">
      <c r="L633" s="35"/>
    </row>
    <row r="634" spans="12:12" x14ac:dyDescent="0.25">
      <c r="L634" s="35"/>
    </row>
    <row r="635" spans="12:12" x14ac:dyDescent="0.25">
      <c r="L635" s="35"/>
    </row>
    <row r="636" spans="12:12" x14ac:dyDescent="0.25">
      <c r="L636" s="35"/>
    </row>
    <row r="637" spans="12:12" x14ac:dyDescent="0.25">
      <c r="L637" s="35"/>
    </row>
    <row r="638" spans="12:12" x14ac:dyDescent="0.25">
      <c r="L638" s="35"/>
    </row>
    <row r="639" spans="12:12" x14ac:dyDescent="0.25">
      <c r="L639" s="35"/>
    </row>
    <row r="640" spans="12:12" x14ac:dyDescent="0.25">
      <c r="L640" s="35"/>
    </row>
    <row r="641" spans="12:12" x14ac:dyDescent="0.25">
      <c r="L641" s="35"/>
    </row>
    <row r="642" spans="12:12" x14ac:dyDescent="0.25">
      <c r="L642" s="35"/>
    </row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H3:H5 H355:H1048576">
    <cfRule type="beginsWith" dxfId="68" priority="65" operator="beginsWith" text="99">
      <formula>LEFT(H3,LEN("99"))="99"</formula>
    </cfRule>
  </conditionalFormatting>
  <conditionalFormatting sqref="H355:H419">
    <cfRule type="duplicateValues" dxfId="67" priority="64"/>
  </conditionalFormatting>
  <conditionalFormatting sqref="H355:H419">
    <cfRule type="beginsWith" dxfId="66" priority="61" operator="beginsWith" text="99">
      <formula>LEFT(H355,2)="99"</formula>
    </cfRule>
    <cfRule type="containsText" dxfId="65" priority="62" operator="containsText" text="rem">
      <formula>NOT(ISERROR(SEARCH("rem",H355)))</formula>
    </cfRule>
    <cfRule type="duplicateValues" dxfId="64" priority="63"/>
  </conditionalFormatting>
  <conditionalFormatting sqref="T355:T419">
    <cfRule type="duplicateValues" dxfId="63" priority="60"/>
  </conditionalFormatting>
  <conditionalFormatting sqref="H7:H323">
    <cfRule type="beginsWith" dxfId="62" priority="55" operator="beginsWith" text="99">
      <formula>LEFT(H7,LEN("99"))="99"</formula>
    </cfRule>
  </conditionalFormatting>
  <conditionalFormatting sqref="H7:H323">
    <cfRule type="beginsWith" dxfId="61" priority="56" operator="beginsWith" text="99">
      <formula>LEFT(H7,2)="99"</formula>
    </cfRule>
    <cfRule type="containsText" dxfId="60" priority="57" operator="containsText" text="rem">
      <formula>NOT(ISERROR(SEARCH("rem",H7)))</formula>
    </cfRule>
    <cfRule type="duplicateValues" dxfId="59" priority="58"/>
  </conditionalFormatting>
  <conditionalFormatting sqref="T7:T323">
    <cfRule type="duplicateValues" dxfId="58" priority="59"/>
  </conditionalFormatting>
  <conditionalFormatting sqref="H324:H354">
    <cfRule type="beginsWith" dxfId="57" priority="50" operator="beginsWith" text="99">
      <formula>LEFT(H324,LEN("99"))="99"</formula>
    </cfRule>
  </conditionalFormatting>
  <conditionalFormatting sqref="H324:H354">
    <cfRule type="beginsWith" dxfId="56" priority="51" operator="beginsWith" text="99">
      <formula>LEFT(H324,2)="99"</formula>
    </cfRule>
    <cfRule type="containsText" dxfId="55" priority="52" operator="containsText" text="rem">
      <formula>NOT(ISERROR(SEARCH("rem",H324)))</formula>
    </cfRule>
    <cfRule type="duplicateValues" dxfId="54" priority="53"/>
  </conditionalFormatting>
  <conditionalFormatting sqref="T324:T354">
    <cfRule type="duplicateValues" dxfId="53" priority="54"/>
  </conditionalFormatting>
  <conditionalFormatting sqref="A355:A419">
    <cfRule type="duplicateValues" dxfId="52" priority="49"/>
  </conditionalFormatting>
  <conditionalFormatting sqref="A7:A323">
    <cfRule type="duplicateValues" dxfId="51" priority="48"/>
  </conditionalFormatting>
  <conditionalFormatting sqref="A324:A354">
    <cfRule type="duplicateValues" dxfId="50" priority="47"/>
  </conditionalFormatting>
  <conditionalFormatting sqref="H6">
    <cfRule type="beginsWith" dxfId="49" priority="42" operator="beginsWith" text="99">
      <formula>LEFT(H6,LEN("99"))="99"</formula>
    </cfRule>
  </conditionalFormatting>
  <conditionalFormatting sqref="H6">
    <cfRule type="beginsWith" dxfId="48" priority="43" operator="beginsWith" text="99">
      <formula>LEFT(H6,2)="99"</formula>
    </cfRule>
    <cfRule type="containsText" dxfId="47" priority="44" operator="containsText" text="rem">
      <formula>NOT(ISERROR(SEARCH("rem",H6)))</formula>
    </cfRule>
    <cfRule type="duplicateValues" dxfId="46" priority="45"/>
  </conditionalFormatting>
  <conditionalFormatting sqref="T6">
    <cfRule type="duplicateValues" dxfId="45" priority="46"/>
  </conditionalFormatting>
  <conditionalFormatting sqref="A6">
    <cfRule type="duplicateValues" dxfId="44" priority="41"/>
  </conditionalFormatting>
  <conditionalFormatting sqref="F6:F354">
    <cfRule type="cellIs" dxfId="43" priority="39" operator="lessThan">
      <formula>0</formula>
    </cfRule>
    <cfRule type="cellIs" dxfId="42" priority="40" operator="greaterThan">
      <formula>2000</formula>
    </cfRule>
  </conditionalFormatting>
  <conditionalFormatting sqref="L6:L354 N6:N354 P6:P354 R6:R354">
    <cfRule type="cellIs" dxfId="41" priority="38" operator="lessThan">
      <formula>0</formula>
    </cfRule>
  </conditionalFormatting>
  <conditionalFormatting sqref="L6:L354">
    <cfRule type="cellIs" dxfId="40" priority="37" operator="greaterThan">
      <formula>2000</formula>
    </cfRule>
  </conditionalFormatting>
  <conditionalFormatting sqref="R6:R354">
    <cfRule type="cellIs" dxfId="39" priority="36" operator="greaterThan">
      <formula>2000</formula>
    </cfRule>
  </conditionalFormatting>
  <conditionalFormatting sqref="F1:F1048576">
    <cfRule type="cellIs" dxfId="38" priority="5" operator="greaterThan">
      <formula>4000</formula>
    </cfRule>
    <cfRule type="cellIs" dxfId="37" priority="4" operator="greaterThan">
      <formula>2000</formula>
    </cfRule>
    <cfRule type="cellIs" dxfId="36" priority="3" operator="lessThan">
      <formula>0</formula>
    </cfRule>
  </conditionalFormatting>
  <conditionalFormatting sqref="R1:R1048576">
    <cfRule type="cellIs" dxfId="0" priority="2" operator="greaterThan">
      <formula>4000</formula>
    </cfRule>
    <cfRule type="cellIs" dxfId="1" priority="1" operator="lessThan">
      <formula>0</formula>
    </cfRule>
  </conditionalFormatting>
  <printOptions horizontalCentered="1"/>
  <pageMargins left="0.23" right="0.15" top="1.32" bottom="1.5" header="0.2" footer="0.19"/>
  <pageSetup scale="50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rowBreaks count="7" manualBreakCount="7">
    <brk id="33" max="19" man="1"/>
    <brk id="65" max="19" man="1"/>
    <brk id="97" max="19" man="1"/>
    <brk id="129" max="19" man="1"/>
    <brk id="161" max="19" man="1"/>
    <brk id="193" max="19" man="1"/>
    <brk id="321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Babur</vt:lpstr>
      <vt:lpstr>Babur!Print_Area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dcterms:created xsi:type="dcterms:W3CDTF">2025-04-21T11:06:11Z</dcterms:created>
  <dcterms:modified xsi:type="dcterms:W3CDTF">2025-04-23T05:55:51Z</dcterms:modified>
</cp:coreProperties>
</file>