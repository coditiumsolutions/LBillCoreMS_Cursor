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Umar" sheetId="1" r:id="rId1"/>
  </sheets>
  <definedNames>
    <definedName name="_xlnm.Print_Area" localSheetId="0">Umar!$A$1:$T$947</definedName>
    <definedName name="_xlnm.Print_Titles" localSheetId="0">Umar!$4:$5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1" i="1" l="1"/>
  <c r="R947" i="1" l="1"/>
  <c r="P947" i="1"/>
  <c r="N947" i="1"/>
  <c r="L947" i="1"/>
  <c r="F947" i="1" s="1"/>
  <c r="R946" i="1"/>
  <c r="P946" i="1"/>
  <c r="N946" i="1"/>
  <c r="B946" i="1"/>
  <c r="L946" i="1" s="1"/>
  <c r="F946" i="1" s="1"/>
  <c r="R945" i="1"/>
  <c r="P945" i="1"/>
  <c r="N945" i="1"/>
  <c r="L945" i="1"/>
  <c r="F945" i="1" s="1"/>
  <c r="R944" i="1"/>
  <c r="P944" i="1"/>
  <c r="N944" i="1"/>
  <c r="B944" i="1"/>
  <c r="L944" i="1" s="1"/>
  <c r="F944" i="1" s="1"/>
  <c r="R943" i="1"/>
  <c r="P943" i="1"/>
  <c r="N943" i="1"/>
  <c r="B943" i="1"/>
  <c r="L943" i="1" s="1"/>
  <c r="F943" i="1" s="1"/>
  <c r="R942" i="1"/>
  <c r="P942" i="1"/>
  <c r="N942" i="1"/>
  <c r="B942" i="1"/>
  <c r="L942" i="1" s="1"/>
  <c r="F942" i="1" s="1"/>
  <c r="R941" i="1"/>
  <c r="P941" i="1"/>
  <c r="N941" i="1"/>
  <c r="L941" i="1"/>
  <c r="F941" i="1" s="1"/>
  <c r="R940" i="1"/>
  <c r="P940" i="1"/>
  <c r="N940" i="1"/>
  <c r="L940" i="1"/>
  <c r="F940" i="1" s="1"/>
  <c r="R939" i="1"/>
  <c r="P939" i="1"/>
  <c r="N939" i="1"/>
  <c r="L939" i="1"/>
  <c r="F939" i="1" s="1"/>
  <c r="R938" i="1"/>
  <c r="P938" i="1"/>
  <c r="N938" i="1"/>
  <c r="B938" i="1"/>
  <c r="L938" i="1" s="1"/>
  <c r="F938" i="1" s="1"/>
  <c r="R937" i="1"/>
  <c r="P937" i="1"/>
  <c r="N937" i="1"/>
  <c r="B937" i="1"/>
  <c r="L937" i="1" s="1"/>
  <c r="F937" i="1" s="1"/>
  <c r="R936" i="1"/>
  <c r="P936" i="1"/>
  <c r="N936" i="1"/>
  <c r="B936" i="1"/>
  <c r="L936" i="1" s="1"/>
  <c r="F936" i="1" s="1"/>
  <c r="R935" i="1"/>
  <c r="P935" i="1"/>
  <c r="N935" i="1"/>
  <c r="L935" i="1"/>
  <c r="F935" i="1" s="1"/>
  <c r="B935" i="1"/>
  <c r="R934" i="1"/>
  <c r="P934" i="1"/>
  <c r="N934" i="1"/>
  <c r="B934" i="1"/>
  <c r="L934" i="1" s="1"/>
  <c r="F934" i="1" s="1"/>
  <c r="R933" i="1"/>
  <c r="P933" i="1"/>
  <c r="N933" i="1"/>
  <c r="B933" i="1"/>
  <c r="L933" i="1" s="1"/>
  <c r="F933" i="1" s="1"/>
  <c r="R932" i="1"/>
  <c r="P932" i="1"/>
  <c r="N932" i="1"/>
  <c r="B932" i="1"/>
  <c r="L932" i="1" s="1"/>
  <c r="F932" i="1" s="1"/>
  <c r="R931" i="1"/>
  <c r="P931" i="1"/>
  <c r="N931" i="1"/>
  <c r="B931" i="1"/>
  <c r="L931" i="1" s="1"/>
  <c r="F931" i="1" s="1"/>
  <c r="R930" i="1"/>
  <c r="P930" i="1"/>
  <c r="N930" i="1"/>
  <c r="B930" i="1"/>
  <c r="L930" i="1" s="1"/>
  <c r="F930" i="1" s="1"/>
  <c r="R929" i="1"/>
  <c r="P929" i="1"/>
  <c r="N929" i="1"/>
  <c r="B929" i="1"/>
  <c r="L929" i="1" s="1"/>
  <c r="F929" i="1" s="1"/>
  <c r="R928" i="1"/>
  <c r="P928" i="1"/>
  <c r="N928" i="1"/>
  <c r="B928" i="1"/>
  <c r="L928" i="1" s="1"/>
  <c r="F928" i="1" s="1"/>
  <c r="R927" i="1"/>
  <c r="P927" i="1"/>
  <c r="N927" i="1"/>
  <c r="B927" i="1"/>
  <c r="L927" i="1" s="1"/>
  <c r="F927" i="1" s="1"/>
  <c r="R926" i="1"/>
  <c r="P926" i="1"/>
  <c r="N926" i="1"/>
  <c r="B926" i="1"/>
  <c r="L926" i="1" s="1"/>
  <c r="F926" i="1" s="1"/>
  <c r="R925" i="1"/>
  <c r="P925" i="1"/>
  <c r="N925" i="1"/>
  <c r="B925" i="1"/>
  <c r="L925" i="1" s="1"/>
  <c r="F925" i="1" s="1"/>
  <c r="R924" i="1"/>
  <c r="P924" i="1"/>
  <c r="N924" i="1"/>
  <c r="B924" i="1"/>
  <c r="L924" i="1" s="1"/>
  <c r="F924" i="1" s="1"/>
  <c r="R923" i="1"/>
  <c r="P923" i="1"/>
  <c r="N923" i="1"/>
  <c r="B923" i="1"/>
  <c r="L923" i="1" s="1"/>
  <c r="F923" i="1" s="1"/>
  <c r="R922" i="1"/>
  <c r="P922" i="1"/>
  <c r="N922" i="1"/>
  <c r="B922" i="1"/>
  <c r="L922" i="1" s="1"/>
  <c r="F922" i="1" s="1"/>
  <c r="R921" i="1"/>
  <c r="P921" i="1"/>
  <c r="N921" i="1"/>
  <c r="B921" i="1"/>
  <c r="L921" i="1" s="1"/>
  <c r="F921" i="1" s="1"/>
  <c r="R920" i="1"/>
  <c r="P920" i="1"/>
  <c r="N920" i="1"/>
  <c r="B920" i="1"/>
  <c r="L920" i="1" s="1"/>
  <c r="F920" i="1" s="1"/>
  <c r="R919" i="1"/>
  <c r="P919" i="1"/>
  <c r="N919" i="1"/>
  <c r="L919" i="1"/>
  <c r="F919" i="1" s="1"/>
  <c r="B919" i="1"/>
  <c r="R918" i="1"/>
  <c r="P918" i="1"/>
  <c r="N918" i="1"/>
  <c r="B918" i="1"/>
  <c r="L918" i="1" s="1"/>
  <c r="F918" i="1" s="1"/>
  <c r="R917" i="1"/>
  <c r="P917" i="1"/>
  <c r="N917" i="1"/>
  <c r="B917" i="1"/>
  <c r="L917" i="1" s="1"/>
  <c r="F917" i="1" s="1"/>
  <c r="R916" i="1"/>
  <c r="P916" i="1"/>
  <c r="N916" i="1"/>
  <c r="B916" i="1"/>
  <c r="L916" i="1" s="1"/>
  <c r="F916" i="1" s="1"/>
  <c r="R915" i="1"/>
  <c r="P915" i="1"/>
  <c r="N915" i="1"/>
  <c r="B915" i="1"/>
  <c r="L915" i="1" s="1"/>
  <c r="F915" i="1" s="1"/>
  <c r="R914" i="1"/>
  <c r="P914" i="1"/>
  <c r="N914" i="1"/>
  <c r="B914" i="1"/>
  <c r="L914" i="1" s="1"/>
  <c r="F914" i="1" s="1"/>
  <c r="R913" i="1"/>
  <c r="P913" i="1"/>
  <c r="N913" i="1"/>
  <c r="B913" i="1"/>
  <c r="L913" i="1" s="1"/>
  <c r="F913" i="1" s="1"/>
  <c r="R912" i="1"/>
  <c r="P912" i="1"/>
  <c r="N912" i="1"/>
  <c r="B912" i="1"/>
  <c r="L912" i="1" s="1"/>
  <c r="F912" i="1" s="1"/>
  <c r="R911" i="1"/>
  <c r="P911" i="1"/>
  <c r="N911" i="1"/>
  <c r="L911" i="1"/>
  <c r="F911" i="1" s="1"/>
  <c r="B911" i="1"/>
  <c r="R910" i="1"/>
  <c r="P910" i="1"/>
  <c r="N910" i="1"/>
  <c r="B910" i="1"/>
  <c r="L910" i="1" s="1"/>
  <c r="F910" i="1" s="1"/>
  <c r="R909" i="1"/>
  <c r="P909" i="1"/>
  <c r="N909" i="1"/>
  <c r="B909" i="1"/>
  <c r="L909" i="1" s="1"/>
  <c r="F909" i="1" s="1"/>
  <c r="R908" i="1"/>
  <c r="P908" i="1"/>
  <c r="N908" i="1"/>
  <c r="B908" i="1"/>
  <c r="L908" i="1" s="1"/>
  <c r="F908" i="1" s="1"/>
  <c r="R907" i="1"/>
  <c r="P907" i="1"/>
  <c r="N907" i="1"/>
  <c r="B907" i="1"/>
  <c r="L907" i="1" s="1"/>
  <c r="F907" i="1" s="1"/>
  <c r="R906" i="1"/>
  <c r="P906" i="1"/>
  <c r="N906" i="1"/>
  <c r="B906" i="1"/>
  <c r="L906" i="1" s="1"/>
  <c r="F906" i="1" s="1"/>
  <c r="R905" i="1"/>
  <c r="P905" i="1"/>
  <c r="N905" i="1"/>
  <c r="B905" i="1"/>
  <c r="L905" i="1" s="1"/>
  <c r="F905" i="1" s="1"/>
  <c r="R904" i="1"/>
  <c r="P904" i="1"/>
  <c r="N904" i="1"/>
  <c r="B904" i="1"/>
  <c r="L904" i="1" s="1"/>
  <c r="F904" i="1" s="1"/>
  <c r="R903" i="1"/>
  <c r="P903" i="1"/>
  <c r="N903" i="1"/>
  <c r="L903" i="1"/>
  <c r="F903" i="1" s="1"/>
  <c r="B903" i="1"/>
  <c r="R902" i="1"/>
  <c r="P902" i="1"/>
  <c r="N902" i="1"/>
  <c r="B902" i="1"/>
  <c r="L902" i="1" s="1"/>
  <c r="F902" i="1" s="1"/>
  <c r="R901" i="1"/>
  <c r="P901" i="1"/>
  <c r="N901" i="1"/>
  <c r="B901" i="1"/>
  <c r="L901" i="1" s="1"/>
  <c r="F901" i="1" s="1"/>
  <c r="R900" i="1"/>
  <c r="P900" i="1"/>
  <c r="N900" i="1"/>
  <c r="B900" i="1"/>
  <c r="L900" i="1" s="1"/>
  <c r="F900" i="1" s="1"/>
  <c r="R899" i="1"/>
  <c r="P899" i="1"/>
  <c r="N899" i="1"/>
  <c r="B899" i="1"/>
  <c r="L899" i="1" s="1"/>
  <c r="F899" i="1" s="1"/>
  <c r="R898" i="1"/>
  <c r="P898" i="1"/>
  <c r="N898" i="1"/>
  <c r="B898" i="1"/>
  <c r="L898" i="1" s="1"/>
  <c r="F898" i="1" s="1"/>
  <c r="R897" i="1"/>
  <c r="P897" i="1"/>
  <c r="N897" i="1"/>
  <c r="B897" i="1"/>
  <c r="L897" i="1" s="1"/>
  <c r="F897" i="1" s="1"/>
  <c r="R896" i="1"/>
  <c r="P896" i="1"/>
  <c r="N896" i="1"/>
  <c r="B896" i="1"/>
  <c r="L896" i="1" s="1"/>
  <c r="F896" i="1" s="1"/>
  <c r="R895" i="1"/>
  <c r="P895" i="1"/>
  <c r="N895" i="1"/>
  <c r="B895" i="1"/>
  <c r="L895" i="1" s="1"/>
  <c r="F895" i="1" s="1"/>
  <c r="R894" i="1"/>
  <c r="P894" i="1"/>
  <c r="N894" i="1"/>
  <c r="B894" i="1"/>
  <c r="L894" i="1" s="1"/>
  <c r="F894" i="1" s="1"/>
  <c r="R893" i="1"/>
  <c r="P893" i="1"/>
  <c r="N893" i="1"/>
  <c r="B893" i="1"/>
  <c r="L893" i="1" s="1"/>
  <c r="F893" i="1" s="1"/>
  <c r="R892" i="1"/>
  <c r="P892" i="1"/>
  <c r="N892" i="1"/>
  <c r="B892" i="1"/>
  <c r="L892" i="1" s="1"/>
  <c r="F892" i="1" s="1"/>
  <c r="R891" i="1"/>
  <c r="P891" i="1"/>
  <c r="N891" i="1"/>
  <c r="L891" i="1"/>
  <c r="F891" i="1" s="1"/>
  <c r="B891" i="1"/>
  <c r="R890" i="1"/>
  <c r="P890" i="1"/>
  <c r="N890" i="1"/>
  <c r="B890" i="1"/>
  <c r="L890" i="1" s="1"/>
  <c r="F890" i="1" s="1"/>
  <c r="R889" i="1"/>
  <c r="P889" i="1"/>
  <c r="N889" i="1"/>
  <c r="B889" i="1"/>
  <c r="L889" i="1" s="1"/>
  <c r="F889" i="1" s="1"/>
  <c r="R888" i="1"/>
  <c r="P888" i="1"/>
  <c r="N888" i="1"/>
  <c r="B888" i="1"/>
  <c r="L888" i="1" s="1"/>
  <c r="F888" i="1" s="1"/>
  <c r="R887" i="1"/>
  <c r="P887" i="1"/>
  <c r="N887" i="1"/>
  <c r="B887" i="1"/>
  <c r="L887" i="1" s="1"/>
  <c r="F887" i="1" s="1"/>
  <c r="R886" i="1"/>
  <c r="P886" i="1"/>
  <c r="N886" i="1"/>
  <c r="B886" i="1"/>
  <c r="L886" i="1" s="1"/>
  <c r="F886" i="1" s="1"/>
  <c r="R885" i="1"/>
  <c r="P885" i="1"/>
  <c r="N885" i="1"/>
  <c r="B885" i="1"/>
  <c r="L885" i="1" s="1"/>
  <c r="F885" i="1" s="1"/>
  <c r="R884" i="1"/>
  <c r="P884" i="1"/>
  <c r="N884" i="1"/>
  <c r="B884" i="1"/>
  <c r="L884" i="1" s="1"/>
  <c r="F884" i="1" s="1"/>
  <c r="R883" i="1"/>
  <c r="P883" i="1"/>
  <c r="N883" i="1"/>
  <c r="B883" i="1"/>
  <c r="L883" i="1" s="1"/>
  <c r="F883" i="1" s="1"/>
  <c r="R882" i="1"/>
  <c r="P882" i="1"/>
  <c r="N882" i="1"/>
  <c r="B882" i="1"/>
  <c r="L882" i="1" s="1"/>
  <c r="F882" i="1" s="1"/>
  <c r="R881" i="1"/>
  <c r="P881" i="1"/>
  <c r="N881" i="1"/>
  <c r="B881" i="1"/>
  <c r="L881" i="1" s="1"/>
  <c r="F881" i="1" s="1"/>
  <c r="R880" i="1"/>
  <c r="P880" i="1"/>
  <c r="N880" i="1"/>
  <c r="B880" i="1"/>
  <c r="L880" i="1" s="1"/>
  <c r="F880" i="1" s="1"/>
  <c r="R879" i="1"/>
  <c r="P879" i="1"/>
  <c r="N879" i="1"/>
  <c r="B879" i="1"/>
  <c r="L879" i="1" s="1"/>
  <c r="F879" i="1" s="1"/>
  <c r="R878" i="1"/>
  <c r="P878" i="1"/>
  <c r="N878" i="1"/>
  <c r="B878" i="1"/>
  <c r="L878" i="1" s="1"/>
  <c r="F878" i="1" s="1"/>
  <c r="R877" i="1"/>
  <c r="P877" i="1"/>
  <c r="N877" i="1"/>
  <c r="B877" i="1"/>
  <c r="L877" i="1" s="1"/>
  <c r="F877" i="1" s="1"/>
  <c r="R876" i="1"/>
  <c r="P876" i="1"/>
  <c r="N876" i="1"/>
  <c r="B876" i="1"/>
  <c r="L876" i="1" s="1"/>
  <c r="F876" i="1" s="1"/>
  <c r="R875" i="1"/>
  <c r="P875" i="1"/>
  <c r="N875" i="1"/>
  <c r="L875" i="1"/>
  <c r="F875" i="1" s="1"/>
  <c r="B875" i="1"/>
  <c r="R874" i="1"/>
  <c r="P874" i="1"/>
  <c r="N874" i="1"/>
  <c r="B874" i="1"/>
  <c r="L874" i="1" s="1"/>
  <c r="F874" i="1" s="1"/>
  <c r="R873" i="1"/>
  <c r="P873" i="1"/>
  <c r="N873" i="1"/>
  <c r="B873" i="1"/>
  <c r="L873" i="1" s="1"/>
  <c r="F873" i="1" s="1"/>
  <c r="R872" i="1"/>
  <c r="P872" i="1"/>
  <c r="N872" i="1"/>
  <c r="B872" i="1"/>
  <c r="L872" i="1" s="1"/>
  <c r="F872" i="1" s="1"/>
  <c r="R871" i="1"/>
  <c r="P871" i="1"/>
  <c r="N871" i="1"/>
  <c r="B871" i="1"/>
  <c r="L871" i="1" s="1"/>
  <c r="F871" i="1" s="1"/>
  <c r="R870" i="1"/>
  <c r="P870" i="1"/>
  <c r="N870" i="1"/>
  <c r="B870" i="1"/>
  <c r="L870" i="1" s="1"/>
  <c r="F870" i="1" s="1"/>
  <c r="R869" i="1"/>
  <c r="P869" i="1"/>
  <c r="N869" i="1"/>
  <c r="B869" i="1"/>
  <c r="L869" i="1" s="1"/>
  <c r="F869" i="1" s="1"/>
  <c r="R868" i="1"/>
  <c r="P868" i="1"/>
  <c r="N868" i="1"/>
  <c r="B868" i="1"/>
  <c r="L868" i="1" s="1"/>
  <c r="F868" i="1" s="1"/>
  <c r="R867" i="1"/>
  <c r="P867" i="1"/>
  <c r="N867" i="1"/>
  <c r="B867" i="1"/>
  <c r="L867" i="1" s="1"/>
  <c r="F867" i="1" s="1"/>
  <c r="R866" i="1"/>
  <c r="P866" i="1"/>
  <c r="N866" i="1"/>
  <c r="B866" i="1"/>
  <c r="L866" i="1" s="1"/>
  <c r="F866" i="1" s="1"/>
  <c r="R865" i="1"/>
  <c r="P865" i="1"/>
  <c r="N865" i="1"/>
  <c r="B865" i="1"/>
  <c r="L865" i="1" s="1"/>
  <c r="F865" i="1" s="1"/>
  <c r="R864" i="1"/>
  <c r="P864" i="1"/>
  <c r="N864" i="1"/>
  <c r="B864" i="1"/>
  <c r="L864" i="1" s="1"/>
  <c r="F864" i="1" s="1"/>
  <c r="R863" i="1"/>
  <c r="P863" i="1"/>
  <c r="N863" i="1"/>
  <c r="B863" i="1"/>
  <c r="L863" i="1" s="1"/>
  <c r="F863" i="1" s="1"/>
  <c r="R862" i="1"/>
  <c r="P862" i="1"/>
  <c r="N862" i="1"/>
  <c r="B862" i="1"/>
  <c r="L862" i="1" s="1"/>
  <c r="F862" i="1" s="1"/>
  <c r="R861" i="1"/>
  <c r="P861" i="1"/>
  <c r="N861" i="1"/>
  <c r="B861" i="1"/>
  <c r="L861" i="1" s="1"/>
  <c r="F861" i="1" s="1"/>
  <c r="R860" i="1"/>
  <c r="P860" i="1"/>
  <c r="N860" i="1"/>
  <c r="B860" i="1"/>
  <c r="L860" i="1" s="1"/>
  <c r="F860" i="1" s="1"/>
  <c r="R859" i="1"/>
  <c r="P859" i="1"/>
  <c r="N859" i="1"/>
  <c r="B859" i="1"/>
  <c r="L859" i="1" s="1"/>
  <c r="F859" i="1" s="1"/>
  <c r="R858" i="1"/>
  <c r="P858" i="1"/>
  <c r="N858" i="1"/>
  <c r="B858" i="1"/>
  <c r="L858" i="1" s="1"/>
  <c r="F858" i="1" s="1"/>
  <c r="R857" i="1"/>
  <c r="P857" i="1"/>
  <c r="N857" i="1"/>
  <c r="B857" i="1"/>
  <c r="L857" i="1" s="1"/>
  <c r="F857" i="1" s="1"/>
  <c r="R856" i="1"/>
  <c r="P856" i="1"/>
  <c r="N856" i="1"/>
  <c r="B856" i="1"/>
  <c r="L856" i="1" s="1"/>
  <c r="F856" i="1" s="1"/>
  <c r="R855" i="1"/>
  <c r="P855" i="1"/>
  <c r="N855" i="1"/>
  <c r="L855" i="1"/>
  <c r="F855" i="1" s="1"/>
  <c r="B855" i="1"/>
  <c r="R854" i="1"/>
  <c r="P854" i="1"/>
  <c r="N854" i="1"/>
  <c r="B854" i="1"/>
  <c r="L854" i="1" s="1"/>
  <c r="F854" i="1" s="1"/>
  <c r="R853" i="1"/>
  <c r="P853" i="1"/>
  <c r="N853" i="1"/>
  <c r="B853" i="1"/>
  <c r="L853" i="1" s="1"/>
  <c r="F853" i="1" s="1"/>
  <c r="R852" i="1"/>
  <c r="P852" i="1"/>
  <c r="N852" i="1"/>
  <c r="B852" i="1"/>
  <c r="L852" i="1" s="1"/>
  <c r="F852" i="1" s="1"/>
  <c r="R851" i="1"/>
  <c r="P851" i="1"/>
  <c r="N851" i="1"/>
  <c r="L851" i="1"/>
  <c r="F851" i="1" s="1"/>
  <c r="B851" i="1"/>
  <c r="R850" i="1"/>
  <c r="P850" i="1"/>
  <c r="N850" i="1"/>
  <c r="B850" i="1"/>
  <c r="L850" i="1" s="1"/>
  <c r="F850" i="1" s="1"/>
  <c r="R849" i="1"/>
  <c r="P849" i="1"/>
  <c r="N849" i="1"/>
  <c r="B849" i="1"/>
  <c r="L849" i="1" s="1"/>
  <c r="F849" i="1" s="1"/>
  <c r="R848" i="1"/>
  <c r="P848" i="1"/>
  <c r="N848" i="1"/>
  <c r="B848" i="1"/>
  <c r="L848" i="1" s="1"/>
  <c r="F848" i="1" s="1"/>
  <c r="R847" i="1"/>
  <c r="P847" i="1"/>
  <c r="N847" i="1"/>
  <c r="L847" i="1"/>
  <c r="F847" i="1" s="1"/>
  <c r="B847" i="1"/>
  <c r="R846" i="1"/>
  <c r="P846" i="1"/>
  <c r="N846" i="1"/>
  <c r="B846" i="1"/>
  <c r="L846" i="1" s="1"/>
  <c r="F846" i="1" s="1"/>
  <c r="R845" i="1"/>
  <c r="P845" i="1"/>
  <c r="N845" i="1"/>
  <c r="B845" i="1"/>
  <c r="L845" i="1" s="1"/>
  <c r="F845" i="1" s="1"/>
  <c r="R844" i="1"/>
  <c r="P844" i="1"/>
  <c r="N844" i="1"/>
  <c r="B844" i="1"/>
  <c r="L844" i="1" s="1"/>
  <c r="F844" i="1" s="1"/>
  <c r="R843" i="1"/>
  <c r="P843" i="1"/>
  <c r="N843" i="1"/>
  <c r="B843" i="1"/>
  <c r="L843" i="1" s="1"/>
  <c r="F843" i="1" s="1"/>
  <c r="R842" i="1"/>
  <c r="P842" i="1"/>
  <c r="N842" i="1"/>
  <c r="B842" i="1"/>
  <c r="L842" i="1" s="1"/>
  <c r="F842" i="1" s="1"/>
  <c r="R841" i="1"/>
  <c r="P841" i="1"/>
  <c r="N841" i="1"/>
  <c r="B841" i="1"/>
  <c r="L841" i="1" s="1"/>
  <c r="F841" i="1" s="1"/>
  <c r="R840" i="1"/>
  <c r="P840" i="1"/>
  <c r="N840" i="1"/>
  <c r="B840" i="1"/>
  <c r="L840" i="1" s="1"/>
  <c r="F840" i="1" s="1"/>
  <c r="R839" i="1"/>
  <c r="P839" i="1"/>
  <c r="N839" i="1"/>
  <c r="L839" i="1"/>
  <c r="F839" i="1" s="1"/>
  <c r="B839" i="1"/>
  <c r="R838" i="1"/>
  <c r="P838" i="1"/>
  <c r="N838" i="1"/>
  <c r="B838" i="1"/>
  <c r="L838" i="1" s="1"/>
  <c r="F838" i="1" s="1"/>
  <c r="R837" i="1"/>
  <c r="P837" i="1"/>
  <c r="N837" i="1"/>
  <c r="B837" i="1"/>
  <c r="L837" i="1" s="1"/>
  <c r="F837" i="1" s="1"/>
  <c r="R836" i="1"/>
  <c r="P836" i="1"/>
  <c r="N836" i="1"/>
  <c r="B836" i="1"/>
  <c r="L836" i="1" s="1"/>
  <c r="F836" i="1" s="1"/>
  <c r="R835" i="1"/>
  <c r="P835" i="1"/>
  <c r="N835" i="1"/>
  <c r="B835" i="1"/>
  <c r="L835" i="1" s="1"/>
  <c r="F835" i="1" s="1"/>
  <c r="R834" i="1"/>
  <c r="P834" i="1"/>
  <c r="N834" i="1"/>
  <c r="B834" i="1"/>
  <c r="L834" i="1" s="1"/>
  <c r="F834" i="1" s="1"/>
  <c r="R833" i="1"/>
  <c r="P833" i="1"/>
  <c r="N833" i="1"/>
  <c r="B833" i="1"/>
  <c r="L833" i="1" s="1"/>
  <c r="F833" i="1" s="1"/>
  <c r="R832" i="1"/>
  <c r="P832" i="1"/>
  <c r="N832" i="1"/>
  <c r="B832" i="1"/>
  <c r="L832" i="1" s="1"/>
  <c r="F832" i="1" s="1"/>
  <c r="R831" i="1"/>
  <c r="P831" i="1"/>
  <c r="N831" i="1"/>
  <c r="B831" i="1"/>
  <c r="L831" i="1" s="1"/>
  <c r="F831" i="1" s="1"/>
  <c r="R830" i="1"/>
  <c r="P830" i="1"/>
  <c r="N830" i="1"/>
  <c r="K830" i="1"/>
  <c r="B830" i="1"/>
  <c r="R829" i="1"/>
  <c r="P829" i="1"/>
  <c r="N829" i="1"/>
  <c r="B829" i="1"/>
  <c r="R828" i="1"/>
  <c r="P828" i="1"/>
  <c r="N828" i="1"/>
  <c r="K828" i="1"/>
  <c r="B828" i="1"/>
  <c r="R827" i="1"/>
  <c r="P827" i="1"/>
  <c r="N827" i="1"/>
  <c r="K827" i="1"/>
  <c r="B827" i="1"/>
  <c r="R826" i="1"/>
  <c r="P826" i="1"/>
  <c r="N826" i="1"/>
  <c r="K826" i="1"/>
  <c r="B826" i="1"/>
  <c r="R825" i="1"/>
  <c r="P825" i="1"/>
  <c r="N825" i="1"/>
  <c r="K825" i="1"/>
  <c r="B825" i="1"/>
  <c r="R824" i="1"/>
  <c r="P824" i="1"/>
  <c r="N824" i="1"/>
  <c r="B824" i="1"/>
  <c r="L824" i="1" s="1"/>
  <c r="F824" i="1" s="1"/>
  <c r="R823" i="1"/>
  <c r="P823" i="1"/>
  <c r="N823" i="1"/>
  <c r="B823" i="1"/>
  <c r="L823" i="1" s="1"/>
  <c r="F823" i="1" s="1"/>
  <c r="R822" i="1"/>
  <c r="P822" i="1"/>
  <c r="N822" i="1"/>
  <c r="B822" i="1"/>
  <c r="L822" i="1" s="1"/>
  <c r="F822" i="1" s="1"/>
  <c r="R821" i="1"/>
  <c r="P821" i="1"/>
  <c r="N821" i="1"/>
  <c r="K821" i="1"/>
  <c r="B821" i="1"/>
  <c r="R820" i="1"/>
  <c r="P820" i="1"/>
  <c r="N820" i="1"/>
  <c r="B820" i="1"/>
  <c r="L820" i="1" s="1"/>
  <c r="F820" i="1" s="1"/>
  <c r="R819" i="1"/>
  <c r="P819" i="1"/>
  <c r="N819" i="1"/>
  <c r="B819" i="1"/>
  <c r="L819" i="1" s="1"/>
  <c r="F819" i="1" s="1"/>
  <c r="R818" i="1"/>
  <c r="P818" i="1"/>
  <c r="N818" i="1"/>
  <c r="B818" i="1"/>
  <c r="L818" i="1" s="1"/>
  <c r="F818" i="1" s="1"/>
  <c r="R817" i="1"/>
  <c r="P817" i="1"/>
  <c r="N817" i="1"/>
  <c r="B817" i="1"/>
  <c r="L817" i="1" s="1"/>
  <c r="F817" i="1" s="1"/>
  <c r="R816" i="1"/>
  <c r="P816" i="1"/>
  <c r="N816" i="1"/>
  <c r="B816" i="1"/>
  <c r="L816" i="1" s="1"/>
  <c r="F816" i="1" s="1"/>
  <c r="R815" i="1"/>
  <c r="P815" i="1"/>
  <c r="N815" i="1"/>
  <c r="K815" i="1"/>
  <c r="B815" i="1"/>
  <c r="R814" i="1"/>
  <c r="P814" i="1"/>
  <c r="N814" i="1"/>
  <c r="K814" i="1"/>
  <c r="B814" i="1"/>
  <c r="L814" i="1" s="1"/>
  <c r="F814" i="1" s="1"/>
  <c r="R813" i="1"/>
  <c r="P813" i="1"/>
  <c r="N813" i="1"/>
  <c r="B813" i="1"/>
  <c r="L813" i="1" s="1"/>
  <c r="F813" i="1" s="1"/>
  <c r="R812" i="1"/>
  <c r="P812" i="1"/>
  <c r="N812" i="1"/>
  <c r="K812" i="1"/>
  <c r="B812" i="1"/>
  <c r="R811" i="1"/>
  <c r="P811" i="1"/>
  <c r="N811" i="1"/>
  <c r="B811" i="1"/>
  <c r="L811" i="1" s="1"/>
  <c r="F811" i="1" s="1"/>
  <c r="R810" i="1"/>
  <c r="P810" i="1"/>
  <c r="N810" i="1"/>
  <c r="B810" i="1"/>
  <c r="L810" i="1" s="1"/>
  <c r="F810" i="1" s="1"/>
  <c r="R809" i="1"/>
  <c r="P809" i="1"/>
  <c r="N809" i="1"/>
  <c r="B809" i="1"/>
  <c r="L809" i="1" s="1"/>
  <c r="F809" i="1" s="1"/>
  <c r="R808" i="1"/>
  <c r="P808" i="1"/>
  <c r="N808" i="1"/>
  <c r="B808" i="1"/>
  <c r="L808" i="1" s="1"/>
  <c r="F808" i="1" s="1"/>
  <c r="R807" i="1"/>
  <c r="P807" i="1"/>
  <c r="N807" i="1"/>
  <c r="B807" i="1"/>
  <c r="L807" i="1" s="1"/>
  <c r="F807" i="1" s="1"/>
  <c r="R806" i="1"/>
  <c r="P806" i="1"/>
  <c r="N806" i="1"/>
  <c r="K806" i="1"/>
  <c r="B806" i="1"/>
  <c r="R805" i="1"/>
  <c r="P805" i="1"/>
  <c r="N805" i="1"/>
  <c r="B805" i="1"/>
  <c r="L805" i="1" s="1"/>
  <c r="F805" i="1" s="1"/>
  <c r="R804" i="1"/>
  <c r="P804" i="1"/>
  <c r="N804" i="1"/>
  <c r="B804" i="1"/>
  <c r="L804" i="1" s="1"/>
  <c r="F804" i="1" s="1"/>
  <c r="R803" i="1"/>
  <c r="P803" i="1"/>
  <c r="N803" i="1"/>
  <c r="B803" i="1"/>
  <c r="L803" i="1" s="1"/>
  <c r="F803" i="1" s="1"/>
  <c r="R802" i="1"/>
  <c r="P802" i="1"/>
  <c r="N802" i="1"/>
  <c r="K802" i="1"/>
  <c r="B802" i="1"/>
  <c r="L802" i="1" s="1"/>
  <c r="F802" i="1" s="1"/>
  <c r="R801" i="1"/>
  <c r="P801" i="1"/>
  <c r="N801" i="1"/>
  <c r="B801" i="1"/>
  <c r="L801" i="1" s="1"/>
  <c r="F801" i="1" s="1"/>
  <c r="R800" i="1"/>
  <c r="P800" i="1"/>
  <c r="N800" i="1"/>
  <c r="B800" i="1"/>
  <c r="L800" i="1" s="1"/>
  <c r="F800" i="1" s="1"/>
  <c r="R799" i="1"/>
  <c r="P799" i="1"/>
  <c r="N799" i="1"/>
  <c r="L799" i="1"/>
  <c r="F799" i="1" s="1"/>
  <c r="K799" i="1"/>
  <c r="B799" i="1"/>
  <c r="R798" i="1"/>
  <c r="P798" i="1"/>
  <c r="N798" i="1"/>
  <c r="B798" i="1"/>
  <c r="L798" i="1" s="1"/>
  <c r="F798" i="1" s="1"/>
  <c r="R797" i="1"/>
  <c r="P797" i="1"/>
  <c r="N797" i="1"/>
  <c r="K797" i="1"/>
  <c r="B797" i="1"/>
  <c r="R796" i="1"/>
  <c r="P796" i="1"/>
  <c r="N796" i="1"/>
  <c r="B796" i="1"/>
  <c r="L796" i="1" s="1"/>
  <c r="F796" i="1" s="1"/>
  <c r="R795" i="1"/>
  <c r="P795" i="1"/>
  <c r="N795" i="1"/>
  <c r="B795" i="1"/>
  <c r="L795" i="1" s="1"/>
  <c r="F795" i="1" s="1"/>
  <c r="R794" i="1"/>
  <c r="P794" i="1"/>
  <c r="N794" i="1"/>
  <c r="K794" i="1"/>
  <c r="B794" i="1"/>
  <c r="L794" i="1" s="1"/>
  <c r="F794" i="1" s="1"/>
  <c r="R793" i="1"/>
  <c r="P793" i="1"/>
  <c r="N793" i="1"/>
  <c r="B793" i="1"/>
  <c r="L793" i="1" s="1"/>
  <c r="F793" i="1" s="1"/>
  <c r="R792" i="1"/>
  <c r="P792" i="1"/>
  <c r="N792" i="1"/>
  <c r="K792" i="1"/>
  <c r="B792" i="1"/>
  <c r="L792" i="1" s="1"/>
  <c r="F792" i="1" s="1"/>
  <c r="R791" i="1"/>
  <c r="P791" i="1"/>
  <c r="N791" i="1"/>
  <c r="B791" i="1"/>
  <c r="L791" i="1" s="1"/>
  <c r="F791" i="1" s="1"/>
  <c r="R790" i="1"/>
  <c r="P790" i="1"/>
  <c r="N790" i="1"/>
  <c r="B790" i="1"/>
  <c r="L790" i="1" s="1"/>
  <c r="F790" i="1" s="1"/>
  <c r="R789" i="1"/>
  <c r="P789" i="1"/>
  <c r="N789" i="1"/>
  <c r="K789" i="1"/>
  <c r="B789" i="1"/>
  <c r="L789" i="1" s="1"/>
  <c r="F789" i="1" s="1"/>
  <c r="R788" i="1"/>
  <c r="P788" i="1"/>
  <c r="N788" i="1"/>
  <c r="B788" i="1"/>
  <c r="L788" i="1" s="1"/>
  <c r="F788" i="1" s="1"/>
  <c r="R787" i="1"/>
  <c r="P787" i="1"/>
  <c r="N787" i="1"/>
  <c r="B787" i="1"/>
  <c r="L787" i="1" s="1"/>
  <c r="F787" i="1" s="1"/>
  <c r="R786" i="1"/>
  <c r="P786" i="1"/>
  <c r="N786" i="1"/>
  <c r="B786" i="1"/>
  <c r="L786" i="1" s="1"/>
  <c r="F786" i="1" s="1"/>
  <c r="R785" i="1"/>
  <c r="P785" i="1"/>
  <c r="N785" i="1"/>
  <c r="K785" i="1"/>
  <c r="B785" i="1"/>
  <c r="R784" i="1"/>
  <c r="P784" i="1"/>
  <c r="N784" i="1"/>
  <c r="B784" i="1"/>
  <c r="L784" i="1" s="1"/>
  <c r="F784" i="1" s="1"/>
  <c r="R783" i="1"/>
  <c r="P783" i="1"/>
  <c r="N783" i="1"/>
  <c r="B783" i="1"/>
  <c r="L783" i="1" s="1"/>
  <c r="F783" i="1" s="1"/>
  <c r="R782" i="1"/>
  <c r="P782" i="1"/>
  <c r="N782" i="1"/>
  <c r="B782" i="1"/>
  <c r="L782" i="1" s="1"/>
  <c r="F782" i="1" s="1"/>
  <c r="R781" i="1"/>
  <c r="P781" i="1"/>
  <c r="N781" i="1"/>
  <c r="K781" i="1"/>
  <c r="B781" i="1"/>
  <c r="L781" i="1" s="1"/>
  <c r="F781" i="1" s="1"/>
  <c r="R780" i="1"/>
  <c r="P780" i="1"/>
  <c r="N780" i="1"/>
  <c r="B780" i="1"/>
  <c r="L780" i="1" s="1"/>
  <c r="F780" i="1" s="1"/>
  <c r="R779" i="1"/>
  <c r="P779" i="1"/>
  <c r="N779" i="1"/>
  <c r="B779" i="1"/>
  <c r="L779" i="1" s="1"/>
  <c r="F779" i="1" s="1"/>
  <c r="R778" i="1"/>
  <c r="P778" i="1"/>
  <c r="N778" i="1"/>
  <c r="L778" i="1"/>
  <c r="F778" i="1" s="1"/>
  <c r="B778" i="1"/>
  <c r="R777" i="1"/>
  <c r="P777" i="1"/>
  <c r="N777" i="1"/>
  <c r="B777" i="1"/>
  <c r="L777" i="1" s="1"/>
  <c r="F777" i="1" s="1"/>
  <c r="R776" i="1"/>
  <c r="P776" i="1"/>
  <c r="N776" i="1"/>
  <c r="B776" i="1"/>
  <c r="L776" i="1" s="1"/>
  <c r="F776" i="1" s="1"/>
  <c r="R775" i="1"/>
  <c r="P775" i="1"/>
  <c r="N775" i="1"/>
  <c r="B775" i="1"/>
  <c r="L775" i="1" s="1"/>
  <c r="F775" i="1" s="1"/>
  <c r="R774" i="1"/>
  <c r="P774" i="1"/>
  <c r="N774" i="1"/>
  <c r="B774" i="1"/>
  <c r="L774" i="1" s="1"/>
  <c r="F774" i="1" s="1"/>
  <c r="R773" i="1"/>
  <c r="P773" i="1"/>
  <c r="N773" i="1"/>
  <c r="K773" i="1"/>
  <c r="B773" i="1"/>
  <c r="L773" i="1" s="1"/>
  <c r="F773" i="1" s="1"/>
  <c r="R772" i="1"/>
  <c r="P772" i="1"/>
  <c r="N772" i="1"/>
  <c r="B772" i="1"/>
  <c r="L772" i="1" s="1"/>
  <c r="F772" i="1" s="1"/>
  <c r="R771" i="1"/>
  <c r="P771" i="1"/>
  <c r="N771" i="1"/>
  <c r="L771" i="1"/>
  <c r="F771" i="1" s="1"/>
  <c r="B771" i="1"/>
  <c r="R770" i="1"/>
  <c r="P770" i="1"/>
  <c r="N770" i="1"/>
  <c r="B770" i="1"/>
  <c r="L770" i="1" s="1"/>
  <c r="F770" i="1" s="1"/>
  <c r="R769" i="1"/>
  <c r="P769" i="1"/>
  <c r="N769" i="1"/>
  <c r="B769" i="1"/>
  <c r="L769" i="1" s="1"/>
  <c r="F769" i="1" s="1"/>
  <c r="R768" i="1"/>
  <c r="P768" i="1"/>
  <c r="N768" i="1"/>
  <c r="B768" i="1"/>
  <c r="L768" i="1" s="1"/>
  <c r="F768" i="1" s="1"/>
  <c r="R767" i="1"/>
  <c r="P767" i="1"/>
  <c r="N767" i="1"/>
  <c r="B767" i="1"/>
  <c r="L767" i="1" s="1"/>
  <c r="F767" i="1" s="1"/>
  <c r="R766" i="1"/>
  <c r="P766" i="1"/>
  <c r="N766" i="1"/>
  <c r="B766" i="1"/>
  <c r="L766" i="1" s="1"/>
  <c r="F766" i="1" s="1"/>
  <c r="R765" i="1"/>
  <c r="P765" i="1"/>
  <c r="N765" i="1"/>
  <c r="B765" i="1"/>
  <c r="L765" i="1" s="1"/>
  <c r="F765" i="1" s="1"/>
  <c r="R764" i="1"/>
  <c r="P764" i="1"/>
  <c r="N764" i="1"/>
  <c r="B764" i="1"/>
  <c r="L764" i="1" s="1"/>
  <c r="F764" i="1" s="1"/>
  <c r="R763" i="1"/>
  <c r="P763" i="1"/>
  <c r="N763" i="1"/>
  <c r="B763" i="1"/>
  <c r="L763" i="1" s="1"/>
  <c r="F763" i="1" s="1"/>
  <c r="R762" i="1"/>
  <c r="P762" i="1"/>
  <c r="N762" i="1"/>
  <c r="B762" i="1"/>
  <c r="L762" i="1" s="1"/>
  <c r="F762" i="1" s="1"/>
  <c r="R761" i="1"/>
  <c r="P761" i="1"/>
  <c r="N761" i="1"/>
  <c r="K761" i="1"/>
  <c r="B761" i="1"/>
  <c r="L761" i="1" s="1"/>
  <c r="F761" i="1" s="1"/>
  <c r="R760" i="1"/>
  <c r="P760" i="1"/>
  <c r="N760" i="1"/>
  <c r="K760" i="1"/>
  <c r="B760" i="1"/>
  <c r="R759" i="1"/>
  <c r="P759" i="1"/>
  <c r="N759" i="1"/>
  <c r="B759" i="1"/>
  <c r="L759" i="1" s="1"/>
  <c r="F759" i="1" s="1"/>
  <c r="R758" i="1"/>
  <c r="P758" i="1"/>
  <c r="N758" i="1"/>
  <c r="B758" i="1"/>
  <c r="L758" i="1" s="1"/>
  <c r="F758" i="1" s="1"/>
  <c r="R757" i="1"/>
  <c r="P757" i="1"/>
  <c r="N757" i="1"/>
  <c r="B757" i="1"/>
  <c r="L757" i="1" s="1"/>
  <c r="F757" i="1" s="1"/>
  <c r="R756" i="1"/>
  <c r="P756" i="1"/>
  <c r="N756" i="1"/>
  <c r="B756" i="1"/>
  <c r="L756" i="1" s="1"/>
  <c r="F756" i="1" s="1"/>
  <c r="R755" i="1"/>
  <c r="P755" i="1"/>
  <c r="N755" i="1"/>
  <c r="B755" i="1"/>
  <c r="L755" i="1" s="1"/>
  <c r="F755" i="1" s="1"/>
  <c r="R754" i="1"/>
  <c r="P754" i="1"/>
  <c r="N754" i="1"/>
  <c r="B754" i="1"/>
  <c r="L754" i="1" s="1"/>
  <c r="F754" i="1" s="1"/>
  <c r="R753" i="1"/>
  <c r="P753" i="1"/>
  <c r="N753" i="1"/>
  <c r="B753" i="1"/>
  <c r="L753" i="1" s="1"/>
  <c r="F753" i="1" s="1"/>
  <c r="R752" i="1"/>
  <c r="P752" i="1"/>
  <c r="N752" i="1"/>
  <c r="K752" i="1"/>
  <c r="B752" i="1"/>
  <c r="L752" i="1" s="1"/>
  <c r="F752" i="1" s="1"/>
  <c r="R751" i="1"/>
  <c r="P751" i="1"/>
  <c r="N751" i="1"/>
  <c r="B751" i="1"/>
  <c r="L751" i="1" s="1"/>
  <c r="F751" i="1" s="1"/>
  <c r="R750" i="1"/>
  <c r="P750" i="1"/>
  <c r="N750" i="1"/>
  <c r="B750" i="1"/>
  <c r="L750" i="1" s="1"/>
  <c r="F750" i="1" s="1"/>
  <c r="R749" i="1"/>
  <c r="P749" i="1"/>
  <c r="N749" i="1"/>
  <c r="B749" i="1"/>
  <c r="L749" i="1" s="1"/>
  <c r="F749" i="1" s="1"/>
  <c r="R748" i="1"/>
  <c r="P748" i="1"/>
  <c r="N748" i="1"/>
  <c r="B748" i="1"/>
  <c r="L748" i="1" s="1"/>
  <c r="F748" i="1" s="1"/>
  <c r="R747" i="1"/>
  <c r="P747" i="1"/>
  <c r="N747" i="1"/>
  <c r="B747" i="1"/>
  <c r="L747" i="1" s="1"/>
  <c r="F747" i="1" s="1"/>
  <c r="R746" i="1"/>
  <c r="P746" i="1"/>
  <c r="N746" i="1"/>
  <c r="L746" i="1"/>
  <c r="F746" i="1" s="1"/>
  <c r="B746" i="1"/>
  <c r="R745" i="1"/>
  <c r="P745" i="1"/>
  <c r="N745" i="1"/>
  <c r="B745" i="1"/>
  <c r="L745" i="1" s="1"/>
  <c r="F745" i="1" s="1"/>
  <c r="R744" i="1"/>
  <c r="P744" i="1"/>
  <c r="N744" i="1"/>
  <c r="K744" i="1"/>
  <c r="B744" i="1"/>
  <c r="R743" i="1"/>
  <c r="P743" i="1"/>
  <c r="N743" i="1"/>
  <c r="B743" i="1"/>
  <c r="L743" i="1" s="1"/>
  <c r="F743" i="1" s="1"/>
  <c r="R742" i="1"/>
  <c r="P742" i="1"/>
  <c r="N742" i="1"/>
  <c r="B742" i="1"/>
  <c r="L742" i="1" s="1"/>
  <c r="F742" i="1" s="1"/>
  <c r="R741" i="1"/>
  <c r="P741" i="1"/>
  <c r="N741" i="1"/>
  <c r="L741" i="1"/>
  <c r="F741" i="1" s="1"/>
  <c r="B741" i="1"/>
  <c r="R740" i="1"/>
  <c r="P740" i="1"/>
  <c r="N740" i="1"/>
  <c r="B740" i="1"/>
  <c r="L740" i="1" s="1"/>
  <c r="F740" i="1" s="1"/>
  <c r="R739" i="1"/>
  <c r="P739" i="1"/>
  <c r="N739" i="1"/>
  <c r="B739" i="1"/>
  <c r="L739" i="1" s="1"/>
  <c r="F739" i="1" s="1"/>
  <c r="R738" i="1"/>
  <c r="P738" i="1"/>
  <c r="N738" i="1"/>
  <c r="K738" i="1"/>
  <c r="B738" i="1"/>
  <c r="L738" i="1" s="1"/>
  <c r="F738" i="1" s="1"/>
  <c r="R737" i="1"/>
  <c r="P737" i="1"/>
  <c r="N737" i="1"/>
  <c r="B737" i="1"/>
  <c r="L737" i="1" s="1"/>
  <c r="F737" i="1" s="1"/>
  <c r="R736" i="1"/>
  <c r="P736" i="1"/>
  <c r="N736" i="1"/>
  <c r="L736" i="1"/>
  <c r="F736" i="1" s="1"/>
  <c r="B736" i="1"/>
  <c r="R735" i="1"/>
  <c r="P735" i="1"/>
  <c r="N735" i="1"/>
  <c r="B735" i="1"/>
  <c r="L735" i="1" s="1"/>
  <c r="F735" i="1" s="1"/>
  <c r="R734" i="1"/>
  <c r="P734" i="1"/>
  <c r="N734" i="1"/>
  <c r="B734" i="1"/>
  <c r="L734" i="1" s="1"/>
  <c r="F734" i="1" s="1"/>
  <c r="R733" i="1"/>
  <c r="P733" i="1"/>
  <c r="N733" i="1"/>
  <c r="B733" i="1"/>
  <c r="L733" i="1" s="1"/>
  <c r="F733" i="1" s="1"/>
  <c r="R732" i="1"/>
  <c r="P732" i="1"/>
  <c r="N732" i="1"/>
  <c r="B732" i="1"/>
  <c r="L732" i="1" s="1"/>
  <c r="F732" i="1" s="1"/>
  <c r="R731" i="1"/>
  <c r="P731" i="1"/>
  <c r="N731" i="1"/>
  <c r="B731" i="1"/>
  <c r="L731" i="1" s="1"/>
  <c r="F731" i="1" s="1"/>
  <c r="R730" i="1"/>
  <c r="P730" i="1"/>
  <c r="N730" i="1"/>
  <c r="B730" i="1"/>
  <c r="L730" i="1" s="1"/>
  <c r="F730" i="1" s="1"/>
  <c r="R729" i="1"/>
  <c r="P729" i="1"/>
  <c r="N729" i="1"/>
  <c r="B729" i="1"/>
  <c r="L729" i="1" s="1"/>
  <c r="F729" i="1" s="1"/>
  <c r="R728" i="1"/>
  <c r="P728" i="1"/>
  <c r="N728" i="1"/>
  <c r="L728" i="1"/>
  <c r="F728" i="1" s="1"/>
  <c r="B728" i="1"/>
  <c r="R727" i="1"/>
  <c r="P727" i="1"/>
  <c r="N727" i="1"/>
  <c r="B727" i="1"/>
  <c r="L727" i="1" s="1"/>
  <c r="F727" i="1" s="1"/>
  <c r="R726" i="1"/>
  <c r="P726" i="1"/>
  <c r="N726" i="1"/>
  <c r="B726" i="1"/>
  <c r="L726" i="1" s="1"/>
  <c r="F726" i="1" s="1"/>
  <c r="R725" i="1"/>
  <c r="P725" i="1"/>
  <c r="N725" i="1"/>
  <c r="B725" i="1"/>
  <c r="L725" i="1" s="1"/>
  <c r="F725" i="1" s="1"/>
  <c r="R724" i="1"/>
  <c r="P724" i="1"/>
  <c r="N724" i="1"/>
  <c r="K724" i="1"/>
  <c r="B724" i="1"/>
  <c r="L724" i="1" s="1"/>
  <c r="F724" i="1" s="1"/>
  <c r="R723" i="1"/>
  <c r="P723" i="1"/>
  <c r="N723" i="1"/>
  <c r="B723" i="1"/>
  <c r="L723" i="1" s="1"/>
  <c r="F723" i="1" s="1"/>
  <c r="R722" i="1"/>
  <c r="P722" i="1"/>
  <c r="N722" i="1"/>
  <c r="B722" i="1"/>
  <c r="L722" i="1" s="1"/>
  <c r="F722" i="1" s="1"/>
  <c r="R721" i="1"/>
  <c r="P721" i="1"/>
  <c r="N721" i="1"/>
  <c r="B721" i="1"/>
  <c r="L721" i="1" s="1"/>
  <c r="F721" i="1" s="1"/>
  <c r="R720" i="1"/>
  <c r="P720" i="1"/>
  <c r="N720" i="1"/>
  <c r="K720" i="1"/>
  <c r="B720" i="1"/>
  <c r="R719" i="1"/>
  <c r="P719" i="1"/>
  <c r="N719" i="1"/>
  <c r="B719" i="1"/>
  <c r="L719" i="1" s="1"/>
  <c r="F719" i="1" s="1"/>
  <c r="R718" i="1"/>
  <c r="P718" i="1"/>
  <c r="N718" i="1"/>
  <c r="B718" i="1"/>
  <c r="L718" i="1" s="1"/>
  <c r="F718" i="1" s="1"/>
  <c r="R717" i="1"/>
  <c r="P717" i="1"/>
  <c r="N717" i="1"/>
  <c r="B717" i="1"/>
  <c r="L717" i="1" s="1"/>
  <c r="F717" i="1" s="1"/>
  <c r="R716" i="1"/>
  <c r="P716" i="1"/>
  <c r="N716" i="1"/>
  <c r="B716" i="1"/>
  <c r="L716" i="1" s="1"/>
  <c r="F716" i="1" s="1"/>
  <c r="R715" i="1"/>
  <c r="P715" i="1"/>
  <c r="N715" i="1"/>
  <c r="B715" i="1"/>
  <c r="L715" i="1" s="1"/>
  <c r="F715" i="1" s="1"/>
  <c r="R714" i="1"/>
  <c r="P714" i="1"/>
  <c r="N714" i="1"/>
  <c r="B714" i="1"/>
  <c r="L714" i="1" s="1"/>
  <c r="F714" i="1" s="1"/>
  <c r="R713" i="1"/>
  <c r="P713" i="1"/>
  <c r="N713" i="1"/>
  <c r="B713" i="1"/>
  <c r="L713" i="1" s="1"/>
  <c r="F713" i="1" s="1"/>
  <c r="R712" i="1"/>
  <c r="P712" i="1"/>
  <c r="N712" i="1"/>
  <c r="K712" i="1"/>
  <c r="B712" i="1"/>
  <c r="R711" i="1"/>
  <c r="P711" i="1"/>
  <c r="N711" i="1"/>
  <c r="B711" i="1"/>
  <c r="L711" i="1" s="1"/>
  <c r="F711" i="1" s="1"/>
  <c r="R710" i="1"/>
  <c r="P710" i="1"/>
  <c r="N710" i="1"/>
  <c r="B710" i="1"/>
  <c r="L710" i="1" s="1"/>
  <c r="F710" i="1" s="1"/>
  <c r="R709" i="1"/>
  <c r="P709" i="1"/>
  <c r="N709" i="1"/>
  <c r="B709" i="1"/>
  <c r="L709" i="1" s="1"/>
  <c r="F709" i="1" s="1"/>
  <c r="R708" i="1"/>
  <c r="P708" i="1"/>
  <c r="N708" i="1"/>
  <c r="B708" i="1"/>
  <c r="L708" i="1" s="1"/>
  <c r="F708" i="1" s="1"/>
  <c r="R707" i="1"/>
  <c r="P707" i="1"/>
  <c r="N707" i="1"/>
  <c r="B707" i="1"/>
  <c r="L707" i="1" s="1"/>
  <c r="F707" i="1" s="1"/>
  <c r="R706" i="1"/>
  <c r="P706" i="1"/>
  <c r="N706" i="1"/>
  <c r="B706" i="1"/>
  <c r="L706" i="1" s="1"/>
  <c r="F706" i="1" s="1"/>
  <c r="R705" i="1"/>
  <c r="P705" i="1"/>
  <c r="N705" i="1"/>
  <c r="L705" i="1"/>
  <c r="F705" i="1" s="1"/>
  <c r="B705" i="1"/>
  <c r="R704" i="1"/>
  <c r="P704" i="1"/>
  <c r="N704" i="1"/>
  <c r="B704" i="1"/>
  <c r="L704" i="1" s="1"/>
  <c r="F704" i="1" s="1"/>
  <c r="R703" i="1"/>
  <c r="P703" i="1"/>
  <c r="N703" i="1"/>
  <c r="B703" i="1"/>
  <c r="L703" i="1" s="1"/>
  <c r="F703" i="1" s="1"/>
  <c r="R702" i="1"/>
  <c r="P702" i="1"/>
  <c r="N702" i="1"/>
  <c r="B702" i="1"/>
  <c r="L702" i="1" s="1"/>
  <c r="F702" i="1" s="1"/>
  <c r="R701" i="1"/>
  <c r="P701" i="1"/>
  <c r="N701" i="1"/>
  <c r="B701" i="1"/>
  <c r="L701" i="1" s="1"/>
  <c r="F701" i="1" s="1"/>
  <c r="R700" i="1"/>
  <c r="P700" i="1"/>
  <c r="N700" i="1"/>
  <c r="B700" i="1"/>
  <c r="L700" i="1" s="1"/>
  <c r="F700" i="1" s="1"/>
  <c r="R699" i="1"/>
  <c r="P699" i="1"/>
  <c r="N699" i="1"/>
  <c r="B699" i="1"/>
  <c r="L699" i="1" s="1"/>
  <c r="F699" i="1" s="1"/>
  <c r="R698" i="1"/>
  <c r="P698" i="1"/>
  <c r="N698" i="1"/>
  <c r="L698" i="1"/>
  <c r="F698" i="1" s="1"/>
  <c r="B698" i="1"/>
  <c r="R697" i="1"/>
  <c r="P697" i="1"/>
  <c r="N697" i="1"/>
  <c r="B697" i="1"/>
  <c r="L697" i="1" s="1"/>
  <c r="F697" i="1" s="1"/>
  <c r="R696" i="1"/>
  <c r="P696" i="1"/>
  <c r="N696" i="1"/>
  <c r="K696" i="1"/>
  <c r="B696" i="1"/>
  <c r="L696" i="1" s="1"/>
  <c r="F696" i="1" s="1"/>
  <c r="R695" i="1"/>
  <c r="P695" i="1"/>
  <c r="N695" i="1"/>
  <c r="K695" i="1"/>
  <c r="B695" i="1"/>
  <c r="R694" i="1"/>
  <c r="P694" i="1"/>
  <c r="N694" i="1"/>
  <c r="B694" i="1"/>
  <c r="L694" i="1" s="1"/>
  <c r="F694" i="1" s="1"/>
  <c r="R693" i="1"/>
  <c r="P693" i="1"/>
  <c r="N693" i="1"/>
  <c r="B693" i="1"/>
  <c r="L693" i="1" s="1"/>
  <c r="F693" i="1" s="1"/>
  <c r="R692" i="1"/>
  <c r="P692" i="1"/>
  <c r="N692" i="1"/>
  <c r="B692" i="1"/>
  <c r="L692" i="1" s="1"/>
  <c r="F692" i="1" s="1"/>
  <c r="R691" i="1"/>
  <c r="P691" i="1"/>
  <c r="N691" i="1"/>
  <c r="L691" i="1"/>
  <c r="F691" i="1" s="1"/>
  <c r="B691" i="1"/>
  <c r="R690" i="1"/>
  <c r="P690" i="1"/>
  <c r="N690" i="1"/>
  <c r="B690" i="1"/>
  <c r="L690" i="1" s="1"/>
  <c r="F690" i="1" s="1"/>
  <c r="R689" i="1"/>
  <c r="P689" i="1"/>
  <c r="N689" i="1"/>
  <c r="B689" i="1"/>
  <c r="L689" i="1" s="1"/>
  <c r="F689" i="1" s="1"/>
  <c r="R688" i="1"/>
  <c r="P688" i="1"/>
  <c r="N688" i="1"/>
  <c r="K688" i="1"/>
  <c r="B688" i="1"/>
  <c r="L688" i="1" s="1"/>
  <c r="F688" i="1" s="1"/>
  <c r="R687" i="1"/>
  <c r="P687" i="1"/>
  <c r="N687" i="1"/>
  <c r="B687" i="1"/>
  <c r="L687" i="1" s="1"/>
  <c r="F687" i="1" s="1"/>
  <c r="R686" i="1"/>
  <c r="P686" i="1"/>
  <c r="N686" i="1"/>
  <c r="L686" i="1"/>
  <c r="F686" i="1" s="1"/>
  <c r="B686" i="1"/>
  <c r="R685" i="1"/>
  <c r="P685" i="1"/>
  <c r="N685" i="1"/>
  <c r="B685" i="1"/>
  <c r="L685" i="1" s="1"/>
  <c r="F685" i="1" s="1"/>
  <c r="R684" i="1"/>
  <c r="P684" i="1"/>
  <c r="N684" i="1"/>
  <c r="B684" i="1"/>
  <c r="L684" i="1" s="1"/>
  <c r="F684" i="1" s="1"/>
  <c r="R683" i="1"/>
  <c r="P683" i="1"/>
  <c r="N683" i="1"/>
  <c r="B683" i="1"/>
  <c r="L683" i="1" s="1"/>
  <c r="F683" i="1" s="1"/>
  <c r="R682" i="1"/>
  <c r="P682" i="1"/>
  <c r="N682" i="1"/>
  <c r="B682" i="1"/>
  <c r="L682" i="1" s="1"/>
  <c r="F682" i="1" s="1"/>
  <c r="R681" i="1"/>
  <c r="P681" i="1"/>
  <c r="N681" i="1"/>
  <c r="B681" i="1"/>
  <c r="L681" i="1" s="1"/>
  <c r="F681" i="1" s="1"/>
  <c r="R680" i="1"/>
  <c r="P680" i="1"/>
  <c r="N680" i="1"/>
  <c r="B680" i="1"/>
  <c r="L680" i="1" s="1"/>
  <c r="F680" i="1" s="1"/>
  <c r="R679" i="1"/>
  <c r="P679" i="1"/>
  <c r="N679" i="1"/>
  <c r="B679" i="1"/>
  <c r="L679" i="1" s="1"/>
  <c r="F679" i="1" s="1"/>
  <c r="R678" i="1"/>
  <c r="P678" i="1"/>
  <c r="N678" i="1"/>
  <c r="K678" i="1"/>
  <c r="B678" i="1"/>
  <c r="R677" i="1"/>
  <c r="P677" i="1"/>
  <c r="N677" i="1"/>
  <c r="B677" i="1"/>
  <c r="L677" i="1" s="1"/>
  <c r="F677" i="1" s="1"/>
  <c r="R676" i="1"/>
  <c r="P676" i="1"/>
  <c r="N676" i="1"/>
  <c r="B676" i="1"/>
  <c r="L676" i="1" s="1"/>
  <c r="F676" i="1" s="1"/>
  <c r="R675" i="1"/>
  <c r="P675" i="1"/>
  <c r="N675" i="1"/>
  <c r="B675" i="1"/>
  <c r="L675" i="1" s="1"/>
  <c r="F675" i="1" s="1"/>
  <c r="R674" i="1"/>
  <c r="P674" i="1"/>
  <c r="N674" i="1"/>
  <c r="B674" i="1"/>
  <c r="L674" i="1" s="1"/>
  <c r="F674" i="1" s="1"/>
  <c r="R673" i="1"/>
  <c r="P673" i="1"/>
  <c r="N673" i="1"/>
  <c r="B673" i="1"/>
  <c r="L673" i="1" s="1"/>
  <c r="F673" i="1" s="1"/>
  <c r="R672" i="1"/>
  <c r="P672" i="1"/>
  <c r="N672" i="1"/>
  <c r="B672" i="1"/>
  <c r="L672" i="1" s="1"/>
  <c r="F672" i="1" s="1"/>
  <c r="R671" i="1"/>
  <c r="P671" i="1"/>
  <c r="N671" i="1"/>
  <c r="B671" i="1"/>
  <c r="L671" i="1" s="1"/>
  <c r="F671" i="1" s="1"/>
  <c r="R670" i="1"/>
  <c r="P670" i="1"/>
  <c r="N670" i="1"/>
  <c r="L670" i="1"/>
  <c r="F670" i="1" s="1"/>
  <c r="B670" i="1"/>
  <c r="R669" i="1"/>
  <c r="P669" i="1"/>
  <c r="N669" i="1"/>
  <c r="B669" i="1"/>
  <c r="L669" i="1" s="1"/>
  <c r="F669" i="1" s="1"/>
  <c r="R668" i="1"/>
  <c r="P668" i="1"/>
  <c r="N668" i="1"/>
  <c r="B668" i="1"/>
  <c r="L668" i="1" s="1"/>
  <c r="F668" i="1" s="1"/>
  <c r="R667" i="1"/>
  <c r="P667" i="1"/>
  <c r="N667" i="1"/>
  <c r="B667" i="1"/>
  <c r="L667" i="1" s="1"/>
  <c r="F667" i="1" s="1"/>
  <c r="R666" i="1"/>
  <c r="P666" i="1"/>
  <c r="N666" i="1"/>
  <c r="B666" i="1"/>
  <c r="L666" i="1" s="1"/>
  <c r="F666" i="1" s="1"/>
  <c r="R665" i="1"/>
  <c r="P665" i="1"/>
  <c r="N665" i="1"/>
  <c r="B665" i="1"/>
  <c r="L665" i="1" s="1"/>
  <c r="F665" i="1" s="1"/>
  <c r="R664" i="1"/>
  <c r="P664" i="1"/>
  <c r="N664" i="1"/>
  <c r="B664" i="1"/>
  <c r="L664" i="1" s="1"/>
  <c r="F664" i="1" s="1"/>
  <c r="R663" i="1"/>
  <c r="P663" i="1"/>
  <c r="N663" i="1"/>
  <c r="K663" i="1"/>
  <c r="B663" i="1"/>
  <c r="R662" i="1"/>
  <c r="P662" i="1"/>
  <c r="N662" i="1"/>
  <c r="B662" i="1"/>
  <c r="L662" i="1" s="1"/>
  <c r="F662" i="1" s="1"/>
  <c r="R661" i="1"/>
  <c r="P661" i="1"/>
  <c r="N661" i="1"/>
  <c r="B661" i="1"/>
  <c r="L661" i="1" s="1"/>
  <c r="F661" i="1" s="1"/>
  <c r="R660" i="1"/>
  <c r="P660" i="1"/>
  <c r="N660" i="1"/>
  <c r="K660" i="1"/>
  <c r="B660" i="1"/>
  <c r="R659" i="1"/>
  <c r="P659" i="1"/>
  <c r="N659" i="1"/>
  <c r="B659" i="1"/>
  <c r="L659" i="1" s="1"/>
  <c r="F659" i="1" s="1"/>
  <c r="R658" i="1"/>
  <c r="P658" i="1"/>
  <c r="N658" i="1"/>
  <c r="B658" i="1"/>
  <c r="L658" i="1" s="1"/>
  <c r="F658" i="1" s="1"/>
  <c r="R657" i="1"/>
  <c r="P657" i="1"/>
  <c r="N657" i="1"/>
  <c r="B657" i="1"/>
  <c r="L657" i="1" s="1"/>
  <c r="F657" i="1" s="1"/>
  <c r="R656" i="1"/>
  <c r="P656" i="1"/>
  <c r="N656" i="1"/>
  <c r="L656" i="1"/>
  <c r="F656" i="1" s="1"/>
  <c r="B656" i="1"/>
  <c r="R655" i="1"/>
  <c r="P655" i="1"/>
  <c r="N655" i="1"/>
  <c r="B655" i="1"/>
  <c r="L655" i="1" s="1"/>
  <c r="F655" i="1" s="1"/>
  <c r="R654" i="1"/>
  <c r="P654" i="1"/>
  <c r="N654" i="1"/>
  <c r="B654" i="1"/>
  <c r="L654" i="1" s="1"/>
  <c r="F654" i="1" s="1"/>
  <c r="R653" i="1"/>
  <c r="P653" i="1"/>
  <c r="N653" i="1"/>
  <c r="B653" i="1"/>
  <c r="L653" i="1" s="1"/>
  <c r="F653" i="1" s="1"/>
  <c r="R652" i="1"/>
  <c r="P652" i="1"/>
  <c r="N652" i="1"/>
  <c r="L652" i="1"/>
  <c r="F652" i="1" s="1"/>
  <c r="B652" i="1"/>
  <c r="R651" i="1"/>
  <c r="P651" i="1"/>
  <c r="N651" i="1"/>
  <c r="B651" i="1"/>
  <c r="L651" i="1" s="1"/>
  <c r="F651" i="1" s="1"/>
  <c r="R650" i="1"/>
  <c r="P650" i="1"/>
  <c r="N650" i="1"/>
  <c r="B650" i="1"/>
  <c r="L650" i="1" s="1"/>
  <c r="F650" i="1" s="1"/>
  <c r="R649" i="1"/>
  <c r="P649" i="1"/>
  <c r="N649" i="1"/>
  <c r="B649" i="1"/>
  <c r="L649" i="1" s="1"/>
  <c r="F649" i="1" s="1"/>
  <c r="R648" i="1"/>
  <c r="P648" i="1"/>
  <c r="N648" i="1"/>
  <c r="B648" i="1"/>
  <c r="L648" i="1" s="1"/>
  <c r="F648" i="1" s="1"/>
  <c r="R647" i="1"/>
  <c r="P647" i="1"/>
  <c r="N647" i="1"/>
  <c r="B647" i="1"/>
  <c r="L647" i="1" s="1"/>
  <c r="F647" i="1" s="1"/>
  <c r="R646" i="1"/>
  <c r="P646" i="1"/>
  <c r="N646" i="1"/>
  <c r="K646" i="1"/>
  <c r="B646" i="1"/>
  <c r="R645" i="1"/>
  <c r="P645" i="1"/>
  <c r="N645" i="1"/>
  <c r="B645" i="1"/>
  <c r="L645" i="1" s="1"/>
  <c r="F645" i="1" s="1"/>
  <c r="R644" i="1"/>
  <c r="P644" i="1"/>
  <c r="N644" i="1"/>
  <c r="B644" i="1"/>
  <c r="L644" i="1" s="1"/>
  <c r="F644" i="1" s="1"/>
  <c r="R643" i="1"/>
  <c r="P643" i="1"/>
  <c r="N643" i="1"/>
  <c r="L643" i="1"/>
  <c r="F643" i="1" s="1"/>
  <c r="B643" i="1"/>
  <c r="R642" i="1"/>
  <c r="P642" i="1"/>
  <c r="N642" i="1"/>
  <c r="K642" i="1"/>
  <c r="B642" i="1"/>
  <c r="R641" i="1"/>
  <c r="P641" i="1"/>
  <c r="N641" i="1"/>
  <c r="B641" i="1"/>
  <c r="L641" i="1" s="1"/>
  <c r="F641" i="1" s="1"/>
  <c r="R640" i="1"/>
  <c r="P640" i="1"/>
  <c r="N640" i="1"/>
  <c r="B640" i="1"/>
  <c r="L640" i="1" s="1"/>
  <c r="F640" i="1" s="1"/>
  <c r="R639" i="1"/>
  <c r="P639" i="1"/>
  <c r="N639" i="1"/>
  <c r="K639" i="1"/>
  <c r="B639" i="1"/>
  <c r="L639" i="1" s="1"/>
  <c r="F639" i="1" s="1"/>
  <c r="R638" i="1"/>
  <c r="P638" i="1"/>
  <c r="N638" i="1"/>
  <c r="B638" i="1"/>
  <c r="L638" i="1" s="1"/>
  <c r="F638" i="1" s="1"/>
  <c r="R637" i="1"/>
  <c r="P637" i="1"/>
  <c r="N637" i="1"/>
  <c r="L637" i="1"/>
  <c r="F637" i="1" s="1"/>
  <c r="B637" i="1"/>
  <c r="R636" i="1"/>
  <c r="P636" i="1"/>
  <c r="N636" i="1"/>
  <c r="K636" i="1"/>
  <c r="B636" i="1"/>
  <c r="L636" i="1" s="1"/>
  <c r="F636" i="1" s="1"/>
  <c r="R635" i="1"/>
  <c r="P635" i="1"/>
  <c r="N635" i="1"/>
  <c r="B635" i="1"/>
  <c r="L635" i="1" s="1"/>
  <c r="F635" i="1" s="1"/>
  <c r="R634" i="1"/>
  <c r="P634" i="1"/>
  <c r="N634" i="1"/>
  <c r="B634" i="1"/>
  <c r="L634" i="1" s="1"/>
  <c r="F634" i="1" s="1"/>
  <c r="R633" i="1"/>
  <c r="P633" i="1"/>
  <c r="N633" i="1"/>
  <c r="B633" i="1"/>
  <c r="L633" i="1" s="1"/>
  <c r="F633" i="1" s="1"/>
  <c r="R632" i="1"/>
  <c r="P632" i="1"/>
  <c r="N632" i="1"/>
  <c r="B632" i="1"/>
  <c r="L632" i="1" s="1"/>
  <c r="F632" i="1" s="1"/>
  <c r="R631" i="1"/>
  <c r="P631" i="1"/>
  <c r="N631" i="1"/>
  <c r="B631" i="1"/>
  <c r="L631" i="1" s="1"/>
  <c r="F631" i="1" s="1"/>
  <c r="R630" i="1"/>
  <c r="P630" i="1"/>
  <c r="N630" i="1"/>
  <c r="B630" i="1"/>
  <c r="L630" i="1" s="1"/>
  <c r="F630" i="1" s="1"/>
  <c r="R629" i="1"/>
  <c r="P629" i="1"/>
  <c r="N629" i="1"/>
  <c r="B629" i="1"/>
  <c r="L629" i="1" s="1"/>
  <c r="F629" i="1" s="1"/>
  <c r="R628" i="1"/>
  <c r="P628" i="1"/>
  <c r="N628" i="1"/>
  <c r="B628" i="1"/>
  <c r="L628" i="1" s="1"/>
  <c r="F628" i="1" s="1"/>
  <c r="R627" i="1"/>
  <c r="P627" i="1"/>
  <c r="N627" i="1"/>
  <c r="B627" i="1"/>
  <c r="L627" i="1" s="1"/>
  <c r="F627" i="1" s="1"/>
  <c r="R626" i="1"/>
  <c r="P626" i="1"/>
  <c r="N626" i="1"/>
  <c r="L626" i="1"/>
  <c r="F626" i="1" s="1"/>
  <c r="B626" i="1"/>
  <c r="R625" i="1"/>
  <c r="P625" i="1"/>
  <c r="N625" i="1"/>
  <c r="B625" i="1"/>
  <c r="L625" i="1" s="1"/>
  <c r="F625" i="1" s="1"/>
  <c r="R624" i="1"/>
  <c r="P624" i="1"/>
  <c r="N624" i="1"/>
  <c r="B624" i="1"/>
  <c r="L624" i="1" s="1"/>
  <c r="F624" i="1" s="1"/>
  <c r="R623" i="1"/>
  <c r="P623" i="1"/>
  <c r="N623" i="1"/>
  <c r="K623" i="1"/>
  <c r="B623" i="1"/>
  <c r="R622" i="1"/>
  <c r="P622" i="1"/>
  <c r="N622" i="1"/>
  <c r="B622" i="1"/>
  <c r="L622" i="1" s="1"/>
  <c r="F622" i="1" s="1"/>
  <c r="R621" i="1"/>
  <c r="P621" i="1"/>
  <c r="N621" i="1"/>
  <c r="B621" i="1"/>
  <c r="L621" i="1" s="1"/>
  <c r="F621" i="1" s="1"/>
  <c r="R620" i="1"/>
  <c r="P620" i="1"/>
  <c r="N620" i="1"/>
  <c r="B620" i="1"/>
  <c r="L620" i="1" s="1"/>
  <c r="F620" i="1" s="1"/>
  <c r="R619" i="1"/>
  <c r="P619" i="1"/>
  <c r="N619" i="1"/>
  <c r="K619" i="1"/>
  <c r="B619" i="1"/>
  <c r="R618" i="1"/>
  <c r="P618" i="1"/>
  <c r="N618" i="1"/>
  <c r="B618" i="1"/>
  <c r="L618" i="1" s="1"/>
  <c r="F618" i="1" s="1"/>
  <c r="R617" i="1"/>
  <c r="P617" i="1"/>
  <c r="N617" i="1"/>
  <c r="B617" i="1"/>
  <c r="L617" i="1" s="1"/>
  <c r="F617" i="1" s="1"/>
  <c r="R616" i="1"/>
  <c r="P616" i="1"/>
  <c r="N616" i="1"/>
  <c r="K616" i="1"/>
  <c r="B616" i="1"/>
  <c r="L616" i="1" s="1"/>
  <c r="F616" i="1" s="1"/>
  <c r="R615" i="1"/>
  <c r="P615" i="1"/>
  <c r="N615" i="1"/>
  <c r="K615" i="1"/>
  <c r="B615" i="1"/>
  <c r="L615" i="1" s="1"/>
  <c r="F615" i="1" s="1"/>
  <c r="R614" i="1"/>
  <c r="P614" i="1"/>
  <c r="N614" i="1"/>
  <c r="B614" i="1"/>
  <c r="L614" i="1" s="1"/>
  <c r="F614" i="1" s="1"/>
  <c r="R613" i="1"/>
  <c r="P613" i="1"/>
  <c r="N613" i="1"/>
  <c r="B613" i="1"/>
  <c r="L613" i="1" s="1"/>
  <c r="F613" i="1" s="1"/>
  <c r="R612" i="1"/>
  <c r="P612" i="1"/>
  <c r="N612" i="1"/>
  <c r="B612" i="1"/>
  <c r="L612" i="1" s="1"/>
  <c r="F612" i="1" s="1"/>
  <c r="R611" i="1"/>
  <c r="P611" i="1"/>
  <c r="N611" i="1"/>
  <c r="B611" i="1"/>
  <c r="L611" i="1" s="1"/>
  <c r="F611" i="1" s="1"/>
  <c r="R610" i="1"/>
  <c r="P610" i="1"/>
  <c r="N610" i="1"/>
  <c r="B610" i="1"/>
  <c r="L610" i="1" s="1"/>
  <c r="F610" i="1" s="1"/>
  <c r="R609" i="1"/>
  <c r="P609" i="1"/>
  <c r="N609" i="1"/>
  <c r="B609" i="1"/>
  <c r="L609" i="1" s="1"/>
  <c r="F609" i="1" s="1"/>
  <c r="R608" i="1"/>
  <c r="P608" i="1"/>
  <c r="N608" i="1"/>
  <c r="B608" i="1"/>
  <c r="L608" i="1" s="1"/>
  <c r="F608" i="1" s="1"/>
  <c r="R607" i="1"/>
  <c r="P607" i="1"/>
  <c r="N607" i="1"/>
  <c r="B607" i="1"/>
  <c r="L607" i="1" s="1"/>
  <c r="F607" i="1" s="1"/>
  <c r="R606" i="1"/>
  <c r="P606" i="1"/>
  <c r="N606" i="1"/>
  <c r="B606" i="1"/>
  <c r="L606" i="1" s="1"/>
  <c r="F606" i="1" s="1"/>
  <c r="R605" i="1"/>
  <c r="P605" i="1"/>
  <c r="N605" i="1"/>
  <c r="B605" i="1"/>
  <c r="L605" i="1" s="1"/>
  <c r="F605" i="1" s="1"/>
  <c r="R604" i="1"/>
  <c r="P604" i="1"/>
  <c r="N604" i="1"/>
  <c r="L604" i="1"/>
  <c r="F604" i="1" s="1"/>
  <c r="B604" i="1"/>
  <c r="R603" i="1"/>
  <c r="P603" i="1"/>
  <c r="N603" i="1"/>
  <c r="B603" i="1"/>
  <c r="L603" i="1" s="1"/>
  <c r="F603" i="1" s="1"/>
  <c r="R602" i="1"/>
  <c r="P602" i="1"/>
  <c r="N602" i="1"/>
  <c r="B602" i="1"/>
  <c r="L602" i="1" s="1"/>
  <c r="F602" i="1" s="1"/>
  <c r="R601" i="1"/>
  <c r="P601" i="1"/>
  <c r="N601" i="1"/>
  <c r="B601" i="1"/>
  <c r="L601" i="1" s="1"/>
  <c r="F601" i="1" s="1"/>
  <c r="R600" i="1"/>
  <c r="P600" i="1"/>
  <c r="N600" i="1"/>
  <c r="B600" i="1"/>
  <c r="L600" i="1" s="1"/>
  <c r="F600" i="1" s="1"/>
  <c r="R599" i="1"/>
  <c r="P599" i="1"/>
  <c r="N599" i="1"/>
  <c r="K599" i="1"/>
  <c r="B599" i="1"/>
  <c r="L599" i="1" s="1"/>
  <c r="F599" i="1" s="1"/>
  <c r="R598" i="1"/>
  <c r="P598" i="1"/>
  <c r="N598" i="1"/>
  <c r="B598" i="1"/>
  <c r="L598" i="1" s="1"/>
  <c r="F598" i="1" s="1"/>
  <c r="R597" i="1"/>
  <c r="P597" i="1"/>
  <c r="N597" i="1"/>
  <c r="K597" i="1"/>
  <c r="B597" i="1"/>
  <c r="R596" i="1"/>
  <c r="P596" i="1"/>
  <c r="N596" i="1"/>
  <c r="B596" i="1"/>
  <c r="L596" i="1" s="1"/>
  <c r="F596" i="1" s="1"/>
  <c r="R595" i="1"/>
  <c r="P595" i="1"/>
  <c r="N595" i="1"/>
  <c r="B595" i="1"/>
  <c r="L595" i="1" s="1"/>
  <c r="F595" i="1" s="1"/>
  <c r="R594" i="1"/>
  <c r="P594" i="1"/>
  <c r="N594" i="1"/>
  <c r="B594" i="1"/>
  <c r="L594" i="1" s="1"/>
  <c r="F594" i="1" s="1"/>
  <c r="R593" i="1"/>
  <c r="P593" i="1"/>
  <c r="N593" i="1"/>
  <c r="B593" i="1"/>
  <c r="L593" i="1" s="1"/>
  <c r="F593" i="1" s="1"/>
  <c r="R592" i="1"/>
  <c r="P592" i="1"/>
  <c r="N592" i="1"/>
  <c r="B592" i="1"/>
  <c r="L592" i="1" s="1"/>
  <c r="F592" i="1" s="1"/>
  <c r="R591" i="1"/>
  <c r="P591" i="1"/>
  <c r="N591" i="1"/>
  <c r="B591" i="1"/>
  <c r="L591" i="1" s="1"/>
  <c r="F591" i="1" s="1"/>
  <c r="R590" i="1"/>
  <c r="P590" i="1"/>
  <c r="N590" i="1"/>
  <c r="L590" i="1"/>
  <c r="F590" i="1" s="1"/>
  <c r="B590" i="1"/>
  <c r="R589" i="1"/>
  <c r="P589" i="1"/>
  <c r="N589" i="1"/>
  <c r="K589" i="1"/>
  <c r="B589" i="1"/>
  <c r="L589" i="1" s="1"/>
  <c r="F589" i="1" s="1"/>
  <c r="R588" i="1"/>
  <c r="P588" i="1"/>
  <c r="N588" i="1"/>
  <c r="B588" i="1"/>
  <c r="L588" i="1" s="1"/>
  <c r="F588" i="1" s="1"/>
  <c r="R587" i="1"/>
  <c r="P587" i="1"/>
  <c r="N587" i="1"/>
  <c r="B587" i="1"/>
  <c r="L587" i="1" s="1"/>
  <c r="F587" i="1" s="1"/>
  <c r="R586" i="1"/>
  <c r="P586" i="1"/>
  <c r="N586" i="1"/>
  <c r="K586" i="1"/>
  <c r="B586" i="1"/>
  <c r="L586" i="1" s="1"/>
  <c r="F586" i="1" s="1"/>
  <c r="R585" i="1"/>
  <c r="P585" i="1"/>
  <c r="N585" i="1"/>
  <c r="B585" i="1"/>
  <c r="L585" i="1" s="1"/>
  <c r="F585" i="1" s="1"/>
  <c r="R584" i="1"/>
  <c r="P584" i="1"/>
  <c r="N584" i="1"/>
  <c r="K584" i="1"/>
  <c r="B584" i="1"/>
  <c r="R583" i="1"/>
  <c r="P583" i="1"/>
  <c r="N583" i="1"/>
  <c r="B583" i="1"/>
  <c r="L583" i="1" s="1"/>
  <c r="F583" i="1" s="1"/>
  <c r="R582" i="1"/>
  <c r="P582" i="1"/>
  <c r="N582" i="1"/>
  <c r="K582" i="1"/>
  <c r="B582" i="1"/>
  <c r="R581" i="1"/>
  <c r="P581" i="1"/>
  <c r="N581" i="1"/>
  <c r="K581" i="1"/>
  <c r="B581" i="1"/>
  <c r="L581" i="1" s="1"/>
  <c r="F581" i="1" s="1"/>
  <c r="R580" i="1"/>
  <c r="P580" i="1"/>
  <c r="N580" i="1"/>
  <c r="K580" i="1"/>
  <c r="B580" i="1"/>
  <c r="R579" i="1"/>
  <c r="P579" i="1"/>
  <c r="N579" i="1"/>
  <c r="B579" i="1"/>
  <c r="L579" i="1" s="1"/>
  <c r="F579" i="1" s="1"/>
  <c r="R578" i="1"/>
  <c r="P578" i="1"/>
  <c r="N578" i="1"/>
  <c r="B578" i="1"/>
  <c r="L578" i="1" s="1"/>
  <c r="F578" i="1" s="1"/>
  <c r="R577" i="1"/>
  <c r="P577" i="1"/>
  <c r="N577" i="1"/>
  <c r="B577" i="1"/>
  <c r="L577" i="1" s="1"/>
  <c r="F577" i="1" s="1"/>
  <c r="R576" i="1"/>
  <c r="P576" i="1"/>
  <c r="N576" i="1"/>
  <c r="L576" i="1"/>
  <c r="F576" i="1" s="1"/>
  <c r="B576" i="1"/>
  <c r="R575" i="1"/>
  <c r="P575" i="1"/>
  <c r="N575" i="1"/>
  <c r="B575" i="1"/>
  <c r="L575" i="1" s="1"/>
  <c r="F575" i="1" s="1"/>
  <c r="R574" i="1"/>
  <c r="P574" i="1"/>
  <c r="N574" i="1"/>
  <c r="B574" i="1"/>
  <c r="L574" i="1" s="1"/>
  <c r="F574" i="1" s="1"/>
  <c r="R573" i="1"/>
  <c r="P573" i="1"/>
  <c r="N573" i="1"/>
  <c r="B573" i="1"/>
  <c r="L573" i="1" s="1"/>
  <c r="F573" i="1" s="1"/>
  <c r="R572" i="1"/>
  <c r="P572" i="1"/>
  <c r="N572" i="1"/>
  <c r="B572" i="1"/>
  <c r="L572" i="1" s="1"/>
  <c r="F572" i="1" s="1"/>
  <c r="R571" i="1"/>
  <c r="P571" i="1"/>
  <c r="N571" i="1"/>
  <c r="B571" i="1"/>
  <c r="L571" i="1" s="1"/>
  <c r="F571" i="1" s="1"/>
  <c r="R570" i="1"/>
  <c r="P570" i="1"/>
  <c r="N570" i="1"/>
  <c r="B570" i="1"/>
  <c r="L570" i="1" s="1"/>
  <c r="F570" i="1" s="1"/>
  <c r="R569" i="1"/>
  <c r="P569" i="1"/>
  <c r="N569" i="1"/>
  <c r="B569" i="1"/>
  <c r="L569" i="1" s="1"/>
  <c r="F569" i="1" s="1"/>
  <c r="R568" i="1"/>
  <c r="P568" i="1"/>
  <c r="N568" i="1"/>
  <c r="B568" i="1"/>
  <c r="L568" i="1" s="1"/>
  <c r="F568" i="1" s="1"/>
  <c r="R567" i="1"/>
  <c r="P567" i="1"/>
  <c r="N567" i="1"/>
  <c r="B567" i="1"/>
  <c r="L567" i="1" s="1"/>
  <c r="F567" i="1" s="1"/>
  <c r="R566" i="1"/>
  <c r="P566" i="1"/>
  <c r="N566" i="1"/>
  <c r="B566" i="1"/>
  <c r="L566" i="1" s="1"/>
  <c r="F566" i="1" s="1"/>
  <c r="R565" i="1"/>
  <c r="P565" i="1"/>
  <c r="N565" i="1"/>
  <c r="K565" i="1"/>
  <c r="B565" i="1"/>
  <c r="R564" i="1"/>
  <c r="P564" i="1"/>
  <c r="N564" i="1"/>
  <c r="B564" i="1"/>
  <c r="L564" i="1" s="1"/>
  <c r="F564" i="1" s="1"/>
  <c r="R563" i="1"/>
  <c r="P563" i="1"/>
  <c r="N563" i="1"/>
  <c r="B563" i="1"/>
  <c r="L563" i="1" s="1"/>
  <c r="F563" i="1" s="1"/>
  <c r="R562" i="1"/>
  <c r="P562" i="1"/>
  <c r="N562" i="1"/>
  <c r="K562" i="1"/>
  <c r="B562" i="1"/>
  <c r="L562" i="1" s="1"/>
  <c r="F562" i="1" s="1"/>
  <c r="R561" i="1"/>
  <c r="P561" i="1"/>
  <c r="N561" i="1"/>
  <c r="B561" i="1"/>
  <c r="L561" i="1" s="1"/>
  <c r="F561" i="1" s="1"/>
  <c r="R560" i="1"/>
  <c r="P560" i="1"/>
  <c r="N560" i="1"/>
  <c r="B560" i="1"/>
  <c r="L560" i="1" s="1"/>
  <c r="F560" i="1" s="1"/>
  <c r="R559" i="1"/>
  <c r="P559" i="1"/>
  <c r="N559" i="1"/>
  <c r="B559" i="1"/>
  <c r="L559" i="1" s="1"/>
  <c r="F559" i="1" s="1"/>
  <c r="R558" i="1"/>
  <c r="P558" i="1"/>
  <c r="N558" i="1"/>
  <c r="L558" i="1"/>
  <c r="F558" i="1" s="1"/>
  <c r="B558" i="1"/>
  <c r="R557" i="1"/>
  <c r="P557" i="1"/>
  <c r="N557" i="1"/>
  <c r="B557" i="1"/>
  <c r="L557" i="1" s="1"/>
  <c r="F557" i="1" s="1"/>
  <c r="R556" i="1"/>
  <c r="P556" i="1"/>
  <c r="N556" i="1"/>
  <c r="K556" i="1"/>
  <c r="B556" i="1"/>
  <c r="R555" i="1"/>
  <c r="P555" i="1"/>
  <c r="N555" i="1"/>
  <c r="K555" i="1"/>
  <c r="B555" i="1"/>
  <c r="L555" i="1" s="1"/>
  <c r="F555" i="1" s="1"/>
  <c r="R554" i="1"/>
  <c r="P554" i="1"/>
  <c r="N554" i="1"/>
  <c r="B554" i="1"/>
  <c r="L554" i="1" s="1"/>
  <c r="F554" i="1" s="1"/>
  <c r="R553" i="1"/>
  <c r="P553" i="1"/>
  <c r="N553" i="1"/>
  <c r="B553" i="1"/>
  <c r="L553" i="1" s="1"/>
  <c r="F553" i="1" s="1"/>
  <c r="R552" i="1"/>
  <c r="P552" i="1"/>
  <c r="N552" i="1"/>
  <c r="L552" i="1"/>
  <c r="F552" i="1" s="1"/>
  <c r="B552" i="1"/>
  <c r="R551" i="1"/>
  <c r="P551" i="1"/>
  <c r="N551" i="1"/>
  <c r="B551" i="1"/>
  <c r="L551" i="1" s="1"/>
  <c r="F551" i="1" s="1"/>
  <c r="R550" i="1"/>
  <c r="P550" i="1"/>
  <c r="N550" i="1"/>
  <c r="B550" i="1"/>
  <c r="L550" i="1" s="1"/>
  <c r="F550" i="1" s="1"/>
  <c r="R549" i="1"/>
  <c r="P549" i="1"/>
  <c r="N549" i="1"/>
  <c r="K549" i="1"/>
  <c r="B549" i="1"/>
  <c r="L549" i="1" s="1"/>
  <c r="F549" i="1" s="1"/>
  <c r="R548" i="1"/>
  <c r="P548" i="1"/>
  <c r="N548" i="1"/>
  <c r="B548" i="1"/>
  <c r="L548" i="1" s="1"/>
  <c r="F548" i="1" s="1"/>
  <c r="R547" i="1"/>
  <c r="P547" i="1"/>
  <c r="N547" i="1"/>
  <c r="B547" i="1"/>
  <c r="L547" i="1" s="1"/>
  <c r="F547" i="1" s="1"/>
  <c r="R546" i="1"/>
  <c r="P546" i="1"/>
  <c r="N546" i="1"/>
  <c r="B546" i="1"/>
  <c r="L546" i="1" s="1"/>
  <c r="F546" i="1" s="1"/>
  <c r="R545" i="1"/>
  <c r="P545" i="1"/>
  <c r="N545" i="1"/>
  <c r="B545" i="1"/>
  <c r="L545" i="1" s="1"/>
  <c r="F545" i="1" s="1"/>
  <c r="R544" i="1"/>
  <c r="P544" i="1"/>
  <c r="N544" i="1"/>
  <c r="B544" i="1"/>
  <c r="L544" i="1" s="1"/>
  <c r="F544" i="1" s="1"/>
  <c r="R543" i="1"/>
  <c r="P543" i="1"/>
  <c r="N543" i="1"/>
  <c r="K543" i="1"/>
  <c r="B543" i="1"/>
  <c r="R542" i="1"/>
  <c r="P542" i="1"/>
  <c r="N542" i="1"/>
  <c r="B542" i="1"/>
  <c r="L542" i="1" s="1"/>
  <c r="F542" i="1" s="1"/>
  <c r="R541" i="1"/>
  <c r="P541" i="1"/>
  <c r="N541" i="1"/>
  <c r="B541" i="1"/>
  <c r="L541" i="1" s="1"/>
  <c r="F541" i="1" s="1"/>
  <c r="R540" i="1"/>
  <c r="P540" i="1"/>
  <c r="N540" i="1"/>
  <c r="B540" i="1"/>
  <c r="L540" i="1" s="1"/>
  <c r="F540" i="1" s="1"/>
  <c r="R539" i="1"/>
  <c r="P539" i="1"/>
  <c r="N539" i="1"/>
  <c r="K539" i="1"/>
  <c r="B539" i="1"/>
  <c r="L539" i="1" s="1"/>
  <c r="F539" i="1" s="1"/>
  <c r="R538" i="1"/>
  <c r="P538" i="1"/>
  <c r="N538" i="1"/>
  <c r="B538" i="1"/>
  <c r="L538" i="1" s="1"/>
  <c r="F538" i="1" s="1"/>
  <c r="R537" i="1"/>
  <c r="P537" i="1"/>
  <c r="N537" i="1"/>
  <c r="K537" i="1"/>
  <c r="B537" i="1"/>
  <c r="R536" i="1"/>
  <c r="P536" i="1"/>
  <c r="N536" i="1"/>
  <c r="B536" i="1"/>
  <c r="L536" i="1" s="1"/>
  <c r="F536" i="1" s="1"/>
  <c r="R535" i="1"/>
  <c r="P535" i="1"/>
  <c r="N535" i="1"/>
  <c r="K535" i="1"/>
  <c r="B535" i="1"/>
  <c r="R534" i="1"/>
  <c r="P534" i="1"/>
  <c r="N534" i="1"/>
  <c r="B534" i="1"/>
  <c r="L534" i="1" s="1"/>
  <c r="F534" i="1" s="1"/>
  <c r="R533" i="1"/>
  <c r="P533" i="1"/>
  <c r="N533" i="1"/>
  <c r="B533" i="1"/>
  <c r="L533" i="1" s="1"/>
  <c r="F533" i="1" s="1"/>
  <c r="R532" i="1"/>
  <c r="P532" i="1"/>
  <c r="N532" i="1"/>
  <c r="B532" i="1"/>
  <c r="L532" i="1" s="1"/>
  <c r="F532" i="1" s="1"/>
  <c r="R531" i="1"/>
  <c r="P531" i="1"/>
  <c r="N531" i="1"/>
  <c r="B531" i="1"/>
  <c r="L531" i="1" s="1"/>
  <c r="F531" i="1" s="1"/>
  <c r="R530" i="1"/>
  <c r="P530" i="1"/>
  <c r="N530" i="1"/>
  <c r="B530" i="1"/>
  <c r="L530" i="1" s="1"/>
  <c r="F530" i="1" s="1"/>
  <c r="R529" i="1"/>
  <c r="P529" i="1"/>
  <c r="N529" i="1"/>
  <c r="B529" i="1"/>
  <c r="L529" i="1" s="1"/>
  <c r="F529" i="1" s="1"/>
  <c r="R528" i="1"/>
  <c r="P528" i="1"/>
  <c r="N528" i="1"/>
  <c r="B528" i="1"/>
  <c r="L528" i="1" s="1"/>
  <c r="F528" i="1" s="1"/>
  <c r="R527" i="1"/>
  <c r="P527" i="1"/>
  <c r="N527" i="1"/>
  <c r="B527" i="1"/>
  <c r="L527" i="1" s="1"/>
  <c r="F527" i="1" s="1"/>
  <c r="R526" i="1"/>
  <c r="P526" i="1"/>
  <c r="N526" i="1"/>
  <c r="B526" i="1"/>
  <c r="L526" i="1" s="1"/>
  <c r="F526" i="1" s="1"/>
  <c r="R525" i="1"/>
  <c r="P525" i="1"/>
  <c r="N525" i="1"/>
  <c r="L525" i="1"/>
  <c r="F525" i="1" s="1"/>
  <c r="B525" i="1"/>
  <c r="R524" i="1"/>
  <c r="P524" i="1"/>
  <c r="N524" i="1"/>
  <c r="B524" i="1"/>
  <c r="L524" i="1" s="1"/>
  <c r="F524" i="1" s="1"/>
  <c r="R523" i="1"/>
  <c r="P523" i="1"/>
  <c r="N523" i="1"/>
  <c r="B523" i="1"/>
  <c r="L523" i="1" s="1"/>
  <c r="F523" i="1" s="1"/>
  <c r="R522" i="1"/>
  <c r="P522" i="1"/>
  <c r="N522" i="1"/>
  <c r="B522" i="1"/>
  <c r="L522" i="1" s="1"/>
  <c r="F522" i="1" s="1"/>
  <c r="R521" i="1"/>
  <c r="P521" i="1"/>
  <c r="N521" i="1"/>
  <c r="K521" i="1"/>
  <c r="B521" i="1"/>
  <c r="L521" i="1" s="1"/>
  <c r="F521" i="1" s="1"/>
  <c r="R520" i="1"/>
  <c r="P520" i="1"/>
  <c r="N520" i="1"/>
  <c r="L520" i="1"/>
  <c r="F520" i="1" s="1"/>
  <c r="B520" i="1"/>
  <c r="R519" i="1"/>
  <c r="P519" i="1"/>
  <c r="N519" i="1"/>
  <c r="B519" i="1"/>
  <c r="L519" i="1" s="1"/>
  <c r="F519" i="1" s="1"/>
  <c r="R518" i="1"/>
  <c r="P518" i="1"/>
  <c r="N518" i="1"/>
  <c r="B518" i="1"/>
  <c r="L518" i="1" s="1"/>
  <c r="F518" i="1" s="1"/>
  <c r="R517" i="1"/>
  <c r="P517" i="1"/>
  <c r="N517" i="1"/>
  <c r="B517" i="1"/>
  <c r="L517" i="1" s="1"/>
  <c r="F517" i="1" s="1"/>
  <c r="R516" i="1"/>
  <c r="P516" i="1"/>
  <c r="N516" i="1"/>
  <c r="K516" i="1"/>
  <c r="B516" i="1"/>
  <c r="L516" i="1" s="1"/>
  <c r="F516" i="1" s="1"/>
  <c r="R515" i="1"/>
  <c r="P515" i="1"/>
  <c r="N515" i="1"/>
  <c r="L515" i="1"/>
  <c r="F515" i="1" s="1"/>
  <c r="B515" i="1"/>
  <c r="R514" i="1"/>
  <c r="P514" i="1"/>
  <c r="N514" i="1"/>
  <c r="B514" i="1"/>
  <c r="L514" i="1" s="1"/>
  <c r="F514" i="1" s="1"/>
  <c r="R513" i="1"/>
  <c r="P513" i="1"/>
  <c r="N513" i="1"/>
  <c r="K513" i="1"/>
  <c r="B513" i="1"/>
  <c r="R512" i="1"/>
  <c r="P512" i="1"/>
  <c r="N512" i="1"/>
  <c r="B512" i="1"/>
  <c r="L512" i="1" s="1"/>
  <c r="F512" i="1" s="1"/>
  <c r="R511" i="1"/>
  <c r="P511" i="1"/>
  <c r="N511" i="1"/>
  <c r="B511" i="1"/>
  <c r="L511" i="1" s="1"/>
  <c r="F511" i="1" s="1"/>
  <c r="R510" i="1"/>
  <c r="P510" i="1"/>
  <c r="N510" i="1"/>
  <c r="L510" i="1"/>
  <c r="F510" i="1" s="1"/>
  <c r="B510" i="1"/>
  <c r="R509" i="1"/>
  <c r="P509" i="1"/>
  <c r="N509" i="1"/>
  <c r="B509" i="1"/>
  <c r="L509" i="1" s="1"/>
  <c r="F509" i="1" s="1"/>
  <c r="R508" i="1"/>
  <c r="P508" i="1"/>
  <c r="N508" i="1"/>
  <c r="B508" i="1"/>
  <c r="L508" i="1" s="1"/>
  <c r="F508" i="1" s="1"/>
  <c r="R507" i="1"/>
  <c r="P507" i="1"/>
  <c r="N507" i="1"/>
  <c r="K507" i="1"/>
  <c r="B507" i="1"/>
  <c r="L507" i="1" s="1"/>
  <c r="F507" i="1" s="1"/>
  <c r="R506" i="1"/>
  <c r="P506" i="1"/>
  <c r="N506" i="1"/>
  <c r="B506" i="1"/>
  <c r="L506" i="1" s="1"/>
  <c r="F506" i="1" s="1"/>
  <c r="R505" i="1"/>
  <c r="P505" i="1"/>
  <c r="N505" i="1"/>
  <c r="B505" i="1"/>
  <c r="L505" i="1" s="1"/>
  <c r="F505" i="1" s="1"/>
  <c r="R504" i="1"/>
  <c r="P504" i="1"/>
  <c r="N504" i="1"/>
  <c r="B504" i="1"/>
  <c r="L504" i="1" s="1"/>
  <c r="F504" i="1" s="1"/>
  <c r="R503" i="1"/>
  <c r="P503" i="1"/>
  <c r="N503" i="1"/>
  <c r="B503" i="1"/>
  <c r="L503" i="1" s="1"/>
  <c r="F503" i="1" s="1"/>
  <c r="R502" i="1"/>
  <c r="P502" i="1"/>
  <c r="N502" i="1"/>
  <c r="K502" i="1"/>
  <c r="B502" i="1"/>
  <c r="L502" i="1" s="1"/>
  <c r="F502" i="1" s="1"/>
  <c r="R501" i="1"/>
  <c r="P501" i="1"/>
  <c r="N501" i="1"/>
  <c r="B501" i="1"/>
  <c r="L501" i="1" s="1"/>
  <c r="F501" i="1" s="1"/>
  <c r="R500" i="1"/>
  <c r="P500" i="1"/>
  <c r="N500" i="1"/>
  <c r="K500" i="1"/>
  <c r="B500" i="1"/>
  <c r="L500" i="1" s="1"/>
  <c r="F500" i="1" s="1"/>
  <c r="R499" i="1"/>
  <c r="P499" i="1"/>
  <c r="N499" i="1"/>
  <c r="K499" i="1"/>
  <c r="B499" i="1"/>
  <c r="L499" i="1" s="1"/>
  <c r="F499" i="1" s="1"/>
  <c r="R498" i="1"/>
  <c r="P498" i="1"/>
  <c r="N498" i="1"/>
  <c r="L498" i="1"/>
  <c r="F498" i="1" s="1"/>
  <c r="B498" i="1"/>
  <c r="R497" i="1"/>
  <c r="P497" i="1"/>
  <c r="N497" i="1"/>
  <c r="B497" i="1"/>
  <c r="L497" i="1" s="1"/>
  <c r="F497" i="1" s="1"/>
  <c r="R496" i="1"/>
  <c r="P496" i="1"/>
  <c r="N496" i="1"/>
  <c r="B496" i="1"/>
  <c r="L496" i="1" s="1"/>
  <c r="F496" i="1" s="1"/>
  <c r="R495" i="1"/>
  <c r="P495" i="1"/>
  <c r="N495" i="1"/>
  <c r="B495" i="1"/>
  <c r="L495" i="1" s="1"/>
  <c r="F495" i="1" s="1"/>
  <c r="R494" i="1"/>
  <c r="P494" i="1"/>
  <c r="N494" i="1"/>
  <c r="B494" i="1"/>
  <c r="L494" i="1" s="1"/>
  <c r="F494" i="1" s="1"/>
  <c r="R493" i="1"/>
  <c r="P493" i="1"/>
  <c r="N493" i="1"/>
  <c r="B493" i="1"/>
  <c r="L493" i="1" s="1"/>
  <c r="F493" i="1" s="1"/>
  <c r="R492" i="1"/>
  <c r="P492" i="1"/>
  <c r="N492" i="1"/>
  <c r="K492" i="1"/>
  <c r="B492" i="1"/>
  <c r="L492" i="1" s="1"/>
  <c r="F492" i="1" s="1"/>
  <c r="R491" i="1"/>
  <c r="P491" i="1"/>
  <c r="N491" i="1"/>
  <c r="L491" i="1"/>
  <c r="F491" i="1" s="1"/>
  <c r="K491" i="1"/>
  <c r="B491" i="1"/>
  <c r="R490" i="1"/>
  <c r="P490" i="1"/>
  <c r="N490" i="1"/>
  <c r="B490" i="1"/>
  <c r="L490" i="1" s="1"/>
  <c r="F490" i="1" s="1"/>
  <c r="R489" i="1"/>
  <c r="P489" i="1"/>
  <c r="N489" i="1"/>
  <c r="B489" i="1"/>
  <c r="L489" i="1" s="1"/>
  <c r="F489" i="1" s="1"/>
  <c r="R488" i="1"/>
  <c r="P488" i="1"/>
  <c r="N488" i="1"/>
  <c r="B488" i="1"/>
  <c r="L488" i="1" s="1"/>
  <c r="F488" i="1" s="1"/>
  <c r="R487" i="1"/>
  <c r="P487" i="1"/>
  <c r="N487" i="1"/>
  <c r="B487" i="1"/>
  <c r="L487" i="1" s="1"/>
  <c r="F487" i="1" s="1"/>
  <c r="R486" i="1"/>
  <c r="P486" i="1"/>
  <c r="N486" i="1"/>
  <c r="K486" i="1"/>
  <c r="B486" i="1"/>
  <c r="R485" i="1"/>
  <c r="P485" i="1"/>
  <c r="N485" i="1"/>
  <c r="B485" i="1"/>
  <c r="L485" i="1" s="1"/>
  <c r="F485" i="1" s="1"/>
  <c r="R484" i="1"/>
  <c r="P484" i="1"/>
  <c r="N484" i="1"/>
  <c r="K484" i="1"/>
  <c r="B484" i="1"/>
  <c r="L484" i="1" s="1"/>
  <c r="F484" i="1" s="1"/>
  <c r="R483" i="1"/>
  <c r="P483" i="1"/>
  <c r="N483" i="1"/>
  <c r="B483" i="1"/>
  <c r="L483" i="1" s="1"/>
  <c r="F483" i="1" s="1"/>
  <c r="R482" i="1"/>
  <c r="P482" i="1"/>
  <c r="N482" i="1"/>
  <c r="B482" i="1"/>
  <c r="L482" i="1" s="1"/>
  <c r="F482" i="1" s="1"/>
  <c r="R481" i="1"/>
  <c r="P481" i="1"/>
  <c r="N481" i="1"/>
  <c r="B481" i="1"/>
  <c r="L481" i="1" s="1"/>
  <c r="F481" i="1" s="1"/>
  <c r="R480" i="1"/>
  <c r="P480" i="1"/>
  <c r="N480" i="1"/>
  <c r="L480" i="1"/>
  <c r="F480" i="1" s="1"/>
  <c r="K480" i="1"/>
  <c r="B480" i="1"/>
  <c r="R479" i="1"/>
  <c r="P479" i="1"/>
  <c r="N479" i="1"/>
  <c r="K479" i="1"/>
  <c r="B479" i="1"/>
  <c r="L479" i="1" s="1"/>
  <c r="F479" i="1" s="1"/>
  <c r="R478" i="1"/>
  <c r="P478" i="1"/>
  <c r="N478" i="1"/>
  <c r="B478" i="1"/>
  <c r="L478" i="1" s="1"/>
  <c r="F478" i="1" s="1"/>
  <c r="R477" i="1"/>
  <c r="P477" i="1"/>
  <c r="N477" i="1"/>
  <c r="B477" i="1"/>
  <c r="L477" i="1" s="1"/>
  <c r="F477" i="1" s="1"/>
  <c r="R476" i="1"/>
  <c r="P476" i="1"/>
  <c r="N476" i="1"/>
  <c r="B476" i="1"/>
  <c r="L476" i="1" s="1"/>
  <c r="F476" i="1" s="1"/>
  <c r="R475" i="1"/>
  <c r="P475" i="1"/>
  <c r="N475" i="1"/>
  <c r="B475" i="1"/>
  <c r="L475" i="1" s="1"/>
  <c r="F475" i="1" s="1"/>
  <c r="R474" i="1"/>
  <c r="P474" i="1"/>
  <c r="N474" i="1"/>
  <c r="B474" i="1"/>
  <c r="L474" i="1" s="1"/>
  <c r="F474" i="1" s="1"/>
  <c r="R473" i="1"/>
  <c r="P473" i="1"/>
  <c r="N473" i="1"/>
  <c r="B473" i="1"/>
  <c r="L473" i="1" s="1"/>
  <c r="F473" i="1" s="1"/>
  <c r="R472" i="1"/>
  <c r="P472" i="1"/>
  <c r="N472" i="1"/>
  <c r="B472" i="1"/>
  <c r="L472" i="1" s="1"/>
  <c r="F472" i="1" s="1"/>
  <c r="R471" i="1"/>
  <c r="P471" i="1"/>
  <c r="N471" i="1"/>
  <c r="B471" i="1"/>
  <c r="L471" i="1" s="1"/>
  <c r="F471" i="1" s="1"/>
  <c r="R470" i="1"/>
  <c r="P470" i="1"/>
  <c r="N470" i="1"/>
  <c r="L470" i="1"/>
  <c r="F470" i="1" s="1"/>
  <c r="B470" i="1"/>
  <c r="R469" i="1"/>
  <c r="P469" i="1"/>
  <c r="N469" i="1"/>
  <c r="B469" i="1"/>
  <c r="L469" i="1" s="1"/>
  <c r="F469" i="1" s="1"/>
  <c r="R468" i="1"/>
  <c r="P468" i="1"/>
  <c r="N468" i="1"/>
  <c r="B468" i="1"/>
  <c r="L468" i="1" s="1"/>
  <c r="F468" i="1" s="1"/>
  <c r="R467" i="1"/>
  <c r="P467" i="1"/>
  <c r="N467" i="1"/>
  <c r="B467" i="1"/>
  <c r="L467" i="1" s="1"/>
  <c r="F467" i="1" s="1"/>
  <c r="R466" i="1"/>
  <c r="P466" i="1"/>
  <c r="N466" i="1"/>
  <c r="B466" i="1"/>
  <c r="L466" i="1" s="1"/>
  <c r="F466" i="1" s="1"/>
  <c r="R465" i="1"/>
  <c r="P465" i="1"/>
  <c r="N465" i="1"/>
  <c r="B465" i="1"/>
  <c r="L465" i="1" s="1"/>
  <c r="F465" i="1" s="1"/>
  <c r="R464" i="1"/>
  <c r="P464" i="1"/>
  <c r="N464" i="1"/>
  <c r="B464" i="1"/>
  <c r="L464" i="1" s="1"/>
  <c r="F464" i="1" s="1"/>
  <c r="R463" i="1"/>
  <c r="P463" i="1"/>
  <c r="N463" i="1"/>
  <c r="B463" i="1"/>
  <c r="L463" i="1" s="1"/>
  <c r="F463" i="1" s="1"/>
  <c r="R462" i="1"/>
  <c r="P462" i="1"/>
  <c r="N462" i="1"/>
  <c r="B462" i="1"/>
  <c r="L462" i="1" s="1"/>
  <c r="F462" i="1" s="1"/>
  <c r="R461" i="1"/>
  <c r="P461" i="1"/>
  <c r="N461" i="1"/>
  <c r="B461" i="1"/>
  <c r="L461" i="1" s="1"/>
  <c r="F461" i="1" s="1"/>
  <c r="R460" i="1"/>
  <c r="P460" i="1"/>
  <c r="N460" i="1"/>
  <c r="K460" i="1"/>
  <c r="B460" i="1"/>
  <c r="L460" i="1" s="1"/>
  <c r="F460" i="1" s="1"/>
  <c r="R459" i="1"/>
  <c r="P459" i="1"/>
  <c r="N459" i="1"/>
  <c r="B459" i="1"/>
  <c r="L459" i="1" s="1"/>
  <c r="F459" i="1" s="1"/>
  <c r="R458" i="1"/>
  <c r="P458" i="1"/>
  <c r="N458" i="1"/>
  <c r="B458" i="1"/>
  <c r="L458" i="1" s="1"/>
  <c r="F458" i="1" s="1"/>
  <c r="R457" i="1"/>
  <c r="P457" i="1"/>
  <c r="N457" i="1"/>
  <c r="B457" i="1"/>
  <c r="L457" i="1" s="1"/>
  <c r="F457" i="1" s="1"/>
  <c r="R456" i="1"/>
  <c r="P456" i="1"/>
  <c r="N456" i="1"/>
  <c r="B456" i="1"/>
  <c r="L456" i="1" s="1"/>
  <c r="F456" i="1" s="1"/>
  <c r="R455" i="1"/>
  <c r="P455" i="1"/>
  <c r="N455" i="1"/>
  <c r="B455" i="1"/>
  <c r="L455" i="1" s="1"/>
  <c r="F455" i="1" s="1"/>
  <c r="R454" i="1"/>
  <c r="P454" i="1"/>
  <c r="N454" i="1"/>
  <c r="B454" i="1"/>
  <c r="L454" i="1" s="1"/>
  <c r="F454" i="1" s="1"/>
  <c r="R453" i="1"/>
  <c r="P453" i="1"/>
  <c r="N453" i="1"/>
  <c r="B453" i="1"/>
  <c r="L453" i="1" s="1"/>
  <c r="F453" i="1" s="1"/>
  <c r="R452" i="1"/>
  <c r="P452" i="1"/>
  <c r="N452" i="1"/>
  <c r="B452" i="1"/>
  <c r="L452" i="1" s="1"/>
  <c r="F452" i="1" s="1"/>
  <c r="R451" i="1"/>
  <c r="P451" i="1"/>
  <c r="N451" i="1"/>
  <c r="L451" i="1"/>
  <c r="F451" i="1" s="1"/>
  <c r="R450" i="1"/>
  <c r="P450" i="1"/>
  <c r="N450" i="1"/>
  <c r="B450" i="1"/>
  <c r="L450" i="1" s="1"/>
  <c r="F450" i="1" s="1"/>
  <c r="R449" i="1"/>
  <c r="P449" i="1"/>
  <c r="N449" i="1"/>
  <c r="L449" i="1"/>
  <c r="F449" i="1" s="1"/>
  <c r="B449" i="1"/>
  <c r="R448" i="1"/>
  <c r="P448" i="1"/>
  <c r="N448" i="1"/>
  <c r="K448" i="1"/>
  <c r="B448" i="1"/>
  <c r="R447" i="1"/>
  <c r="P447" i="1"/>
  <c r="N447" i="1"/>
  <c r="B447" i="1"/>
  <c r="L447" i="1" s="1"/>
  <c r="F447" i="1" s="1"/>
  <c r="R446" i="1"/>
  <c r="P446" i="1"/>
  <c r="N446" i="1"/>
  <c r="B446" i="1"/>
  <c r="L446" i="1" s="1"/>
  <c r="F446" i="1" s="1"/>
  <c r="R445" i="1"/>
  <c r="P445" i="1"/>
  <c r="N445" i="1"/>
  <c r="B445" i="1"/>
  <c r="L445" i="1" s="1"/>
  <c r="F445" i="1" s="1"/>
  <c r="R444" i="1"/>
  <c r="P444" i="1"/>
  <c r="N444" i="1"/>
  <c r="L444" i="1"/>
  <c r="F444" i="1" s="1"/>
  <c r="R443" i="1"/>
  <c r="P443" i="1"/>
  <c r="N443" i="1"/>
  <c r="B443" i="1"/>
  <c r="L443" i="1" s="1"/>
  <c r="F443" i="1" s="1"/>
  <c r="R442" i="1"/>
  <c r="P442" i="1"/>
  <c r="N442" i="1"/>
  <c r="B442" i="1"/>
  <c r="L442" i="1" s="1"/>
  <c r="F442" i="1" s="1"/>
  <c r="R441" i="1"/>
  <c r="P441" i="1"/>
  <c r="N441" i="1"/>
  <c r="B441" i="1"/>
  <c r="L441" i="1" s="1"/>
  <c r="F441" i="1" s="1"/>
  <c r="R440" i="1"/>
  <c r="P440" i="1"/>
  <c r="N440" i="1"/>
  <c r="B440" i="1"/>
  <c r="L440" i="1" s="1"/>
  <c r="F440" i="1" s="1"/>
  <c r="R439" i="1"/>
  <c r="P439" i="1"/>
  <c r="N439" i="1"/>
  <c r="B439" i="1"/>
  <c r="L439" i="1" s="1"/>
  <c r="F439" i="1" s="1"/>
  <c r="R438" i="1"/>
  <c r="P438" i="1"/>
  <c r="N438" i="1"/>
  <c r="B438" i="1"/>
  <c r="L438" i="1" s="1"/>
  <c r="F438" i="1" s="1"/>
  <c r="R437" i="1"/>
  <c r="P437" i="1"/>
  <c r="N437" i="1"/>
  <c r="K437" i="1"/>
  <c r="B437" i="1"/>
  <c r="R436" i="1"/>
  <c r="P436" i="1"/>
  <c r="N436" i="1"/>
  <c r="B436" i="1"/>
  <c r="L436" i="1" s="1"/>
  <c r="F436" i="1" s="1"/>
  <c r="R435" i="1"/>
  <c r="P435" i="1"/>
  <c r="N435" i="1"/>
  <c r="B435" i="1"/>
  <c r="L435" i="1" s="1"/>
  <c r="F435" i="1" s="1"/>
  <c r="R434" i="1"/>
  <c r="P434" i="1"/>
  <c r="N434" i="1"/>
  <c r="B434" i="1"/>
  <c r="L434" i="1" s="1"/>
  <c r="F434" i="1" s="1"/>
  <c r="R433" i="1"/>
  <c r="P433" i="1"/>
  <c r="N433" i="1"/>
  <c r="B433" i="1"/>
  <c r="L433" i="1" s="1"/>
  <c r="F433" i="1" s="1"/>
  <c r="R432" i="1"/>
  <c r="P432" i="1"/>
  <c r="N432" i="1"/>
  <c r="K432" i="1"/>
  <c r="B432" i="1"/>
  <c r="R431" i="1"/>
  <c r="P431" i="1"/>
  <c r="N431" i="1"/>
  <c r="B431" i="1"/>
  <c r="L431" i="1" s="1"/>
  <c r="F431" i="1" s="1"/>
  <c r="R430" i="1"/>
  <c r="P430" i="1"/>
  <c r="N430" i="1"/>
  <c r="B430" i="1"/>
  <c r="L430" i="1" s="1"/>
  <c r="F430" i="1" s="1"/>
  <c r="R429" i="1"/>
  <c r="P429" i="1"/>
  <c r="N429" i="1"/>
  <c r="B429" i="1"/>
  <c r="L429" i="1" s="1"/>
  <c r="F429" i="1" s="1"/>
  <c r="R428" i="1"/>
  <c r="P428" i="1"/>
  <c r="N428" i="1"/>
  <c r="B428" i="1"/>
  <c r="L428" i="1" s="1"/>
  <c r="F428" i="1" s="1"/>
  <c r="R427" i="1"/>
  <c r="P427" i="1"/>
  <c r="N427" i="1"/>
  <c r="B427" i="1"/>
  <c r="L427" i="1" s="1"/>
  <c r="F427" i="1" s="1"/>
  <c r="R426" i="1"/>
  <c r="P426" i="1"/>
  <c r="N426" i="1"/>
  <c r="B426" i="1"/>
  <c r="L426" i="1" s="1"/>
  <c r="F426" i="1" s="1"/>
  <c r="R425" i="1"/>
  <c r="P425" i="1"/>
  <c r="N425" i="1"/>
  <c r="B425" i="1"/>
  <c r="L425" i="1" s="1"/>
  <c r="F425" i="1" s="1"/>
  <c r="R424" i="1"/>
  <c r="P424" i="1"/>
  <c r="N424" i="1"/>
  <c r="K424" i="1"/>
  <c r="B424" i="1"/>
  <c r="L424" i="1" s="1"/>
  <c r="F424" i="1" s="1"/>
  <c r="R423" i="1"/>
  <c r="P423" i="1"/>
  <c r="N423" i="1"/>
  <c r="B423" i="1"/>
  <c r="L423" i="1" s="1"/>
  <c r="F423" i="1" s="1"/>
  <c r="R422" i="1"/>
  <c r="P422" i="1"/>
  <c r="N422" i="1"/>
  <c r="B422" i="1"/>
  <c r="L422" i="1" s="1"/>
  <c r="F422" i="1" s="1"/>
  <c r="R421" i="1"/>
  <c r="P421" i="1"/>
  <c r="N421" i="1"/>
  <c r="B421" i="1"/>
  <c r="L421" i="1" s="1"/>
  <c r="F421" i="1" s="1"/>
  <c r="R420" i="1"/>
  <c r="P420" i="1"/>
  <c r="N420" i="1"/>
  <c r="B420" i="1"/>
  <c r="L420" i="1" s="1"/>
  <c r="F420" i="1" s="1"/>
  <c r="R419" i="1"/>
  <c r="P419" i="1"/>
  <c r="N419" i="1"/>
  <c r="B419" i="1"/>
  <c r="L419" i="1" s="1"/>
  <c r="F419" i="1" s="1"/>
  <c r="R418" i="1"/>
  <c r="P418" i="1"/>
  <c r="N418" i="1"/>
  <c r="B418" i="1"/>
  <c r="L418" i="1" s="1"/>
  <c r="F418" i="1" s="1"/>
  <c r="R417" i="1"/>
  <c r="P417" i="1"/>
  <c r="N417" i="1"/>
  <c r="B417" i="1"/>
  <c r="L417" i="1" s="1"/>
  <c r="F417" i="1" s="1"/>
  <c r="R416" i="1"/>
  <c r="P416" i="1"/>
  <c r="N416" i="1"/>
  <c r="B416" i="1"/>
  <c r="L416" i="1" s="1"/>
  <c r="F416" i="1" s="1"/>
  <c r="R415" i="1"/>
  <c r="P415" i="1"/>
  <c r="N415" i="1"/>
  <c r="B415" i="1"/>
  <c r="L415" i="1" s="1"/>
  <c r="F415" i="1" s="1"/>
  <c r="R414" i="1"/>
  <c r="P414" i="1"/>
  <c r="N414" i="1"/>
  <c r="B414" i="1"/>
  <c r="L414" i="1" s="1"/>
  <c r="F414" i="1" s="1"/>
  <c r="R413" i="1"/>
  <c r="P413" i="1"/>
  <c r="N413" i="1"/>
  <c r="L413" i="1"/>
  <c r="F413" i="1" s="1"/>
  <c r="B413" i="1"/>
  <c r="R412" i="1"/>
  <c r="P412" i="1"/>
  <c r="N412" i="1"/>
  <c r="K412" i="1"/>
  <c r="B412" i="1"/>
  <c r="L412" i="1" s="1"/>
  <c r="F412" i="1" s="1"/>
  <c r="R411" i="1"/>
  <c r="P411" i="1"/>
  <c r="N411" i="1"/>
  <c r="B411" i="1"/>
  <c r="L411" i="1" s="1"/>
  <c r="F411" i="1" s="1"/>
  <c r="R410" i="1"/>
  <c r="P410" i="1"/>
  <c r="N410" i="1"/>
  <c r="B410" i="1"/>
  <c r="L410" i="1" s="1"/>
  <c r="F410" i="1" s="1"/>
  <c r="R409" i="1"/>
  <c r="P409" i="1"/>
  <c r="N409" i="1"/>
  <c r="B409" i="1"/>
  <c r="L409" i="1" s="1"/>
  <c r="F409" i="1" s="1"/>
  <c r="R408" i="1"/>
  <c r="P408" i="1"/>
  <c r="N408" i="1"/>
  <c r="K408" i="1"/>
  <c r="B408" i="1"/>
  <c r="L408" i="1" s="1"/>
  <c r="F408" i="1" s="1"/>
  <c r="R407" i="1"/>
  <c r="P407" i="1"/>
  <c r="N407" i="1"/>
  <c r="B407" i="1"/>
  <c r="L407" i="1" s="1"/>
  <c r="F407" i="1" s="1"/>
  <c r="R406" i="1"/>
  <c r="P406" i="1"/>
  <c r="N406" i="1"/>
  <c r="B406" i="1"/>
  <c r="L406" i="1" s="1"/>
  <c r="F406" i="1" s="1"/>
  <c r="R405" i="1"/>
  <c r="P405" i="1"/>
  <c r="N405" i="1"/>
  <c r="B405" i="1"/>
  <c r="L405" i="1" s="1"/>
  <c r="F405" i="1" s="1"/>
  <c r="R404" i="1"/>
  <c r="P404" i="1"/>
  <c r="N404" i="1"/>
  <c r="B404" i="1"/>
  <c r="L404" i="1" s="1"/>
  <c r="F404" i="1" s="1"/>
  <c r="R403" i="1"/>
  <c r="P403" i="1"/>
  <c r="N403" i="1"/>
  <c r="K403" i="1"/>
  <c r="B403" i="1"/>
  <c r="L403" i="1" s="1"/>
  <c r="F403" i="1" s="1"/>
  <c r="R402" i="1"/>
  <c r="P402" i="1"/>
  <c r="N402" i="1"/>
  <c r="B402" i="1"/>
  <c r="L402" i="1" s="1"/>
  <c r="F402" i="1" s="1"/>
  <c r="R401" i="1"/>
  <c r="P401" i="1"/>
  <c r="N401" i="1"/>
  <c r="B401" i="1"/>
  <c r="L401" i="1" s="1"/>
  <c r="F401" i="1" s="1"/>
  <c r="R400" i="1"/>
  <c r="P400" i="1"/>
  <c r="N400" i="1"/>
  <c r="B400" i="1"/>
  <c r="L400" i="1" s="1"/>
  <c r="F400" i="1" s="1"/>
  <c r="R399" i="1"/>
  <c r="P399" i="1"/>
  <c r="N399" i="1"/>
  <c r="B399" i="1"/>
  <c r="L399" i="1" s="1"/>
  <c r="F399" i="1" s="1"/>
  <c r="R398" i="1"/>
  <c r="P398" i="1"/>
  <c r="N398" i="1"/>
  <c r="K398" i="1"/>
  <c r="B398" i="1"/>
  <c r="L398" i="1" s="1"/>
  <c r="F398" i="1" s="1"/>
  <c r="R397" i="1"/>
  <c r="P397" i="1"/>
  <c r="N397" i="1"/>
  <c r="B397" i="1"/>
  <c r="L397" i="1" s="1"/>
  <c r="F397" i="1" s="1"/>
  <c r="R396" i="1"/>
  <c r="P396" i="1"/>
  <c r="N396" i="1"/>
  <c r="K396" i="1"/>
  <c r="B396" i="1"/>
  <c r="L396" i="1" s="1"/>
  <c r="F396" i="1" s="1"/>
  <c r="R395" i="1"/>
  <c r="P395" i="1"/>
  <c r="N395" i="1"/>
  <c r="B395" i="1"/>
  <c r="L395" i="1" s="1"/>
  <c r="F395" i="1" s="1"/>
  <c r="R394" i="1"/>
  <c r="P394" i="1"/>
  <c r="N394" i="1"/>
  <c r="B394" i="1"/>
  <c r="L394" i="1" s="1"/>
  <c r="F394" i="1" s="1"/>
  <c r="R393" i="1"/>
  <c r="P393" i="1"/>
  <c r="N393" i="1"/>
  <c r="B393" i="1"/>
  <c r="L393" i="1" s="1"/>
  <c r="F393" i="1" s="1"/>
  <c r="R392" i="1"/>
  <c r="P392" i="1"/>
  <c r="N392" i="1"/>
  <c r="B392" i="1"/>
  <c r="L392" i="1" s="1"/>
  <c r="F392" i="1" s="1"/>
  <c r="R391" i="1"/>
  <c r="P391" i="1"/>
  <c r="N391" i="1"/>
  <c r="B391" i="1"/>
  <c r="L391" i="1" s="1"/>
  <c r="F391" i="1" s="1"/>
  <c r="R390" i="1"/>
  <c r="P390" i="1"/>
  <c r="N390" i="1"/>
  <c r="B390" i="1"/>
  <c r="L390" i="1" s="1"/>
  <c r="F390" i="1" s="1"/>
  <c r="R389" i="1"/>
  <c r="P389" i="1"/>
  <c r="N389" i="1"/>
  <c r="B389" i="1"/>
  <c r="L389" i="1" s="1"/>
  <c r="F389" i="1" s="1"/>
  <c r="R388" i="1"/>
  <c r="P388" i="1"/>
  <c r="N388" i="1"/>
  <c r="L388" i="1"/>
  <c r="F388" i="1" s="1"/>
  <c r="R387" i="1"/>
  <c r="P387" i="1"/>
  <c r="N387" i="1"/>
  <c r="B387" i="1"/>
  <c r="L387" i="1" s="1"/>
  <c r="F387" i="1" s="1"/>
  <c r="R386" i="1"/>
  <c r="P386" i="1"/>
  <c r="N386" i="1"/>
  <c r="B386" i="1"/>
  <c r="L386" i="1" s="1"/>
  <c r="F386" i="1" s="1"/>
  <c r="R385" i="1"/>
  <c r="P385" i="1"/>
  <c r="N385" i="1"/>
  <c r="B385" i="1"/>
  <c r="L385" i="1" s="1"/>
  <c r="F385" i="1" s="1"/>
  <c r="R384" i="1"/>
  <c r="P384" i="1"/>
  <c r="N384" i="1"/>
  <c r="L384" i="1"/>
  <c r="F384" i="1" s="1"/>
  <c r="B384" i="1"/>
  <c r="R383" i="1"/>
  <c r="P383" i="1"/>
  <c r="N383" i="1"/>
  <c r="B383" i="1"/>
  <c r="L383" i="1" s="1"/>
  <c r="F383" i="1" s="1"/>
  <c r="R382" i="1"/>
  <c r="P382" i="1"/>
  <c r="N382" i="1"/>
  <c r="B382" i="1"/>
  <c r="L382" i="1" s="1"/>
  <c r="F382" i="1" s="1"/>
  <c r="R381" i="1"/>
  <c r="P381" i="1"/>
  <c r="N381" i="1"/>
  <c r="B381" i="1"/>
  <c r="L381" i="1" s="1"/>
  <c r="F381" i="1" s="1"/>
  <c r="R380" i="1"/>
  <c r="P380" i="1"/>
  <c r="N380" i="1"/>
  <c r="B380" i="1"/>
  <c r="L380" i="1" s="1"/>
  <c r="F380" i="1" s="1"/>
  <c r="R379" i="1"/>
  <c r="P379" i="1"/>
  <c r="N379" i="1"/>
  <c r="B379" i="1"/>
  <c r="L379" i="1" s="1"/>
  <c r="F379" i="1" s="1"/>
  <c r="R378" i="1"/>
  <c r="P378" i="1"/>
  <c r="N378" i="1"/>
  <c r="B378" i="1"/>
  <c r="L378" i="1" s="1"/>
  <c r="F378" i="1" s="1"/>
  <c r="R377" i="1"/>
  <c r="P377" i="1"/>
  <c r="N377" i="1"/>
  <c r="K377" i="1"/>
  <c r="B377" i="1"/>
  <c r="R376" i="1"/>
  <c r="P376" i="1"/>
  <c r="N376" i="1"/>
  <c r="B376" i="1"/>
  <c r="L376" i="1" s="1"/>
  <c r="F376" i="1" s="1"/>
  <c r="R375" i="1"/>
  <c r="P375" i="1"/>
  <c r="N375" i="1"/>
  <c r="B375" i="1"/>
  <c r="L375" i="1" s="1"/>
  <c r="F375" i="1" s="1"/>
  <c r="R374" i="1"/>
  <c r="P374" i="1"/>
  <c r="N374" i="1"/>
  <c r="B374" i="1"/>
  <c r="L374" i="1" s="1"/>
  <c r="F374" i="1" s="1"/>
  <c r="R373" i="1"/>
  <c r="P373" i="1"/>
  <c r="N373" i="1"/>
  <c r="B373" i="1"/>
  <c r="L373" i="1" s="1"/>
  <c r="F373" i="1" s="1"/>
  <c r="R372" i="1"/>
  <c r="P372" i="1"/>
  <c r="N372" i="1"/>
  <c r="B372" i="1"/>
  <c r="L372" i="1" s="1"/>
  <c r="F372" i="1" s="1"/>
  <c r="R371" i="1"/>
  <c r="P371" i="1"/>
  <c r="N371" i="1"/>
  <c r="K371" i="1"/>
  <c r="B371" i="1"/>
  <c r="R370" i="1"/>
  <c r="P370" i="1"/>
  <c r="N370" i="1"/>
  <c r="B370" i="1"/>
  <c r="L370" i="1" s="1"/>
  <c r="F370" i="1" s="1"/>
  <c r="R369" i="1"/>
  <c r="P369" i="1"/>
  <c r="N369" i="1"/>
  <c r="B369" i="1"/>
  <c r="L369" i="1" s="1"/>
  <c r="F369" i="1" s="1"/>
  <c r="R368" i="1"/>
  <c r="P368" i="1"/>
  <c r="N368" i="1"/>
  <c r="K368" i="1"/>
  <c r="B368" i="1"/>
  <c r="L368" i="1" s="1"/>
  <c r="F368" i="1" s="1"/>
  <c r="R367" i="1"/>
  <c r="P367" i="1"/>
  <c r="N367" i="1"/>
  <c r="K367" i="1"/>
  <c r="B367" i="1"/>
  <c r="L367" i="1" s="1"/>
  <c r="F367" i="1" s="1"/>
  <c r="R366" i="1"/>
  <c r="P366" i="1"/>
  <c r="N366" i="1"/>
  <c r="K366" i="1"/>
  <c r="B366" i="1"/>
  <c r="R365" i="1"/>
  <c r="P365" i="1"/>
  <c r="N365" i="1"/>
  <c r="B365" i="1"/>
  <c r="L365" i="1" s="1"/>
  <c r="F365" i="1" s="1"/>
  <c r="R364" i="1"/>
  <c r="P364" i="1"/>
  <c r="N364" i="1"/>
  <c r="B364" i="1"/>
  <c r="L364" i="1" s="1"/>
  <c r="F364" i="1" s="1"/>
  <c r="R363" i="1"/>
  <c r="P363" i="1"/>
  <c r="N363" i="1"/>
  <c r="B363" i="1"/>
  <c r="L363" i="1" s="1"/>
  <c r="F363" i="1" s="1"/>
  <c r="R362" i="1"/>
  <c r="P362" i="1"/>
  <c r="N362" i="1"/>
  <c r="B362" i="1"/>
  <c r="L362" i="1" s="1"/>
  <c r="F362" i="1" s="1"/>
  <c r="R361" i="1"/>
  <c r="P361" i="1"/>
  <c r="N361" i="1"/>
  <c r="B361" i="1"/>
  <c r="L361" i="1" s="1"/>
  <c r="F361" i="1" s="1"/>
  <c r="R360" i="1"/>
  <c r="P360" i="1"/>
  <c r="N360" i="1"/>
  <c r="B360" i="1"/>
  <c r="L360" i="1" s="1"/>
  <c r="F360" i="1" s="1"/>
  <c r="R359" i="1"/>
  <c r="P359" i="1"/>
  <c r="N359" i="1"/>
  <c r="K359" i="1"/>
  <c r="B359" i="1"/>
  <c r="L359" i="1" s="1"/>
  <c r="F359" i="1" s="1"/>
  <c r="R358" i="1"/>
  <c r="P358" i="1"/>
  <c r="N358" i="1"/>
  <c r="L358" i="1"/>
  <c r="F358" i="1" s="1"/>
  <c r="B358" i="1"/>
  <c r="R357" i="1"/>
  <c r="P357" i="1"/>
  <c r="N357" i="1"/>
  <c r="B357" i="1"/>
  <c r="L357" i="1" s="1"/>
  <c r="F357" i="1" s="1"/>
  <c r="R356" i="1"/>
  <c r="P356" i="1"/>
  <c r="N356" i="1"/>
  <c r="B356" i="1"/>
  <c r="L356" i="1" s="1"/>
  <c r="F356" i="1" s="1"/>
  <c r="R355" i="1"/>
  <c r="P355" i="1"/>
  <c r="N355" i="1"/>
  <c r="K355" i="1"/>
  <c r="B355" i="1"/>
  <c r="L355" i="1" s="1"/>
  <c r="F355" i="1" s="1"/>
  <c r="R354" i="1"/>
  <c r="P354" i="1"/>
  <c r="N354" i="1"/>
  <c r="B354" i="1"/>
  <c r="L354" i="1" s="1"/>
  <c r="F354" i="1" s="1"/>
  <c r="R353" i="1"/>
  <c r="P353" i="1"/>
  <c r="N353" i="1"/>
  <c r="K353" i="1"/>
  <c r="B353" i="1"/>
  <c r="R352" i="1"/>
  <c r="P352" i="1"/>
  <c r="N352" i="1"/>
  <c r="B352" i="1"/>
  <c r="L352" i="1" s="1"/>
  <c r="F352" i="1" s="1"/>
  <c r="R351" i="1"/>
  <c r="P351" i="1"/>
  <c r="N351" i="1"/>
  <c r="B351" i="1"/>
  <c r="L351" i="1" s="1"/>
  <c r="F351" i="1" s="1"/>
  <c r="R350" i="1"/>
  <c r="P350" i="1"/>
  <c r="N350" i="1"/>
  <c r="B350" i="1"/>
  <c r="L350" i="1" s="1"/>
  <c r="F350" i="1" s="1"/>
  <c r="R349" i="1"/>
  <c r="P349" i="1"/>
  <c r="N349" i="1"/>
  <c r="B349" i="1"/>
  <c r="L349" i="1" s="1"/>
  <c r="F349" i="1" s="1"/>
  <c r="R348" i="1"/>
  <c r="P348" i="1"/>
  <c r="N348" i="1"/>
  <c r="B348" i="1"/>
  <c r="L348" i="1" s="1"/>
  <c r="F348" i="1" s="1"/>
  <c r="R347" i="1"/>
  <c r="P347" i="1"/>
  <c r="N347" i="1"/>
  <c r="B347" i="1"/>
  <c r="L347" i="1" s="1"/>
  <c r="F347" i="1" s="1"/>
  <c r="R346" i="1"/>
  <c r="P346" i="1"/>
  <c r="N346" i="1"/>
  <c r="B346" i="1"/>
  <c r="L346" i="1" s="1"/>
  <c r="F346" i="1" s="1"/>
  <c r="R345" i="1"/>
  <c r="P345" i="1"/>
  <c r="N345" i="1"/>
  <c r="B345" i="1"/>
  <c r="L345" i="1" s="1"/>
  <c r="F345" i="1" s="1"/>
  <c r="R344" i="1"/>
  <c r="P344" i="1"/>
  <c r="N344" i="1"/>
  <c r="L344" i="1"/>
  <c r="F344" i="1" s="1"/>
  <c r="B344" i="1"/>
  <c r="R343" i="1"/>
  <c r="P343" i="1"/>
  <c r="N343" i="1"/>
  <c r="B343" i="1"/>
  <c r="L343" i="1" s="1"/>
  <c r="F343" i="1" s="1"/>
  <c r="R342" i="1"/>
  <c r="P342" i="1"/>
  <c r="N342" i="1"/>
  <c r="B342" i="1"/>
  <c r="L342" i="1" s="1"/>
  <c r="F342" i="1" s="1"/>
  <c r="R341" i="1"/>
  <c r="P341" i="1"/>
  <c r="N341" i="1"/>
  <c r="B341" i="1"/>
  <c r="L341" i="1" s="1"/>
  <c r="F341" i="1" s="1"/>
  <c r="R340" i="1"/>
  <c r="P340" i="1"/>
  <c r="N340" i="1"/>
  <c r="B340" i="1"/>
  <c r="L340" i="1" s="1"/>
  <c r="F340" i="1" s="1"/>
  <c r="R339" i="1"/>
  <c r="P339" i="1"/>
  <c r="N339" i="1"/>
  <c r="B339" i="1"/>
  <c r="L339" i="1" s="1"/>
  <c r="F339" i="1" s="1"/>
  <c r="R338" i="1"/>
  <c r="P338" i="1"/>
  <c r="N338" i="1"/>
  <c r="B338" i="1"/>
  <c r="L338" i="1" s="1"/>
  <c r="F338" i="1" s="1"/>
  <c r="R337" i="1"/>
  <c r="P337" i="1"/>
  <c r="N337" i="1"/>
  <c r="B337" i="1"/>
  <c r="L337" i="1" s="1"/>
  <c r="F337" i="1" s="1"/>
  <c r="R336" i="1"/>
  <c r="P336" i="1"/>
  <c r="N336" i="1"/>
  <c r="B336" i="1"/>
  <c r="L336" i="1" s="1"/>
  <c r="F336" i="1" s="1"/>
  <c r="R335" i="1"/>
  <c r="P335" i="1"/>
  <c r="N335" i="1"/>
  <c r="B335" i="1"/>
  <c r="L335" i="1" s="1"/>
  <c r="F335" i="1" s="1"/>
  <c r="R334" i="1"/>
  <c r="P334" i="1"/>
  <c r="N334" i="1"/>
  <c r="B334" i="1"/>
  <c r="L334" i="1" s="1"/>
  <c r="F334" i="1" s="1"/>
  <c r="R333" i="1"/>
  <c r="P333" i="1"/>
  <c r="N333" i="1"/>
  <c r="B333" i="1"/>
  <c r="L333" i="1" s="1"/>
  <c r="F333" i="1" s="1"/>
  <c r="R332" i="1"/>
  <c r="P332" i="1"/>
  <c r="N332" i="1"/>
  <c r="B332" i="1"/>
  <c r="L332" i="1" s="1"/>
  <c r="F332" i="1" s="1"/>
  <c r="R331" i="1"/>
  <c r="P331" i="1"/>
  <c r="N331" i="1"/>
  <c r="B331" i="1"/>
  <c r="L331" i="1" s="1"/>
  <c r="F331" i="1" s="1"/>
  <c r="R330" i="1"/>
  <c r="P330" i="1"/>
  <c r="N330" i="1"/>
  <c r="B330" i="1"/>
  <c r="L330" i="1" s="1"/>
  <c r="F330" i="1" s="1"/>
  <c r="R329" i="1"/>
  <c r="P329" i="1"/>
  <c r="N329" i="1"/>
  <c r="K329" i="1"/>
  <c r="B329" i="1"/>
  <c r="R328" i="1"/>
  <c r="P328" i="1"/>
  <c r="N328" i="1"/>
  <c r="B328" i="1"/>
  <c r="L328" i="1" s="1"/>
  <c r="F328" i="1" s="1"/>
  <c r="R327" i="1"/>
  <c r="P327" i="1"/>
  <c r="N327" i="1"/>
  <c r="B327" i="1"/>
  <c r="L327" i="1" s="1"/>
  <c r="F327" i="1" s="1"/>
  <c r="R326" i="1"/>
  <c r="P326" i="1"/>
  <c r="N326" i="1"/>
  <c r="B326" i="1"/>
  <c r="L326" i="1" s="1"/>
  <c r="F326" i="1" s="1"/>
  <c r="R325" i="1"/>
  <c r="P325" i="1"/>
  <c r="N325" i="1"/>
  <c r="B325" i="1"/>
  <c r="L325" i="1" s="1"/>
  <c r="F325" i="1" s="1"/>
  <c r="R324" i="1"/>
  <c r="P324" i="1"/>
  <c r="N324" i="1"/>
  <c r="B324" i="1"/>
  <c r="L324" i="1" s="1"/>
  <c r="F324" i="1" s="1"/>
  <c r="R323" i="1"/>
  <c r="P323" i="1"/>
  <c r="N323" i="1"/>
  <c r="B323" i="1"/>
  <c r="L323" i="1" s="1"/>
  <c r="F323" i="1" s="1"/>
  <c r="R322" i="1"/>
  <c r="P322" i="1"/>
  <c r="N322" i="1"/>
  <c r="B322" i="1"/>
  <c r="L322" i="1" s="1"/>
  <c r="F322" i="1" s="1"/>
  <c r="R321" i="1"/>
  <c r="P321" i="1"/>
  <c r="N321" i="1"/>
  <c r="B321" i="1"/>
  <c r="L321" i="1" s="1"/>
  <c r="F321" i="1" s="1"/>
  <c r="R320" i="1"/>
  <c r="P320" i="1"/>
  <c r="N320" i="1"/>
  <c r="B320" i="1"/>
  <c r="L320" i="1" s="1"/>
  <c r="F320" i="1" s="1"/>
  <c r="R319" i="1"/>
  <c r="P319" i="1"/>
  <c r="N319" i="1"/>
  <c r="L319" i="1"/>
  <c r="F319" i="1" s="1"/>
  <c r="B319" i="1"/>
  <c r="R318" i="1"/>
  <c r="P318" i="1"/>
  <c r="N318" i="1"/>
  <c r="B318" i="1"/>
  <c r="L318" i="1" s="1"/>
  <c r="F318" i="1" s="1"/>
  <c r="R317" i="1"/>
  <c r="P317" i="1"/>
  <c r="N317" i="1"/>
  <c r="B317" i="1"/>
  <c r="L317" i="1" s="1"/>
  <c r="F317" i="1" s="1"/>
  <c r="R316" i="1"/>
  <c r="P316" i="1"/>
  <c r="N316" i="1"/>
  <c r="B316" i="1"/>
  <c r="L316" i="1" s="1"/>
  <c r="F316" i="1" s="1"/>
  <c r="R315" i="1"/>
  <c r="P315" i="1"/>
  <c r="N315" i="1"/>
  <c r="B315" i="1"/>
  <c r="L315" i="1" s="1"/>
  <c r="F315" i="1" s="1"/>
  <c r="R314" i="1"/>
  <c r="P314" i="1"/>
  <c r="N314" i="1"/>
  <c r="B314" i="1"/>
  <c r="L314" i="1" s="1"/>
  <c r="F314" i="1" s="1"/>
  <c r="R313" i="1"/>
  <c r="P313" i="1"/>
  <c r="N313" i="1"/>
  <c r="B313" i="1"/>
  <c r="L313" i="1" s="1"/>
  <c r="F313" i="1" s="1"/>
  <c r="R312" i="1"/>
  <c r="P312" i="1"/>
  <c r="N312" i="1"/>
  <c r="B312" i="1"/>
  <c r="L312" i="1" s="1"/>
  <c r="F312" i="1" s="1"/>
  <c r="R311" i="1"/>
  <c r="P311" i="1"/>
  <c r="N311" i="1"/>
  <c r="B311" i="1"/>
  <c r="L311" i="1" s="1"/>
  <c r="F311" i="1" s="1"/>
  <c r="R310" i="1"/>
  <c r="P310" i="1"/>
  <c r="N310" i="1"/>
  <c r="B310" i="1"/>
  <c r="L310" i="1" s="1"/>
  <c r="F310" i="1" s="1"/>
  <c r="R309" i="1"/>
  <c r="P309" i="1"/>
  <c r="N309" i="1"/>
  <c r="B309" i="1"/>
  <c r="L309" i="1" s="1"/>
  <c r="F309" i="1" s="1"/>
  <c r="R308" i="1"/>
  <c r="P308" i="1"/>
  <c r="N308" i="1"/>
  <c r="B308" i="1"/>
  <c r="L308" i="1" s="1"/>
  <c r="F308" i="1" s="1"/>
  <c r="R307" i="1"/>
  <c r="P307" i="1"/>
  <c r="N307" i="1"/>
  <c r="B307" i="1"/>
  <c r="L307" i="1" s="1"/>
  <c r="F307" i="1" s="1"/>
  <c r="R306" i="1"/>
  <c r="P306" i="1"/>
  <c r="N306" i="1"/>
  <c r="B306" i="1"/>
  <c r="L306" i="1" s="1"/>
  <c r="F306" i="1" s="1"/>
  <c r="R305" i="1"/>
  <c r="P305" i="1"/>
  <c r="N305" i="1"/>
  <c r="B305" i="1"/>
  <c r="L305" i="1" s="1"/>
  <c r="F305" i="1" s="1"/>
  <c r="R304" i="1"/>
  <c r="P304" i="1"/>
  <c r="N304" i="1"/>
  <c r="B304" i="1"/>
  <c r="L304" i="1" s="1"/>
  <c r="F304" i="1" s="1"/>
  <c r="R303" i="1"/>
  <c r="P303" i="1"/>
  <c r="N303" i="1"/>
  <c r="K303" i="1"/>
  <c r="B303" i="1"/>
  <c r="R302" i="1"/>
  <c r="P302" i="1"/>
  <c r="N302" i="1"/>
  <c r="B302" i="1"/>
  <c r="L302" i="1" s="1"/>
  <c r="F302" i="1" s="1"/>
  <c r="R301" i="1"/>
  <c r="P301" i="1"/>
  <c r="N301" i="1"/>
  <c r="B301" i="1"/>
  <c r="L301" i="1" s="1"/>
  <c r="F301" i="1" s="1"/>
  <c r="R300" i="1"/>
  <c r="P300" i="1"/>
  <c r="N300" i="1"/>
  <c r="B300" i="1"/>
  <c r="L300" i="1" s="1"/>
  <c r="F300" i="1" s="1"/>
  <c r="R299" i="1"/>
  <c r="P299" i="1"/>
  <c r="N299" i="1"/>
  <c r="B299" i="1"/>
  <c r="L299" i="1" s="1"/>
  <c r="F299" i="1" s="1"/>
  <c r="R298" i="1"/>
  <c r="P298" i="1"/>
  <c r="N298" i="1"/>
  <c r="L298" i="1"/>
  <c r="F298" i="1" s="1"/>
  <c r="B298" i="1"/>
  <c r="R297" i="1"/>
  <c r="P297" i="1"/>
  <c r="N297" i="1"/>
  <c r="B297" i="1"/>
  <c r="L297" i="1" s="1"/>
  <c r="F297" i="1" s="1"/>
  <c r="R296" i="1"/>
  <c r="P296" i="1"/>
  <c r="N296" i="1"/>
  <c r="B296" i="1"/>
  <c r="L296" i="1" s="1"/>
  <c r="F296" i="1" s="1"/>
  <c r="R295" i="1"/>
  <c r="P295" i="1"/>
  <c r="N295" i="1"/>
  <c r="B295" i="1"/>
  <c r="L295" i="1" s="1"/>
  <c r="F295" i="1" s="1"/>
  <c r="R294" i="1"/>
  <c r="P294" i="1"/>
  <c r="N294" i="1"/>
  <c r="B294" i="1"/>
  <c r="L294" i="1" s="1"/>
  <c r="F294" i="1" s="1"/>
  <c r="R293" i="1"/>
  <c r="P293" i="1"/>
  <c r="N293" i="1"/>
  <c r="K293" i="1"/>
  <c r="B293" i="1"/>
  <c r="R292" i="1"/>
  <c r="P292" i="1"/>
  <c r="N292" i="1"/>
  <c r="K292" i="1"/>
  <c r="B292" i="1"/>
  <c r="L292" i="1" s="1"/>
  <c r="F292" i="1" s="1"/>
  <c r="R291" i="1"/>
  <c r="P291" i="1"/>
  <c r="N291" i="1"/>
  <c r="B291" i="1"/>
  <c r="L291" i="1" s="1"/>
  <c r="F291" i="1" s="1"/>
  <c r="R290" i="1"/>
  <c r="P290" i="1"/>
  <c r="N290" i="1"/>
  <c r="K290" i="1"/>
  <c r="B290" i="1"/>
  <c r="R289" i="1"/>
  <c r="P289" i="1"/>
  <c r="N289" i="1"/>
  <c r="B289" i="1"/>
  <c r="L289" i="1" s="1"/>
  <c r="F289" i="1" s="1"/>
  <c r="R288" i="1"/>
  <c r="P288" i="1"/>
  <c r="N288" i="1"/>
  <c r="B288" i="1"/>
  <c r="L288" i="1" s="1"/>
  <c r="F288" i="1" s="1"/>
  <c r="R287" i="1"/>
  <c r="P287" i="1"/>
  <c r="N287" i="1"/>
  <c r="L287" i="1"/>
  <c r="F287" i="1" s="1"/>
  <c r="B287" i="1"/>
  <c r="R286" i="1"/>
  <c r="P286" i="1"/>
  <c r="N286" i="1"/>
  <c r="B286" i="1"/>
  <c r="L286" i="1" s="1"/>
  <c r="F286" i="1" s="1"/>
  <c r="R285" i="1"/>
  <c r="P285" i="1"/>
  <c r="N285" i="1"/>
  <c r="K285" i="1"/>
  <c r="B285" i="1"/>
  <c r="L285" i="1" s="1"/>
  <c r="F285" i="1" s="1"/>
  <c r="R284" i="1"/>
  <c r="P284" i="1"/>
  <c r="N284" i="1"/>
  <c r="B284" i="1"/>
  <c r="L284" i="1" s="1"/>
  <c r="F284" i="1" s="1"/>
  <c r="R283" i="1"/>
  <c r="P283" i="1"/>
  <c r="N283" i="1"/>
  <c r="B283" i="1"/>
  <c r="L283" i="1" s="1"/>
  <c r="F283" i="1" s="1"/>
  <c r="R282" i="1"/>
  <c r="P282" i="1"/>
  <c r="N282" i="1"/>
  <c r="B282" i="1"/>
  <c r="L282" i="1" s="1"/>
  <c r="F282" i="1" s="1"/>
  <c r="R281" i="1"/>
  <c r="P281" i="1"/>
  <c r="N281" i="1"/>
  <c r="B281" i="1"/>
  <c r="L281" i="1" s="1"/>
  <c r="F281" i="1" s="1"/>
  <c r="R280" i="1"/>
  <c r="P280" i="1"/>
  <c r="N280" i="1"/>
  <c r="B280" i="1"/>
  <c r="L280" i="1" s="1"/>
  <c r="F280" i="1" s="1"/>
  <c r="R279" i="1"/>
  <c r="P279" i="1"/>
  <c r="N279" i="1"/>
  <c r="B279" i="1"/>
  <c r="L279" i="1" s="1"/>
  <c r="F279" i="1" s="1"/>
  <c r="R278" i="1"/>
  <c r="P278" i="1"/>
  <c r="N278" i="1"/>
  <c r="B278" i="1"/>
  <c r="L278" i="1" s="1"/>
  <c r="F278" i="1" s="1"/>
  <c r="R277" i="1"/>
  <c r="P277" i="1"/>
  <c r="N277" i="1"/>
  <c r="B277" i="1"/>
  <c r="L277" i="1" s="1"/>
  <c r="F277" i="1" s="1"/>
  <c r="R276" i="1"/>
  <c r="P276" i="1"/>
  <c r="N276" i="1"/>
  <c r="B276" i="1"/>
  <c r="L276" i="1" s="1"/>
  <c r="F276" i="1" s="1"/>
  <c r="R275" i="1"/>
  <c r="P275" i="1"/>
  <c r="N275" i="1"/>
  <c r="B275" i="1"/>
  <c r="L275" i="1" s="1"/>
  <c r="F275" i="1" s="1"/>
  <c r="R274" i="1"/>
  <c r="P274" i="1"/>
  <c r="N274" i="1"/>
  <c r="K274" i="1"/>
  <c r="B274" i="1"/>
  <c r="R273" i="1"/>
  <c r="P273" i="1"/>
  <c r="N273" i="1"/>
  <c r="B273" i="1"/>
  <c r="L273" i="1" s="1"/>
  <c r="F273" i="1" s="1"/>
  <c r="R272" i="1"/>
  <c r="P272" i="1"/>
  <c r="N272" i="1"/>
  <c r="B272" i="1"/>
  <c r="L272" i="1" s="1"/>
  <c r="F272" i="1" s="1"/>
  <c r="R271" i="1"/>
  <c r="P271" i="1"/>
  <c r="N271" i="1"/>
  <c r="K271" i="1"/>
  <c r="B271" i="1"/>
  <c r="R270" i="1"/>
  <c r="P270" i="1"/>
  <c r="N270" i="1"/>
  <c r="B270" i="1"/>
  <c r="L270" i="1" s="1"/>
  <c r="F270" i="1" s="1"/>
  <c r="R269" i="1"/>
  <c r="P269" i="1"/>
  <c r="N269" i="1"/>
  <c r="B269" i="1"/>
  <c r="L269" i="1" s="1"/>
  <c r="F269" i="1" s="1"/>
  <c r="R268" i="1"/>
  <c r="P268" i="1"/>
  <c r="N268" i="1"/>
  <c r="K268" i="1"/>
  <c r="B268" i="1"/>
  <c r="L268" i="1" s="1"/>
  <c r="F268" i="1" s="1"/>
  <c r="R267" i="1"/>
  <c r="P267" i="1"/>
  <c r="N267" i="1"/>
  <c r="B267" i="1"/>
  <c r="L267" i="1" s="1"/>
  <c r="F267" i="1" s="1"/>
  <c r="R266" i="1"/>
  <c r="P266" i="1"/>
  <c r="N266" i="1"/>
  <c r="B266" i="1"/>
  <c r="L266" i="1" s="1"/>
  <c r="F266" i="1" s="1"/>
  <c r="R265" i="1"/>
  <c r="P265" i="1"/>
  <c r="N265" i="1"/>
  <c r="B265" i="1"/>
  <c r="L265" i="1" s="1"/>
  <c r="F265" i="1" s="1"/>
  <c r="R264" i="1"/>
  <c r="P264" i="1"/>
  <c r="N264" i="1"/>
  <c r="B264" i="1"/>
  <c r="L264" i="1" s="1"/>
  <c r="F264" i="1" s="1"/>
  <c r="R263" i="1"/>
  <c r="P263" i="1"/>
  <c r="N263" i="1"/>
  <c r="B263" i="1"/>
  <c r="L263" i="1" s="1"/>
  <c r="F263" i="1" s="1"/>
  <c r="R262" i="1"/>
  <c r="P262" i="1"/>
  <c r="N262" i="1"/>
  <c r="B262" i="1"/>
  <c r="L262" i="1" s="1"/>
  <c r="F262" i="1" s="1"/>
  <c r="R261" i="1"/>
  <c r="P261" i="1"/>
  <c r="N261" i="1"/>
  <c r="B261" i="1"/>
  <c r="L261" i="1" s="1"/>
  <c r="F261" i="1" s="1"/>
  <c r="R260" i="1"/>
  <c r="P260" i="1"/>
  <c r="N260" i="1"/>
  <c r="B260" i="1"/>
  <c r="L260" i="1" s="1"/>
  <c r="F260" i="1" s="1"/>
  <c r="R259" i="1"/>
  <c r="P259" i="1"/>
  <c r="N259" i="1"/>
  <c r="B259" i="1"/>
  <c r="L259" i="1" s="1"/>
  <c r="F259" i="1" s="1"/>
  <c r="R258" i="1"/>
  <c r="P258" i="1"/>
  <c r="N258" i="1"/>
  <c r="B258" i="1"/>
  <c r="L258" i="1" s="1"/>
  <c r="F258" i="1" s="1"/>
  <c r="R257" i="1"/>
  <c r="P257" i="1"/>
  <c r="N257" i="1"/>
  <c r="B257" i="1"/>
  <c r="L257" i="1" s="1"/>
  <c r="F257" i="1" s="1"/>
  <c r="R256" i="1"/>
  <c r="P256" i="1"/>
  <c r="N256" i="1"/>
  <c r="L256" i="1"/>
  <c r="F256" i="1" s="1"/>
  <c r="B256" i="1"/>
  <c r="R255" i="1"/>
  <c r="P255" i="1"/>
  <c r="N255" i="1"/>
  <c r="B255" i="1"/>
  <c r="L255" i="1" s="1"/>
  <c r="F255" i="1" s="1"/>
  <c r="R254" i="1"/>
  <c r="P254" i="1"/>
  <c r="N254" i="1"/>
  <c r="B254" i="1"/>
  <c r="L254" i="1" s="1"/>
  <c r="F254" i="1" s="1"/>
  <c r="R253" i="1"/>
  <c r="P253" i="1"/>
  <c r="N253" i="1"/>
  <c r="B253" i="1"/>
  <c r="L253" i="1" s="1"/>
  <c r="F253" i="1" s="1"/>
  <c r="R252" i="1"/>
  <c r="P252" i="1"/>
  <c r="N252" i="1"/>
  <c r="B252" i="1"/>
  <c r="L252" i="1" s="1"/>
  <c r="F252" i="1" s="1"/>
  <c r="R251" i="1"/>
  <c r="P251" i="1"/>
  <c r="N251" i="1"/>
  <c r="K251" i="1"/>
  <c r="B251" i="1"/>
  <c r="L251" i="1" s="1"/>
  <c r="F251" i="1" s="1"/>
  <c r="R250" i="1"/>
  <c r="P250" i="1"/>
  <c r="N250" i="1"/>
  <c r="B250" i="1"/>
  <c r="L250" i="1" s="1"/>
  <c r="F250" i="1" s="1"/>
  <c r="R249" i="1"/>
  <c r="P249" i="1"/>
  <c r="N249" i="1"/>
  <c r="B249" i="1"/>
  <c r="L249" i="1" s="1"/>
  <c r="F249" i="1" s="1"/>
  <c r="R248" i="1"/>
  <c r="P248" i="1"/>
  <c r="N248" i="1"/>
  <c r="B248" i="1"/>
  <c r="L248" i="1" s="1"/>
  <c r="F248" i="1" s="1"/>
  <c r="R247" i="1"/>
  <c r="P247" i="1"/>
  <c r="N247" i="1"/>
  <c r="B247" i="1"/>
  <c r="L247" i="1" s="1"/>
  <c r="F247" i="1" s="1"/>
  <c r="R246" i="1"/>
  <c r="P246" i="1"/>
  <c r="N246" i="1"/>
  <c r="B246" i="1"/>
  <c r="L246" i="1" s="1"/>
  <c r="F246" i="1" s="1"/>
  <c r="R245" i="1"/>
  <c r="P245" i="1"/>
  <c r="N245" i="1"/>
  <c r="B245" i="1"/>
  <c r="L245" i="1" s="1"/>
  <c r="F245" i="1" s="1"/>
  <c r="R244" i="1"/>
  <c r="P244" i="1"/>
  <c r="N244" i="1"/>
  <c r="B244" i="1"/>
  <c r="L244" i="1" s="1"/>
  <c r="F244" i="1" s="1"/>
  <c r="R243" i="1"/>
  <c r="P243" i="1"/>
  <c r="N243" i="1"/>
  <c r="B243" i="1"/>
  <c r="L243" i="1" s="1"/>
  <c r="F243" i="1" s="1"/>
  <c r="R242" i="1"/>
  <c r="P242" i="1"/>
  <c r="N242" i="1"/>
  <c r="L242" i="1"/>
  <c r="F242" i="1" s="1"/>
  <c r="B242" i="1"/>
  <c r="R241" i="1"/>
  <c r="P241" i="1"/>
  <c r="N241" i="1"/>
  <c r="B241" i="1"/>
  <c r="L241" i="1" s="1"/>
  <c r="F241" i="1" s="1"/>
  <c r="R240" i="1"/>
  <c r="P240" i="1"/>
  <c r="N240" i="1"/>
  <c r="B240" i="1"/>
  <c r="L240" i="1" s="1"/>
  <c r="F240" i="1" s="1"/>
  <c r="R239" i="1"/>
  <c r="P239" i="1"/>
  <c r="N239" i="1"/>
  <c r="B239" i="1"/>
  <c r="L239" i="1" s="1"/>
  <c r="F239" i="1" s="1"/>
  <c r="R238" i="1"/>
  <c r="P238" i="1"/>
  <c r="N238" i="1"/>
  <c r="B238" i="1"/>
  <c r="L238" i="1" s="1"/>
  <c r="F238" i="1" s="1"/>
  <c r="R237" i="1"/>
  <c r="P237" i="1"/>
  <c r="N237" i="1"/>
  <c r="B237" i="1"/>
  <c r="L237" i="1" s="1"/>
  <c r="F237" i="1" s="1"/>
  <c r="R236" i="1"/>
  <c r="P236" i="1"/>
  <c r="N236" i="1"/>
  <c r="B236" i="1"/>
  <c r="L236" i="1" s="1"/>
  <c r="F236" i="1" s="1"/>
  <c r="R235" i="1"/>
  <c r="P235" i="1"/>
  <c r="N235" i="1"/>
  <c r="B235" i="1"/>
  <c r="L235" i="1" s="1"/>
  <c r="F235" i="1" s="1"/>
  <c r="R234" i="1"/>
  <c r="P234" i="1"/>
  <c r="N234" i="1"/>
  <c r="B234" i="1"/>
  <c r="L234" i="1" s="1"/>
  <c r="F234" i="1" s="1"/>
  <c r="R233" i="1"/>
  <c r="P233" i="1"/>
  <c r="N233" i="1"/>
  <c r="B233" i="1"/>
  <c r="L233" i="1" s="1"/>
  <c r="F233" i="1" s="1"/>
  <c r="R232" i="1"/>
  <c r="P232" i="1"/>
  <c r="N232" i="1"/>
  <c r="B232" i="1"/>
  <c r="L232" i="1" s="1"/>
  <c r="F232" i="1" s="1"/>
  <c r="R231" i="1"/>
  <c r="P231" i="1"/>
  <c r="N231" i="1"/>
  <c r="B231" i="1"/>
  <c r="L231" i="1" s="1"/>
  <c r="F231" i="1" s="1"/>
  <c r="R230" i="1"/>
  <c r="P230" i="1"/>
  <c r="N230" i="1"/>
  <c r="L230" i="1"/>
  <c r="F230" i="1" s="1"/>
  <c r="B230" i="1"/>
  <c r="R229" i="1"/>
  <c r="P229" i="1"/>
  <c r="N229" i="1"/>
  <c r="B229" i="1"/>
  <c r="L229" i="1" s="1"/>
  <c r="F229" i="1" s="1"/>
  <c r="R228" i="1"/>
  <c r="P228" i="1"/>
  <c r="N228" i="1"/>
  <c r="B228" i="1"/>
  <c r="L228" i="1" s="1"/>
  <c r="F228" i="1" s="1"/>
  <c r="R227" i="1"/>
  <c r="P227" i="1"/>
  <c r="N227" i="1"/>
  <c r="B227" i="1"/>
  <c r="L227" i="1" s="1"/>
  <c r="F227" i="1" s="1"/>
  <c r="R226" i="1"/>
  <c r="P226" i="1"/>
  <c r="N226" i="1"/>
  <c r="B226" i="1"/>
  <c r="L226" i="1" s="1"/>
  <c r="F226" i="1" s="1"/>
  <c r="R225" i="1"/>
  <c r="P225" i="1"/>
  <c r="N225" i="1"/>
  <c r="B225" i="1"/>
  <c r="L225" i="1" s="1"/>
  <c r="F225" i="1" s="1"/>
  <c r="R224" i="1"/>
  <c r="P224" i="1"/>
  <c r="N224" i="1"/>
  <c r="L224" i="1"/>
  <c r="F224" i="1" s="1"/>
  <c r="B224" i="1"/>
  <c r="R223" i="1"/>
  <c r="P223" i="1"/>
  <c r="N223" i="1"/>
  <c r="B223" i="1"/>
  <c r="L223" i="1" s="1"/>
  <c r="F223" i="1" s="1"/>
  <c r="R222" i="1"/>
  <c r="P222" i="1"/>
  <c r="N222" i="1"/>
  <c r="B222" i="1"/>
  <c r="L222" i="1" s="1"/>
  <c r="F222" i="1" s="1"/>
  <c r="R221" i="1"/>
  <c r="P221" i="1"/>
  <c r="N221" i="1"/>
  <c r="B221" i="1"/>
  <c r="L221" i="1" s="1"/>
  <c r="F221" i="1" s="1"/>
  <c r="R220" i="1"/>
  <c r="P220" i="1"/>
  <c r="N220" i="1"/>
  <c r="B220" i="1"/>
  <c r="L220" i="1" s="1"/>
  <c r="F220" i="1" s="1"/>
  <c r="R219" i="1"/>
  <c r="P219" i="1"/>
  <c r="N219" i="1"/>
  <c r="B219" i="1"/>
  <c r="L219" i="1" s="1"/>
  <c r="F219" i="1" s="1"/>
  <c r="R218" i="1"/>
  <c r="P218" i="1"/>
  <c r="N218" i="1"/>
  <c r="L218" i="1"/>
  <c r="F218" i="1" s="1"/>
  <c r="B218" i="1"/>
  <c r="R217" i="1"/>
  <c r="P217" i="1"/>
  <c r="N217" i="1"/>
  <c r="B217" i="1"/>
  <c r="L217" i="1" s="1"/>
  <c r="F217" i="1" s="1"/>
  <c r="R216" i="1"/>
  <c r="P216" i="1"/>
  <c r="N216" i="1"/>
  <c r="B216" i="1"/>
  <c r="L216" i="1" s="1"/>
  <c r="F216" i="1" s="1"/>
  <c r="R215" i="1"/>
  <c r="P215" i="1"/>
  <c r="N215" i="1"/>
  <c r="B215" i="1"/>
  <c r="L215" i="1" s="1"/>
  <c r="F215" i="1" s="1"/>
  <c r="R214" i="1"/>
  <c r="P214" i="1"/>
  <c r="N214" i="1"/>
  <c r="B214" i="1"/>
  <c r="L214" i="1" s="1"/>
  <c r="F214" i="1" s="1"/>
  <c r="R213" i="1"/>
  <c r="P213" i="1"/>
  <c r="N213" i="1"/>
  <c r="B213" i="1"/>
  <c r="L213" i="1" s="1"/>
  <c r="F213" i="1" s="1"/>
  <c r="R212" i="1"/>
  <c r="P212" i="1"/>
  <c r="N212" i="1"/>
  <c r="B212" i="1"/>
  <c r="L212" i="1" s="1"/>
  <c r="F212" i="1" s="1"/>
  <c r="R211" i="1"/>
  <c r="P211" i="1"/>
  <c r="N211" i="1"/>
  <c r="B211" i="1"/>
  <c r="L211" i="1" s="1"/>
  <c r="F211" i="1" s="1"/>
  <c r="R210" i="1"/>
  <c r="P210" i="1"/>
  <c r="N210" i="1"/>
  <c r="B210" i="1"/>
  <c r="L210" i="1" s="1"/>
  <c r="F210" i="1" s="1"/>
  <c r="R209" i="1"/>
  <c r="P209" i="1"/>
  <c r="N209" i="1"/>
  <c r="B209" i="1"/>
  <c r="L209" i="1" s="1"/>
  <c r="F209" i="1" s="1"/>
  <c r="R208" i="1"/>
  <c r="P208" i="1"/>
  <c r="N208" i="1"/>
  <c r="B208" i="1"/>
  <c r="L208" i="1" s="1"/>
  <c r="F208" i="1" s="1"/>
  <c r="R207" i="1"/>
  <c r="P207" i="1"/>
  <c r="N207" i="1"/>
  <c r="B207" i="1"/>
  <c r="L207" i="1" s="1"/>
  <c r="F207" i="1" s="1"/>
  <c r="R206" i="1"/>
  <c r="P206" i="1"/>
  <c r="N206" i="1"/>
  <c r="B206" i="1"/>
  <c r="L206" i="1" s="1"/>
  <c r="F206" i="1" s="1"/>
  <c r="R205" i="1"/>
  <c r="P205" i="1"/>
  <c r="N205" i="1"/>
  <c r="B205" i="1"/>
  <c r="L205" i="1" s="1"/>
  <c r="F205" i="1" s="1"/>
  <c r="R204" i="1"/>
  <c r="P204" i="1"/>
  <c r="N204" i="1"/>
  <c r="B204" i="1"/>
  <c r="L204" i="1" s="1"/>
  <c r="F204" i="1" s="1"/>
  <c r="R203" i="1"/>
  <c r="P203" i="1"/>
  <c r="N203" i="1"/>
  <c r="K203" i="1"/>
  <c r="B203" i="1"/>
  <c r="R202" i="1"/>
  <c r="P202" i="1"/>
  <c r="N202" i="1"/>
  <c r="B202" i="1"/>
  <c r="L202" i="1" s="1"/>
  <c r="F202" i="1" s="1"/>
  <c r="R201" i="1"/>
  <c r="P201" i="1"/>
  <c r="N201" i="1"/>
  <c r="B201" i="1"/>
  <c r="L201" i="1" s="1"/>
  <c r="F201" i="1" s="1"/>
  <c r="R200" i="1"/>
  <c r="P200" i="1"/>
  <c r="N200" i="1"/>
  <c r="B200" i="1"/>
  <c r="L200" i="1" s="1"/>
  <c r="F200" i="1" s="1"/>
  <c r="R199" i="1"/>
  <c r="P199" i="1"/>
  <c r="N199" i="1"/>
  <c r="B199" i="1"/>
  <c r="L199" i="1" s="1"/>
  <c r="F199" i="1" s="1"/>
  <c r="R198" i="1"/>
  <c r="P198" i="1"/>
  <c r="N198" i="1"/>
  <c r="B198" i="1"/>
  <c r="L198" i="1" s="1"/>
  <c r="F198" i="1" s="1"/>
  <c r="R197" i="1"/>
  <c r="P197" i="1"/>
  <c r="N197" i="1"/>
  <c r="K197" i="1"/>
  <c r="B197" i="1"/>
  <c r="L197" i="1" s="1"/>
  <c r="F197" i="1" s="1"/>
  <c r="R196" i="1"/>
  <c r="P196" i="1"/>
  <c r="N196" i="1"/>
  <c r="L196" i="1"/>
  <c r="F196" i="1" s="1"/>
  <c r="B196" i="1"/>
  <c r="R195" i="1"/>
  <c r="P195" i="1"/>
  <c r="N195" i="1"/>
  <c r="B195" i="1"/>
  <c r="L195" i="1" s="1"/>
  <c r="F195" i="1" s="1"/>
  <c r="R194" i="1"/>
  <c r="P194" i="1"/>
  <c r="N194" i="1"/>
  <c r="B194" i="1"/>
  <c r="L194" i="1" s="1"/>
  <c r="F194" i="1" s="1"/>
  <c r="R193" i="1"/>
  <c r="P193" i="1"/>
  <c r="N193" i="1"/>
  <c r="B193" i="1"/>
  <c r="L193" i="1" s="1"/>
  <c r="F193" i="1" s="1"/>
  <c r="R192" i="1"/>
  <c r="P192" i="1"/>
  <c r="N192" i="1"/>
  <c r="B192" i="1"/>
  <c r="L192" i="1" s="1"/>
  <c r="F192" i="1" s="1"/>
  <c r="R191" i="1"/>
  <c r="P191" i="1"/>
  <c r="N191" i="1"/>
  <c r="B191" i="1"/>
  <c r="L191" i="1" s="1"/>
  <c r="F191" i="1" s="1"/>
  <c r="R190" i="1"/>
  <c r="P190" i="1"/>
  <c r="N190" i="1"/>
  <c r="B190" i="1"/>
  <c r="L190" i="1" s="1"/>
  <c r="F190" i="1" s="1"/>
  <c r="R189" i="1"/>
  <c r="P189" i="1"/>
  <c r="N189" i="1"/>
  <c r="B189" i="1"/>
  <c r="L189" i="1" s="1"/>
  <c r="F189" i="1" s="1"/>
  <c r="R188" i="1"/>
  <c r="P188" i="1"/>
  <c r="N188" i="1"/>
  <c r="L188" i="1"/>
  <c r="F188" i="1" s="1"/>
  <c r="B188" i="1"/>
  <c r="R187" i="1"/>
  <c r="P187" i="1"/>
  <c r="N187" i="1"/>
  <c r="B187" i="1"/>
  <c r="L187" i="1" s="1"/>
  <c r="F187" i="1" s="1"/>
  <c r="R186" i="1"/>
  <c r="P186" i="1"/>
  <c r="N186" i="1"/>
  <c r="B186" i="1"/>
  <c r="L186" i="1" s="1"/>
  <c r="F186" i="1" s="1"/>
  <c r="R185" i="1"/>
  <c r="P185" i="1"/>
  <c r="N185" i="1"/>
  <c r="B185" i="1"/>
  <c r="L185" i="1" s="1"/>
  <c r="F185" i="1" s="1"/>
  <c r="R184" i="1"/>
  <c r="P184" i="1"/>
  <c r="N184" i="1"/>
  <c r="B184" i="1"/>
  <c r="L184" i="1" s="1"/>
  <c r="F184" i="1" s="1"/>
  <c r="R183" i="1"/>
  <c r="P183" i="1"/>
  <c r="N183" i="1"/>
  <c r="B183" i="1"/>
  <c r="L183" i="1" s="1"/>
  <c r="F183" i="1" s="1"/>
  <c r="R182" i="1"/>
  <c r="P182" i="1"/>
  <c r="N182" i="1"/>
  <c r="B182" i="1"/>
  <c r="L182" i="1" s="1"/>
  <c r="F182" i="1" s="1"/>
  <c r="R181" i="1"/>
  <c r="P181" i="1"/>
  <c r="N181" i="1"/>
  <c r="B181" i="1"/>
  <c r="L181" i="1" s="1"/>
  <c r="F181" i="1" s="1"/>
  <c r="R180" i="1"/>
  <c r="P180" i="1"/>
  <c r="N180" i="1"/>
  <c r="B180" i="1"/>
  <c r="L180" i="1" s="1"/>
  <c r="F180" i="1" s="1"/>
  <c r="R179" i="1"/>
  <c r="P179" i="1"/>
  <c r="N179" i="1"/>
  <c r="B179" i="1"/>
  <c r="L179" i="1" s="1"/>
  <c r="F179" i="1" s="1"/>
  <c r="R178" i="1"/>
  <c r="P178" i="1"/>
  <c r="N178" i="1"/>
  <c r="B178" i="1"/>
  <c r="L178" i="1" s="1"/>
  <c r="F178" i="1" s="1"/>
  <c r="R177" i="1"/>
  <c r="P177" i="1"/>
  <c r="N177" i="1"/>
  <c r="B177" i="1"/>
  <c r="L177" i="1" s="1"/>
  <c r="F177" i="1" s="1"/>
  <c r="R176" i="1"/>
  <c r="P176" i="1"/>
  <c r="N176" i="1"/>
  <c r="B176" i="1"/>
  <c r="L176" i="1" s="1"/>
  <c r="F176" i="1" s="1"/>
  <c r="R175" i="1"/>
  <c r="P175" i="1"/>
  <c r="N175" i="1"/>
  <c r="B175" i="1"/>
  <c r="L175" i="1" s="1"/>
  <c r="F175" i="1" s="1"/>
  <c r="R174" i="1"/>
  <c r="P174" i="1"/>
  <c r="N174" i="1"/>
  <c r="B174" i="1"/>
  <c r="L174" i="1" s="1"/>
  <c r="F174" i="1" s="1"/>
  <c r="R173" i="1"/>
  <c r="P173" i="1"/>
  <c r="N173" i="1"/>
  <c r="B173" i="1"/>
  <c r="L173" i="1" s="1"/>
  <c r="F173" i="1" s="1"/>
  <c r="R172" i="1"/>
  <c r="P172" i="1"/>
  <c r="N172" i="1"/>
  <c r="L172" i="1"/>
  <c r="F172" i="1" s="1"/>
  <c r="B172" i="1"/>
  <c r="R171" i="1"/>
  <c r="P171" i="1"/>
  <c r="N171" i="1"/>
  <c r="B171" i="1"/>
  <c r="L171" i="1" s="1"/>
  <c r="F171" i="1" s="1"/>
  <c r="R170" i="1"/>
  <c r="P170" i="1"/>
  <c r="N170" i="1"/>
  <c r="B170" i="1"/>
  <c r="L170" i="1" s="1"/>
  <c r="F170" i="1" s="1"/>
  <c r="R169" i="1"/>
  <c r="P169" i="1"/>
  <c r="N169" i="1"/>
  <c r="K169" i="1"/>
  <c r="B169" i="1"/>
  <c r="R168" i="1"/>
  <c r="P168" i="1"/>
  <c r="N168" i="1"/>
  <c r="B168" i="1"/>
  <c r="L168" i="1" s="1"/>
  <c r="F168" i="1" s="1"/>
  <c r="R167" i="1"/>
  <c r="P167" i="1"/>
  <c r="N167" i="1"/>
  <c r="B167" i="1"/>
  <c r="L167" i="1" s="1"/>
  <c r="F167" i="1" s="1"/>
  <c r="R166" i="1"/>
  <c r="P166" i="1"/>
  <c r="N166" i="1"/>
  <c r="B166" i="1"/>
  <c r="L166" i="1" s="1"/>
  <c r="F166" i="1" s="1"/>
  <c r="R165" i="1"/>
  <c r="P165" i="1"/>
  <c r="N165" i="1"/>
  <c r="B165" i="1"/>
  <c r="L165" i="1" s="1"/>
  <c r="F165" i="1" s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B162" i="1"/>
  <c r="L162" i="1" s="1"/>
  <c r="F162" i="1" s="1"/>
  <c r="R161" i="1"/>
  <c r="P161" i="1"/>
  <c r="N161" i="1"/>
  <c r="B161" i="1"/>
  <c r="L161" i="1" s="1"/>
  <c r="F161" i="1" s="1"/>
  <c r="R160" i="1"/>
  <c r="P160" i="1"/>
  <c r="N160" i="1"/>
  <c r="B160" i="1"/>
  <c r="L160" i="1" s="1"/>
  <c r="F160" i="1" s="1"/>
  <c r="R159" i="1"/>
  <c r="P159" i="1"/>
  <c r="N159" i="1"/>
  <c r="B159" i="1"/>
  <c r="L159" i="1" s="1"/>
  <c r="F159" i="1" s="1"/>
  <c r="R158" i="1"/>
  <c r="P158" i="1"/>
  <c r="N158" i="1"/>
  <c r="K158" i="1"/>
  <c r="B158" i="1"/>
  <c r="R157" i="1"/>
  <c r="P157" i="1"/>
  <c r="N157" i="1"/>
  <c r="K157" i="1"/>
  <c r="B157" i="1"/>
  <c r="R156" i="1"/>
  <c r="P156" i="1"/>
  <c r="N156" i="1"/>
  <c r="B156" i="1"/>
  <c r="L156" i="1" s="1"/>
  <c r="F156" i="1" s="1"/>
  <c r="R155" i="1"/>
  <c r="P155" i="1"/>
  <c r="N155" i="1"/>
  <c r="K155" i="1"/>
  <c r="B155" i="1"/>
  <c r="L155" i="1" s="1"/>
  <c r="F155" i="1" s="1"/>
  <c r="R154" i="1"/>
  <c r="P154" i="1"/>
  <c r="N154" i="1"/>
  <c r="B154" i="1"/>
  <c r="L154" i="1" s="1"/>
  <c r="F154" i="1" s="1"/>
  <c r="R153" i="1"/>
  <c r="P153" i="1"/>
  <c r="N153" i="1"/>
  <c r="K153" i="1"/>
  <c r="B153" i="1"/>
  <c r="R152" i="1"/>
  <c r="P152" i="1"/>
  <c r="N152" i="1"/>
  <c r="K152" i="1"/>
  <c r="B152" i="1"/>
  <c r="L152" i="1" s="1"/>
  <c r="F152" i="1" s="1"/>
  <c r="R151" i="1"/>
  <c r="P151" i="1"/>
  <c r="N151" i="1"/>
  <c r="B151" i="1"/>
  <c r="L151" i="1" s="1"/>
  <c r="F151" i="1" s="1"/>
  <c r="R150" i="1"/>
  <c r="P150" i="1"/>
  <c r="N150" i="1"/>
  <c r="B150" i="1"/>
  <c r="L150" i="1" s="1"/>
  <c r="F150" i="1" s="1"/>
  <c r="R149" i="1"/>
  <c r="P149" i="1"/>
  <c r="N149" i="1"/>
  <c r="B149" i="1"/>
  <c r="L149" i="1" s="1"/>
  <c r="F149" i="1" s="1"/>
  <c r="R148" i="1"/>
  <c r="P148" i="1"/>
  <c r="N148" i="1"/>
  <c r="B148" i="1"/>
  <c r="L148" i="1" s="1"/>
  <c r="F148" i="1" s="1"/>
  <c r="R147" i="1"/>
  <c r="P147" i="1"/>
  <c r="N147" i="1"/>
  <c r="B147" i="1"/>
  <c r="L147" i="1" s="1"/>
  <c r="F147" i="1" s="1"/>
  <c r="R146" i="1"/>
  <c r="P146" i="1"/>
  <c r="N146" i="1"/>
  <c r="B146" i="1"/>
  <c r="L146" i="1" s="1"/>
  <c r="F146" i="1" s="1"/>
  <c r="R145" i="1"/>
  <c r="P145" i="1"/>
  <c r="N145" i="1"/>
  <c r="B145" i="1"/>
  <c r="L145" i="1" s="1"/>
  <c r="F145" i="1" s="1"/>
  <c r="R144" i="1"/>
  <c r="P144" i="1"/>
  <c r="N144" i="1"/>
  <c r="B144" i="1"/>
  <c r="L144" i="1" s="1"/>
  <c r="F144" i="1" s="1"/>
  <c r="R143" i="1"/>
  <c r="P143" i="1"/>
  <c r="N143" i="1"/>
  <c r="B143" i="1"/>
  <c r="L143" i="1" s="1"/>
  <c r="F143" i="1" s="1"/>
  <c r="R142" i="1"/>
  <c r="P142" i="1"/>
  <c r="N142" i="1"/>
  <c r="B142" i="1"/>
  <c r="L142" i="1" s="1"/>
  <c r="F142" i="1" s="1"/>
  <c r="R141" i="1"/>
  <c r="P141" i="1"/>
  <c r="N141" i="1"/>
  <c r="B141" i="1"/>
  <c r="L141" i="1" s="1"/>
  <c r="F141" i="1" s="1"/>
  <c r="R140" i="1"/>
  <c r="P140" i="1"/>
  <c r="N140" i="1"/>
  <c r="B140" i="1"/>
  <c r="L140" i="1" s="1"/>
  <c r="F140" i="1" s="1"/>
  <c r="R139" i="1"/>
  <c r="P139" i="1"/>
  <c r="N139" i="1"/>
  <c r="B139" i="1"/>
  <c r="L139" i="1" s="1"/>
  <c r="F139" i="1" s="1"/>
  <c r="R138" i="1"/>
  <c r="P138" i="1"/>
  <c r="N138" i="1"/>
  <c r="L138" i="1"/>
  <c r="F138" i="1" s="1"/>
  <c r="B138" i="1"/>
  <c r="R137" i="1"/>
  <c r="P137" i="1"/>
  <c r="N137" i="1"/>
  <c r="B137" i="1"/>
  <c r="L137" i="1" s="1"/>
  <c r="F137" i="1" s="1"/>
  <c r="R136" i="1"/>
  <c r="P136" i="1"/>
  <c r="N136" i="1"/>
  <c r="B136" i="1"/>
  <c r="L136" i="1" s="1"/>
  <c r="F136" i="1" s="1"/>
  <c r="R135" i="1"/>
  <c r="P135" i="1"/>
  <c r="N135" i="1"/>
  <c r="B135" i="1"/>
  <c r="L135" i="1" s="1"/>
  <c r="F135" i="1" s="1"/>
  <c r="R134" i="1"/>
  <c r="P134" i="1"/>
  <c r="N134" i="1"/>
  <c r="B134" i="1"/>
  <c r="L134" i="1" s="1"/>
  <c r="F134" i="1" s="1"/>
  <c r="R133" i="1"/>
  <c r="P133" i="1"/>
  <c r="N133" i="1"/>
  <c r="B133" i="1"/>
  <c r="L133" i="1" s="1"/>
  <c r="F133" i="1" s="1"/>
  <c r="R132" i="1"/>
  <c r="P132" i="1"/>
  <c r="N132" i="1"/>
  <c r="B132" i="1"/>
  <c r="L132" i="1" s="1"/>
  <c r="F132" i="1" s="1"/>
  <c r="R131" i="1"/>
  <c r="P131" i="1"/>
  <c r="N131" i="1"/>
  <c r="K131" i="1"/>
  <c r="B131" i="1"/>
  <c r="R130" i="1"/>
  <c r="P130" i="1"/>
  <c r="N130" i="1"/>
  <c r="B130" i="1"/>
  <c r="L130" i="1" s="1"/>
  <c r="F130" i="1" s="1"/>
  <c r="R129" i="1"/>
  <c r="P129" i="1"/>
  <c r="N129" i="1"/>
  <c r="B129" i="1"/>
  <c r="L129" i="1" s="1"/>
  <c r="F129" i="1" s="1"/>
  <c r="R128" i="1"/>
  <c r="P128" i="1"/>
  <c r="N128" i="1"/>
  <c r="B128" i="1"/>
  <c r="L128" i="1" s="1"/>
  <c r="F128" i="1" s="1"/>
  <c r="R127" i="1"/>
  <c r="P127" i="1"/>
  <c r="N127" i="1"/>
  <c r="B127" i="1"/>
  <c r="L127" i="1" s="1"/>
  <c r="F127" i="1" s="1"/>
  <c r="R126" i="1"/>
  <c r="P126" i="1"/>
  <c r="N126" i="1"/>
  <c r="B126" i="1"/>
  <c r="L126" i="1" s="1"/>
  <c r="F126" i="1" s="1"/>
  <c r="R125" i="1"/>
  <c r="P125" i="1"/>
  <c r="N125" i="1"/>
  <c r="B125" i="1"/>
  <c r="L125" i="1" s="1"/>
  <c r="F125" i="1" s="1"/>
  <c r="R124" i="1"/>
  <c r="P124" i="1"/>
  <c r="N124" i="1"/>
  <c r="B124" i="1"/>
  <c r="L124" i="1" s="1"/>
  <c r="F124" i="1" s="1"/>
  <c r="R123" i="1"/>
  <c r="P123" i="1"/>
  <c r="N123" i="1"/>
  <c r="L123" i="1"/>
  <c r="F123" i="1" s="1"/>
  <c r="B123" i="1"/>
  <c r="R122" i="1"/>
  <c r="P122" i="1"/>
  <c r="N122" i="1"/>
  <c r="B122" i="1"/>
  <c r="L122" i="1" s="1"/>
  <c r="F122" i="1" s="1"/>
  <c r="R121" i="1"/>
  <c r="P121" i="1"/>
  <c r="N121" i="1"/>
  <c r="B121" i="1"/>
  <c r="L121" i="1" s="1"/>
  <c r="F121" i="1" s="1"/>
  <c r="R120" i="1"/>
  <c r="P120" i="1"/>
  <c r="N120" i="1"/>
  <c r="B120" i="1"/>
  <c r="L120" i="1" s="1"/>
  <c r="F120" i="1" s="1"/>
  <c r="R119" i="1"/>
  <c r="P119" i="1"/>
  <c r="N119" i="1"/>
  <c r="B119" i="1"/>
  <c r="L119" i="1" s="1"/>
  <c r="F119" i="1" s="1"/>
  <c r="R118" i="1"/>
  <c r="P118" i="1"/>
  <c r="N118" i="1"/>
  <c r="B118" i="1"/>
  <c r="L118" i="1" s="1"/>
  <c r="F118" i="1" s="1"/>
  <c r="R117" i="1"/>
  <c r="P117" i="1"/>
  <c r="N117" i="1"/>
  <c r="B117" i="1"/>
  <c r="L117" i="1" s="1"/>
  <c r="F117" i="1" s="1"/>
  <c r="R116" i="1"/>
  <c r="P116" i="1"/>
  <c r="N116" i="1"/>
  <c r="B116" i="1"/>
  <c r="L116" i="1" s="1"/>
  <c r="F116" i="1" s="1"/>
  <c r="R115" i="1"/>
  <c r="P115" i="1"/>
  <c r="N115" i="1"/>
  <c r="B115" i="1"/>
  <c r="L115" i="1" s="1"/>
  <c r="F115" i="1" s="1"/>
  <c r="R114" i="1"/>
  <c r="P114" i="1"/>
  <c r="N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K112" i="1"/>
  <c r="B112" i="1"/>
  <c r="R111" i="1"/>
  <c r="P111" i="1"/>
  <c r="N111" i="1"/>
  <c r="B111" i="1"/>
  <c r="L111" i="1" s="1"/>
  <c r="F111" i="1" s="1"/>
  <c r="R110" i="1"/>
  <c r="P110" i="1"/>
  <c r="N110" i="1"/>
  <c r="K110" i="1"/>
  <c r="B110" i="1"/>
  <c r="L110" i="1" s="1"/>
  <c r="F110" i="1" s="1"/>
  <c r="R109" i="1"/>
  <c r="P109" i="1"/>
  <c r="N109" i="1"/>
  <c r="B109" i="1"/>
  <c r="L109" i="1" s="1"/>
  <c r="F109" i="1" s="1"/>
  <c r="R108" i="1"/>
  <c r="P108" i="1"/>
  <c r="N108" i="1"/>
  <c r="B108" i="1"/>
  <c r="L108" i="1" s="1"/>
  <c r="F108" i="1" s="1"/>
  <c r="R107" i="1"/>
  <c r="P107" i="1"/>
  <c r="N107" i="1"/>
  <c r="B107" i="1"/>
  <c r="L107" i="1" s="1"/>
  <c r="F107" i="1" s="1"/>
  <c r="R106" i="1"/>
  <c r="P106" i="1"/>
  <c r="N106" i="1"/>
  <c r="B106" i="1"/>
  <c r="L106" i="1" s="1"/>
  <c r="F106" i="1" s="1"/>
  <c r="R105" i="1"/>
  <c r="P105" i="1"/>
  <c r="N105" i="1"/>
  <c r="B105" i="1"/>
  <c r="L105" i="1" s="1"/>
  <c r="F105" i="1" s="1"/>
  <c r="R104" i="1"/>
  <c r="P104" i="1"/>
  <c r="N104" i="1"/>
  <c r="B104" i="1"/>
  <c r="L104" i="1" s="1"/>
  <c r="F104" i="1" s="1"/>
  <c r="R103" i="1"/>
  <c r="P103" i="1"/>
  <c r="N103" i="1"/>
  <c r="B103" i="1"/>
  <c r="L103" i="1" s="1"/>
  <c r="F103" i="1" s="1"/>
  <c r="R102" i="1"/>
  <c r="P102" i="1"/>
  <c r="N102" i="1"/>
  <c r="B102" i="1"/>
  <c r="L102" i="1" s="1"/>
  <c r="F102" i="1" s="1"/>
  <c r="R101" i="1"/>
  <c r="P101" i="1"/>
  <c r="N101" i="1"/>
  <c r="B101" i="1"/>
  <c r="L101" i="1" s="1"/>
  <c r="F101" i="1" s="1"/>
  <c r="R100" i="1"/>
  <c r="P100" i="1"/>
  <c r="N100" i="1"/>
  <c r="K100" i="1"/>
  <c r="B100" i="1"/>
  <c r="L100" i="1" s="1"/>
  <c r="F100" i="1" s="1"/>
  <c r="R99" i="1"/>
  <c r="P99" i="1"/>
  <c r="N99" i="1"/>
  <c r="B99" i="1"/>
  <c r="L99" i="1" s="1"/>
  <c r="F99" i="1" s="1"/>
  <c r="R98" i="1"/>
  <c r="P98" i="1"/>
  <c r="N98" i="1"/>
  <c r="B98" i="1"/>
  <c r="L98" i="1" s="1"/>
  <c r="F98" i="1" s="1"/>
  <c r="R97" i="1"/>
  <c r="P97" i="1"/>
  <c r="N97" i="1"/>
  <c r="B97" i="1"/>
  <c r="L97" i="1" s="1"/>
  <c r="F97" i="1" s="1"/>
  <c r="R96" i="1"/>
  <c r="P96" i="1"/>
  <c r="N96" i="1"/>
  <c r="K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B94" i="1"/>
  <c r="L94" i="1" s="1"/>
  <c r="F94" i="1" s="1"/>
  <c r="R93" i="1"/>
  <c r="P93" i="1"/>
  <c r="N93" i="1"/>
  <c r="B93" i="1"/>
  <c r="L93" i="1" s="1"/>
  <c r="F93" i="1" s="1"/>
  <c r="R92" i="1"/>
  <c r="P92" i="1"/>
  <c r="N92" i="1"/>
  <c r="B92" i="1"/>
  <c r="L92" i="1" s="1"/>
  <c r="F92" i="1" s="1"/>
  <c r="R91" i="1"/>
  <c r="P91" i="1"/>
  <c r="N91" i="1"/>
  <c r="L91" i="1"/>
  <c r="F91" i="1" s="1"/>
  <c r="B91" i="1"/>
  <c r="R90" i="1"/>
  <c r="P90" i="1"/>
  <c r="N90" i="1"/>
  <c r="B90" i="1"/>
  <c r="L90" i="1" s="1"/>
  <c r="F90" i="1" s="1"/>
  <c r="R89" i="1"/>
  <c r="P89" i="1"/>
  <c r="N89" i="1"/>
  <c r="B89" i="1"/>
  <c r="L89" i="1" s="1"/>
  <c r="F89" i="1" s="1"/>
  <c r="R88" i="1"/>
  <c r="P88" i="1"/>
  <c r="N88" i="1"/>
  <c r="B88" i="1"/>
  <c r="L88" i="1" s="1"/>
  <c r="F88" i="1" s="1"/>
  <c r="R87" i="1"/>
  <c r="P87" i="1"/>
  <c r="N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B85" i="1"/>
  <c r="L85" i="1" s="1"/>
  <c r="F85" i="1" s="1"/>
  <c r="R84" i="1"/>
  <c r="P84" i="1"/>
  <c r="N84" i="1"/>
  <c r="B84" i="1"/>
  <c r="L84" i="1" s="1"/>
  <c r="F84" i="1" s="1"/>
  <c r="R83" i="1"/>
  <c r="P83" i="1"/>
  <c r="N83" i="1"/>
  <c r="B83" i="1"/>
  <c r="L83" i="1" s="1"/>
  <c r="F83" i="1" s="1"/>
  <c r="R82" i="1"/>
  <c r="P82" i="1"/>
  <c r="N82" i="1"/>
  <c r="B82" i="1"/>
  <c r="L82" i="1" s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B78" i="1"/>
  <c r="L78" i="1" s="1"/>
  <c r="F78" i="1" s="1"/>
  <c r="R77" i="1"/>
  <c r="P77" i="1"/>
  <c r="N77" i="1"/>
  <c r="K77" i="1"/>
  <c r="B77" i="1"/>
  <c r="R76" i="1"/>
  <c r="P76" i="1"/>
  <c r="N76" i="1"/>
  <c r="K76" i="1"/>
  <c r="B76" i="1"/>
  <c r="L76" i="1" s="1"/>
  <c r="F76" i="1" s="1"/>
  <c r="R75" i="1"/>
  <c r="P75" i="1"/>
  <c r="N75" i="1"/>
  <c r="B75" i="1"/>
  <c r="L75" i="1" s="1"/>
  <c r="F75" i="1" s="1"/>
  <c r="R74" i="1"/>
  <c r="P74" i="1"/>
  <c r="N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K72" i="1"/>
  <c r="B72" i="1"/>
  <c r="L72" i="1" s="1"/>
  <c r="F72" i="1" s="1"/>
  <c r="R71" i="1"/>
  <c r="P71" i="1"/>
  <c r="N71" i="1"/>
  <c r="K71" i="1"/>
  <c r="B71" i="1"/>
  <c r="R70" i="1"/>
  <c r="P70" i="1"/>
  <c r="N70" i="1"/>
  <c r="B70" i="1"/>
  <c r="L70" i="1" s="1"/>
  <c r="F70" i="1" s="1"/>
  <c r="R69" i="1"/>
  <c r="P69" i="1"/>
  <c r="N69" i="1"/>
  <c r="B69" i="1"/>
  <c r="L69" i="1" s="1"/>
  <c r="F69" i="1" s="1"/>
  <c r="R68" i="1"/>
  <c r="P68" i="1"/>
  <c r="N68" i="1"/>
  <c r="B68" i="1"/>
  <c r="L68" i="1" s="1"/>
  <c r="F68" i="1" s="1"/>
  <c r="R67" i="1"/>
  <c r="P67" i="1"/>
  <c r="N67" i="1"/>
  <c r="B67" i="1"/>
  <c r="L67" i="1" s="1"/>
  <c r="F67" i="1" s="1"/>
  <c r="R66" i="1"/>
  <c r="P66" i="1"/>
  <c r="N66" i="1"/>
  <c r="B66" i="1"/>
  <c r="L66" i="1" s="1"/>
  <c r="F66" i="1" s="1"/>
  <c r="R65" i="1"/>
  <c r="P65" i="1"/>
  <c r="N65" i="1"/>
  <c r="B65" i="1"/>
  <c r="L65" i="1" s="1"/>
  <c r="F65" i="1" s="1"/>
  <c r="R64" i="1"/>
  <c r="P64" i="1"/>
  <c r="N64" i="1"/>
  <c r="K64" i="1"/>
  <c r="B64" i="1"/>
  <c r="L64" i="1" s="1"/>
  <c r="F64" i="1" s="1"/>
  <c r="R63" i="1"/>
  <c r="P63" i="1"/>
  <c r="N63" i="1"/>
  <c r="B63" i="1"/>
  <c r="L63" i="1" s="1"/>
  <c r="F63" i="1" s="1"/>
  <c r="R62" i="1"/>
  <c r="P62" i="1"/>
  <c r="N62" i="1"/>
  <c r="B62" i="1"/>
  <c r="L62" i="1" s="1"/>
  <c r="F62" i="1" s="1"/>
  <c r="R61" i="1"/>
  <c r="P61" i="1"/>
  <c r="N61" i="1"/>
  <c r="B61" i="1"/>
  <c r="L61" i="1" s="1"/>
  <c r="F61" i="1" s="1"/>
  <c r="R60" i="1"/>
  <c r="P60" i="1"/>
  <c r="N60" i="1"/>
  <c r="B60" i="1"/>
  <c r="L60" i="1" s="1"/>
  <c r="F60" i="1" s="1"/>
  <c r="R59" i="1"/>
  <c r="P59" i="1"/>
  <c r="N59" i="1"/>
  <c r="B59" i="1"/>
  <c r="L59" i="1" s="1"/>
  <c r="F59" i="1" s="1"/>
  <c r="R58" i="1"/>
  <c r="P58" i="1"/>
  <c r="N58" i="1"/>
  <c r="B58" i="1"/>
  <c r="L58" i="1" s="1"/>
  <c r="F58" i="1" s="1"/>
  <c r="R57" i="1"/>
  <c r="P57" i="1"/>
  <c r="N57" i="1"/>
  <c r="K57" i="1"/>
  <c r="B57" i="1"/>
  <c r="L57" i="1" s="1"/>
  <c r="F57" i="1" s="1"/>
  <c r="R56" i="1"/>
  <c r="P56" i="1"/>
  <c r="N56" i="1"/>
  <c r="B56" i="1"/>
  <c r="L56" i="1" s="1"/>
  <c r="F56" i="1" s="1"/>
  <c r="R55" i="1"/>
  <c r="P55" i="1"/>
  <c r="N55" i="1"/>
  <c r="B55" i="1"/>
  <c r="L55" i="1" s="1"/>
  <c r="F55" i="1" s="1"/>
  <c r="R54" i="1"/>
  <c r="P54" i="1"/>
  <c r="N54" i="1"/>
  <c r="B54" i="1"/>
  <c r="R53" i="1"/>
  <c r="P53" i="1"/>
  <c r="N53" i="1"/>
  <c r="B53" i="1"/>
  <c r="L53" i="1" s="1"/>
  <c r="F53" i="1" s="1"/>
  <c r="R52" i="1"/>
  <c r="P52" i="1"/>
  <c r="N52" i="1"/>
  <c r="B52" i="1"/>
  <c r="L52" i="1" s="1"/>
  <c r="F52" i="1" s="1"/>
  <c r="R51" i="1"/>
  <c r="P51" i="1"/>
  <c r="N51" i="1"/>
  <c r="B51" i="1"/>
  <c r="L51" i="1" s="1"/>
  <c r="F51" i="1" s="1"/>
  <c r="R50" i="1"/>
  <c r="P50" i="1"/>
  <c r="N50" i="1"/>
  <c r="B50" i="1"/>
  <c r="L50" i="1" s="1"/>
  <c r="F50" i="1" s="1"/>
  <c r="R49" i="1"/>
  <c r="P49" i="1"/>
  <c r="N49" i="1"/>
  <c r="B49" i="1"/>
  <c r="L49" i="1" s="1"/>
  <c r="F49" i="1" s="1"/>
  <c r="R48" i="1"/>
  <c r="P48" i="1"/>
  <c r="N48" i="1"/>
  <c r="B48" i="1"/>
  <c r="L48" i="1" s="1"/>
  <c r="F48" i="1" s="1"/>
  <c r="R47" i="1"/>
  <c r="P47" i="1"/>
  <c r="N47" i="1"/>
  <c r="B47" i="1"/>
  <c r="L47" i="1" s="1"/>
  <c r="F47" i="1" s="1"/>
  <c r="R46" i="1"/>
  <c r="P46" i="1"/>
  <c r="N46" i="1"/>
  <c r="B46" i="1"/>
  <c r="L46" i="1" s="1"/>
  <c r="F46" i="1" s="1"/>
  <c r="R45" i="1"/>
  <c r="P45" i="1"/>
  <c r="N45" i="1"/>
  <c r="K45" i="1"/>
  <c r="B45" i="1"/>
  <c r="R44" i="1"/>
  <c r="P44" i="1"/>
  <c r="N44" i="1"/>
  <c r="B44" i="1"/>
  <c r="L44" i="1" s="1"/>
  <c r="F44" i="1" s="1"/>
  <c r="R43" i="1"/>
  <c r="P43" i="1"/>
  <c r="N43" i="1"/>
  <c r="K43" i="1"/>
  <c r="B43" i="1"/>
  <c r="R42" i="1"/>
  <c r="P42" i="1"/>
  <c r="N42" i="1"/>
  <c r="K42" i="1"/>
  <c r="B42" i="1"/>
  <c r="L42" i="1" s="1"/>
  <c r="F42" i="1" s="1"/>
  <c r="R41" i="1"/>
  <c r="P41" i="1"/>
  <c r="N41" i="1"/>
  <c r="K41" i="1"/>
  <c r="B41" i="1"/>
  <c r="R40" i="1"/>
  <c r="P40" i="1"/>
  <c r="N40" i="1"/>
  <c r="B40" i="1"/>
  <c r="L40" i="1" s="1"/>
  <c r="F40" i="1" s="1"/>
  <c r="R39" i="1"/>
  <c r="P39" i="1"/>
  <c r="N39" i="1"/>
  <c r="B39" i="1"/>
  <c r="L39" i="1" s="1"/>
  <c r="F39" i="1" s="1"/>
  <c r="R38" i="1"/>
  <c r="P38" i="1"/>
  <c r="N38" i="1"/>
  <c r="B38" i="1"/>
  <c r="L38" i="1" s="1"/>
  <c r="F38" i="1" s="1"/>
  <c r="R37" i="1"/>
  <c r="P37" i="1"/>
  <c r="N37" i="1"/>
  <c r="B37" i="1"/>
  <c r="L37" i="1" s="1"/>
  <c r="F37" i="1" s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B34" i="1"/>
  <c r="L34" i="1" s="1"/>
  <c r="F34" i="1" s="1"/>
  <c r="R33" i="1"/>
  <c r="P33" i="1"/>
  <c r="N33" i="1"/>
  <c r="K33" i="1"/>
  <c r="B33" i="1"/>
  <c r="R32" i="1"/>
  <c r="P32" i="1"/>
  <c r="N32" i="1"/>
  <c r="B32" i="1"/>
  <c r="L32" i="1" s="1"/>
  <c r="F32" i="1" s="1"/>
  <c r="R31" i="1"/>
  <c r="P31" i="1"/>
  <c r="N31" i="1"/>
  <c r="B31" i="1"/>
  <c r="L31" i="1" s="1"/>
  <c r="F31" i="1" s="1"/>
  <c r="R30" i="1"/>
  <c r="P30" i="1"/>
  <c r="N30" i="1"/>
  <c r="B30" i="1"/>
  <c r="L30" i="1" s="1"/>
  <c r="F30" i="1" s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B26" i="1"/>
  <c r="L26" i="1" s="1"/>
  <c r="F26" i="1" s="1"/>
  <c r="R25" i="1"/>
  <c r="P25" i="1"/>
  <c r="N25" i="1"/>
  <c r="B25" i="1"/>
  <c r="L25" i="1" s="1"/>
  <c r="F25" i="1" s="1"/>
  <c r="R24" i="1"/>
  <c r="P24" i="1"/>
  <c r="N24" i="1"/>
  <c r="B24" i="1"/>
  <c r="L24" i="1" s="1"/>
  <c r="F24" i="1" s="1"/>
  <c r="R23" i="1"/>
  <c r="P23" i="1"/>
  <c r="N23" i="1"/>
  <c r="K23" i="1"/>
  <c r="B23" i="1"/>
  <c r="R22" i="1"/>
  <c r="P22" i="1"/>
  <c r="N22" i="1"/>
  <c r="B22" i="1"/>
  <c r="L22" i="1" s="1"/>
  <c r="F22" i="1" s="1"/>
  <c r="R21" i="1"/>
  <c r="P21" i="1"/>
  <c r="N21" i="1"/>
  <c r="B21" i="1"/>
  <c r="L21" i="1" s="1"/>
  <c r="F21" i="1" s="1"/>
  <c r="R20" i="1"/>
  <c r="P20" i="1"/>
  <c r="N20" i="1"/>
  <c r="B20" i="1"/>
  <c r="L20" i="1" s="1"/>
  <c r="F20" i="1" s="1"/>
  <c r="R19" i="1"/>
  <c r="P19" i="1"/>
  <c r="N19" i="1"/>
  <c r="B19" i="1"/>
  <c r="L19" i="1" s="1"/>
  <c r="F19" i="1" s="1"/>
  <c r="R18" i="1"/>
  <c r="P18" i="1"/>
  <c r="N18" i="1"/>
  <c r="L18" i="1"/>
  <c r="F18" i="1" s="1"/>
  <c r="B18" i="1"/>
  <c r="R17" i="1"/>
  <c r="P17" i="1"/>
  <c r="N17" i="1"/>
  <c r="K17" i="1"/>
  <c r="B17" i="1"/>
  <c r="L17" i="1" s="1"/>
  <c r="F17" i="1" s="1"/>
  <c r="R16" i="1"/>
  <c r="P16" i="1"/>
  <c r="N16" i="1"/>
  <c r="B16" i="1"/>
  <c r="L16" i="1" s="1"/>
  <c r="F16" i="1" s="1"/>
  <c r="R15" i="1"/>
  <c r="P15" i="1"/>
  <c r="N15" i="1"/>
  <c r="K15" i="1"/>
  <c r="B15" i="1"/>
  <c r="R14" i="1"/>
  <c r="P14" i="1"/>
  <c r="N14" i="1"/>
  <c r="B14" i="1"/>
  <c r="L14" i="1" s="1"/>
  <c r="F14" i="1" s="1"/>
  <c r="R13" i="1"/>
  <c r="P13" i="1"/>
  <c r="N13" i="1"/>
  <c r="B13" i="1"/>
  <c r="L13" i="1" s="1"/>
  <c r="F13" i="1" s="1"/>
  <c r="R12" i="1"/>
  <c r="P12" i="1"/>
  <c r="N12" i="1"/>
  <c r="B12" i="1"/>
  <c r="L12" i="1" s="1"/>
  <c r="F12" i="1" s="1"/>
  <c r="R11" i="1"/>
  <c r="P11" i="1"/>
  <c r="N11" i="1"/>
  <c r="B11" i="1"/>
  <c r="L11" i="1" s="1"/>
  <c r="F11" i="1" s="1"/>
  <c r="R10" i="1"/>
  <c r="P10" i="1"/>
  <c r="N10" i="1"/>
  <c r="B10" i="1"/>
  <c r="L10" i="1" s="1"/>
  <c r="F10" i="1" s="1"/>
  <c r="R9" i="1"/>
  <c r="P9" i="1"/>
  <c r="N9" i="1"/>
  <c r="B9" i="1"/>
  <c r="L9" i="1" s="1"/>
  <c r="F9" i="1" s="1"/>
  <c r="R8" i="1"/>
  <c r="P8" i="1"/>
  <c r="N8" i="1"/>
  <c r="L8" i="1"/>
  <c r="F8" i="1" s="1"/>
  <c r="B8" i="1"/>
  <c r="R7" i="1"/>
  <c r="P7" i="1"/>
  <c r="N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B7" i="1"/>
  <c r="L7" i="1" s="1"/>
  <c r="F7" i="1" s="1"/>
  <c r="R6" i="1"/>
  <c r="P6" i="1"/>
  <c r="N6" i="1"/>
  <c r="B6" i="1"/>
  <c r="L6" i="1" s="1"/>
  <c r="F6" i="1" s="1"/>
  <c r="L646" i="1" l="1"/>
  <c r="F646" i="1" s="1"/>
  <c r="L513" i="1"/>
  <c r="F513" i="1" s="1"/>
  <c r="L43" i="1"/>
  <c r="F43" i="1" s="1"/>
  <c r="L71" i="1"/>
  <c r="F71" i="1" s="1"/>
  <c r="L77" i="1"/>
  <c r="F77" i="1" s="1"/>
  <c r="L112" i="1"/>
  <c r="F112" i="1" s="1"/>
  <c r="L274" i="1"/>
  <c r="F274" i="1" s="1"/>
  <c r="L290" i="1"/>
  <c r="F290" i="1" s="1"/>
  <c r="L353" i="1"/>
  <c r="F353" i="1" s="1"/>
  <c r="L377" i="1"/>
  <c r="F377" i="1" s="1"/>
  <c r="L432" i="1"/>
  <c r="F432" i="1" s="1"/>
  <c r="L537" i="1"/>
  <c r="F537" i="1" s="1"/>
  <c r="L543" i="1"/>
  <c r="F543" i="1" s="1"/>
  <c r="L582" i="1"/>
  <c r="F582" i="1" s="1"/>
  <c r="L619" i="1"/>
  <c r="F619" i="1" s="1"/>
  <c r="L660" i="1"/>
  <c r="F660" i="1" s="1"/>
  <c r="L678" i="1"/>
  <c r="F678" i="1" s="1"/>
  <c r="L720" i="1"/>
  <c r="F720" i="1" s="1"/>
  <c r="L760" i="1"/>
  <c r="F760" i="1" s="1"/>
  <c r="L821" i="1"/>
  <c r="F821" i="1" s="1"/>
  <c r="L827" i="1"/>
  <c r="F827" i="1" s="1"/>
  <c r="L45" i="1"/>
  <c r="F45" i="1" s="1"/>
  <c r="L329" i="1"/>
  <c r="F329" i="1" s="1"/>
  <c r="L556" i="1"/>
  <c r="F556" i="1" s="1"/>
  <c r="L642" i="1"/>
  <c r="F642" i="1" s="1"/>
  <c r="L15" i="1"/>
  <c r="F15" i="1" s="1"/>
  <c r="L23" i="1"/>
  <c r="F23" i="1" s="1"/>
  <c r="L33" i="1"/>
  <c r="F33" i="1" s="1"/>
  <c r="L41" i="1"/>
  <c r="F41" i="1" s="1"/>
  <c r="L54" i="1"/>
  <c r="F54" i="1" s="1"/>
  <c r="L131" i="1"/>
  <c r="F131" i="1" s="1"/>
  <c r="L158" i="1"/>
  <c r="F158" i="1" s="1"/>
  <c r="L203" i="1"/>
  <c r="F203" i="1" s="1"/>
  <c r="L271" i="1"/>
  <c r="F271" i="1" s="1"/>
  <c r="L303" i="1"/>
  <c r="F303" i="1" s="1"/>
  <c r="L366" i="1"/>
  <c r="F366" i="1" s="1"/>
  <c r="L371" i="1"/>
  <c r="F371" i="1" s="1"/>
  <c r="L437" i="1"/>
  <c r="F437" i="1" s="1"/>
  <c r="L486" i="1"/>
  <c r="F486" i="1" s="1"/>
  <c r="L535" i="1"/>
  <c r="F535" i="1" s="1"/>
  <c r="L580" i="1"/>
  <c r="F580" i="1" s="1"/>
  <c r="L584" i="1"/>
  <c r="F584" i="1" s="1"/>
  <c r="L597" i="1"/>
  <c r="F597" i="1" s="1"/>
  <c r="L623" i="1"/>
  <c r="F623" i="1" s="1"/>
  <c r="L663" i="1"/>
  <c r="F663" i="1" s="1"/>
  <c r="L712" i="1"/>
  <c r="F712" i="1" s="1"/>
  <c r="L744" i="1"/>
  <c r="F744" i="1" s="1"/>
  <c r="L785" i="1"/>
  <c r="F785" i="1" s="1"/>
  <c r="L812" i="1"/>
  <c r="F812" i="1" s="1"/>
  <c r="L825" i="1"/>
  <c r="F825" i="1" s="1"/>
  <c r="L829" i="1"/>
  <c r="F829" i="1" s="1"/>
  <c r="L169" i="1"/>
  <c r="F169" i="1" s="1"/>
  <c r="L153" i="1"/>
  <c r="F153" i="1" s="1"/>
  <c r="L157" i="1"/>
  <c r="F157" i="1" s="1"/>
  <c r="L448" i="1"/>
  <c r="F448" i="1" s="1"/>
  <c r="L293" i="1"/>
  <c r="F293" i="1" s="1"/>
  <c r="L565" i="1"/>
  <c r="F565" i="1" s="1"/>
  <c r="L695" i="1"/>
  <c r="F695" i="1" s="1"/>
  <c r="L797" i="1"/>
  <c r="F797" i="1" s="1"/>
  <c r="L826" i="1"/>
  <c r="F826" i="1" s="1"/>
  <c r="L828" i="1"/>
  <c r="F828" i="1" s="1"/>
  <c r="L830" i="1"/>
  <c r="F830" i="1" s="1"/>
  <c r="L806" i="1"/>
  <c r="F806" i="1" s="1"/>
  <c r="L815" i="1"/>
  <c r="F815" i="1" s="1"/>
</calcChain>
</file>

<file path=xl/sharedStrings.xml><?xml version="1.0" encoding="utf-8"?>
<sst xmlns="http://schemas.openxmlformats.org/spreadsheetml/2006/main" count="2966" uniqueCount="1076">
  <si>
    <t>Bahria Town (Pvt) Ltd. Lahore</t>
  </si>
  <si>
    <t>Electricity Meter Reading Sheet April-2025</t>
  </si>
  <si>
    <t>Umar Block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</si>
  <si>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</si>
  <si>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</si>
  <si>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</si>
  <si>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</si>
  <si>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</si>
  <si>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</si>
  <si>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</si>
  <si>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</si>
  <si>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</si>
  <si>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</si>
  <si>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</si>
  <si>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</si>
  <si>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</si>
  <si>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</si>
  <si>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BTL-12890</t>
  </si>
  <si>
    <t>Residential</t>
  </si>
  <si>
    <t>BTL-18868</t>
  </si>
  <si>
    <t>BTL-26927</t>
  </si>
  <si>
    <t>BTL-22237</t>
  </si>
  <si>
    <t>BTL-20609</t>
  </si>
  <si>
    <t>BTL-17960</t>
  </si>
  <si>
    <t>BTL-20584</t>
  </si>
  <si>
    <t>BTL-17698</t>
  </si>
  <si>
    <t>BTL-16729</t>
  </si>
  <si>
    <t>BTL-16781</t>
  </si>
  <si>
    <t>BTL-14562</t>
  </si>
  <si>
    <t>BTL-12972</t>
  </si>
  <si>
    <t>BTL-19854</t>
  </si>
  <si>
    <t>BTL-18099</t>
  </si>
  <si>
    <t>BTL-15305</t>
  </si>
  <si>
    <t>BTL-12620</t>
  </si>
  <si>
    <t>BTL-26439</t>
  </si>
  <si>
    <t>BTL-12124</t>
  </si>
  <si>
    <t>BTL-17684</t>
  </si>
  <si>
    <t>BTL-12183</t>
  </si>
  <si>
    <t>BTL-18101</t>
  </si>
  <si>
    <t>BTL-12493</t>
  </si>
  <si>
    <t>BTL-15012</t>
  </si>
  <si>
    <t>BTL-15464</t>
  </si>
  <si>
    <t>BTL-30099</t>
  </si>
  <si>
    <t>BTL-12243</t>
  </si>
  <si>
    <t>BTL-12621</t>
  </si>
  <si>
    <t>BTL-14035</t>
  </si>
  <si>
    <t>BTL-13577</t>
  </si>
  <si>
    <t>BTL-19478</t>
  </si>
  <si>
    <t>BTL-11647</t>
  </si>
  <si>
    <t>BTL-11460</t>
  </si>
  <si>
    <t>BTL-12716</t>
  </si>
  <si>
    <t>BTL-13614</t>
  </si>
  <si>
    <t>BTL-17083</t>
  </si>
  <si>
    <t>BTL-11761</t>
  </si>
  <si>
    <t>BTL-21856</t>
  </si>
  <si>
    <t>BTL-12459</t>
  </si>
  <si>
    <t>BTL-11014</t>
  </si>
  <si>
    <t>BTL-10983</t>
  </si>
  <si>
    <t>BTL-20682</t>
  </si>
  <si>
    <t>BTL-18433</t>
  </si>
  <si>
    <t>BTL-18371</t>
  </si>
  <si>
    <t>BTL-14661</t>
  </si>
  <si>
    <t>BTL-29096</t>
  </si>
  <si>
    <t>BTL-12891</t>
  </si>
  <si>
    <t>BTL-14491</t>
  </si>
  <si>
    <t>BTL-23303</t>
  </si>
  <si>
    <t>BTL-13528</t>
  </si>
  <si>
    <t>BTL-19587</t>
  </si>
  <si>
    <t>BTL-13129</t>
  </si>
  <si>
    <t>BTL-17087</t>
  </si>
  <si>
    <t>BTL-19042</t>
  </si>
  <si>
    <t>BTL-11305</t>
  </si>
  <si>
    <t>BTL-12284</t>
  </si>
  <si>
    <t>BTL-17170</t>
  </si>
  <si>
    <t>BTL-22736</t>
  </si>
  <si>
    <t>BTL-16128</t>
  </si>
  <si>
    <t>BTL-19811</t>
  </si>
  <si>
    <t>BTL-17541</t>
  </si>
  <si>
    <t>BTL-10984</t>
  </si>
  <si>
    <t>BTL-17248</t>
  </si>
  <si>
    <t>BTL-11516</t>
  </si>
  <si>
    <t>BTL-13981</t>
  </si>
  <si>
    <t>BTL-12030</t>
  </si>
  <si>
    <t>BTL-24096</t>
  </si>
  <si>
    <t>BTL-18931</t>
  </si>
  <si>
    <t>BTL-11015</t>
  </si>
  <si>
    <t>BTL-17097</t>
  </si>
  <si>
    <t>BTL-13804</t>
  </si>
  <si>
    <t>BTL-16723</t>
  </si>
  <si>
    <t>BTL-24906</t>
  </si>
  <si>
    <t>BTL-11976</t>
  </si>
  <si>
    <t>BTL-18462</t>
  </si>
  <si>
    <t>BTL-24196</t>
  </si>
  <si>
    <t>BTL-20039</t>
  </si>
  <si>
    <t>BTL-18193</t>
  </si>
  <si>
    <t>BTL-13674</t>
  </si>
  <si>
    <t>BTL-20040</t>
  </si>
  <si>
    <t>BTL-20041</t>
  </si>
  <si>
    <t>BTL-12184</t>
  </si>
  <si>
    <t>BTL-13805</t>
  </si>
  <si>
    <t>BTL-15985</t>
  </si>
  <si>
    <t>BTL-19900</t>
  </si>
  <si>
    <t>BTL-20805</t>
  </si>
  <si>
    <t>BTL-17700</t>
  </si>
  <si>
    <t>BTL-18621</t>
  </si>
  <si>
    <t>BTL-16862</t>
  </si>
  <si>
    <t>BTL-13803</t>
  </si>
  <si>
    <t>BTL-22331</t>
  </si>
  <si>
    <t>BTL-14124</t>
  </si>
  <si>
    <t>BTL-15698</t>
  </si>
  <si>
    <t>BTL-26453</t>
  </si>
  <si>
    <t>BTL-22028</t>
  </si>
  <si>
    <t>BTL-19544</t>
  </si>
  <si>
    <t>BTL-11916</t>
  </si>
  <si>
    <t>BTL-15762</t>
  </si>
  <si>
    <t>BTL-15085</t>
  </si>
  <si>
    <t>BTL-23504</t>
  </si>
  <si>
    <t>BTL-16945</t>
  </si>
  <si>
    <t>BTL-16269</t>
  </si>
  <si>
    <t>BTL-23505</t>
  </si>
  <si>
    <t>BTL-22066</t>
  </si>
  <si>
    <t>BTL-11977</t>
  </si>
  <si>
    <t>BTL-13538</t>
  </si>
  <si>
    <t>BTL-11016</t>
  </si>
  <si>
    <t>BTL-11709</t>
  </si>
  <si>
    <t>BTL-14914</t>
  </si>
  <si>
    <t>BTL-13735</t>
  </si>
  <si>
    <t>BTL-15884</t>
  </si>
  <si>
    <t>BTL-14027</t>
  </si>
  <si>
    <t>BTL-19665</t>
  </si>
  <si>
    <t>BTL-24340</t>
  </si>
  <si>
    <t>BTL-13193</t>
  </si>
  <si>
    <t>BTL-22604</t>
  </si>
  <si>
    <t>BTL-20257</t>
  </si>
  <si>
    <t>BTL-11481</t>
  </si>
  <si>
    <t>BTL-17589</t>
  </si>
  <si>
    <t>BTL-20864</t>
  </si>
  <si>
    <t>BTL-13918</t>
  </si>
  <si>
    <t>BTL-14535</t>
  </si>
  <si>
    <t>BTL-11800</t>
  </si>
  <si>
    <t>BTL-20147</t>
  </si>
  <si>
    <t>BTL-18880</t>
  </si>
  <si>
    <t>BTL-18088</t>
  </si>
  <si>
    <t>BTL-10985</t>
  </si>
  <si>
    <t>BTL-19397</t>
  </si>
  <si>
    <t>BTL-18191</t>
  </si>
  <si>
    <t>BTL-15018</t>
  </si>
  <si>
    <t>BTL-10986</t>
  </si>
  <si>
    <t>BTL-13581</t>
  </si>
  <si>
    <t>BTL-17702</t>
  </si>
  <si>
    <t>BTL-28153</t>
  </si>
  <si>
    <t>BTL-20598</t>
  </si>
  <si>
    <t>BTL-27668</t>
  </si>
  <si>
    <t>BTL-14423</t>
  </si>
  <si>
    <t>BTL-14687</t>
  </si>
  <si>
    <t>BTL-28417</t>
  </si>
  <si>
    <t>BTL-33687</t>
  </si>
  <si>
    <t>BTL-15231</t>
  </si>
  <si>
    <t>BTL-28995</t>
  </si>
  <si>
    <t>BTL-24371</t>
  </si>
  <si>
    <t>BTL-16573</t>
  </si>
  <si>
    <t>BTL-11801</t>
  </si>
  <si>
    <t>BTL-11762</t>
  </si>
  <si>
    <t>BTL-18089</t>
  </si>
  <si>
    <t>BTL-11868</t>
  </si>
  <si>
    <t>BTL-20838</t>
  </si>
  <si>
    <t>BTL-11869</t>
  </si>
  <si>
    <t>BTL-28648</t>
  </si>
  <si>
    <t>BTL-29721</t>
  </si>
  <si>
    <t>BTL-29218</t>
  </si>
  <si>
    <t>BTL-13681</t>
  </si>
  <si>
    <t>BTL-18102</t>
  </si>
  <si>
    <t>BTL-16774</t>
  </si>
  <si>
    <t>BTL-16707</t>
  </si>
  <si>
    <t>BTL-19250</t>
  </si>
  <si>
    <t>BTL-14853</t>
  </si>
  <si>
    <t>BTL-15455</t>
  </si>
  <si>
    <t>BTL-15938</t>
  </si>
  <si>
    <t>BTL-11622</t>
  </si>
  <si>
    <t>BTL-21803</t>
  </si>
  <si>
    <t>BTL-14387</t>
  </si>
  <si>
    <t>BTL-12125</t>
  </si>
  <si>
    <t>BTL-15274</t>
  </si>
  <si>
    <t>BTL-22711</t>
  </si>
  <si>
    <t>BTL-13723</t>
  </si>
  <si>
    <t>BTL-14173</t>
  </si>
  <si>
    <t>BTL-27858</t>
  </si>
  <si>
    <t>BTL-24237</t>
  </si>
  <si>
    <t>BTL-13897</t>
  </si>
  <si>
    <t>BTL-12973</t>
  </si>
  <si>
    <t>BTL-14335</t>
  </si>
  <si>
    <t>BTL-15436</t>
  </si>
  <si>
    <t>BTL-11592</t>
  </si>
  <si>
    <t>BTL-17699</t>
  </si>
  <si>
    <t>BTL-14836</t>
  </si>
  <si>
    <t>BTL-24213</t>
  </si>
  <si>
    <t>BTL-19711</t>
  </si>
  <si>
    <t>BTL-14057</t>
  </si>
  <si>
    <t>BTL-11514</t>
  </si>
  <si>
    <t>BTL-12126</t>
  </si>
  <si>
    <t>BTL-12285</t>
  </si>
  <si>
    <t>BTL-12801</t>
  </si>
  <si>
    <t>BTL-13194</t>
  </si>
  <si>
    <t>BTL-25966</t>
  </si>
  <si>
    <t>BTL-20011</t>
  </si>
  <si>
    <t>BTL-20539</t>
  </si>
  <si>
    <t>BTL-25462</t>
  </si>
  <si>
    <t>BTL-22398</t>
  </si>
  <si>
    <t>BTL-13838</t>
  </si>
  <si>
    <t>BTL-13130</t>
  </si>
  <si>
    <t>BTL-12802</t>
  </si>
  <si>
    <t>BTL-12803</t>
  </si>
  <si>
    <t>BTL-27857</t>
  </si>
  <si>
    <t>BTL-23845</t>
  </si>
  <si>
    <t>BTL-16999</t>
  </si>
  <si>
    <t>BTL-23655</t>
  </si>
  <si>
    <t>BTL-20024</t>
  </si>
  <si>
    <t>BTL-14683</t>
  </si>
  <si>
    <t>BTL-11712</t>
  </si>
  <si>
    <t>BTL-12974</t>
  </si>
  <si>
    <t>BTL-33241</t>
  </si>
  <si>
    <t>BTL-21291</t>
  </si>
  <si>
    <t>BTL-19930</t>
  </si>
  <si>
    <t>BTL-14852</t>
  </si>
  <si>
    <t>BTL-13510</t>
  </si>
  <si>
    <t>BTL-19036</t>
  </si>
  <si>
    <t>BTL-15065</t>
  </si>
  <si>
    <t>BTL-16732</t>
  </si>
  <si>
    <t>BTL-13580</t>
  </si>
  <si>
    <t>BTL-15722</t>
  </si>
  <si>
    <t>BTL-26230</t>
  </si>
  <si>
    <t>BTL-11461</t>
  </si>
  <si>
    <t>BTL-22393</t>
  </si>
  <si>
    <t>BTL-12244</t>
  </si>
  <si>
    <t>BTL-21566</t>
  </si>
  <si>
    <t>BTL-13048</t>
  </si>
  <si>
    <t>BTL-14845</t>
  </si>
  <si>
    <t>BTL-11017</t>
  </si>
  <si>
    <t>BTL-24577</t>
  </si>
  <si>
    <t>BTL-26327</t>
  </si>
  <si>
    <t>BTL-33242</t>
  </si>
  <si>
    <t>BTL-12286</t>
  </si>
  <si>
    <t>BTL-10987</t>
  </si>
  <si>
    <t>BTL-16581</t>
  </si>
  <si>
    <t>BTL-17173</t>
  </si>
  <si>
    <t>BTL-11018</t>
  </si>
  <si>
    <t>BTL-12717</t>
  </si>
  <si>
    <t>BTL-12494</t>
  </si>
  <si>
    <t>BTL-14820</t>
  </si>
  <si>
    <t>BTL-19117</t>
  </si>
  <si>
    <t>BTL-15960</t>
  </si>
  <si>
    <t>BTL-15336</t>
  </si>
  <si>
    <t>BTL-15527</t>
  </si>
  <si>
    <t>BTL-16624</t>
  </si>
  <si>
    <t>BTL-13131</t>
  </si>
  <si>
    <t>BTL-11019</t>
  </si>
  <si>
    <t>BTL-12415</t>
  </si>
  <si>
    <t>BTL-12892</t>
  </si>
  <si>
    <t>BTL-33100</t>
  </si>
  <si>
    <t>BTL-16623</t>
  </si>
  <si>
    <t>BTL-11802</t>
  </si>
  <si>
    <t>BTL-14216</t>
  </si>
  <si>
    <t>BTL-14906</t>
  </si>
  <si>
    <t>BTL-27301</t>
  </si>
  <si>
    <t>BTL-13443</t>
  </si>
  <si>
    <t>BTL-30041</t>
  </si>
  <si>
    <t>BTL-21034</t>
  </si>
  <si>
    <t>BTL-11259</t>
  </si>
  <si>
    <t>BTL-15599</t>
  </si>
  <si>
    <t>BTL-12622</t>
  </si>
  <si>
    <t>BTL-33688</t>
  </si>
  <si>
    <t>BTL-21000</t>
  </si>
  <si>
    <t>BTL-20553</t>
  </si>
  <si>
    <t>BTL-22026</t>
  </si>
  <si>
    <t>BTL-12416</t>
  </si>
  <si>
    <t>BTL-29722</t>
  </si>
  <si>
    <t>BTL-33257</t>
  </si>
  <si>
    <t>BTL-13882</t>
  </si>
  <si>
    <t>BTL-13797</t>
  </si>
  <si>
    <t>BTL-17096</t>
  </si>
  <si>
    <t>BTL-16043</t>
  </si>
  <si>
    <t>BTL-12287</t>
  </si>
  <si>
    <t>BTL-10988</t>
  </si>
  <si>
    <t>BTL-21434</t>
  </si>
  <si>
    <t>BTL-15937</t>
  </si>
  <si>
    <t>BTL-11763</t>
  </si>
  <si>
    <t>BTL-13444</t>
  </si>
  <si>
    <t>BTL-10989</t>
  </si>
  <si>
    <t>BTL-19795</t>
  </si>
  <si>
    <t>BTL-12288</t>
  </si>
  <si>
    <t>BTL-10990</t>
  </si>
  <si>
    <t>BTL-17539</t>
  </si>
  <si>
    <t>BTL-20661</t>
  </si>
  <si>
    <t>BTL-14393</t>
  </si>
  <si>
    <t>BTL-13666</t>
  </si>
  <si>
    <t>BTL-13835</t>
  </si>
  <si>
    <t>BTL-19556</t>
  </si>
  <si>
    <t>BTL-12975</t>
  </si>
  <si>
    <t>BTL-12417</t>
  </si>
  <si>
    <t>BTL-12804</t>
  </si>
  <si>
    <t>BTL-17246</t>
  </si>
  <si>
    <t>BTL-12623</t>
  </si>
  <si>
    <t>BTL-15885</t>
  </si>
  <si>
    <t>BTL-22647</t>
  </si>
  <si>
    <t>BTL-25625</t>
  </si>
  <si>
    <t>BTL-18837</t>
  </si>
  <si>
    <t>BTL-17164</t>
  </si>
  <si>
    <t>BTL-30631</t>
  </si>
  <si>
    <t>352/1</t>
  </si>
  <si>
    <t>BTL-16997</t>
  </si>
  <si>
    <t>BTL-15998</t>
  </si>
  <si>
    <t>BTL-14273</t>
  </si>
  <si>
    <t>BTL-22461</t>
  </si>
  <si>
    <t>BTL-13682</t>
  </si>
  <si>
    <t>BTL-31808</t>
  </si>
  <si>
    <t>BTL-19447</t>
  </si>
  <si>
    <t>BTL-24478</t>
  </si>
  <si>
    <t>BTL-10991</t>
  </si>
  <si>
    <t>BTL-24522</t>
  </si>
  <si>
    <t>BTL-22006</t>
  </si>
  <si>
    <t>BTL-29219</t>
  </si>
  <si>
    <t>BTL-24479</t>
  </si>
  <si>
    <t>BTL-20018</t>
  </si>
  <si>
    <t>BTL-22136</t>
  </si>
  <si>
    <t>BTL-12289</t>
  </si>
  <si>
    <t>BTL-18090</t>
  </si>
  <si>
    <t>BTL-21427</t>
  </si>
  <si>
    <t>BTL-15042</t>
  </si>
  <si>
    <t>BTL-16057</t>
  </si>
  <si>
    <t>BTL-18412</t>
  </si>
  <si>
    <t>BTL-11710</t>
  </si>
  <si>
    <t>BTL-13132</t>
  </si>
  <si>
    <t>BTL-12976</t>
  </si>
  <si>
    <t>BTL-19539</t>
  </si>
  <si>
    <t>BTL-18407</t>
  </si>
  <si>
    <t>BTL-25443</t>
  </si>
  <si>
    <t>BTL-23906</t>
  </si>
  <si>
    <t>BTL-23830</t>
  </si>
  <si>
    <t>BTL-19309</t>
  </si>
  <si>
    <t>BTL-12977</t>
  </si>
  <si>
    <t>BTL-15237</t>
  </si>
  <si>
    <t>BTL-14289</t>
  </si>
  <si>
    <t>BTL-11978</t>
  </si>
  <si>
    <t>BTL-14807</t>
  </si>
  <si>
    <t>BTL-15667</t>
  </si>
  <si>
    <t>BTL-12555</t>
  </si>
  <si>
    <t>BTL-10992</t>
  </si>
  <si>
    <t>BTL-12718</t>
  </si>
  <si>
    <t>BTL-13673</t>
  </si>
  <si>
    <t>BTL-15562</t>
  </si>
  <si>
    <t>BTL-19072</t>
  </si>
  <si>
    <t>BTL-21630</t>
  </si>
  <si>
    <t>BTL-12185</t>
  </si>
  <si>
    <t>BTL-22737</t>
  </si>
  <si>
    <t>BTL-13677</t>
  </si>
  <si>
    <t>BTL-14886</t>
  </si>
  <si>
    <t>BTL-30418</t>
  </si>
  <si>
    <t>BTL-19161</t>
  </si>
  <si>
    <t>BTL-10993</t>
  </si>
  <si>
    <t>BTL-16175</t>
  </si>
  <si>
    <t>BTL-16325</t>
  </si>
  <si>
    <t>BTL-27666</t>
  </si>
  <si>
    <t>BTL-19305</t>
  </si>
  <si>
    <t>BTL-16122</t>
  </si>
  <si>
    <t>BTL-10994</t>
  </si>
  <si>
    <t>BTL-15498</t>
  </si>
  <si>
    <t>BTL-25895</t>
  </si>
  <si>
    <t>BTL-10995</t>
  </si>
  <si>
    <t>BTL-20145</t>
  </si>
  <si>
    <t>BTL-31961</t>
  </si>
  <si>
    <t>BTL-12092</t>
  </si>
  <si>
    <t>BTL-13764</t>
  </si>
  <si>
    <t>BTL-20676</t>
  </si>
  <si>
    <t>BTL-29216</t>
  </si>
  <si>
    <t>BTL-13195</t>
  </si>
  <si>
    <t>BTL-20833</t>
  </si>
  <si>
    <t>BTL-15746</t>
  </si>
  <si>
    <t>BTL-12290</t>
  </si>
  <si>
    <t>BTL-16576</t>
  </si>
  <si>
    <t>BTL-11623</t>
  </si>
  <si>
    <t>BTL-21024</t>
  </si>
  <si>
    <t>BTL-10996</t>
  </si>
  <si>
    <t>BTL-14674</t>
  </si>
  <si>
    <t>BTL-19555</t>
  </si>
  <si>
    <t>BTL-15390</t>
  </si>
  <si>
    <t>BTL-12805</t>
  </si>
  <si>
    <t>BTL-23266</t>
  </si>
  <si>
    <t>BTL-22374</t>
  </si>
  <si>
    <t>BTL-15304</t>
  </si>
  <si>
    <t>BTL-17591</t>
  </si>
  <si>
    <t>BTL-11979</t>
  </si>
  <si>
    <t>BTL-17687</t>
  </si>
  <si>
    <t>BTL-14442</t>
  </si>
  <si>
    <t>BTL-18757</t>
  </si>
  <si>
    <t>BTL-20324</t>
  </si>
  <si>
    <t>BTL-16903</t>
  </si>
  <si>
    <t>BTL-11870</t>
  </si>
  <si>
    <t>BTL-21436</t>
  </si>
  <si>
    <t>BTL-17830</t>
  </si>
  <si>
    <t>BTL-17032</t>
  </si>
  <si>
    <t>BTL-10997</t>
  </si>
  <si>
    <t>BTL-12806</t>
  </si>
  <si>
    <t>BTL-20610</t>
  </si>
  <si>
    <t>BTL-16652</t>
  </si>
  <si>
    <t>BTL-18504</t>
  </si>
  <si>
    <t>BTL-12807</t>
  </si>
  <si>
    <t>BTL-12624</t>
  </si>
  <si>
    <t>BTL-14606</t>
  </si>
  <si>
    <t>BTL-12719</t>
  </si>
  <si>
    <t>BTL-18684</t>
  </si>
  <si>
    <t>BTL-22059</t>
  </si>
  <si>
    <t>BTL-11803</t>
  </si>
  <si>
    <t>BTL-21224</t>
  </si>
  <si>
    <t>BTL-20763</t>
  </si>
  <si>
    <t>BTL-17064</t>
  </si>
  <si>
    <t>BTL-18985</t>
  </si>
  <si>
    <t>BTL-13445</t>
  </si>
  <si>
    <t>BTL-18542</t>
  </si>
  <si>
    <t>BTL-14532</t>
  </si>
  <si>
    <t>BTL-20523</t>
  </si>
  <si>
    <t>BTL-19302</t>
  </si>
  <si>
    <t>BTL-22285</t>
  </si>
  <si>
    <t>BTL-15539</t>
  </si>
  <si>
    <t>BTL-15773</t>
  </si>
  <si>
    <t>BTL-11020</t>
  </si>
  <si>
    <t>BTL-11562</t>
  </si>
  <si>
    <t>BTL-17704</t>
  </si>
  <si>
    <t>BTL-13512</t>
  </si>
  <si>
    <t>BTL-28876</t>
  </si>
  <si>
    <t>BTL-11021</t>
  </si>
  <si>
    <t>BTL-11517</t>
  </si>
  <si>
    <t>BTL-28518</t>
  </si>
  <si>
    <t>BTL-12245</t>
  </si>
  <si>
    <t>BTL-12039</t>
  </si>
  <si>
    <t>BTL-18104</t>
  </si>
  <si>
    <t>BTL-12808</t>
  </si>
  <si>
    <t>BTL-12127</t>
  </si>
  <si>
    <t>BTL-18735</t>
  </si>
  <si>
    <t>BTL-12720</t>
  </si>
  <si>
    <t>BTL-21976</t>
  </si>
  <si>
    <t>BTL-24316</t>
  </si>
  <si>
    <t>BTL-31713</t>
  </si>
  <si>
    <t>BTL-29097</t>
  </si>
  <si>
    <t>BTL-16998</t>
  </si>
  <si>
    <t>BTL-19412</t>
  </si>
  <si>
    <t>BTL-21196</t>
  </si>
  <si>
    <t>BTL-11479</t>
  </si>
  <si>
    <t>BTL-13846</t>
  </si>
  <si>
    <t>BTL-12893</t>
  </si>
  <si>
    <t>BTL-26996</t>
  </si>
  <si>
    <t>BTL-12291</t>
  </si>
  <si>
    <t>BTL-11387</t>
  </si>
  <si>
    <t>BTL-11388</t>
  </si>
  <si>
    <t>BTL-10998</t>
  </si>
  <si>
    <t>BTL-26561</t>
  </si>
  <si>
    <t>BTL-11022</t>
  </si>
  <si>
    <t>BTL-31714</t>
  </si>
  <si>
    <t>BTL-14447</t>
  </si>
  <si>
    <t>BTL-18821</t>
  </si>
  <si>
    <t>BTL-29217</t>
  </si>
  <si>
    <t>BTL-24450</t>
  </si>
  <si>
    <t>BTL-12809</t>
  </si>
  <si>
    <t>BTL-21158</t>
  </si>
  <si>
    <t>BTL-13446</t>
  </si>
  <si>
    <t>BTL-12292</t>
  </si>
  <si>
    <t>BTL-14755</t>
  </si>
  <si>
    <t>BTL-27349</t>
  </si>
  <si>
    <t>BTL-16578</t>
  </si>
  <si>
    <t>BTL-17354</t>
  </si>
  <si>
    <t>BTL-16189</t>
  </si>
  <si>
    <t>BTL-12418</t>
  </si>
  <si>
    <t>BTL-22868</t>
  </si>
  <si>
    <t>BTL-33508</t>
  </si>
  <si>
    <t>BTL-14744</t>
  </si>
  <si>
    <t>BTL-13133</t>
  </si>
  <si>
    <t>BTL-26659</t>
  </si>
  <si>
    <t>BTL-26527</t>
  </si>
  <si>
    <t>BTL-20758</t>
  </si>
  <si>
    <t>BTL-20876</t>
  </si>
  <si>
    <t>BTL-26237</t>
  </si>
  <si>
    <t>BTL-14183</t>
  </si>
  <si>
    <t>BTL-23641</t>
  </si>
  <si>
    <t>BTL-19773</t>
  </si>
  <si>
    <t>BTL-16762</t>
  </si>
  <si>
    <t>BTL-22173</t>
  </si>
  <si>
    <t>BTL-15208</t>
  </si>
  <si>
    <t>BTL-19898</t>
  </si>
  <si>
    <t>BTL-14593</t>
  </si>
  <si>
    <t>BTL-21612</t>
  </si>
  <si>
    <t>BTL-17192</t>
  </si>
  <si>
    <t>BTL-17436</t>
  </si>
  <si>
    <t>BTL-14149</t>
  </si>
  <si>
    <t>BTL-19325</t>
  </si>
  <si>
    <t>BTL-22158</t>
  </si>
  <si>
    <t>BTL-25589</t>
  </si>
  <si>
    <t>BTL-18986</t>
  </si>
  <si>
    <t>BTL-12495</t>
  </si>
  <si>
    <t>BTL-13971</t>
  </si>
  <si>
    <t>BTL-15192</t>
  </si>
  <si>
    <t>BTL-17183</t>
  </si>
  <si>
    <t>BTL-12496</t>
  </si>
  <si>
    <t>BTL-13514</t>
  </si>
  <si>
    <t>BTL-32401</t>
  </si>
  <si>
    <t>BTL-25287</t>
  </si>
  <si>
    <t>BTL-12293</t>
  </si>
  <si>
    <t>BTL-25987</t>
  </si>
  <si>
    <t>BTL-17962</t>
  </si>
  <si>
    <t>BTL-17482</t>
  </si>
  <si>
    <t>BTL-10999</t>
  </si>
  <si>
    <t>BTL-15730</t>
  </si>
  <si>
    <t>BTL-18790</t>
  </si>
  <si>
    <t>BTL-14056</t>
  </si>
  <si>
    <t>BTL-18981</t>
  </si>
  <si>
    <t>BTL-22322</t>
  </si>
  <si>
    <t>BTL-12894</t>
  </si>
  <si>
    <t>BTL-12810</t>
  </si>
  <si>
    <t>BTL-14816</t>
  </si>
  <si>
    <t>BTL-25215</t>
  </si>
  <si>
    <t>BTL-27383</t>
  </si>
  <si>
    <t>BTL-18903</t>
  </si>
  <si>
    <t>BTL-17417</t>
  </si>
  <si>
    <t>BTL-20971</t>
  </si>
  <si>
    <t>BTL-17059</t>
  </si>
  <si>
    <t>BTL-17532</t>
  </si>
  <si>
    <t>BTL-11269</t>
  </si>
  <si>
    <t>BTL-11804</t>
  </si>
  <si>
    <t>BTL-14871</t>
  </si>
  <si>
    <t>BTL-22955</t>
  </si>
  <si>
    <t>BTL-18572</t>
  </si>
  <si>
    <t>BTL-21231</t>
  </si>
  <si>
    <t>BTL-18893</t>
  </si>
  <si>
    <t>BTL-13049</t>
  </si>
  <si>
    <t>BTL-19746</t>
  </si>
  <si>
    <t>BTL-12419</t>
  </si>
  <si>
    <t>BTL-11270</t>
  </si>
  <si>
    <t>BTL-11330</t>
  </si>
  <si>
    <t>BTL-28636</t>
  </si>
  <si>
    <t>BTL-28150</t>
  </si>
  <si>
    <t>BTL-13447</t>
  </si>
  <si>
    <t>BTL-23440</t>
  </si>
  <si>
    <t>BTL-14213</t>
  </si>
  <si>
    <t>BTL-16924</t>
  </si>
  <si>
    <t>BTL-25013</t>
  </si>
  <si>
    <t>BTL-12420</t>
  </si>
  <si>
    <t>BTL-20043</t>
  </si>
  <si>
    <t>BTL-20044</t>
  </si>
  <si>
    <t>BTL-13051</t>
  </si>
  <si>
    <t>BTL-21326</t>
  </si>
  <si>
    <t>BTL-12721</t>
  </si>
  <si>
    <t>BTL-14011</t>
  </si>
  <si>
    <t>BTL-16350</t>
  </si>
  <si>
    <t>BTL-11980</t>
  </si>
  <si>
    <t>BTL-12040</t>
  </si>
  <si>
    <t>BTL-12811</t>
  </si>
  <si>
    <t>BTL-20192</t>
  </si>
  <si>
    <t>BTL-13052</t>
  </si>
  <si>
    <t>BTL-11917</t>
  </si>
  <si>
    <t>BTL-19793</t>
  </si>
  <si>
    <t>BTL-19859</t>
  </si>
  <si>
    <t>BTL-25774</t>
  </si>
  <si>
    <t>BTL-22355</t>
  </si>
  <si>
    <t>BTL-12895</t>
  </si>
  <si>
    <t>BTL-12190</t>
  </si>
  <si>
    <t>BTL-18091</t>
  </si>
  <si>
    <t>BTL-13569</t>
  </si>
  <si>
    <t>BTL-12896</t>
  </si>
  <si>
    <t>BTL-12294</t>
  </si>
  <si>
    <t>BTL-19858</t>
  </si>
  <si>
    <t>BTL-17963</t>
  </si>
  <si>
    <t>BTL-15832</t>
  </si>
  <si>
    <t>BTL-11000</t>
  </si>
  <si>
    <t>BTL-11001</t>
  </si>
  <si>
    <t>BTL-18187</t>
  </si>
  <si>
    <t>BTL-13726</t>
  </si>
  <si>
    <t>BTL-23391</t>
  </si>
  <si>
    <t>BTL-18100</t>
  </si>
  <si>
    <t>BTL-18092</t>
  </si>
  <si>
    <t>BTL-18093</t>
  </si>
  <si>
    <t>BTL-12295</t>
  </si>
  <si>
    <t>BTL-18622</t>
  </si>
  <si>
    <t>BTL-11805</t>
  </si>
  <si>
    <t>BTL-16577</t>
  </si>
  <si>
    <t>BTL-23073</t>
  </si>
  <si>
    <t>BTL-17135</t>
  </si>
  <si>
    <t>BTL-15384</t>
  </si>
  <si>
    <t>BTL-21044</t>
  </si>
  <si>
    <t>BTL-30044</t>
  </si>
  <si>
    <t>BTL-15839</t>
  </si>
  <si>
    <t>BTL-15630</t>
  </si>
  <si>
    <t>BTL-27859</t>
  </si>
  <si>
    <t>BTL-11253</t>
  </si>
  <si>
    <t>BTL-16575</t>
  </si>
  <si>
    <t>BTL-15199</t>
  </si>
  <si>
    <t>BTL-17028</t>
  </si>
  <si>
    <t>BTL-15337</t>
  </si>
  <si>
    <t>BTL-11713</t>
  </si>
  <si>
    <t>BTL-21884</t>
  </si>
  <si>
    <t>BTL-19963</t>
  </si>
  <si>
    <t>BTL-15099</t>
  </si>
  <si>
    <t>BTL-22442</t>
  </si>
  <si>
    <t>BTL-11515</t>
  </si>
  <si>
    <t>BTL-16421</t>
  </si>
  <si>
    <t>BTL-17964</t>
  </si>
  <si>
    <t>BTL-11981</t>
  </si>
  <si>
    <t>BTL-11002</t>
  </si>
  <si>
    <t>BTL-18439</t>
  </si>
  <si>
    <t>BTL-11003</t>
  </si>
  <si>
    <t>BTL-27139</t>
  </si>
  <si>
    <t>BTL-13563</t>
  </si>
  <si>
    <t>BTL-12625</t>
  </si>
  <si>
    <t>BTL-17542</t>
  </si>
  <si>
    <t>BTL-11559</t>
  </si>
  <si>
    <t>BTL-22528</t>
  </si>
  <si>
    <t>BTL-20847</t>
  </si>
  <si>
    <t>BTL-18420</t>
  </si>
  <si>
    <t>BTL-18151</t>
  </si>
  <si>
    <t>BTL-21609</t>
  </si>
  <si>
    <t>BTL-29723</t>
  </si>
  <si>
    <t>BTL-14947</t>
  </si>
  <si>
    <t>BTL-17831</t>
  </si>
  <si>
    <t>BTL-11185</t>
  </si>
  <si>
    <t>BTL-17832</t>
  </si>
  <si>
    <t>BTL-23996</t>
  </si>
  <si>
    <t>BTL-20388</t>
  </si>
  <si>
    <t>BTL-11918</t>
  </si>
  <si>
    <t>BTL-17703</t>
  </si>
  <si>
    <t>BTL-11560</t>
  </si>
  <si>
    <t>BTL-17587</t>
  </si>
  <si>
    <t>BTL-16068</t>
  </si>
  <si>
    <t>BTL-11023</t>
  </si>
  <si>
    <t>BTL-12093</t>
  </si>
  <si>
    <t>BTL-31962</t>
  </si>
  <si>
    <t>BTL-15086</t>
  </si>
  <si>
    <t>BTL-11764</t>
  </si>
  <si>
    <t>BTL-17833</t>
  </si>
  <si>
    <t>BTL-11806</t>
  </si>
  <si>
    <t>BTL-12897</t>
  </si>
  <si>
    <t>BTL-12898</t>
  </si>
  <si>
    <t>BTL-18477</t>
  </si>
  <si>
    <t>BTL-12094</t>
  </si>
  <si>
    <t>BTL-18877</t>
  </si>
  <si>
    <t>BTL-19232</t>
  </si>
  <si>
    <t>BTL-21784</t>
  </si>
  <si>
    <t>BTL-16026</t>
  </si>
  <si>
    <t>BTL-17115</t>
  </si>
  <si>
    <t>BTL-13912</t>
  </si>
  <si>
    <t>BTL-25893</t>
  </si>
  <si>
    <t>BTL-12812</t>
  </si>
  <si>
    <t>BTL-11743</t>
  </si>
  <si>
    <t>BTL-11871</t>
  </si>
  <si>
    <t>BTL-24099</t>
  </si>
  <si>
    <t>BTL-22962</t>
  </si>
  <si>
    <t>BTL-13134</t>
  </si>
  <si>
    <t>BTL-20106</t>
  </si>
  <si>
    <t>BTL-19756</t>
  </si>
  <si>
    <t>BTL-22588</t>
  </si>
  <si>
    <t>BTL-27172</t>
  </si>
  <si>
    <t>BTL-28996</t>
  </si>
  <si>
    <t>BTL-18192</t>
  </si>
  <si>
    <t>BTL-27444</t>
  </si>
  <si>
    <t>BTL-13534</t>
  </si>
  <si>
    <t>BTL-12186</t>
  </si>
  <si>
    <t>BTL-18103</t>
  </si>
  <si>
    <t>BTL-19824</t>
  </si>
  <si>
    <t>BTL-18779</t>
  </si>
  <si>
    <t>BTL-12296</t>
  </si>
  <si>
    <t>BTL-29098</t>
  </si>
  <si>
    <t>BTL-11024</t>
  </si>
  <si>
    <t>BTL-18644</t>
  </si>
  <si>
    <t>BTL-11480</t>
  </si>
  <si>
    <t>BTL-11025</t>
  </si>
  <si>
    <t>BTL-19147</t>
  </si>
  <si>
    <t>BTL-26658</t>
  </si>
  <si>
    <t>BTL-12899</t>
  </si>
  <si>
    <t>BTL-20319</t>
  </si>
  <si>
    <t>BTL-13515</t>
  </si>
  <si>
    <t>BTL-14307</t>
  </si>
  <si>
    <t>BTL-20380</t>
  </si>
  <si>
    <t>BTL-21040</t>
  </si>
  <si>
    <t>BTL-12246</t>
  </si>
  <si>
    <t>BTL-17965</t>
  </si>
  <si>
    <t>BTL-12556</t>
  </si>
  <si>
    <t>BTL-13448</t>
  </si>
  <si>
    <t>BTL-23035</t>
  </si>
  <si>
    <t>BTL-11462</t>
  </si>
  <si>
    <t>BTL-13511</t>
  </si>
  <si>
    <t>BTL-11004</t>
  </si>
  <si>
    <t>BTL-11005</t>
  </si>
  <si>
    <t>BTL-11026</t>
  </si>
  <si>
    <t>BTL-11872</t>
  </si>
  <si>
    <t>BTL-12722</t>
  </si>
  <si>
    <t>BTL-11711</t>
  </si>
  <si>
    <t>BTL-11006</t>
  </si>
  <si>
    <t>BTL-17430</t>
  </si>
  <si>
    <t>BTL-17590</t>
  </si>
  <si>
    <t>BTL-14373</t>
  </si>
  <si>
    <t>BTL-11257</t>
  </si>
  <si>
    <t>BTL-30074</t>
  </si>
  <si>
    <t>BTL-11306</t>
  </si>
  <si>
    <t>BTL-13757</t>
  </si>
  <si>
    <t>BTL-18189</t>
  </si>
  <si>
    <t>BTL-14675</t>
  </si>
  <si>
    <t>BTL-18188</t>
  </si>
  <si>
    <t>BTL-11027</t>
  </si>
  <si>
    <t>BTL-11331</t>
  </si>
  <si>
    <t>BTL-15344</t>
  </si>
  <si>
    <t>BTL-12557</t>
  </si>
  <si>
    <t>BTL-14942</t>
  </si>
  <si>
    <t>BTL-15821</t>
  </si>
  <si>
    <t>BTL-16574</t>
  </si>
  <si>
    <t>BTL-11007</t>
  </si>
  <si>
    <t>BTL-19065</t>
  </si>
  <si>
    <t>BTL-17373</t>
  </si>
  <si>
    <t>BTL-11919</t>
  </si>
  <si>
    <t>BTL-12247</t>
  </si>
  <si>
    <t>BTL-19155</t>
  </si>
  <si>
    <t>BTL-12095</t>
  </si>
  <si>
    <t>BTL-29961</t>
  </si>
  <si>
    <t>BTL-18094</t>
  </si>
  <si>
    <t>BTL-23004</t>
  </si>
  <si>
    <t>BTL-20534</t>
  </si>
  <si>
    <t>BTL-16197</t>
  </si>
  <si>
    <t>BTL-17592</t>
  </si>
  <si>
    <t>BTL-12558</t>
  </si>
  <si>
    <t>BTL-11258</t>
  </si>
  <si>
    <t>BTL-13858</t>
  </si>
  <si>
    <t>BTL-25081</t>
  </si>
  <si>
    <t>BTL-29099</t>
  </si>
  <si>
    <t>BTL-14780</t>
  </si>
  <si>
    <t>BTL-15215</t>
  </si>
  <si>
    <t>BTL-14047</t>
  </si>
  <si>
    <t>BTL-18186</t>
  </si>
  <si>
    <t>BTL-32402</t>
  </si>
  <si>
    <t>BTL-14568</t>
  </si>
  <si>
    <t>BTL-13449</t>
  </si>
  <si>
    <t>BTL-23040</t>
  </si>
  <si>
    <t>BTL-11561</t>
  </si>
  <si>
    <t>BTL-21996</t>
  </si>
  <si>
    <t>BTL-18190</t>
  </si>
  <si>
    <t>BTL-12626</t>
  </si>
  <si>
    <t>BTL-20148</t>
  </si>
  <si>
    <t>BTL-11028</t>
  </si>
  <si>
    <t>BTL-31296</t>
  </si>
  <si>
    <t>BTL-23276</t>
  </si>
  <si>
    <t>BTL-18314</t>
  </si>
  <si>
    <t>BTL-11008</t>
  </si>
  <si>
    <t>BTL-13450</t>
  </si>
  <si>
    <t>BTL-16825</t>
  </si>
  <si>
    <t>BTL-12813</t>
  </si>
  <si>
    <t>BTL-12627</t>
  </si>
  <si>
    <t>BTL-12187</t>
  </si>
  <si>
    <t>BTL-24275</t>
  </si>
  <si>
    <t>BTL-14142</t>
  </si>
  <si>
    <t>BTL-11807</t>
  </si>
  <si>
    <t>BTL-19259</t>
  </si>
  <si>
    <t>BTL-11260</t>
  </si>
  <si>
    <t>BTL-18576</t>
  </si>
  <si>
    <t>BTL-26226</t>
  </si>
  <si>
    <t>BTL-19519</t>
  </si>
  <si>
    <t>BTL-11029</t>
  </si>
  <si>
    <t>BTL-16580</t>
  </si>
  <si>
    <t>BTL-20182</t>
  </si>
  <si>
    <t>BTL-22384</t>
  </si>
  <si>
    <t>BTL-21914</t>
  </si>
  <si>
    <t>BTL-20917</t>
  </si>
  <si>
    <t>BTL-15883</t>
  </si>
  <si>
    <t>BTL-11009</t>
  </si>
  <si>
    <t>BTL-11920</t>
  </si>
  <si>
    <t>BTL-12128</t>
  </si>
  <si>
    <t>BTL-32116</t>
  </si>
  <si>
    <t>BTL-22107</t>
  </si>
  <si>
    <t>BTL-16374</t>
  </si>
  <si>
    <t>BTL-17425</t>
  </si>
  <si>
    <t>BTL-11873</t>
  </si>
  <si>
    <t>BTL-14128</t>
  </si>
  <si>
    <t>BTL-18096</t>
  </si>
  <si>
    <t>BTL-17588</t>
  </si>
  <si>
    <t>BTL-12188</t>
  </si>
  <si>
    <t>BTL-11982</t>
  </si>
  <si>
    <t>BTL-17966</t>
  </si>
  <si>
    <t>BTL-24705</t>
  </si>
  <si>
    <t>BTL-11983</t>
  </si>
  <si>
    <t>BTL-12129</t>
  </si>
  <si>
    <t>BTL-12723</t>
  </si>
  <si>
    <t>BTL-14801</t>
  </si>
  <si>
    <t>BTL-14174</t>
  </si>
  <si>
    <t>BTL-14808</t>
  </si>
  <si>
    <t>BTL-14989</t>
  </si>
  <si>
    <t>BTL-13768</t>
  </si>
  <si>
    <t>BTL-17247</t>
  </si>
  <si>
    <t>BTL-12628</t>
  </si>
  <si>
    <t>BTL-14919</t>
  </si>
  <si>
    <t>BTL-14669</t>
  </si>
  <si>
    <t>BTL-14152</t>
  </si>
  <si>
    <t>BTL-12900</t>
  </si>
  <si>
    <t>BTL-18720</t>
  </si>
  <si>
    <t>BTL-12978</t>
  </si>
  <si>
    <t>BTL-11010</t>
  </si>
  <si>
    <t>BTL-12297</t>
  </si>
  <si>
    <t>BTL-12130</t>
  </si>
  <si>
    <t>BTL-16628</t>
  </si>
  <si>
    <t>BTL-11271</t>
  </si>
  <si>
    <t>BTL-12189</t>
  </si>
  <si>
    <t>BTL-12298</t>
  </si>
  <si>
    <t>BTL-11808</t>
  </si>
  <si>
    <t>BTL-15066</t>
  </si>
  <si>
    <t>BTL-14495</t>
  </si>
  <si>
    <t>BTL-12629</t>
  </si>
  <si>
    <t>BTL-20882</t>
  </si>
  <si>
    <t>BTL-16579</t>
  </si>
  <si>
    <t>BTL-20896</t>
  </si>
  <si>
    <t>BTL-11478</t>
  </si>
  <si>
    <t>BTL-13513</t>
  </si>
  <si>
    <t>BTL-22250</t>
  </si>
  <si>
    <t>BTL-11030</t>
  </si>
  <si>
    <t>BTL-20895</t>
  </si>
  <si>
    <t>BTL-30581</t>
  </si>
  <si>
    <t>BTL-11648</t>
  </si>
  <si>
    <t>BTL-18095</t>
  </si>
  <si>
    <t>BTL-21681</t>
  </si>
  <si>
    <t>BTL-11031</t>
  </si>
  <si>
    <t>BTL-11032</t>
  </si>
  <si>
    <t>1079-A</t>
  </si>
  <si>
    <t>BTL-11261</t>
  </si>
  <si>
    <t>1079-B</t>
  </si>
  <si>
    <t>BTL-13881</t>
  </si>
  <si>
    <t>1079-C</t>
  </si>
  <si>
    <t>BTL-11011</t>
  </si>
  <si>
    <t>1079-D</t>
  </si>
  <si>
    <t>BTL-20504</t>
  </si>
  <si>
    <t>BTL-20742</t>
  </si>
  <si>
    <t>1079-F</t>
  </si>
  <si>
    <t>BTL-13848</t>
  </si>
  <si>
    <t>BTL-12421</t>
  </si>
  <si>
    <t>BTL-25420</t>
  </si>
  <si>
    <t>BTL-11012</t>
  </si>
  <si>
    <t>BTL-14607</t>
  </si>
  <si>
    <t>BTL-12497</t>
  </si>
  <si>
    <t>BTL-20475</t>
  </si>
  <si>
    <t>BTL-15684</t>
  </si>
  <si>
    <t>BTL-13734</t>
  </si>
  <si>
    <t>BTL-14981</t>
  </si>
  <si>
    <t>BTL-17701</t>
  </si>
  <si>
    <t>BTL-11859</t>
  </si>
  <si>
    <t>BTL-12979</t>
  </si>
  <si>
    <t>BTL-11033</t>
  </si>
  <si>
    <t>BTL-14821</t>
  </si>
  <si>
    <t>BTL-31528</t>
  </si>
  <si>
    <t>BTL-13694</t>
  </si>
  <si>
    <t>BTL-19357</t>
  </si>
  <si>
    <t>BTL-14305</t>
  </si>
  <si>
    <t>BTL-14032</t>
  </si>
  <si>
    <t>BTL-22937</t>
  </si>
  <si>
    <t>BTL-11013</t>
  </si>
  <si>
    <t>BTL-11034</t>
  </si>
  <si>
    <t>BTL-13775</t>
  </si>
  <si>
    <t>BTL-27669</t>
  </si>
  <si>
    <t>BTL-20486</t>
  </si>
  <si>
    <t>BTL-31963</t>
  </si>
  <si>
    <t>2 (PLAZA)</t>
  </si>
  <si>
    <t>Commercial</t>
  </si>
  <si>
    <t>BTL-27326</t>
  </si>
  <si>
    <t>06 (SHOP)</t>
  </si>
  <si>
    <t>BTL-14900</t>
  </si>
  <si>
    <t>09 (PLAZA)</t>
  </si>
  <si>
    <t>BTL-14899</t>
  </si>
  <si>
    <t>10 (PLAZA)</t>
  </si>
  <si>
    <t>BTL-27719</t>
  </si>
  <si>
    <t>10 (SHOP)</t>
  </si>
  <si>
    <t>BTL-29724</t>
  </si>
  <si>
    <t>11 (PLAZA)</t>
  </si>
  <si>
    <t>BTL-27720</t>
  </si>
  <si>
    <t>13 (SHOP)</t>
  </si>
  <si>
    <t>BTL-31715</t>
  </si>
  <si>
    <t>15 (PLAZA)</t>
  </si>
  <si>
    <t>BTL-29780</t>
  </si>
  <si>
    <t>18 (PLAZA) (1st/F APP-101)</t>
  </si>
  <si>
    <t>BTL-29781</t>
  </si>
  <si>
    <t>18 (PLAZA) (1st/F APP-102)</t>
  </si>
  <si>
    <t>BTL-29782</t>
  </si>
  <si>
    <t>18 (PLAZA) (1st/F APP-103)</t>
  </si>
  <si>
    <t>BTL-29783</t>
  </si>
  <si>
    <t>18 (PLAZA) (2nd/F APP-201)</t>
  </si>
  <si>
    <t>BTL-25496</t>
  </si>
  <si>
    <t>18 (PLAZA)</t>
  </si>
  <si>
    <t>BTL-29784</t>
  </si>
  <si>
    <t>18 (PLAZA) (G/F HALL-G-01)</t>
  </si>
  <si>
    <t>BTL-29004</t>
  </si>
  <si>
    <t>20 (PLAZA)</t>
  </si>
  <si>
    <t>BTL-29100</t>
  </si>
  <si>
    <t>20 (SHOP)</t>
  </si>
  <si>
    <t>BTL-17443</t>
  </si>
  <si>
    <t>23 (PLAZA) FLAT-1</t>
  </si>
  <si>
    <t>BTL-17444</t>
  </si>
  <si>
    <t>23 (PLAZA) FLAT-2</t>
  </si>
  <si>
    <t>BTL-14670</t>
  </si>
  <si>
    <t>23 (PLAZA)</t>
  </si>
  <si>
    <t>BTL-19280</t>
  </si>
  <si>
    <t>27 (PLAZA) G/F</t>
  </si>
  <si>
    <t>BTL-19359</t>
  </si>
  <si>
    <t>27 (PLAZA) (1ST FLOOR)</t>
  </si>
  <si>
    <t>BTL-20748</t>
  </si>
  <si>
    <t>27 (PLAZA) (2nd Floor 4th Meter)</t>
  </si>
  <si>
    <t>BTL-13773</t>
  </si>
  <si>
    <t>27 (PLAZA) (BASEMENT)</t>
  </si>
  <si>
    <t>BTL-29001</t>
  </si>
  <si>
    <t>29 (PLAZA) (2nd/F APP-201)</t>
  </si>
  <si>
    <t>BTL-29002</t>
  </si>
  <si>
    <t>29 (PLAZA) (2nd/F APP-202)</t>
  </si>
  <si>
    <t>BTL-29003</t>
  </si>
  <si>
    <t>29 (PLAZA) (2nd/F APP-203)</t>
  </si>
  <si>
    <t>BTL-28999</t>
  </si>
  <si>
    <t>29 (PLAZA) (F/F APP-101)</t>
  </si>
  <si>
    <t>BTL-29000</t>
  </si>
  <si>
    <t>29 (PLAZA) (F/F APP-102)</t>
  </si>
  <si>
    <t>BTL-26356</t>
  </si>
  <si>
    <t>29 (PLAZA)</t>
  </si>
  <si>
    <t>BTL-28997</t>
  </si>
  <si>
    <t>29 (PLAZA) (BASEMENT-B-01)</t>
  </si>
  <si>
    <t>BTL-28998</t>
  </si>
  <si>
    <t>29 (PLAZA) (BASEMENT-HALL-B-02)</t>
  </si>
  <si>
    <t>BTL-23777</t>
  </si>
  <si>
    <t>31 (PLAZA)</t>
  </si>
  <si>
    <t>BTL-33243</t>
  </si>
  <si>
    <t>32-PLAZA</t>
  </si>
  <si>
    <t>BTL-26952</t>
  </si>
  <si>
    <t>34 (PLAZA) 2ND/F APPS</t>
  </si>
  <si>
    <t>BTL-26953</t>
  </si>
  <si>
    <t>34 (PLAZA) (F/F APPS)</t>
  </si>
  <si>
    <t>BTL-23804</t>
  </si>
  <si>
    <t>34 (PLAZA)</t>
  </si>
  <si>
    <t>BTL-26951</t>
  </si>
  <si>
    <t>34 (PLAZA) BASMENT</t>
  </si>
  <si>
    <t>BTL-16502</t>
  </si>
  <si>
    <t>35 IV (PLAZA)</t>
  </si>
  <si>
    <t>BTL-16500</t>
  </si>
  <si>
    <t>35 II (PLAZA)</t>
  </si>
  <si>
    <t>BTL-16501</t>
  </si>
  <si>
    <t>35 III (PLAZA)</t>
  </si>
  <si>
    <t>BTL-13733</t>
  </si>
  <si>
    <t>35 (PLAZA)</t>
  </si>
  <si>
    <t>BTL-27262</t>
  </si>
  <si>
    <t>36 (PLAZA)</t>
  </si>
  <si>
    <t>BTL-32960</t>
  </si>
  <si>
    <t>36 (PLAZA) 1st/F HALL-101</t>
  </si>
  <si>
    <t>BTL-33101</t>
  </si>
  <si>
    <t>36 (PLAZA) Basement Hall-B-01</t>
  </si>
  <si>
    <t>BTL-33928</t>
  </si>
  <si>
    <t>36 (PLAZA) G/F HALL G-01</t>
  </si>
  <si>
    <t>BTL-28199</t>
  </si>
  <si>
    <t>38 (PLAZA) (2nd/F APPT)</t>
  </si>
  <si>
    <t>BTL-23522</t>
  </si>
  <si>
    <t>38 (PLAZA) (F/F-2nd/F APPT)</t>
  </si>
  <si>
    <t>BTL-13759</t>
  </si>
  <si>
    <t>38 (PLAZA)</t>
  </si>
  <si>
    <t>BTL-28915</t>
  </si>
  <si>
    <t>40 (PLAZA)</t>
  </si>
  <si>
    <t>BTL-13840</t>
  </si>
  <si>
    <t>47 (PLAZA)</t>
  </si>
  <si>
    <t>BTL-18932</t>
  </si>
  <si>
    <t>47 (PLAZA) 1ST FLOOR</t>
  </si>
  <si>
    <t>BTL-28735</t>
  </si>
  <si>
    <t>47 (PLAZA) 2nd FLOOR</t>
  </si>
  <si>
    <t>BTL-18852</t>
  </si>
  <si>
    <t>47 (PLAZA) BASMENT</t>
  </si>
  <si>
    <t>BTL-16593</t>
  </si>
  <si>
    <t>48 (PLAZA)</t>
  </si>
  <si>
    <t>BTL-24948</t>
  </si>
  <si>
    <t>48 (PLAZA) G/F + BASMENT</t>
  </si>
  <si>
    <t>BTL-14992</t>
  </si>
  <si>
    <t>49 (PLAZA)</t>
  </si>
  <si>
    <t>BTL-31964</t>
  </si>
  <si>
    <t>50 (PLAZA)</t>
  </si>
  <si>
    <t>BTL-27667</t>
  </si>
  <si>
    <t>53 (PLAZA)</t>
  </si>
  <si>
    <t>BTL-13913</t>
  </si>
  <si>
    <t>54 (PLAZA)</t>
  </si>
  <si>
    <t>BTL-19583</t>
  </si>
  <si>
    <t>54 (PLAZA) F/FLOOR</t>
  </si>
  <si>
    <t>BTL-20938</t>
  </si>
  <si>
    <t>54 (PLAZA) (2nd FLOOR)</t>
  </si>
  <si>
    <t>BTL-19611</t>
  </si>
  <si>
    <t>55 (PLAZA) (FLAT 1 &amp; 2)</t>
  </si>
  <si>
    <t>BTL-15307</t>
  </si>
  <si>
    <t>55 (PLAZA)</t>
  </si>
  <si>
    <t>BTL-19610</t>
  </si>
  <si>
    <t>55 (PLAZA) BASMENT</t>
  </si>
  <si>
    <t>BTL-14752</t>
  </si>
  <si>
    <t>56 (PLAZA)</t>
  </si>
  <si>
    <t>BTL-15338</t>
  </si>
  <si>
    <t>57 (PLAZA)</t>
  </si>
  <si>
    <t>BTL-14408</t>
  </si>
  <si>
    <t>59 (PLAZA)</t>
  </si>
  <si>
    <t>BTL-21780</t>
  </si>
  <si>
    <t>59 (PLAZA) BASEMANT</t>
  </si>
  <si>
    <t>BTL-18968</t>
  </si>
  <si>
    <t>61 (PLAZA)</t>
  </si>
  <si>
    <t>BTL-29881</t>
  </si>
  <si>
    <t>62 (PLAZA) (2nd/F APP-201)</t>
  </si>
  <si>
    <t>BTL-13503</t>
  </si>
  <si>
    <t>62 (PLAZA)</t>
  </si>
  <si>
    <t>BTL-29880</t>
  </si>
  <si>
    <t>62 (PLAZA) (1st/F APP-101)</t>
  </si>
  <si>
    <t>BTL-14718</t>
  </si>
  <si>
    <t>63 (PLAZA)</t>
  </si>
  <si>
    <t>BTL-25570</t>
  </si>
  <si>
    <t>65 (PLAZA)</t>
  </si>
  <si>
    <t>BTL-26250</t>
  </si>
  <si>
    <t>67 (PLAZA) (2nd/F APP-201)</t>
  </si>
  <si>
    <t>BTL-26251</t>
  </si>
  <si>
    <t>67 (PLAZA) (2nd/F APP-202)</t>
  </si>
  <si>
    <t>BTL-23016</t>
  </si>
  <si>
    <t>67 (PLAZA)</t>
  </si>
  <si>
    <t>BTL-26249</t>
  </si>
  <si>
    <t>67 (PLAZA) (1st/F HALL-101)</t>
  </si>
  <si>
    <t>BTL-26248</t>
  </si>
  <si>
    <t>67 (PLAZA) (BAS-HALL-B-01)</t>
  </si>
  <si>
    <t>BTL-17329</t>
  </si>
  <si>
    <t>68 (PLAZA)</t>
  </si>
  <si>
    <t>BTL-24677</t>
  </si>
  <si>
    <t>68 (PLAZA) (F/F)</t>
  </si>
  <si>
    <t>BTL-18613</t>
  </si>
  <si>
    <t>70 (PLAZA)</t>
  </si>
  <si>
    <t>BTL-31026</t>
  </si>
  <si>
    <t>72 (PLAZA) (2nd/F APP-201)</t>
  </si>
  <si>
    <t>BTL-15083</t>
  </si>
  <si>
    <t>72 (PLAZA)</t>
  </si>
  <si>
    <t>BTL-32117</t>
  </si>
  <si>
    <t>76 (PLAZA)</t>
  </si>
  <si>
    <t>BTL-24893</t>
  </si>
  <si>
    <t>78 (PLAZA)</t>
  </si>
  <si>
    <t>BTL-14767</t>
  </si>
  <si>
    <t>80 (PLAZA)</t>
  </si>
  <si>
    <t>BTL-22210</t>
  </si>
  <si>
    <t>81 (PLAZA)</t>
  </si>
  <si>
    <t>BTL-29641</t>
  </si>
  <si>
    <t>88 (PLAZA)</t>
  </si>
  <si>
    <t>BTL-15321</t>
  </si>
  <si>
    <t>89 (PLAZA)</t>
  </si>
  <si>
    <t>BTL-23092</t>
  </si>
  <si>
    <t>90 (PLAZA) F/F APT-101</t>
  </si>
  <si>
    <t>BTL-20092</t>
  </si>
  <si>
    <t>90 (PLAZA)</t>
  </si>
  <si>
    <t>BTL-15536</t>
  </si>
  <si>
    <t>91 II (PLAZA)</t>
  </si>
  <si>
    <t>BTL-15537</t>
  </si>
  <si>
    <t>91 III (PLAZA)</t>
  </si>
  <si>
    <t>BTL-15538</t>
  </si>
  <si>
    <t>91 IV (PLAZA)</t>
  </si>
  <si>
    <t>BTL-14132</t>
  </si>
  <si>
    <t>91 (PLAZA)</t>
  </si>
  <si>
    <t>BTL-29779</t>
  </si>
  <si>
    <t>98 (PLAZA) (2nd/F APP-201)</t>
  </si>
  <si>
    <t>BTL-14125</t>
  </si>
  <si>
    <t>98 (PLAZA)</t>
  </si>
  <si>
    <t>BTL-13313</t>
  </si>
  <si>
    <t>DISPOSAL NR 132</t>
  </si>
  <si>
    <t>Bahria Self Consumption</t>
  </si>
  <si>
    <t>BTL-13949</t>
  </si>
  <si>
    <t>SECURITY CHECK NR (48 COM)</t>
  </si>
  <si>
    <t>BTL-24048</t>
  </si>
  <si>
    <t>SECURITY CHECK NR (H-200)</t>
  </si>
  <si>
    <t>BTL-13282</t>
  </si>
  <si>
    <t>SLP NR (H-18)</t>
  </si>
  <si>
    <t>BTL-13284</t>
  </si>
  <si>
    <t>SLP NR (H-248)</t>
  </si>
  <si>
    <t>BTL-13283</t>
  </si>
  <si>
    <t>SLP NR (H-386)</t>
  </si>
  <si>
    <t>BTL-13281</t>
  </si>
  <si>
    <t>SLP NR (H-434)</t>
  </si>
  <si>
    <t>BTL-13254</t>
  </si>
  <si>
    <t>SLP NR (H-730)</t>
  </si>
  <si>
    <t>BTL-13951</t>
  </si>
  <si>
    <t>SPRINKLER NR (27 COM)</t>
  </si>
  <si>
    <t>BTL-13950</t>
  </si>
  <si>
    <t>SPRINKLER NR (H-664)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</si>
</sst>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9" fillId="5" borderId="0" xfId="0" applyFont="1" applyFill="1"/>
    <xf numFmtId="0" fontId="9" fillId="0" borderId="0" xfId="0" applyFont="1"/>
    <xf numFmtId="0" fontId="19" fillId="4" borderId="0" xfId="0" applyFont="1" applyFill="1" applyAlignment="1">
      <alignment horizontal="left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68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953"/>
  <sheetViews>
    <sheetView tabSelected="1" view="pageBreakPreview" topLeftCell="A937" zoomScaleSheetLayoutView="100" workbookViewId="0">
      <selection activeCell="E948" sqref="E948"/>
    </sheetView>
  </sheetViews>
  <sheetFormatPr defaultRowHeight="15.75" x14ac:dyDescent="0.25"/>
  <cols>
    <col min="1" max="1" width="11.28515625" style="28" customWidth="1"/>
    <col min="3" max="3" width="10" bestFit="1" customWidth="1"/>
    <col min="7" max="7" width="4.28515625" style="29" customWidth="1"/>
    <col min="8" max="8" width="14.85546875" style="30" bestFit="1" customWidth="1"/>
    <col min="9" max="9" width="14.7109375" style="31" customWidth="1"/>
    <col min="10" max="10" width="8.5703125" customWidth="1"/>
    <col min="11" max="11" width="7.7109375" style="32" customWidth="1"/>
    <col min="12" max="12" width="13" customWidth="1"/>
    <col min="13" max="13" width="7.7109375" style="33" customWidth="1"/>
    <col min="14" max="14" width="13" customWidth="1"/>
    <col min="15" max="15" width="7.7109375" style="33" customWidth="1"/>
    <col min="16" max="16" width="13" customWidth="1"/>
    <col min="17" max="17" width="7.7109375" style="34" customWidth="1"/>
    <col min="18" max="18" width="13" customWidth="1"/>
    <col min="19" max="19" width="14.140625" style="35" customWidth="1"/>
    <col min="20" max="20" width="11.28515625" style="28" customWidth="1"/>
  </cols>
  <sheetData>
    <row r="1" spans="1:20" ht="31.5" customHeight="1" x14ac:dyDescent="0.25">
      <c r="A1"/>
      <c r="G1" s="38" t="s">
        <v>0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29.25" customHeight="1" thickBot="1" x14ac:dyDescent="0.3">
      <c r="A2"/>
      <c r="G2" s="39" t="s">
        <v>1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0" t="s">
        <v>4</v>
      </c>
      <c r="H4" s="42" t="s">
        <v>5</v>
      </c>
      <c r="I4" s="44" t="s">
        <v>6</v>
      </c>
      <c r="J4" s="46" t="s">
        <v>7</v>
      </c>
      <c r="K4" s="48" t="s">
        <v>8</v>
      </c>
      <c r="L4" s="49"/>
      <c r="M4" s="50" t="s">
        <v>9</v>
      </c>
      <c r="N4" s="48"/>
      <c r="O4" s="51" t="s">
        <v>10</v>
      </c>
      <c r="P4" s="52"/>
      <c r="Q4" s="51" t="s">
        <v>11</v>
      </c>
      <c r="R4" s="53"/>
      <c r="S4" s="36" t="s">
        <v>12</v>
      </c>
      <c r="T4" s="37"/>
    </row>
    <row r="5" spans="1:20" ht="31.5" customHeight="1" thickBot="1" x14ac:dyDescent="0.3">
      <c r="A5" s="13" t="s">
        <v>13</v>
      </c>
      <c r="G5" s="41"/>
      <c r="H5" s="43" t="s">
        <v>5</v>
      </c>
      <c r="I5" s="45" t="s">
        <v>6</v>
      </c>
      <c r="J5" s="47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>C6+D6</f>
        <v>7167</v>
      </c>
      <c r="C6">
        <v>1225</v>
      </c>
      <c r="D6">
        <v>5942</v>
      </c>
      <c r="F6">
        <f t="shared" ref="F6:F68" si="0">L6</f>
        <v>145</v>
      </c>
      <c r="G6" s="20">
        <v>1</v>
      </c>
      <c r="H6" s="21">
        <v>66622030148</v>
      </c>
      <c r="I6" s="22">
        <v>1</v>
      </c>
      <c r="J6" s="23"/>
      <c r="K6" s="24">
        <v>7022</v>
      </c>
      <c r="L6" s="23">
        <f t="shared" ref="L6:L69" si="1">B6-K6</f>
        <v>145</v>
      </c>
      <c r="M6" s="24">
        <v>1194</v>
      </c>
      <c r="N6" s="25">
        <f t="shared" ref="N6:N69" si="2">C6-M6</f>
        <v>31</v>
      </c>
      <c r="O6" s="24">
        <v>5828</v>
      </c>
      <c r="P6" s="23">
        <f t="shared" ref="P6:P69" si="3">D6-O6</f>
        <v>114</v>
      </c>
      <c r="Q6" s="26"/>
      <c r="R6" s="23">
        <f t="shared" ref="R6:R69" si="4">E6-Q6</f>
        <v>0</v>
      </c>
      <c r="S6" s="27" t="s">
        <v>18</v>
      </c>
      <c r="T6" s="19" t="s">
        <v>17</v>
      </c>
    </row>
    <row r="7" spans="1:20" ht="37.5" customHeight="1" x14ac:dyDescent="0.25">
      <c r="A7" s="19" t="s">
        <v>19</v>
      </c>
      <c r="B7">
        <f t="shared" ref="B7:B70" si="5">C7+D7</f>
        <v>20864</v>
      </c>
      <c r="C7">
        <v>3397</v>
      </c>
      <c r="D7">
        <v>17467</v>
      </c>
      <c r="F7">
        <f t="shared" si="0"/>
        <v>435</v>
      </c>
      <c r="G7" s="20">
        <f>G6+1</f>
        <v>2</v>
      </c>
      <c r="H7" s="21">
        <v>88821080447</v>
      </c>
      <c r="I7" s="22">
        <v>2</v>
      </c>
      <c r="J7" s="23"/>
      <c r="K7" s="24">
        <v>20429</v>
      </c>
      <c r="L7" s="23">
        <f t="shared" si="1"/>
        <v>435</v>
      </c>
      <c r="M7" s="24">
        <v>3319</v>
      </c>
      <c r="N7" s="25">
        <f t="shared" si="2"/>
        <v>78</v>
      </c>
      <c r="O7" s="24">
        <v>17110</v>
      </c>
      <c r="P7" s="23">
        <f t="shared" si="3"/>
        <v>357</v>
      </c>
      <c r="Q7" s="26"/>
      <c r="R7" s="23">
        <f t="shared" si="4"/>
        <v>0</v>
      </c>
      <c r="S7" s="27" t="s">
        <v>18</v>
      </c>
      <c r="T7" s="19" t="s">
        <v>19</v>
      </c>
    </row>
    <row r="8" spans="1:20" ht="37.5" customHeight="1" x14ac:dyDescent="0.25">
      <c r="A8" s="19" t="s">
        <v>20</v>
      </c>
      <c r="B8">
        <f t="shared" si="5"/>
        <v>8380</v>
      </c>
      <c r="C8">
        <v>1534</v>
      </c>
      <c r="D8">
        <v>6846</v>
      </c>
      <c r="F8">
        <f t="shared" si="0"/>
        <v>160</v>
      </c>
      <c r="G8" s="20">
        <f t="shared" ref="G8:G71" si="6">G7+1</f>
        <v>3</v>
      </c>
      <c r="H8" s="21">
        <v>66621060420</v>
      </c>
      <c r="I8" s="22">
        <v>3</v>
      </c>
      <c r="J8" s="23"/>
      <c r="K8" s="24">
        <v>8220</v>
      </c>
      <c r="L8" s="23">
        <f t="shared" si="1"/>
        <v>160</v>
      </c>
      <c r="M8" s="24">
        <v>1498</v>
      </c>
      <c r="N8" s="25">
        <f t="shared" si="2"/>
        <v>36</v>
      </c>
      <c r="O8" s="24">
        <v>6722</v>
      </c>
      <c r="P8" s="23">
        <f t="shared" si="3"/>
        <v>124</v>
      </c>
      <c r="Q8" s="26"/>
      <c r="R8" s="23">
        <f t="shared" si="4"/>
        <v>0</v>
      </c>
      <c r="S8" s="27" t="s">
        <v>18</v>
      </c>
      <c r="T8" s="19" t="s">
        <v>20</v>
      </c>
    </row>
    <row r="9" spans="1:20" ht="37.5" customHeight="1" x14ac:dyDescent="0.25">
      <c r="A9" s="19" t="s">
        <v>21</v>
      </c>
      <c r="B9">
        <f t="shared" si="5"/>
        <v>18857</v>
      </c>
      <c r="C9">
        <v>3806</v>
      </c>
      <c r="D9">
        <v>15051</v>
      </c>
      <c r="F9">
        <f t="shared" si="0"/>
        <v>220</v>
      </c>
      <c r="G9" s="20">
        <f t="shared" si="6"/>
        <v>4</v>
      </c>
      <c r="H9" s="21">
        <v>88818020232</v>
      </c>
      <c r="I9" s="22">
        <v>5</v>
      </c>
      <c r="J9" s="23"/>
      <c r="K9" s="24">
        <v>18637</v>
      </c>
      <c r="L9" s="23">
        <f t="shared" si="1"/>
        <v>220</v>
      </c>
      <c r="M9" s="24">
        <v>3769</v>
      </c>
      <c r="N9" s="25">
        <f t="shared" si="2"/>
        <v>37</v>
      </c>
      <c r="O9" s="24">
        <v>14868</v>
      </c>
      <c r="P9" s="23">
        <f t="shared" si="3"/>
        <v>183</v>
      </c>
      <c r="Q9" s="26"/>
      <c r="R9" s="23">
        <f t="shared" si="4"/>
        <v>0</v>
      </c>
      <c r="S9" s="27" t="s">
        <v>18</v>
      </c>
      <c r="T9" s="19" t="s">
        <v>21</v>
      </c>
    </row>
    <row r="10" spans="1:20" ht="37.5" customHeight="1" x14ac:dyDescent="0.25">
      <c r="A10" s="19" t="s">
        <v>22</v>
      </c>
      <c r="B10">
        <f t="shared" si="5"/>
        <v>14876</v>
      </c>
      <c r="C10">
        <v>2844</v>
      </c>
      <c r="D10">
        <v>12032</v>
      </c>
      <c r="F10">
        <f t="shared" si="0"/>
        <v>0</v>
      </c>
      <c r="G10" s="20">
        <f t="shared" si="6"/>
        <v>5</v>
      </c>
      <c r="H10" s="21">
        <v>23015100621</v>
      </c>
      <c r="I10" s="22">
        <v>6</v>
      </c>
      <c r="J10" s="23"/>
      <c r="K10" s="24">
        <v>14876</v>
      </c>
      <c r="L10" s="23">
        <f t="shared" si="1"/>
        <v>0</v>
      </c>
      <c r="M10" s="24">
        <v>2844</v>
      </c>
      <c r="N10" s="25">
        <f t="shared" si="2"/>
        <v>0</v>
      </c>
      <c r="O10" s="24">
        <v>12032</v>
      </c>
      <c r="P10" s="23">
        <f t="shared" si="3"/>
        <v>0</v>
      </c>
      <c r="Q10" s="26"/>
      <c r="R10" s="23">
        <f t="shared" si="4"/>
        <v>0</v>
      </c>
      <c r="S10" s="27" t="s">
        <v>18</v>
      </c>
      <c r="T10" s="19" t="s">
        <v>22</v>
      </c>
    </row>
    <row r="11" spans="1:20" ht="37.5" customHeight="1" x14ac:dyDescent="0.25">
      <c r="A11" s="19" t="s">
        <v>23</v>
      </c>
      <c r="B11">
        <f t="shared" si="5"/>
        <v>11548</v>
      </c>
      <c r="C11">
        <v>1965</v>
      </c>
      <c r="D11">
        <v>9583</v>
      </c>
      <c r="F11">
        <f t="shared" si="0"/>
        <v>103</v>
      </c>
      <c r="G11" s="20">
        <f t="shared" si="6"/>
        <v>6</v>
      </c>
      <c r="H11" s="21">
        <v>66621100129</v>
      </c>
      <c r="I11" s="22">
        <v>7</v>
      </c>
      <c r="J11" s="23"/>
      <c r="K11" s="24">
        <v>11445</v>
      </c>
      <c r="L11" s="23">
        <f t="shared" si="1"/>
        <v>103</v>
      </c>
      <c r="M11" s="24">
        <v>1952</v>
      </c>
      <c r="N11" s="25">
        <f t="shared" si="2"/>
        <v>13</v>
      </c>
      <c r="O11" s="24">
        <v>9493</v>
      </c>
      <c r="P11" s="23">
        <f t="shared" si="3"/>
        <v>90</v>
      </c>
      <c r="Q11" s="26"/>
      <c r="R11" s="23">
        <f t="shared" si="4"/>
        <v>0</v>
      </c>
      <c r="S11" s="27" t="s">
        <v>18</v>
      </c>
      <c r="T11" s="19" t="s">
        <v>23</v>
      </c>
    </row>
    <row r="12" spans="1:20" ht="37.5" customHeight="1" x14ac:dyDescent="0.25">
      <c r="A12" s="19" t="s">
        <v>24</v>
      </c>
      <c r="B12">
        <f t="shared" si="5"/>
        <v>54888</v>
      </c>
      <c r="C12">
        <v>9940</v>
      </c>
      <c r="D12">
        <v>44948</v>
      </c>
      <c r="F12">
        <f t="shared" si="0"/>
        <v>671</v>
      </c>
      <c r="G12" s="20">
        <f t="shared" si="6"/>
        <v>7</v>
      </c>
      <c r="H12" s="21">
        <v>88818010108</v>
      </c>
      <c r="I12" s="22">
        <v>9</v>
      </c>
      <c r="J12" s="23"/>
      <c r="K12" s="24">
        <v>54217</v>
      </c>
      <c r="L12" s="23">
        <f t="shared" si="1"/>
        <v>671</v>
      </c>
      <c r="M12" s="24">
        <v>9802</v>
      </c>
      <c r="N12" s="25">
        <f t="shared" si="2"/>
        <v>138</v>
      </c>
      <c r="O12" s="24">
        <v>44415</v>
      </c>
      <c r="P12" s="23">
        <f t="shared" si="3"/>
        <v>533</v>
      </c>
      <c r="Q12" s="26"/>
      <c r="R12" s="23">
        <f t="shared" si="4"/>
        <v>0</v>
      </c>
      <c r="S12" s="27" t="s">
        <v>18</v>
      </c>
      <c r="T12" s="19" t="s">
        <v>24</v>
      </c>
    </row>
    <row r="13" spans="1:20" ht="37.5" customHeight="1" x14ac:dyDescent="0.25">
      <c r="A13" s="19" t="s">
        <v>25</v>
      </c>
      <c r="B13">
        <f t="shared" si="5"/>
        <v>1952</v>
      </c>
      <c r="C13">
        <v>224</v>
      </c>
      <c r="D13">
        <v>1728</v>
      </c>
      <c r="F13">
        <f t="shared" si="0"/>
        <v>0</v>
      </c>
      <c r="G13" s="20">
        <f t="shared" si="6"/>
        <v>8</v>
      </c>
      <c r="H13" s="21">
        <v>66623011013</v>
      </c>
      <c r="I13" s="22">
        <v>10</v>
      </c>
      <c r="J13" s="23"/>
      <c r="K13" s="24">
        <v>1952</v>
      </c>
      <c r="L13" s="23">
        <f t="shared" si="1"/>
        <v>0</v>
      </c>
      <c r="M13" s="24">
        <v>224</v>
      </c>
      <c r="N13" s="25">
        <f t="shared" si="2"/>
        <v>0</v>
      </c>
      <c r="O13" s="24">
        <v>1728</v>
      </c>
      <c r="P13" s="23">
        <f t="shared" si="3"/>
        <v>0</v>
      </c>
      <c r="Q13" s="26"/>
      <c r="R13" s="23">
        <f t="shared" si="4"/>
        <v>0</v>
      </c>
      <c r="S13" s="27" t="s">
        <v>18</v>
      </c>
      <c r="T13" s="19" t="s">
        <v>25</v>
      </c>
    </row>
    <row r="14" spans="1:20" ht="37.5" customHeight="1" x14ac:dyDescent="0.25">
      <c r="A14" s="19" t="s">
        <v>26</v>
      </c>
      <c r="B14">
        <f t="shared" si="5"/>
        <v>73449</v>
      </c>
      <c r="C14">
        <v>12949</v>
      </c>
      <c r="D14">
        <v>60500</v>
      </c>
      <c r="F14">
        <f t="shared" si="0"/>
        <v>168</v>
      </c>
      <c r="G14" s="20">
        <f t="shared" si="6"/>
        <v>9</v>
      </c>
      <c r="H14" s="21">
        <v>23014060333</v>
      </c>
      <c r="I14" s="22">
        <v>11</v>
      </c>
      <c r="J14" s="23"/>
      <c r="K14" s="24">
        <v>73281</v>
      </c>
      <c r="L14" s="23">
        <f t="shared" si="1"/>
        <v>168</v>
      </c>
      <c r="M14" s="24">
        <v>12922</v>
      </c>
      <c r="N14" s="25">
        <f t="shared" si="2"/>
        <v>27</v>
      </c>
      <c r="O14" s="24">
        <v>60359</v>
      </c>
      <c r="P14" s="23">
        <f t="shared" si="3"/>
        <v>141</v>
      </c>
      <c r="Q14" s="26"/>
      <c r="R14" s="23">
        <f t="shared" si="4"/>
        <v>0</v>
      </c>
      <c r="S14" s="27" t="s">
        <v>18</v>
      </c>
      <c r="T14" s="19" t="s">
        <v>26</v>
      </c>
    </row>
    <row r="15" spans="1:20" ht="37.5" customHeight="1" x14ac:dyDescent="0.25">
      <c r="A15" s="19" t="s">
        <v>27</v>
      </c>
      <c r="B15">
        <f t="shared" si="5"/>
        <v>11391</v>
      </c>
      <c r="C15">
        <v>2397</v>
      </c>
      <c r="D15">
        <v>8994</v>
      </c>
      <c r="E15">
        <v>5007</v>
      </c>
      <c r="F15">
        <f t="shared" si="0"/>
        <v>1059</v>
      </c>
      <c r="G15" s="20">
        <f t="shared" si="6"/>
        <v>10</v>
      </c>
      <c r="H15" s="21">
        <v>99624030107</v>
      </c>
      <c r="I15" s="22">
        <v>12</v>
      </c>
      <c r="J15" s="23"/>
      <c r="K15" s="24">
        <f>M15+O15</f>
        <v>10332</v>
      </c>
      <c r="L15" s="23">
        <f t="shared" si="1"/>
        <v>1059</v>
      </c>
      <c r="M15" s="24">
        <v>2175</v>
      </c>
      <c r="N15" s="25">
        <f t="shared" si="2"/>
        <v>222</v>
      </c>
      <c r="O15" s="24">
        <v>8157</v>
      </c>
      <c r="P15" s="23">
        <f t="shared" si="3"/>
        <v>837</v>
      </c>
      <c r="Q15" s="26">
        <v>4105</v>
      </c>
      <c r="R15" s="23">
        <f t="shared" si="4"/>
        <v>902</v>
      </c>
      <c r="S15" s="27" t="s">
        <v>18</v>
      </c>
      <c r="T15" s="19" t="s">
        <v>27</v>
      </c>
    </row>
    <row r="16" spans="1:20" ht="37.5" customHeight="1" x14ac:dyDescent="0.25">
      <c r="A16" s="19" t="s">
        <v>28</v>
      </c>
      <c r="B16">
        <f t="shared" si="5"/>
        <v>125976</v>
      </c>
      <c r="C16">
        <v>24817</v>
      </c>
      <c r="D16">
        <v>101159</v>
      </c>
      <c r="F16">
        <f t="shared" si="0"/>
        <v>367</v>
      </c>
      <c r="G16" s="20">
        <f t="shared" si="6"/>
        <v>11</v>
      </c>
      <c r="H16" s="21">
        <v>66616020241</v>
      </c>
      <c r="I16" s="22">
        <v>14</v>
      </c>
      <c r="J16" s="23"/>
      <c r="K16" s="24">
        <v>125609</v>
      </c>
      <c r="L16" s="23">
        <f t="shared" si="1"/>
        <v>367</v>
      </c>
      <c r="M16" s="24">
        <v>24750</v>
      </c>
      <c r="N16" s="25">
        <f t="shared" si="2"/>
        <v>67</v>
      </c>
      <c r="O16" s="24">
        <v>100859</v>
      </c>
      <c r="P16" s="23">
        <f t="shared" si="3"/>
        <v>300</v>
      </c>
      <c r="Q16" s="26"/>
      <c r="R16" s="23">
        <f t="shared" si="4"/>
        <v>0</v>
      </c>
      <c r="S16" s="27" t="s">
        <v>18</v>
      </c>
      <c r="T16" s="19" t="s">
        <v>28</v>
      </c>
    </row>
    <row r="17" spans="1:20" ht="37.5" customHeight="1" x14ac:dyDescent="0.25">
      <c r="A17" s="19" t="s">
        <v>29</v>
      </c>
      <c r="B17">
        <f t="shared" si="5"/>
        <v>13746</v>
      </c>
      <c r="C17">
        <v>3347</v>
      </c>
      <c r="D17">
        <v>10399</v>
      </c>
      <c r="E17">
        <v>13663</v>
      </c>
      <c r="F17">
        <f t="shared" si="0"/>
        <v>445</v>
      </c>
      <c r="G17" s="20">
        <f t="shared" si="6"/>
        <v>12</v>
      </c>
      <c r="H17" s="21">
        <v>99723050025</v>
      </c>
      <c r="I17" s="22">
        <v>15</v>
      </c>
      <c r="J17" s="23"/>
      <c r="K17" s="24">
        <f>M17+O17</f>
        <v>13301</v>
      </c>
      <c r="L17" s="23">
        <f t="shared" si="1"/>
        <v>445</v>
      </c>
      <c r="M17" s="24">
        <v>3225</v>
      </c>
      <c r="N17" s="25">
        <f t="shared" si="2"/>
        <v>122</v>
      </c>
      <c r="O17" s="24">
        <v>10076</v>
      </c>
      <c r="P17" s="23">
        <f t="shared" si="3"/>
        <v>323</v>
      </c>
      <c r="Q17" s="26">
        <v>12787</v>
      </c>
      <c r="R17" s="23">
        <f t="shared" si="4"/>
        <v>876</v>
      </c>
      <c r="S17" s="27" t="s">
        <v>18</v>
      </c>
      <c r="T17" s="19" t="s">
        <v>29</v>
      </c>
    </row>
    <row r="18" spans="1:20" ht="37.5" customHeight="1" x14ac:dyDescent="0.25">
      <c r="A18" s="19" t="s">
        <v>30</v>
      </c>
      <c r="B18">
        <f t="shared" si="5"/>
        <v>5662</v>
      </c>
      <c r="C18">
        <v>1091</v>
      </c>
      <c r="D18">
        <v>4571</v>
      </c>
      <c r="F18">
        <f t="shared" si="0"/>
        <v>0</v>
      </c>
      <c r="G18" s="20">
        <f t="shared" si="6"/>
        <v>13</v>
      </c>
      <c r="H18" s="21">
        <v>66616020012</v>
      </c>
      <c r="I18" s="22">
        <v>16</v>
      </c>
      <c r="J18" s="23"/>
      <c r="K18" s="24">
        <v>5662</v>
      </c>
      <c r="L18" s="23">
        <f t="shared" si="1"/>
        <v>0</v>
      </c>
      <c r="M18" s="24">
        <v>1091</v>
      </c>
      <c r="N18" s="25">
        <f t="shared" si="2"/>
        <v>0</v>
      </c>
      <c r="O18" s="24">
        <v>4571</v>
      </c>
      <c r="P18" s="23">
        <f t="shared" si="3"/>
        <v>0</v>
      </c>
      <c r="Q18" s="26"/>
      <c r="R18" s="23">
        <f t="shared" si="4"/>
        <v>0</v>
      </c>
      <c r="S18" s="27" t="s">
        <v>18</v>
      </c>
      <c r="T18" s="19" t="s">
        <v>30</v>
      </c>
    </row>
    <row r="19" spans="1:20" ht="37.5" customHeight="1" x14ac:dyDescent="0.25">
      <c r="A19" s="19" t="s">
        <v>31</v>
      </c>
      <c r="B19">
        <f t="shared" si="5"/>
        <v>65666</v>
      </c>
      <c r="C19">
        <v>9784</v>
      </c>
      <c r="D19">
        <v>55882</v>
      </c>
      <c r="F19">
        <f t="shared" si="0"/>
        <v>357</v>
      </c>
      <c r="G19" s="20">
        <f t="shared" si="6"/>
        <v>14</v>
      </c>
      <c r="H19" s="21">
        <v>88818030149</v>
      </c>
      <c r="I19" s="22">
        <v>17</v>
      </c>
      <c r="J19" s="23"/>
      <c r="K19" s="24">
        <v>65309</v>
      </c>
      <c r="L19" s="23">
        <f t="shared" si="1"/>
        <v>357</v>
      </c>
      <c r="M19" s="24">
        <v>9726</v>
      </c>
      <c r="N19" s="25">
        <f t="shared" si="2"/>
        <v>58</v>
      </c>
      <c r="O19" s="24">
        <v>55583</v>
      </c>
      <c r="P19" s="23">
        <f t="shared" si="3"/>
        <v>299</v>
      </c>
      <c r="Q19" s="26"/>
      <c r="R19" s="23">
        <f t="shared" si="4"/>
        <v>0</v>
      </c>
      <c r="S19" s="27" t="s">
        <v>18</v>
      </c>
      <c r="T19" s="19" t="s">
        <v>31</v>
      </c>
    </row>
    <row r="20" spans="1:20" ht="37.5" customHeight="1" x14ac:dyDescent="0.25">
      <c r="A20" s="19" t="s">
        <v>32</v>
      </c>
      <c r="B20">
        <f t="shared" si="5"/>
        <v>16733</v>
      </c>
      <c r="C20">
        <v>2851</v>
      </c>
      <c r="D20">
        <v>13882</v>
      </c>
      <c r="F20">
        <f t="shared" si="0"/>
        <v>250</v>
      </c>
      <c r="G20" s="20">
        <f t="shared" si="6"/>
        <v>15</v>
      </c>
      <c r="H20" s="21">
        <v>88820030310</v>
      </c>
      <c r="I20" s="22">
        <v>18</v>
      </c>
      <c r="J20" s="23"/>
      <c r="K20" s="24">
        <v>16483</v>
      </c>
      <c r="L20" s="23">
        <f t="shared" si="1"/>
        <v>250</v>
      </c>
      <c r="M20" s="24">
        <v>2809</v>
      </c>
      <c r="N20" s="25">
        <f t="shared" si="2"/>
        <v>42</v>
      </c>
      <c r="O20" s="24">
        <v>13674</v>
      </c>
      <c r="P20" s="23">
        <f t="shared" si="3"/>
        <v>208</v>
      </c>
      <c r="Q20" s="26"/>
      <c r="R20" s="23">
        <f t="shared" si="4"/>
        <v>0</v>
      </c>
      <c r="S20" s="27" t="s">
        <v>18</v>
      </c>
      <c r="T20" s="19" t="s">
        <v>32</v>
      </c>
    </row>
    <row r="21" spans="1:20" ht="37.5" customHeight="1" x14ac:dyDescent="0.25">
      <c r="A21" s="19" t="s">
        <v>33</v>
      </c>
      <c r="B21">
        <f t="shared" si="5"/>
        <v>73281</v>
      </c>
      <c r="C21">
        <v>16390</v>
      </c>
      <c r="D21">
        <v>56891</v>
      </c>
      <c r="F21">
        <f t="shared" si="0"/>
        <v>520</v>
      </c>
      <c r="G21" s="20">
        <f t="shared" si="6"/>
        <v>16</v>
      </c>
      <c r="H21" s="21">
        <v>23011120013</v>
      </c>
      <c r="I21" s="22">
        <v>20</v>
      </c>
      <c r="J21" s="23"/>
      <c r="K21" s="24">
        <v>72761</v>
      </c>
      <c r="L21" s="23">
        <f t="shared" si="1"/>
        <v>520</v>
      </c>
      <c r="M21" s="24">
        <v>16288</v>
      </c>
      <c r="N21" s="25">
        <f t="shared" si="2"/>
        <v>102</v>
      </c>
      <c r="O21" s="24">
        <v>56473</v>
      </c>
      <c r="P21" s="23">
        <f t="shared" si="3"/>
        <v>418</v>
      </c>
      <c r="Q21" s="26"/>
      <c r="R21" s="23">
        <f t="shared" si="4"/>
        <v>0</v>
      </c>
      <c r="S21" s="27" t="s">
        <v>18</v>
      </c>
      <c r="T21" s="19" t="s">
        <v>33</v>
      </c>
    </row>
    <row r="22" spans="1:20" ht="37.5" customHeight="1" x14ac:dyDescent="0.25">
      <c r="A22" s="19" t="s">
        <v>34</v>
      </c>
      <c r="B22">
        <f t="shared" si="5"/>
        <v>3526</v>
      </c>
      <c r="C22">
        <v>911</v>
      </c>
      <c r="D22">
        <v>2615</v>
      </c>
      <c r="F22">
        <f t="shared" si="0"/>
        <v>29</v>
      </c>
      <c r="G22" s="20">
        <f t="shared" si="6"/>
        <v>17</v>
      </c>
      <c r="H22" s="21">
        <v>66621050258</v>
      </c>
      <c r="I22" s="22">
        <v>21</v>
      </c>
      <c r="J22" s="23"/>
      <c r="K22" s="24">
        <v>3497</v>
      </c>
      <c r="L22" s="23">
        <f t="shared" si="1"/>
        <v>29</v>
      </c>
      <c r="M22" s="24">
        <v>893</v>
      </c>
      <c r="N22" s="25">
        <f t="shared" si="2"/>
        <v>18</v>
      </c>
      <c r="O22" s="24">
        <v>2604</v>
      </c>
      <c r="P22" s="23">
        <f t="shared" si="3"/>
        <v>11</v>
      </c>
      <c r="Q22" s="26"/>
      <c r="R22" s="23">
        <f t="shared" si="4"/>
        <v>0</v>
      </c>
      <c r="S22" s="27" t="s">
        <v>18</v>
      </c>
      <c r="T22" s="19" t="s">
        <v>34</v>
      </c>
    </row>
    <row r="23" spans="1:20" ht="37.5" customHeight="1" x14ac:dyDescent="0.25">
      <c r="A23" s="19" t="s">
        <v>35</v>
      </c>
      <c r="B23">
        <f t="shared" si="5"/>
        <v>8940</v>
      </c>
      <c r="C23">
        <v>1355</v>
      </c>
      <c r="D23">
        <v>7585</v>
      </c>
      <c r="E23">
        <v>14697</v>
      </c>
      <c r="F23">
        <f t="shared" si="0"/>
        <v>308</v>
      </c>
      <c r="G23" s="20">
        <f t="shared" si="6"/>
        <v>18</v>
      </c>
      <c r="H23" s="21">
        <v>99623080053</v>
      </c>
      <c r="I23" s="22">
        <v>22</v>
      </c>
      <c r="J23" s="23"/>
      <c r="K23" s="24">
        <f>M23+O23</f>
        <v>8632</v>
      </c>
      <c r="L23" s="23">
        <f t="shared" si="1"/>
        <v>308</v>
      </c>
      <c r="M23" s="24">
        <v>1274</v>
      </c>
      <c r="N23" s="25">
        <f t="shared" si="2"/>
        <v>81</v>
      </c>
      <c r="O23" s="24">
        <v>7358</v>
      </c>
      <c r="P23" s="23">
        <f t="shared" si="3"/>
        <v>227</v>
      </c>
      <c r="Q23" s="26">
        <v>13698</v>
      </c>
      <c r="R23" s="23">
        <f t="shared" si="4"/>
        <v>999</v>
      </c>
      <c r="S23" s="27" t="s">
        <v>18</v>
      </c>
      <c r="T23" s="19" t="s">
        <v>35</v>
      </c>
    </row>
    <row r="24" spans="1:20" ht="37.5" customHeight="1" x14ac:dyDescent="0.25">
      <c r="A24" s="19" t="s">
        <v>36</v>
      </c>
      <c r="B24">
        <f t="shared" si="5"/>
        <v>49156</v>
      </c>
      <c r="C24">
        <v>7867</v>
      </c>
      <c r="D24">
        <v>41289</v>
      </c>
      <c r="F24">
        <f t="shared" si="0"/>
        <v>299</v>
      </c>
      <c r="G24" s="20">
        <f t="shared" si="6"/>
        <v>19</v>
      </c>
      <c r="H24" s="21">
        <v>23014090379</v>
      </c>
      <c r="I24" s="22">
        <v>23</v>
      </c>
      <c r="J24" s="23"/>
      <c r="K24" s="24">
        <v>48857</v>
      </c>
      <c r="L24" s="23">
        <f t="shared" si="1"/>
        <v>299</v>
      </c>
      <c r="M24" s="24">
        <v>7822</v>
      </c>
      <c r="N24" s="25">
        <f t="shared" si="2"/>
        <v>45</v>
      </c>
      <c r="O24" s="24">
        <v>41035</v>
      </c>
      <c r="P24" s="23">
        <f t="shared" si="3"/>
        <v>254</v>
      </c>
      <c r="Q24" s="26"/>
      <c r="R24" s="23">
        <f t="shared" si="4"/>
        <v>0</v>
      </c>
      <c r="S24" s="27" t="s">
        <v>18</v>
      </c>
      <c r="T24" s="19" t="s">
        <v>36</v>
      </c>
    </row>
    <row r="25" spans="1:20" ht="37.5" customHeight="1" x14ac:dyDescent="0.25">
      <c r="A25" s="19" t="s">
        <v>37</v>
      </c>
      <c r="B25">
        <f t="shared" si="5"/>
        <v>26329</v>
      </c>
      <c r="C25">
        <v>5015</v>
      </c>
      <c r="D25">
        <v>21314</v>
      </c>
      <c r="F25">
        <f t="shared" si="0"/>
        <v>219</v>
      </c>
      <c r="G25" s="20">
        <f t="shared" si="6"/>
        <v>20</v>
      </c>
      <c r="H25" s="21">
        <v>88819010213</v>
      </c>
      <c r="I25" s="22">
        <v>24</v>
      </c>
      <c r="J25" s="23"/>
      <c r="K25" s="24">
        <v>26110</v>
      </c>
      <c r="L25" s="23">
        <f t="shared" si="1"/>
        <v>219</v>
      </c>
      <c r="M25" s="24">
        <v>4982</v>
      </c>
      <c r="N25" s="25">
        <f t="shared" si="2"/>
        <v>33</v>
      </c>
      <c r="O25" s="24">
        <v>21128</v>
      </c>
      <c r="P25" s="23">
        <f t="shared" si="3"/>
        <v>186</v>
      </c>
      <c r="Q25" s="26"/>
      <c r="R25" s="23">
        <f t="shared" si="4"/>
        <v>0</v>
      </c>
      <c r="S25" s="27" t="s">
        <v>18</v>
      </c>
      <c r="T25" s="19" t="s">
        <v>37</v>
      </c>
    </row>
    <row r="26" spans="1:20" ht="37.5" customHeight="1" x14ac:dyDescent="0.25">
      <c r="A26" s="19" t="s">
        <v>38</v>
      </c>
      <c r="B26">
        <f t="shared" si="5"/>
        <v>27051</v>
      </c>
      <c r="C26">
        <v>4017</v>
      </c>
      <c r="D26">
        <v>23034</v>
      </c>
      <c r="F26">
        <f t="shared" si="0"/>
        <v>407</v>
      </c>
      <c r="G26" s="20">
        <f t="shared" si="6"/>
        <v>21</v>
      </c>
      <c r="H26" s="21">
        <v>66621070398</v>
      </c>
      <c r="I26" s="22">
        <v>25</v>
      </c>
      <c r="J26" s="23"/>
      <c r="K26" s="24">
        <v>26644</v>
      </c>
      <c r="L26" s="23">
        <f t="shared" si="1"/>
        <v>407</v>
      </c>
      <c r="M26" s="24">
        <v>3944</v>
      </c>
      <c r="N26" s="25">
        <f t="shared" si="2"/>
        <v>73</v>
      </c>
      <c r="O26" s="24">
        <v>22700</v>
      </c>
      <c r="P26" s="23">
        <f t="shared" si="3"/>
        <v>334</v>
      </c>
      <c r="Q26" s="26"/>
      <c r="R26" s="23">
        <f t="shared" si="4"/>
        <v>0</v>
      </c>
      <c r="S26" s="27" t="s">
        <v>18</v>
      </c>
      <c r="T26" s="19" t="s">
        <v>38</v>
      </c>
    </row>
    <row r="27" spans="1:20" ht="37.5" customHeight="1" x14ac:dyDescent="0.25">
      <c r="A27" s="19" t="s">
        <v>39</v>
      </c>
      <c r="B27">
        <f t="shared" si="5"/>
        <v>65180</v>
      </c>
      <c r="C27">
        <v>12302</v>
      </c>
      <c r="D27">
        <v>52878</v>
      </c>
      <c r="F27">
        <f t="shared" si="0"/>
        <v>437</v>
      </c>
      <c r="G27" s="20">
        <f t="shared" si="6"/>
        <v>22</v>
      </c>
      <c r="H27" s="21">
        <v>23011100015</v>
      </c>
      <c r="I27" s="22">
        <v>26</v>
      </c>
      <c r="J27" s="23"/>
      <c r="K27" s="24">
        <v>64743</v>
      </c>
      <c r="L27" s="23">
        <f t="shared" si="1"/>
        <v>437</v>
      </c>
      <c r="M27" s="24">
        <v>12220</v>
      </c>
      <c r="N27" s="25">
        <f t="shared" si="2"/>
        <v>82</v>
      </c>
      <c r="O27" s="24">
        <v>52523</v>
      </c>
      <c r="P27" s="23">
        <f t="shared" si="3"/>
        <v>355</v>
      </c>
      <c r="Q27" s="26"/>
      <c r="R27" s="23">
        <f t="shared" si="4"/>
        <v>0</v>
      </c>
      <c r="S27" s="27" t="s">
        <v>18</v>
      </c>
      <c r="T27" s="19" t="s">
        <v>39</v>
      </c>
    </row>
    <row r="28" spans="1:20" ht="37.5" customHeight="1" x14ac:dyDescent="0.25">
      <c r="A28" s="19" t="s">
        <v>40</v>
      </c>
      <c r="B28">
        <f t="shared" si="5"/>
        <v>53274</v>
      </c>
      <c r="C28">
        <v>9046</v>
      </c>
      <c r="D28">
        <v>44228</v>
      </c>
      <c r="F28">
        <f t="shared" si="0"/>
        <v>225</v>
      </c>
      <c r="G28" s="20">
        <f t="shared" si="6"/>
        <v>23</v>
      </c>
      <c r="H28" s="21">
        <v>23013080314</v>
      </c>
      <c r="I28" s="22">
        <v>27</v>
      </c>
      <c r="J28" s="23"/>
      <c r="K28" s="24">
        <v>53049</v>
      </c>
      <c r="L28" s="23">
        <f t="shared" si="1"/>
        <v>225</v>
      </c>
      <c r="M28" s="24">
        <v>9004</v>
      </c>
      <c r="N28" s="25">
        <f t="shared" si="2"/>
        <v>42</v>
      </c>
      <c r="O28" s="24">
        <v>44045</v>
      </c>
      <c r="P28" s="23">
        <f t="shared" si="3"/>
        <v>183</v>
      </c>
      <c r="Q28" s="26"/>
      <c r="R28" s="23">
        <f t="shared" si="4"/>
        <v>0</v>
      </c>
      <c r="S28" s="27" t="s">
        <v>18</v>
      </c>
      <c r="T28" s="19" t="s">
        <v>40</v>
      </c>
    </row>
    <row r="29" spans="1:20" ht="37.5" customHeight="1" x14ac:dyDescent="0.25">
      <c r="A29" s="19" t="s">
        <v>41</v>
      </c>
      <c r="B29">
        <f t="shared" si="5"/>
        <v>18725</v>
      </c>
      <c r="C29">
        <v>2593</v>
      </c>
      <c r="D29">
        <v>16132</v>
      </c>
      <c r="F29">
        <f t="shared" si="0"/>
        <v>282</v>
      </c>
      <c r="G29" s="20">
        <f t="shared" si="6"/>
        <v>24</v>
      </c>
      <c r="H29" s="21">
        <v>88820050126</v>
      </c>
      <c r="I29" s="22">
        <v>28</v>
      </c>
      <c r="J29" s="23"/>
      <c r="K29" s="24">
        <v>18443</v>
      </c>
      <c r="L29" s="23">
        <f t="shared" si="1"/>
        <v>282</v>
      </c>
      <c r="M29" s="24">
        <v>2530</v>
      </c>
      <c r="N29" s="25">
        <f t="shared" si="2"/>
        <v>63</v>
      </c>
      <c r="O29" s="24">
        <v>15913</v>
      </c>
      <c r="P29" s="23">
        <f t="shared" si="3"/>
        <v>219</v>
      </c>
      <c r="Q29" s="26"/>
      <c r="R29" s="23">
        <f t="shared" si="4"/>
        <v>0</v>
      </c>
      <c r="S29" s="27" t="s">
        <v>18</v>
      </c>
      <c r="T29" s="19" t="s">
        <v>41</v>
      </c>
    </row>
    <row r="30" spans="1:20" ht="37.5" customHeight="1" x14ac:dyDescent="0.25">
      <c r="A30" s="19" t="s">
        <v>42</v>
      </c>
      <c r="B30">
        <f t="shared" si="5"/>
        <v>7112</v>
      </c>
      <c r="C30">
        <v>1224</v>
      </c>
      <c r="D30">
        <v>5888</v>
      </c>
      <c r="F30">
        <f t="shared" si="0"/>
        <v>216</v>
      </c>
      <c r="G30" s="20">
        <f t="shared" si="6"/>
        <v>25</v>
      </c>
      <c r="H30" s="21">
        <v>66622060512</v>
      </c>
      <c r="I30" s="22">
        <v>29</v>
      </c>
      <c r="J30" s="23"/>
      <c r="K30" s="24">
        <v>6896</v>
      </c>
      <c r="L30" s="23">
        <f t="shared" si="1"/>
        <v>216</v>
      </c>
      <c r="M30" s="24">
        <v>1179</v>
      </c>
      <c r="N30" s="25">
        <f t="shared" si="2"/>
        <v>45</v>
      </c>
      <c r="O30" s="24">
        <v>5717</v>
      </c>
      <c r="P30" s="23">
        <f t="shared" si="3"/>
        <v>171</v>
      </c>
      <c r="Q30" s="26"/>
      <c r="R30" s="23">
        <f t="shared" si="4"/>
        <v>0</v>
      </c>
      <c r="S30" s="27" t="s">
        <v>18</v>
      </c>
      <c r="T30" s="19" t="s">
        <v>42</v>
      </c>
    </row>
    <row r="31" spans="1:20" ht="37.5" customHeight="1" x14ac:dyDescent="0.25">
      <c r="A31" s="19" t="s">
        <v>43</v>
      </c>
      <c r="B31">
        <f t="shared" si="5"/>
        <v>37150</v>
      </c>
      <c r="C31">
        <v>5669</v>
      </c>
      <c r="D31">
        <v>31481</v>
      </c>
      <c r="F31">
        <f t="shared" si="0"/>
        <v>99</v>
      </c>
      <c r="G31" s="20">
        <f t="shared" si="6"/>
        <v>26</v>
      </c>
      <c r="H31" s="21">
        <v>88820040303</v>
      </c>
      <c r="I31" s="22">
        <v>30</v>
      </c>
      <c r="J31" s="23"/>
      <c r="K31" s="24">
        <v>37051</v>
      </c>
      <c r="L31" s="23">
        <f t="shared" si="1"/>
        <v>99</v>
      </c>
      <c r="M31" s="24">
        <v>5656</v>
      </c>
      <c r="N31" s="25">
        <f t="shared" si="2"/>
        <v>13</v>
      </c>
      <c r="O31" s="24">
        <v>31395</v>
      </c>
      <c r="P31" s="23">
        <f t="shared" si="3"/>
        <v>86</v>
      </c>
      <c r="Q31" s="26"/>
      <c r="R31" s="23">
        <f t="shared" si="4"/>
        <v>0</v>
      </c>
      <c r="S31" s="27" t="s">
        <v>18</v>
      </c>
      <c r="T31" s="19" t="s">
        <v>43</v>
      </c>
    </row>
    <row r="32" spans="1:20" ht="37.5" customHeight="1" x14ac:dyDescent="0.25">
      <c r="A32" s="19" t="s">
        <v>44</v>
      </c>
      <c r="B32">
        <f t="shared" si="5"/>
        <v>47035</v>
      </c>
      <c r="C32">
        <v>9245</v>
      </c>
      <c r="D32">
        <v>37790</v>
      </c>
      <c r="F32">
        <f t="shared" si="0"/>
        <v>226</v>
      </c>
      <c r="G32" s="20">
        <f t="shared" si="6"/>
        <v>27</v>
      </c>
      <c r="H32" s="21">
        <v>23011120004</v>
      </c>
      <c r="I32" s="22">
        <v>31</v>
      </c>
      <c r="J32" s="23"/>
      <c r="K32" s="24">
        <v>46809</v>
      </c>
      <c r="L32" s="23">
        <f t="shared" si="1"/>
        <v>226</v>
      </c>
      <c r="M32" s="24">
        <v>9202</v>
      </c>
      <c r="N32" s="25">
        <f t="shared" si="2"/>
        <v>43</v>
      </c>
      <c r="O32" s="24">
        <v>37607</v>
      </c>
      <c r="P32" s="23">
        <f t="shared" si="3"/>
        <v>183</v>
      </c>
      <c r="Q32" s="26"/>
      <c r="R32" s="23">
        <f t="shared" si="4"/>
        <v>0</v>
      </c>
      <c r="S32" s="27" t="s">
        <v>18</v>
      </c>
      <c r="T32" s="19" t="s">
        <v>44</v>
      </c>
    </row>
    <row r="33" spans="1:20" ht="37.5" customHeight="1" x14ac:dyDescent="0.25">
      <c r="A33" s="19" t="s">
        <v>45</v>
      </c>
      <c r="B33">
        <f t="shared" si="5"/>
        <v>2741</v>
      </c>
      <c r="C33">
        <v>669</v>
      </c>
      <c r="D33">
        <v>2072</v>
      </c>
      <c r="E33">
        <v>5604</v>
      </c>
      <c r="F33">
        <f t="shared" si="0"/>
        <v>207</v>
      </c>
      <c r="G33" s="20">
        <f t="shared" si="6"/>
        <v>28</v>
      </c>
      <c r="H33" s="21">
        <v>99624040027</v>
      </c>
      <c r="I33" s="22">
        <v>32</v>
      </c>
      <c r="J33" s="23"/>
      <c r="K33" s="24">
        <f>M33+O33</f>
        <v>2534</v>
      </c>
      <c r="L33" s="23">
        <f t="shared" si="1"/>
        <v>207</v>
      </c>
      <c r="M33" s="24">
        <v>614</v>
      </c>
      <c r="N33" s="25">
        <f t="shared" si="2"/>
        <v>55</v>
      </c>
      <c r="O33" s="24">
        <v>1920</v>
      </c>
      <c r="P33" s="23">
        <f t="shared" si="3"/>
        <v>152</v>
      </c>
      <c r="Q33" s="26">
        <v>4554</v>
      </c>
      <c r="R33" s="23">
        <f t="shared" si="4"/>
        <v>1050</v>
      </c>
      <c r="S33" s="27" t="s">
        <v>18</v>
      </c>
      <c r="T33" s="19" t="s">
        <v>45</v>
      </c>
    </row>
    <row r="34" spans="1:20" ht="37.5" customHeight="1" x14ac:dyDescent="0.25">
      <c r="A34" s="19" t="s">
        <v>46</v>
      </c>
      <c r="B34">
        <f t="shared" si="5"/>
        <v>14139</v>
      </c>
      <c r="C34">
        <v>2690</v>
      </c>
      <c r="D34">
        <v>11449</v>
      </c>
      <c r="F34">
        <f t="shared" si="0"/>
        <v>334</v>
      </c>
      <c r="G34" s="20">
        <f t="shared" si="6"/>
        <v>29</v>
      </c>
      <c r="H34" s="21">
        <v>88820030087</v>
      </c>
      <c r="I34" s="22">
        <v>33</v>
      </c>
      <c r="J34" s="23"/>
      <c r="K34" s="24">
        <v>13805</v>
      </c>
      <c r="L34" s="23">
        <f t="shared" si="1"/>
        <v>334</v>
      </c>
      <c r="M34" s="24">
        <v>2633</v>
      </c>
      <c r="N34" s="25">
        <f t="shared" si="2"/>
        <v>57</v>
      </c>
      <c r="O34" s="24">
        <v>11172</v>
      </c>
      <c r="P34" s="23">
        <f t="shared" si="3"/>
        <v>277</v>
      </c>
      <c r="Q34" s="26"/>
      <c r="R34" s="23">
        <f t="shared" si="4"/>
        <v>0</v>
      </c>
      <c r="S34" s="27" t="s">
        <v>18</v>
      </c>
      <c r="T34" s="19" t="s">
        <v>46</v>
      </c>
    </row>
    <row r="35" spans="1:20" ht="37.5" customHeight="1" x14ac:dyDescent="0.25">
      <c r="A35" s="19" t="s">
        <v>47</v>
      </c>
      <c r="B35">
        <f t="shared" si="5"/>
        <v>893</v>
      </c>
      <c r="C35">
        <v>187</v>
      </c>
      <c r="D35">
        <v>706</v>
      </c>
      <c r="F35">
        <f t="shared" si="0"/>
        <v>11</v>
      </c>
      <c r="G35" s="20">
        <f t="shared" si="6"/>
        <v>30</v>
      </c>
      <c r="H35" s="21">
        <v>66623010111</v>
      </c>
      <c r="I35" s="22">
        <v>34</v>
      </c>
      <c r="J35" s="23"/>
      <c r="K35" s="24">
        <v>882</v>
      </c>
      <c r="L35" s="23">
        <f t="shared" si="1"/>
        <v>11</v>
      </c>
      <c r="M35" s="24">
        <v>186</v>
      </c>
      <c r="N35" s="25">
        <f t="shared" si="2"/>
        <v>1</v>
      </c>
      <c r="O35" s="24">
        <v>696</v>
      </c>
      <c r="P35" s="23">
        <f t="shared" si="3"/>
        <v>10</v>
      </c>
      <c r="Q35" s="26"/>
      <c r="R35" s="23">
        <f t="shared" si="4"/>
        <v>0</v>
      </c>
      <c r="S35" s="27" t="s">
        <v>18</v>
      </c>
      <c r="T35" s="19" t="s">
        <v>47</v>
      </c>
    </row>
    <row r="36" spans="1:20" ht="37.5" customHeight="1" x14ac:dyDescent="0.25">
      <c r="A36" s="19" t="s">
        <v>48</v>
      </c>
      <c r="B36">
        <f t="shared" si="5"/>
        <v>6134</v>
      </c>
      <c r="C36">
        <v>1117</v>
      </c>
      <c r="D36">
        <v>5017</v>
      </c>
      <c r="F36">
        <f t="shared" si="0"/>
        <v>293</v>
      </c>
      <c r="G36" s="20">
        <f t="shared" si="6"/>
        <v>31</v>
      </c>
      <c r="H36" s="21">
        <v>66623010306</v>
      </c>
      <c r="I36" s="22">
        <v>35</v>
      </c>
      <c r="J36" s="23"/>
      <c r="K36" s="24">
        <v>5841</v>
      </c>
      <c r="L36" s="23">
        <f t="shared" si="1"/>
        <v>293</v>
      </c>
      <c r="M36" s="24">
        <v>1072</v>
      </c>
      <c r="N36" s="25">
        <f t="shared" si="2"/>
        <v>45</v>
      </c>
      <c r="O36" s="24">
        <v>4769</v>
      </c>
      <c r="P36" s="23">
        <f t="shared" si="3"/>
        <v>248</v>
      </c>
      <c r="Q36" s="26"/>
      <c r="R36" s="23">
        <f t="shared" si="4"/>
        <v>0</v>
      </c>
      <c r="S36" s="27" t="s">
        <v>18</v>
      </c>
      <c r="T36" s="19" t="s">
        <v>48</v>
      </c>
    </row>
    <row r="37" spans="1:20" ht="37.5" customHeight="1" x14ac:dyDescent="0.25">
      <c r="A37" s="19" t="s">
        <v>49</v>
      </c>
      <c r="B37">
        <f t="shared" si="5"/>
        <v>6526</v>
      </c>
      <c r="C37">
        <v>593</v>
      </c>
      <c r="D37">
        <v>5933</v>
      </c>
      <c r="F37">
        <f t="shared" si="0"/>
        <v>67</v>
      </c>
      <c r="G37" s="20">
        <f t="shared" si="6"/>
        <v>32</v>
      </c>
      <c r="H37" s="21">
        <v>66622040683</v>
      </c>
      <c r="I37" s="22">
        <v>36</v>
      </c>
      <c r="J37" s="23"/>
      <c r="K37" s="24">
        <v>6459</v>
      </c>
      <c r="L37" s="23">
        <f t="shared" si="1"/>
        <v>67</v>
      </c>
      <c r="M37" s="24">
        <v>581</v>
      </c>
      <c r="N37" s="25">
        <f t="shared" si="2"/>
        <v>12</v>
      </c>
      <c r="O37" s="24">
        <v>5878</v>
      </c>
      <c r="P37" s="23">
        <f t="shared" si="3"/>
        <v>55</v>
      </c>
      <c r="Q37" s="26"/>
      <c r="R37" s="23">
        <f t="shared" si="4"/>
        <v>0</v>
      </c>
      <c r="S37" s="27" t="s">
        <v>18</v>
      </c>
      <c r="T37" s="19" t="s">
        <v>49</v>
      </c>
    </row>
    <row r="38" spans="1:20" ht="37.5" customHeight="1" x14ac:dyDescent="0.25">
      <c r="A38" s="19" t="s">
        <v>50</v>
      </c>
      <c r="B38">
        <f t="shared" si="5"/>
        <v>10780</v>
      </c>
      <c r="C38">
        <v>1832</v>
      </c>
      <c r="D38">
        <v>8948</v>
      </c>
      <c r="F38">
        <f t="shared" si="0"/>
        <v>256</v>
      </c>
      <c r="G38" s="20">
        <f t="shared" si="6"/>
        <v>33</v>
      </c>
      <c r="H38" s="21">
        <v>88819010215</v>
      </c>
      <c r="I38" s="22">
        <v>37</v>
      </c>
      <c r="J38" s="23"/>
      <c r="K38" s="24">
        <v>10524</v>
      </c>
      <c r="L38" s="23">
        <f t="shared" si="1"/>
        <v>256</v>
      </c>
      <c r="M38" s="24">
        <v>1788</v>
      </c>
      <c r="N38" s="25">
        <f t="shared" si="2"/>
        <v>44</v>
      </c>
      <c r="O38" s="24">
        <v>8736</v>
      </c>
      <c r="P38" s="23">
        <f t="shared" si="3"/>
        <v>212</v>
      </c>
      <c r="Q38" s="26"/>
      <c r="R38" s="23">
        <f t="shared" si="4"/>
        <v>0</v>
      </c>
      <c r="S38" s="27" t="s">
        <v>18</v>
      </c>
      <c r="T38" s="19" t="s">
        <v>50</v>
      </c>
    </row>
    <row r="39" spans="1:20" ht="37.5" customHeight="1" x14ac:dyDescent="0.25">
      <c r="A39" s="19" t="s">
        <v>51</v>
      </c>
      <c r="B39">
        <f t="shared" si="5"/>
        <v>19377</v>
      </c>
      <c r="C39">
        <v>2941</v>
      </c>
      <c r="D39">
        <v>16436</v>
      </c>
      <c r="F39">
        <f t="shared" si="0"/>
        <v>206</v>
      </c>
      <c r="G39" s="20">
        <f t="shared" si="6"/>
        <v>34</v>
      </c>
      <c r="H39" s="21">
        <v>23008030006</v>
      </c>
      <c r="I39" s="22">
        <v>38</v>
      </c>
      <c r="J39" s="23"/>
      <c r="K39" s="24">
        <v>19171</v>
      </c>
      <c r="L39" s="23">
        <f t="shared" si="1"/>
        <v>206</v>
      </c>
      <c r="M39" s="24">
        <v>2907</v>
      </c>
      <c r="N39" s="25">
        <f t="shared" si="2"/>
        <v>34</v>
      </c>
      <c r="O39" s="24">
        <v>16264</v>
      </c>
      <c r="P39" s="23">
        <f t="shared" si="3"/>
        <v>172</v>
      </c>
      <c r="Q39" s="26"/>
      <c r="R39" s="23">
        <f t="shared" si="4"/>
        <v>0</v>
      </c>
      <c r="S39" s="27" t="s">
        <v>18</v>
      </c>
      <c r="T39" s="19" t="s">
        <v>51</v>
      </c>
    </row>
    <row r="40" spans="1:20" ht="37.5" customHeight="1" x14ac:dyDescent="0.25">
      <c r="A40" s="19" t="s">
        <v>52</v>
      </c>
      <c r="B40">
        <f t="shared" si="5"/>
        <v>81992</v>
      </c>
      <c r="C40">
        <v>14940</v>
      </c>
      <c r="D40">
        <v>67052</v>
      </c>
      <c r="F40">
        <f t="shared" si="0"/>
        <v>484</v>
      </c>
      <c r="G40" s="20">
        <f t="shared" si="6"/>
        <v>35</v>
      </c>
      <c r="H40" s="21">
        <v>23014060687</v>
      </c>
      <c r="I40" s="22">
        <v>39</v>
      </c>
      <c r="J40" s="23"/>
      <c r="K40" s="24">
        <v>81508</v>
      </c>
      <c r="L40" s="23">
        <f t="shared" si="1"/>
        <v>484</v>
      </c>
      <c r="M40" s="24">
        <v>14861</v>
      </c>
      <c r="N40" s="25">
        <f t="shared" si="2"/>
        <v>79</v>
      </c>
      <c r="O40" s="24">
        <v>66647</v>
      </c>
      <c r="P40" s="23">
        <f t="shared" si="3"/>
        <v>405</v>
      </c>
      <c r="Q40" s="26"/>
      <c r="R40" s="23">
        <f t="shared" si="4"/>
        <v>0</v>
      </c>
      <c r="S40" s="27" t="s">
        <v>18</v>
      </c>
      <c r="T40" s="19" t="s">
        <v>52</v>
      </c>
    </row>
    <row r="41" spans="1:20" ht="37.5" customHeight="1" x14ac:dyDescent="0.25">
      <c r="A41" s="19" t="s">
        <v>53</v>
      </c>
      <c r="B41">
        <f t="shared" si="5"/>
        <v>3396</v>
      </c>
      <c r="C41">
        <v>799</v>
      </c>
      <c r="D41">
        <v>2597</v>
      </c>
      <c r="E41">
        <v>9384</v>
      </c>
      <c r="F41">
        <f t="shared" si="0"/>
        <v>177</v>
      </c>
      <c r="G41" s="20">
        <f t="shared" si="6"/>
        <v>36</v>
      </c>
      <c r="H41" s="21">
        <v>99623080135</v>
      </c>
      <c r="I41" s="22">
        <v>40</v>
      </c>
      <c r="J41" s="23"/>
      <c r="K41" s="24">
        <f>M41+O41</f>
        <v>3219</v>
      </c>
      <c r="L41" s="23">
        <f t="shared" si="1"/>
        <v>177</v>
      </c>
      <c r="M41" s="24">
        <v>747</v>
      </c>
      <c r="N41" s="25">
        <f t="shared" si="2"/>
        <v>52</v>
      </c>
      <c r="O41" s="24">
        <v>2472</v>
      </c>
      <c r="P41" s="23">
        <f t="shared" si="3"/>
        <v>125</v>
      </c>
      <c r="Q41" s="26">
        <v>8649</v>
      </c>
      <c r="R41" s="23">
        <f t="shared" si="4"/>
        <v>735</v>
      </c>
      <c r="S41" s="27" t="s">
        <v>18</v>
      </c>
      <c r="T41" s="19" t="s">
        <v>53</v>
      </c>
    </row>
    <row r="42" spans="1:20" ht="37.5" customHeight="1" x14ac:dyDescent="0.25">
      <c r="A42" s="19" t="s">
        <v>54</v>
      </c>
      <c r="B42">
        <f t="shared" si="5"/>
        <v>155</v>
      </c>
      <c r="C42">
        <v>53</v>
      </c>
      <c r="D42">
        <v>102</v>
      </c>
      <c r="E42">
        <v>1050</v>
      </c>
      <c r="F42">
        <f t="shared" si="0"/>
        <v>117</v>
      </c>
      <c r="G42" s="20">
        <f t="shared" si="6"/>
        <v>37</v>
      </c>
      <c r="H42" s="21">
        <v>99625010164</v>
      </c>
      <c r="I42" s="22">
        <v>41</v>
      </c>
      <c r="J42" s="23"/>
      <c r="K42" s="24">
        <f>M42+O42</f>
        <v>38</v>
      </c>
      <c r="L42" s="23">
        <f t="shared" si="1"/>
        <v>117</v>
      </c>
      <c r="M42" s="24">
        <v>12</v>
      </c>
      <c r="N42" s="25">
        <f t="shared" si="2"/>
        <v>41</v>
      </c>
      <c r="O42" s="24">
        <v>26</v>
      </c>
      <c r="P42" s="23">
        <f t="shared" si="3"/>
        <v>76</v>
      </c>
      <c r="Q42" s="26">
        <v>228</v>
      </c>
      <c r="R42" s="23">
        <f t="shared" si="4"/>
        <v>822</v>
      </c>
      <c r="S42" s="27" t="s">
        <v>18</v>
      </c>
      <c r="T42" s="19" t="s">
        <v>54</v>
      </c>
    </row>
    <row r="43" spans="1:20" ht="37.5" customHeight="1" x14ac:dyDescent="0.25">
      <c r="A43" s="19" t="s">
        <v>55</v>
      </c>
      <c r="B43">
        <f t="shared" si="5"/>
        <v>11248</v>
      </c>
      <c r="C43">
        <v>1950</v>
      </c>
      <c r="D43">
        <v>9298</v>
      </c>
      <c r="E43">
        <v>16574</v>
      </c>
      <c r="F43">
        <f t="shared" si="0"/>
        <v>157</v>
      </c>
      <c r="G43" s="20">
        <f t="shared" si="6"/>
        <v>38</v>
      </c>
      <c r="H43" s="21">
        <v>99723010011</v>
      </c>
      <c r="I43" s="22">
        <v>42</v>
      </c>
      <c r="J43" s="23"/>
      <c r="K43" s="24">
        <f>M43+O43</f>
        <v>11091</v>
      </c>
      <c r="L43" s="23">
        <f t="shared" si="1"/>
        <v>157</v>
      </c>
      <c r="M43" s="24">
        <v>1940</v>
      </c>
      <c r="N43" s="25">
        <f t="shared" si="2"/>
        <v>10</v>
      </c>
      <c r="O43" s="24">
        <v>9151</v>
      </c>
      <c r="P43" s="23">
        <f t="shared" si="3"/>
        <v>147</v>
      </c>
      <c r="Q43" s="26">
        <v>15608</v>
      </c>
      <c r="R43" s="23">
        <f t="shared" si="4"/>
        <v>966</v>
      </c>
      <c r="S43" s="27" t="s">
        <v>18</v>
      </c>
      <c r="T43" s="19" t="s">
        <v>55</v>
      </c>
    </row>
    <row r="44" spans="1:20" ht="37.5" customHeight="1" x14ac:dyDescent="0.25">
      <c r="A44" s="19" t="s">
        <v>56</v>
      </c>
      <c r="B44">
        <f t="shared" si="5"/>
        <v>6924</v>
      </c>
      <c r="C44">
        <v>1712</v>
      </c>
      <c r="D44">
        <v>5212</v>
      </c>
      <c r="F44">
        <f t="shared" si="0"/>
        <v>199</v>
      </c>
      <c r="G44" s="20">
        <f t="shared" si="6"/>
        <v>39</v>
      </c>
      <c r="H44" s="21">
        <v>66622020416</v>
      </c>
      <c r="I44" s="22">
        <v>43</v>
      </c>
      <c r="J44" s="23"/>
      <c r="K44" s="24">
        <v>6725</v>
      </c>
      <c r="L44" s="23">
        <f t="shared" si="1"/>
        <v>199</v>
      </c>
      <c r="M44" s="24">
        <v>1659</v>
      </c>
      <c r="N44" s="25">
        <f t="shared" si="2"/>
        <v>53</v>
      </c>
      <c r="O44" s="24">
        <v>5066</v>
      </c>
      <c r="P44" s="23">
        <f t="shared" si="3"/>
        <v>146</v>
      </c>
      <c r="Q44" s="26"/>
      <c r="R44" s="23">
        <f t="shared" si="4"/>
        <v>0</v>
      </c>
      <c r="S44" s="27" t="s">
        <v>18</v>
      </c>
      <c r="T44" s="19" t="s">
        <v>56</v>
      </c>
    </row>
    <row r="45" spans="1:20" ht="37.5" customHeight="1" x14ac:dyDescent="0.25">
      <c r="A45" s="19" t="s">
        <v>57</v>
      </c>
      <c r="B45">
        <f t="shared" si="5"/>
        <v>8407</v>
      </c>
      <c r="C45">
        <v>2240</v>
      </c>
      <c r="D45">
        <v>6167</v>
      </c>
      <c r="E45">
        <v>10498</v>
      </c>
      <c r="F45">
        <f t="shared" si="0"/>
        <v>264</v>
      </c>
      <c r="G45" s="20">
        <f t="shared" si="6"/>
        <v>40</v>
      </c>
      <c r="H45" s="21">
        <v>99723050030</v>
      </c>
      <c r="I45" s="22">
        <v>44</v>
      </c>
      <c r="J45" s="23"/>
      <c r="K45" s="24">
        <f>M45+O45</f>
        <v>8143</v>
      </c>
      <c r="L45" s="23">
        <f t="shared" si="1"/>
        <v>264</v>
      </c>
      <c r="M45" s="24">
        <v>2165</v>
      </c>
      <c r="N45" s="25">
        <f t="shared" si="2"/>
        <v>75</v>
      </c>
      <c r="O45" s="24">
        <v>5978</v>
      </c>
      <c r="P45" s="23">
        <f t="shared" si="3"/>
        <v>189</v>
      </c>
      <c r="Q45" s="26">
        <v>9923</v>
      </c>
      <c r="R45" s="23">
        <f t="shared" si="4"/>
        <v>575</v>
      </c>
      <c r="S45" s="27" t="s">
        <v>18</v>
      </c>
      <c r="T45" s="19" t="s">
        <v>57</v>
      </c>
    </row>
    <row r="46" spans="1:20" ht="37.5" customHeight="1" x14ac:dyDescent="0.25">
      <c r="A46" s="19" t="s">
        <v>58</v>
      </c>
      <c r="B46">
        <f t="shared" si="5"/>
        <v>39599</v>
      </c>
      <c r="C46">
        <v>6752</v>
      </c>
      <c r="D46">
        <v>32847</v>
      </c>
      <c r="F46">
        <f t="shared" si="0"/>
        <v>519</v>
      </c>
      <c r="G46" s="20">
        <f t="shared" si="6"/>
        <v>41</v>
      </c>
      <c r="H46" s="21">
        <v>66617010006</v>
      </c>
      <c r="I46" s="22">
        <v>45</v>
      </c>
      <c r="J46" s="23"/>
      <c r="K46" s="24">
        <v>39080</v>
      </c>
      <c r="L46" s="23">
        <f t="shared" si="1"/>
        <v>519</v>
      </c>
      <c r="M46" s="24">
        <v>6662</v>
      </c>
      <c r="N46" s="25">
        <f t="shared" si="2"/>
        <v>90</v>
      </c>
      <c r="O46" s="24">
        <v>32418</v>
      </c>
      <c r="P46" s="23">
        <f t="shared" si="3"/>
        <v>429</v>
      </c>
      <c r="Q46" s="26"/>
      <c r="R46" s="23">
        <f t="shared" si="4"/>
        <v>0</v>
      </c>
      <c r="S46" s="27" t="s">
        <v>18</v>
      </c>
      <c r="T46" s="19" t="s">
        <v>58</v>
      </c>
    </row>
    <row r="47" spans="1:20" ht="37.5" customHeight="1" x14ac:dyDescent="0.25">
      <c r="A47" s="19" t="s">
        <v>59</v>
      </c>
      <c r="B47">
        <f t="shared" si="5"/>
        <v>28456</v>
      </c>
      <c r="C47">
        <v>4712</v>
      </c>
      <c r="D47">
        <v>23744</v>
      </c>
      <c r="F47">
        <f t="shared" si="0"/>
        <v>412</v>
      </c>
      <c r="G47" s="20">
        <f t="shared" si="6"/>
        <v>42</v>
      </c>
      <c r="H47" s="21">
        <v>88818010277</v>
      </c>
      <c r="I47" s="22">
        <v>46</v>
      </c>
      <c r="J47" s="23"/>
      <c r="K47" s="24">
        <v>28044</v>
      </c>
      <c r="L47" s="23">
        <f t="shared" si="1"/>
        <v>412</v>
      </c>
      <c r="M47" s="24">
        <v>4634</v>
      </c>
      <c r="N47" s="25">
        <f t="shared" si="2"/>
        <v>78</v>
      </c>
      <c r="O47" s="24">
        <v>23410</v>
      </c>
      <c r="P47" s="23">
        <f t="shared" si="3"/>
        <v>334</v>
      </c>
      <c r="Q47" s="26"/>
      <c r="R47" s="23">
        <f t="shared" si="4"/>
        <v>0</v>
      </c>
      <c r="S47" s="27" t="s">
        <v>18</v>
      </c>
      <c r="T47" s="19" t="s">
        <v>59</v>
      </c>
    </row>
    <row r="48" spans="1:20" ht="37.5" customHeight="1" x14ac:dyDescent="0.25">
      <c r="A48" s="19" t="s">
        <v>60</v>
      </c>
      <c r="B48">
        <f t="shared" si="5"/>
        <v>33882</v>
      </c>
      <c r="C48">
        <v>6473</v>
      </c>
      <c r="D48">
        <v>27409</v>
      </c>
      <c r="F48">
        <f t="shared" si="0"/>
        <v>334</v>
      </c>
      <c r="G48" s="20">
        <f t="shared" si="6"/>
        <v>43</v>
      </c>
      <c r="H48" s="21">
        <v>23015010147</v>
      </c>
      <c r="I48" s="22">
        <v>47</v>
      </c>
      <c r="J48" s="23"/>
      <c r="K48" s="24">
        <v>33548</v>
      </c>
      <c r="L48" s="23">
        <f t="shared" si="1"/>
        <v>334</v>
      </c>
      <c r="M48" s="24">
        <v>6406</v>
      </c>
      <c r="N48" s="25">
        <f t="shared" si="2"/>
        <v>67</v>
      </c>
      <c r="O48" s="24">
        <v>27142</v>
      </c>
      <c r="P48" s="23">
        <f t="shared" si="3"/>
        <v>267</v>
      </c>
      <c r="Q48" s="26"/>
      <c r="R48" s="23">
        <f t="shared" si="4"/>
        <v>0</v>
      </c>
      <c r="S48" s="27" t="s">
        <v>18</v>
      </c>
      <c r="T48" s="19" t="s">
        <v>60</v>
      </c>
    </row>
    <row r="49" spans="1:20" ht="37.5" customHeight="1" x14ac:dyDescent="0.25">
      <c r="A49" s="19" t="s">
        <v>61</v>
      </c>
      <c r="B49">
        <f t="shared" si="5"/>
        <v>24558</v>
      </c>
      <c r="C49">
        <v>4820</v>
      </c>
      <c r="D49">
        <v>19738</v>
      </c>
      <c r="F49">
        <f t="shared" si="0"/>
        <v>322</v>
      </c>
      <c r="G49" s="20">
        <f t="shared" si="6"/>
        <v>44</v>
      </c>
      <c r="H49" s="21">
        <v>66622020264</v>
      </c>
      <c r="I49" s="22">
        <v>50</v>
      </c>
      <c r="J49" s="23"/>
      <c r="K49" s="24">
        <v>24236</v>
      </c>
      <c r="L49" s="23">
        <f t="shared" si="1"/>
        <v>322</v>
      </c>
      <c r="M49" s="24">
        <v>4763</v>
      </c>
      <c r="N49" s="25">
        <f t="shared" si="2"/>
        <v>57</v>
      </c>
      <c r="O49" s="24">
        <v>19473</v>
      </c>
      <c r="P49" s="23">
        <f t="shared" si="3"/>
        <v>265</v>
      </c>
      <c r="Q49" s="26"/>
      <c r="R49" s="23">
        <f t="shared" si="4"/>
        <v>0</v>
      </c>
      <c r="S49" s="27" t="s">
        <v>18</v>
      </c>
      <c r="T49" s="19" t="s">
        <v>61</v>
      </c>
    </row>
    <row r="50" spans="1:20" ht="37.5" customHeight="1" x14ac:dyDescent="0.25">
      <c r="A50" s="19" t="s">
        <v>62</v>
      </c>
      <c r="B50">
        <f t="shared" si="5"/>
        <v>1866</v>
      </c>
      <c r="C50">
        <v>291</v>
      </c>
      <c r="D50">
        <v>1575</v>
      </c>
      <c r="F50">
        <f t="shared" si="0"/>
        <v>12</v>
      </c>
      <c r="G50" s="20">
        <f t="shared" si="6"/>
        <v>45</v>
      </c>
      <c r="H50" s="21">
        <v>66622040581</v>
      </c>
      <c r="I50" s="22">
        <v>51</v>
      </c>
      <c r="J50" s="23"/>
      <c r="K50" s="24">
        <v>1854</v>
      </c>
      <c r="L50" s="23">
        <f t="shared" si="1"/>
        <v>12</v>
      </c>
      <c r="M50" s="24">
        <v>285</v>
      </c>
      <c r="N50" s="25">
        <f t="shared" si="2"/>
        <v>6</v>
      </c>
      <c r="O50" s="24">
        <v>1542</v>
      </c>
      <c r="P50" s="23">
        <f t="shared" si="3"/>
        <v>33</v>
      </c>
      <c r="Q50" s="26"/>
      <c r="R50" s="23">
        <f t="shared" si="4"/>
        <v>0</v>
      </c>
      <c r="S50" s="27" t="s">
        <v>18</v>
      </c>
      <c r="T50" s="19" t="s">
        <v>62</v>
      </c>
    </row>
    <row r="51" spans="1:20" ht="37.5" customHeight="1" x14ac:dyDescent="0.25">
      <c r="A51" s="19" t="s">
        <v>63</v>
      </c>
      <c r="B51">
        <f t="shared" si="5"/>
        <v>36991</v>
      </c>
      <c r="C51">
        <v>5477</v>
      </c>
      <c r="D51">
        <v>31514</v>
      </c>
      <c r="F51">
        <f t="shared" si="0"/>
        <v>373</v>
      </c>
      <c r="G51" s="20">
        <f t="shared" si="6"/>
        <v>46</v>
      </c>
      <c r="H51" s="21">
        <v>88820020425</v>
      </c>
      <c r="I51" s="22">
        <v>52</v>
      </c>
      <c r="J51" s="23"/>
      <c r="K51" s="24">
        <v>36618</v>
      </c>
      <c r="L51" s="23">
        <f t="shared" si="1"/>
        <v>373</v>
      </c>
      <c r="M51" s="24">
        <v>5416</v>
      </c>
      <c r="N51" s="25">
        <f t="shared" si="2"/>
        <v>61</v>
      </c>
      <c r="O51" s="24">
        <v>31202</v>
      </c>
      <c r="P51" s="23">
        <f t="shared" si="3"/>
        <v>312</v>
      </c>
      <c r="Q51" s="26"/>
      <c r="R51" s="23">
        <f t="shared" si="4"/>
        <v>0</v>
      </c>
      <c r="S51" s="27" t="s">
        <v>18</v>
      </c>
      <c r="T51" s="19" t="s">
        <v>63</v>
      </c>
    </row>
    <row r="52" spans="1:20" ht="37.5" customHeight="1" x14ac:dyDescent="0.25">
      <c r="A52" s="19" t="s">
        <v>64</v>
      </c>
      <c r="B52">
        <f t="shared" si="5"/>
        <v>41097</v>
      </c>
      <c r="C52">
        <v>6833</v>
      </c>
      <c r="D52">
        <v>34264</v>
      </c>
      <c r="F52">
        <f t="shared" si="0"/>
        <v>442</v>
      </c>
      <c r="G52" s="20">
        <f t="shared" si="6"/>
        <v>47</v>
      </c>
      <c r="H52" s="21">
        <v>88818020148</v>
      </c>
      <c r="I52" s="22">
        <v>53</v>
      </c>
      <c r="J52" s="23"/>
      <c r="K52" s="24">
        <v>40655</v>
      </c>
      <c r="L52" s="23">
        <f t="shared" si="1"/>
        <v>442</v>
      </c>
      <c r="M52" s="24">
        <v>6748</v>
      </c>
      <c r="N52" s="25">
        <f t="shared" si="2"/>
        <v>85</v>
      </c>
      <c r="O52" s="24">
        <v>33907</v>
      </c>
      <c r="P52" s="23">
        <f t="shared" si="3"/>
        <v>357</v>
      </c>
      <c r="Q52" s="26"/>
      <c r="R52" s="23">
        <f t="shared" si="4"/>
        <v>0</v>
      </c>
      <c r="S52" s="27" t="s">
        <v>18</v>
      </c>
      <c r="T52" s="19" t="s">
        <v>64</v>
      </c>
    </row>
    <row r="53" spans="1:20" ht="37.5" customHeight="1" x14ac:dyDescent="0.25">
      <c r="A53" s="19" t="s">
        <v>65</v>
      </c>
      <c r="B53">
        <f t="shared" si="5"/>
        <v>22351</v>
      </c>
      <c r="C53">
        <v>3793</v>
      </c>
      <c r="D53">
        <v>18558</v>
      </c>
      <c r="F53">
        <f t="shared" si="0"/>
        <v>274</v>
      </c>
      <c r="G53" s="20">
        <f t="shared" si="6"/>
        <v>48</v>
      </c>
      <c r="H53" s="21">
        <v>88819030095</v>
      </c>
      <c r="I53" s="22">
        <v>54</v>
      </c>
      <c r="J53" s="23"/>
      <c r="K53" s="24">
        <v>22077</v>
      </c>
      <c r="L53" s="23">
        <f t="shared" si="1"/>
        <v>274</v>
      </c>
      <c r="M53" s="24">
        <v>3740</v>
      </c>
      <c r="N53" s="25">
        <f t="shared" si="2"/>
        <v>53</v>
      </c>
      <c r="O53" s="24">
        <v>18337</v>
      </c>
      <c r="P53" s="23">
        <f t="shared" si="3"/>
        <v>221</v>
      </c>
      <c r="Q53" s="26"/>
      <c r="R53" s="23">
        <f t="shared" si="4"/>
        <v>0</v>
      </c>
      <c r="S53" s="27" t="s">
        <v>18</v>
      </c>
      <c r="T53" s="19" t="s">
        <v>65</v>
      </c>
    </row>
    <row r="54" spans="1:20" ht="37.5" customHeight="1" x14ac:dyDescent="0.25">
      <c r="A54" s="19" t="s">
        <v>66</v>
      </c>
      <c r="B54">
        <f t="shared" si="5"/>
        <v>310</v>
      </c>
      <c r="C54">
        <v>71</v>
      </c>
      <c r="D54">
        <v>239</v>
      </c>
      <c r="E54">
        <v>1368</v>
      </c>
      <c r="F54">
        <f t="shared" si="0"/>
        <v>310</v>
      </c>
      <c r="G54" s="20">
        <f t="shared" si="6"/>
        <v>49</v>
      </c>
      <c r="H54" s="21">
        <v>99625010187</v>
      </c>
      <c r="I54" s="22">
        <v>62</v>
      </c>
      <c r="J54" s="23"/>
      <c r="K54" s="24">
        <v>0</v>
      </c>
      <c r="L54" s="23">
        <f t="shared" si="1"/>
        <v>310</v>
      </c>
      <c r="M54" s="24">
        <v>0</v>
      </c>
      <c r="N54" s="25">
        <f t="shared" si="2"/>
        <v>71</v>
      </c>
      <c r="O54" s="24">
        <v>0</v>
      </c>
      <c r="P54" s="23">
        <f t="shared" si="3"/>
        <v>239</v>
      </c>
      <c r="Q54" s="26">
        <v>0</v>
      </c>
      <c r="R54" s="23">
        <f t="shared" si="4"/>
        <v>1368</v>
      </c>
      <c r="S54" s="27" t="s">
        <v>18</v>
      </c>
      <c r="T54" s="19" t="s">
        <v>66</v>
      </c>
    </row>
    <row r="55" spans="1:20" ht="37.5" customHeight="1" x14ac:dyDescent="0.25">
      <c r="A55" s="19" t="s">
        <v>67</v>
      </c>
      <c r="B55">
        <f t="shared" si="5"/>
        <v>44643</v>
      </c>
      <c r="C55">
        <v>8469</v>
      </c>
      <c r="D55">
        <v>36174</v>
      </c>
      <c r="F55">
        <f t="shared" si="0"/>
        <v>419</v>
      </c>
      <c r="G55" s="20">
        <f t="shared" si="6"/>
        <v>50</v>
      </c>
      <c r="H55" s="21">
        <v>66601102467</v>
      </c>
      <c r="I55" s="22">
        <v>63</v>
      </c>
      <c r="J55" s="23"/>
      <c r="K55" s="24">
        <v>44224</v>
      </c>
      <c r="L55" s="23">
        <f t="shared" si="1"/>
        <v>419</v>
      </c>
      <c r="M55" s="24">
        <v>8406</v>
      </c>
      <c r="N55" s="25">
        <f t="shared" si="2"/>
        <v>63</v>
      </c>
      <c r="O55" s="24">
        <v>35818</v>
      </c>
      <c r="P55" s="23">
        <f t="shared" si="3"/>
        <v>356</v>
      </c>
      <c r="Q55" s="26"/>
      <c r="R55" s="23">
        <f t="shared" si="4"/>
        <v>0</v>
      </c>
      <c r="S55" s="27" t="s">
        <v>18</v>
      </c>
      <c r="T55" s="19" t="s">
        <v>67</v>
      </c>
    </row>
    <row r="56" spans="1:20" ht="37.5" customHeight="1" x14ac:dyDescent="0.25">
      <c r="A56" s="19" t="s">
        <v>68</v>
      </c>
      <c r="B56">
        <f t="shared" si="5"/>
        <v>9892</v>
      </c>
      <c r="C56">
        <v>1568</v>
      </c>
      <c r="D56">
        <v>8324</v>
      </c>
      <c r="F56">
        <f t="shared" si="0"/>
        <v>289</v>
      </c>
      <c r="G56" s="20">
        <f t="shared" si="6"/>
        <v>51</v>
      </c>
      <c r="H56" s="21">
        <v>66623010038</v>
      </c>
      <c r="I56" s="22">
        <v>64</v>
      </c>
      <c r="J56" s="23"/>
      <c r="K56" s="24">
        <v>9603</v>
      </c>
      <c r="L56" s="23">
        <f t="shared" si="1"/>
        <v>289</v>
      </c>
      <c r="M56" s="24">
        <v>1514</v>
      </c>
      <c r="N56" s="25">
        <f t="shared" si="2"/>
        <v>54</v>
      </c>
      <c r="O56" s="24">
        <v>8089</v>
      </c>
      <c r="P56" s="23">
        <f t="shared" si="3"/>
        <v>235</v>
      </c>
      <c r="Q56" s="26"/>
      <c r="R56" s="23">
        <f t="shared" si="4"/>
        <v>0</v>
      </c>
      <c r="S56" s="27" t="s">
        <v>18</v>
      </c>
      <c r="T56" s="19" t="s">
        <v>68</v>
      </c>
    </row>
    <row r="57" spans="1:20" ht="37.5" customHeight="1" x14ac:dyDescent="0.25">
      <c r="A57" s="19" t="s">
        <v>69</v>
      </c>
      <c r="B57">
        <f t="shared" si="5"/>
        <v>1690</v>
      </c>
      <c r="C57">
        <v>406</v>
      </c>
      <c r="D57">
        <v>1284</v>
      </c>
      <c r="E57">
        <v>3282</v>
      </c>
      <c r="F57">
        <f t="shared" si="0"/>
        <v>404</v>
      </c>
      <c r="G57" s="20">
        <f t="shared" si="6"/>
        <v>52</v>
      </c>
      <c r="H57" s="21">
        <v>99624040240</v>
      </c>
      <c r="I57" s="22">
        <v>65</v>
      </c>
      <c r="J57" s="23"/>
      <c r="K57" s="24">
        <f>M57+O57</f>
        <v>1286</v>
      </c>
      <c r="L57" s="23">
        <f t="shared" si="1"/>
        <v>404</v>
      </c>
      <c r="M57" s="24">
        <v>318</v>
      </c>
      <c r="N57" s="25">
        <f t="shared" si="2"/>
        <v>88</v>
      </c>
      <c r="O57" s="24">
        <v>968</v>
      </c>
      <c r="P57" s="23">
        <f t="shared" si="3"/>
        <v>316</v>
      </c>
      <c r="Q57" s="26">
        <v>2583</v>
      </c>
      <c r="R57" s="23">
        <f t="shared" si="4"/>
        <v>699</v>
      </c>
      <c r="S57" s="27" t="s">
        <v>18</v>
      </c>
      <c r="T57" s="19" t="s">
        <v>69</v>
      </c>
    </row>
    <row r="58" spans="1:20" ht="37.5" customHeight="1" x14ac:dyDescent="0.25">
      <c r="A58" s="19" t="s">
        <v>70</v>
      </c>
      <c r="B58">
        <f t="shared" si="5"/>
        <v>44988</v>
      </c>
      <c r="C58">
        <v>9204</v>
      </c>
      <c r="D58">
        <v>35784</v>
      </c>
      <c r="F58">
        <f t="shared" si="0"/>
        <v>377</v>
      </c>
      <c r="G58" s="20">
        <f t="shared" si="6"/>
        <v>53</v>
      </c>
      <c r="H58" s="21">
        <v>23011120044</v>
      </c>
      <c r="I58" s="22">
        <v>66</v>
      </c>
      <c r="J58" s="23"/>
      <c r="K58" s="24">
        <v>44611</v>
      </c>
      <c r="L58" s="23">
        <f t="shared" si="1"/>
        <v>377</v>
      </c>
      <c r="M58" s="24">
        <v>9144</v>
      </c>
      <c r="N58" s="25">
        <f t="shared" si="2"/>
        <v>60</v>
      </c>
      <c r="O58" s="24">
        <v>35467</v>
      </c>
      <c r="P58" s="23">
        <f t="shared" si="3"/>
        <v>317</v>
      </c>
      <c r="Q58" s="26"/>
      <c r="R58" s="23">
        <f t="shared" si="4"/>
        <v>0</v>
      </c>
      <c r="S58" s="27" t="s">
        <v>18</v>
      </c>
      <c r="T58" s="19" t="s">
        <v>70</v>
      </c>
    </row>
    <row r="59" spans="1:20" ht="37.5" customHeight="1" x14ac:dyDescent="0.25">
      <c r="A59" s="19" t="s">
        <v>71</v>
      </c>
      <c r="B59">
        <f t="shared" si="5"/>
        <v>72342</v>
      </c>
      <c r="C59">
        <v>13190</v>
      </c>
      <c r="D59">
        <v>59152</v>
      </c>
      <c r="F59">
        <f t="shared" si="0"/>
        <v>682</v>
      </c>
      <c r="G59" s="20">
        <f t="shared" si="6"/>
        <v>54</v>
      </c>
      <c r="H59" s="21">
        <v>23012100292</v>
      </c>
      <c r="I59" s="22">
        <v>67</v>
      </c>
      <c r="J59" s="23"/>
      <c r="K59" s="24">
        <v>71660</v>
      </c>
      <c r="L59" s="23">
        <f t="shared" si="1"/>
        <v>682</v>
      </c>
      <c r="M59" s="24">
        <v>13081</v>
      </c>
      <c r="N59" s="25">
        <f t="shared" si="2"/>
        <v>109</v>
      </c>
      <c r="O59" s="24">
        <v>58579</v>
      </c>
      <c r="P59" s="23">
        <f t="shared" si="3"/>
        <v>573</v>
      </c>
      <c r="Q59" s="26"/>
      <c r="R59" s="23">
        <f t="shared" si="4"/>
        <v>0</v>
      </c>
      <c r="S59" s="27" t="s">
        <v>18</v>
      </c>
      <c r="T59" s="19" t="s">
        <v>71</v>
      </c>
    </row>
    <row r="60" spans="1:20" ht="37.5" customHeight="1" x14ac:dyDescent="0.25">
      <c r="A60" s="19" t="s">
        <v>72</v>
      </c>
      <c r="B60">
        <f t="shared" si="5"/>
        <v>41848</v>
      </c>
      <c r="C60">
        <v>8866</v>
      </c>
      <c r="D60">
        <v>32982</v>
      </c>
      <c r="F60">
        <f t="shared" si="0"/>
        <v>0</v>
      </c>
      <c r="G60" s="20">
        <f t="shared" si="6"/>
        <v>55</v>
      </c>
      <c r="H60" s="21">
        <v>23011070191</v>
      </c>
      <c r="I60" s="22">
        <v>68</v>
      </c>
      <c r="J60" s="23"/>
      <c r="K60" s="24">
        <v>41848</v>
      </c>
      <c r="L60" s="23">
        <f t="shared" si="1"/>
        <v>0</v>
      </c>
      <c r="M60" s="24">
        <v>8866</v>
      </c>
      <c r="N60" s="25">
        <f t="shared" si="2"/>
        <v>0</v>
      </c>
      <c r="O60" s="24">
        <v>32982</v>
      </c>
      <c r="P60" s="23">
        <f t="shared" si="3"/>
        <v>0</v>
      </c>
      <c r="Q60" s="26"/>
      <c r="R60" s="23">
        <f t="shared" si="4"/>
        <v>0</v>
      </c>
      <c r="S60" s="27" t="s">
        <v>18</v>
      </c>
      <c r="T60" s="19" t="s">
        <v>72</v>
      </c>
    </row>
    <row r="61" spans="1:20" ht="37.5" customHeight="1" x14ac:dyDescent="0.25">
      <c r="A61" s="19" t="s">
        <v>73</v>
      </c>
      <c r="B61">
        <f t="shared" si="5"/>
        <v>18630</v>
      </c>
      <c r="C61">
        <v>3010</v>
      </c>
      <c r="D61">
        <v>15620</v>
      </c>
      <c r="F61">
        <f t="shared" si="0"/>
        <v>299</v>
      </c>
      <c r="G61" s="20">
        <f t="shared" si="6"/>
        <v>56</v>
      </c>
      <c r="H61" s="21">
        <v>88820040394</v>
      </c>
      <c r="I61" s="22">
        <v>69</v>
      </c>
      <c r="J61" s="23"/>
      <c r="K61" s="24">
        <v>18331</v>
      </c>
      <c r="L61" s="23">
        <f t="shared" si="1"/>
        <v>299</v>
      </c>
      <c r="M61" s="24">
        <v>2964</v>
      </c>
      <c r="N61" s="25">
        <f t="shared" si="2"/>
        <v>46</v>
      </c>
      <c r="O61" s="24">
        <v>15367</v>
      </c>
      <c r="P61" s="23">
        <f t="shared" si="3"/>
        <v>253</v>
      </c>
      <c r="Q61" s="26"/>
      <c r="R61" s="23">
        <f t="shared" si="4"/>
        <v>0</v>
      </c>
      <c r="S61" s="27" t="s">
        <v>18</v>
      </c>
      <c r="T61" s="19" t="s">
        <v>73</v>
      </c>
    </row>
    <row r="62" spans="1:20" ht="37.5" customHeight="1" x14ac:dyDescent="0.25">
      <c r="A62" s="19" t="s">
        <v>74</v>
      </c>
      <c r="B62">
        <f t="shared" si="5"/>
        <v>4537</v>
      </c>
      <c r="C62">
        <v>858</v>
      </c>
      <c r="D62">
        <v>3679</v>
      </c>
      <c r="F62">
        <f t="shared" si="0"/>
        <v>29</v>
      </c>
      <c r="G62" s="20">
        <f t="shared" si="6"/>
        <v>57</v>
      </c>
      <c r="H62" s="21">
        <v>88819010158</v>
      </c>
      <c r="I62" s="22">
        <v>70</v>
      </c>
      <c r="J62" s="23"/>
      <c r="K62" s="24">
        <v>4508</v>
      </c>
      <c r="L62" s="23">
        <f t="shared" si="1"/>
        <v>29</v>
      </c>
      <c r="M62" s="24">
        <v>853</v>
      </c>
      <c r="N62" s="25">
        <f t="shared" si="2"/>
        <v>5</v>
      </c>
      <c r="O62" s="24">
        <v>3655</v>
      </c>
      <c r="P62" s="23">
        <f t="shared" si="3"/>
        <v>24</v>
      </c>
      <c r="Q62" s="26"/>
      <c r="R62" s="23">
        <f t="shared" si="4"/>
        <v>0</v>
      </c>
      <c r="S62" s="27" t="s">
        <v>18</v>
      </c>
      <c r="T62" s="19" t="s">
        <v>74</v>
      </c>
    </row>
    <row r="63" spans="1:20" ht="37.5" customHeight="1" x14ac:dyDescent="0.25">
      <c r="A63" s="19" t="s">
        <v>75</v>
      </c>
      <c r="B63">
        <f t="shared" si="5"/>
        <v>70519</v>
      </c>
      <c r="C63">
        <v>12968</v>
      </c>
      <c r="D63">
        <v>57551</v>
      </c>
      <c r="F63">
        <f t="shared" si="0"/>
        <v>440</v>
      </c>
      <c r="G63" s="20">
        <f t="shared" si="6"/>
        <v>58</v>
      </c>
      <c r="H63" s="21">
        <v>23014040231</v>
      </c>
      <c r="I63" s="22">
        <v>72</v>
      </c>
      <c r="J63" s="23"/>
      <c r="K63" s="24">
        <v>70079</v>
      </c>
      <c r="L63" s="23">
        <f t="shared" si="1"/>
        <v>440</v>
      </c>
      <c r="M63" s="24">
        <v>12894</v>
      </c>
      <c r="N63" s="25">
        <f t="shared" si="2"/>
        <v>74</v>
      </c>
      <c r="O63" s="24">
        <v>57185</v>
      </c>
      <c r="P63" s="23">
        <f t="shared" si="3"/>
        <v>366</v>
      </c>
      <c r="Q63" s="26"/>
      <c r="R63" s="23">
        <f t="shared" si="4"/>
        <v>0</v>
      </c>
      <c r="S63" s="27" t="s">
        <v>18</v>
      </c>
      <c r="T63" s="19" t="s">
        <v>75</v>
      </c>
    </row>
    <row r="64" spans="1:20" ht="37.5" customHeight="1" x14ac:dyDescent="0.25">
      <c r="A64" s="19" t="s">
        <v>76</v>
      </c>
      <c r="B64">
        <f t="shared" si="5"/>
        <v>3208</v>
      </c>
      <c r="C64">
        <v>643</v>
      </c>
      <c r="D64">
        <v>2565</v>
      </c>
      <c r="E64">
        <v>4535</v>
      </c>
      <c r="F64">
        <f t="shared" si="0"/>
        <v>238</v>
      </c>
      <c r="G64" s="20">
        <f t="shared" si="6"/>
        <v>59</v>
      </c>
      <c r="H64" s="21">
        <v>99624020255</v>
      </c>
      <c r="I64" s="22">
        <v>73</v>
      </c>
      <c r="J64" s="23"/>
      <c r="K64" s="24">
        <f>M64+O64</f>
        <v>2970</v>
      </c>
      <c r="L64" s="23">
        <f t="shared" si="1"/>
        <v>238</v>
      </c>
      <c r="M64" s="24">
        <v>583</v>
      </c>
      <c r="N64" s="25">
        <f t="shared" si="2"/>
        <v>60</v>
      </c>
      <c r="O64" s="24">
        <v>2387</v>
      </c>
      <c r="P64" s="23">
        <f t="shared" si="3"/>
        <v>178</v>
      </c>
      <c r="Q64" s="26">
        <v>3928</v>
      </c>
      <c r="R64" s="23">
        <f t="shared" si="4"/>
        <v>607</v>
      </c>
      <c r="S64" s="27" t="s">
        <v>18</v>
      </c>
      <c r="T64" s="19" t="s">
        <v>76</v>
      </c>
    </row>
    <row r="65" spans="1:20" ht="37.5" customHeight="1" x14ac:dyDescent="0.25">
      <c r="A65" s="19" t="s">
        <v>77</v>
      </c>
      <c r="B65">
        <f t="shared" si="5"/>
        <v>38990</v>
      </c>
      <c r="C65">
        <v>7771</v>
      </c>
      <c r="D65">
        <v>31219</v>
      </c>
      <c r="F65">
        <f t="shared" si="0"/>
        <v>150</v>
      </c>
      <c r="G65" s="20">
        <f t="shared" si="6"/>
        <v>60</v>
      </c>
      <c r="H65" s="21">
        <v>23014090743</v>
      </c>
      <c r="I65" s="22">
        <v>74</v>
      </c>
      <c r="J65" s="23"/>
      <c r="K65" s="24">
        <v>38840</v>
      </c>
      <c r="L65" s="23">
        <f t="shared" si="1"/>
        <v>150</v>
      </c>
      <c r="M65" s="24">
        <v>7751</v>
      </c>
      <c r="N65" s="25">
        <f t="shared" si="2"/>
        <v>20</v>
      </c>
      <c r="O65" s="24">
        <v>31089</v>
      </c>
      <c r="P65" s="23">
        <f t="shared" si="3"/>
        <v>130</v>
      </c>
      <c r="Q65" s="26"/>
      <c r="R65" s="23">
        <f t="shared" si="4"/>
        <v>0</v>
      </c>
      <c r="S65" s="27" t="s">
        <v>18</v>
      </c>
      <c r="T65" s="19" t="s">
        <v>77</v>
      </c>
    </row>
    <row r="66" spans="1:20" ht="37.5" customHeight="1" x14ac:dyDescent="0.25">
      <c r="A66" s="19" t="s">
        <v>78</v>
      </c>
      <c r="B66">
        <f t="shared" si="5"/>
        <v>34675</v>
      </c>
      <c r="C66">
        <v>6729</v>
      </c>
      <c r="D66">
        <v>27946</v>
      </c>
      <c r="F66">
        <f t="shared" si="0"/>
        <v>231</v>
      </c>
      <c r="G66" s="20">
        <f t="shared" si="6"/>
        <v>61</v>
      </c>
      <c r="H66" s="21">
        <v>23014060252</v>
      </c>
      <c r="I66" s="22">
        <v>76</v>
      </c>
      <c r="J66" s="23"/>
      <c r="K66" s="24">
        <v>34444</v>
      </c>
      <c r="L66" s="23">
        <f t="shared" si="1"/>
        <v>231</v>
      </c>
      <c r="M66" s="24">
        <v>6688</v>
      </c>
      <c r="N66" s="25">
        <f t="shared" si="2"/>
        <v>41</v>
      </c>
      <c r="O66" s="24">
        <v>27756</v>
      </c>
      <c r="P66" s="23">
        <f t="shared" si="3"/>
        <v>190</v>
      </c>
      <c r="Q66" s="26"/>
      <c r="R66" s="23">
        <f t="shared" si="4"/>
        <v>0</v>
      </c>
      <c r="S66" s="27" t="s">
        <v>18</v>
      </c>
      <c r="T66" s="19" t="s">
        <v>78</v>
      </c>
    </row>
    <row r="67" spans="1:20" ht="37.5" customHeight="1" x14ac:dyDescent="0.25">
      <c r="A67" s="19" t="s">
        <v>79</v>
      </c>
      <c r="B67">
        <f t="shared" si="5"/>
        <v>25836</v>
      </c>
      <c r="C67">
        <v>3608</v>
      </c>
      <c r="D67">
        <v>22228</v>
      </c>
      <c r="F67">
        <f t="shared" si="0"/>
        <v>340</v>
      </c>
      <c r="G67" s="20">
        <f t="shared" si="6"/>
        <v>62</v>
      </c>
      <c r="H67" s="21">
        <v>66621040418</v>
      </c>
      <c r="I67" s="22">
        <v>77</v>
      </c>
      <c r="J67" s="23"/>
      <c r="K67" s="24">
        <v>25496</v>
      </c>
      <c r="L67" s="23">
        <f t="shared" si="1"/>
        <v>340</v>
      </c>
      <c r="M67" s="24">
        <v>3545</v>
      </c>
      <c r="N67" s="25">
        <f t="shared" si="2"/>
        <v>63</v>
      </c>
      <c r="O67" s="24">
        <v>21951</v>
      </c>
      <c r="P67" s="23">
        <f t="shared" si="3"/>
        <v>277</v>
      </c>
      <c r="Q67" s="26"/>
      <c r="R67" s="23">
        <f t="shared" si="4"/>
        <v>0</v>
      </c>
      <c r="S67" s="27" t="s">
        <v>18</v>
      </c>
      <c r="T67" s="19" t="s">
        <v>79</v>
      </c>
    </row>
    <row r="68" spans="1:20" ht="37.5" customHeight="1" x14ac:dyDescent="0.25">
      <c r="A68" s="19" t="s">
        <v>80</v>
      </c>
      <c r="B68">
        <f t="shared" si="5"/>
        <v>32793</v>
      </c>
      <c r="C68">
        <v>8247</v>
      </c>
      <c r="D68">
        <v>24546</v>
      </c>
      <c r="F68">
        <f t="shared" si="0"/>
        <v>117</v>
      </c>
      <c r="G68" s="20">
        <f t="shared" si="6"/>
        <v>63</v>
      </c>
      <c r="H68" s="21">
        <v>23010050044</v>
      </c>
      <c r="I68" s="22">
        <v>78</v>
      </c>
      <c r="J68" s="23"/>
      <c r="K68" s="24">
        <v>32676</v>
      </c>
      <c r="L68" s="23">
        <f t="shared" si="1"/>
        <v>117</v>
      </c>
      <c r="M68" s="24">
        <v>8230</v>
      </c>
      <c r="N68" s="25">
        <f t="shared" si="2"/>
        <v>17</v>
      </c>
      <c r="O68" s="24">
        <v>24446</v>
      </c>
      <c r="P68" s="23">
        <f t="shared" si="3"/>
        <v>100</v>
      </c>
      <c r="Q68" s="26"/>
      <c r="R68" s="23">
        <f t="shared" si="4"/>
        <v>0</v>
      </c>
      <c r="S68" s="27" t="s">
        <v>18</v>
      </c>
      <c r="T68" s="19" t="s">
        <v>80</v>
      </c>
    </row>
    <row r="69" spans="1:20" ht="37.5" customHeight="1" x14ac:dyDescent="0.25">
      <c r="A69" s="19" t="s">
        <v>81</v>
      </c>
      <c r="B69">
        <f t="shared" si="5"/>
        <v>12655</v>
      </c>
      <c r="C69">
        <v>1829</v>
      </c>
      <c r="D69">
        <v>10826</v>
      </c>
      <c r="F69">
        <f t="shared" ref="F69:F132" si="7">L69</f>
        <v>434</v>
      </c>
      <c r="G69" s="20">
        <f t="shared" si="6"/>
        <v>64</v>
      </c>
      <c r="H69" s="21">
        <v>66618010009</v>
      </c>
      <c r="I69" s="22">
        <v>79</v>
      </c>
      <c r="J69" s="23"/>
      <c r="K69" s="24">
        <v>12221</v>
      </c>
      <c r="L69" s="23">
        <f t="shared" si="1"/>
        <v>434</v>
      </c>
      <c r="M69" s="24">
        <v>1750</v>
      </c>
      <c r="N69" s="25">
        <f t="shared" si="2"/>
        <v>79</v>
      </c>
      <c r="O69" s="24">
        <v>10471</v>
      </c>
      <c r="P69" s="23">
        <f t="shared" si="3"/>
        <v>355</v>
      </c>
      <c r="Q69" s="26"/>
      <c r="R69" s="23">
        <f t="shared" si="4"/>
        <v>0</v>
      </c>
      <c r="S69" s="27" t="s">
        <v>18</v>
      </c>
      <c r="T69" s="19" t="s">
        <v>81</v>
      </c>
    </row>
    <row r="70" spans="1:20" ht="37.5" customHeight="1" x14ac:dyDescent="0.25">
      <c r="A70" s="19" t="s">
        <v>82</v>
      </c>
      <c r="B70">
        <f t="shared" si="5"/>
        <v>16445</v>
      </c>
      <c r="C70">
        <v>3447</v>
      </c>
      <c r="D70">
        <v>12998</v>
      </c>
      <c r="F70">
        <f t="shared" si="7"/>
        <v>0</v>
      </c>
      <c r="G70" s="20">
        <f t="shared" si="6"/>
        <v>65</v>
      </c>
      <c r="H70" s="21">
        <v>88819010025</v>
      </c>
      <c r="I70" s="22">
        <v>80</v>
      </c>
      <c r="J70" s="23"/>
      <c r="K70" s="24">
        <v>16445</v>
      </c>
      <c r="L70" s="23">
        <f t="shared" ref="L70:L133" si="8">B70-K70</f>
        <v>0</v>
      </c>
      <c r="M70" s="24">
        <v>3447</v>
      </c>
      <c r="N70" s="25">
        <f t="shared" ref="N70:N133" si="9">C70-M70</f>
        <v>0</v>
      </c>
      <c r="O70" s="24">
        <v>12998</v>
      </c>
      <c r="P70" s="23">
        <f t="shared" ref="P70:P133" si="10">D70-O70</f>
        <v>0</v>
      </c>
      <c r="Q70" s="26"/>
      <c r="R70" s="23">
        <f t="shared" ref="R70:R133" si="11">E70-Q70</f>
        <v>0</v>
      </c>
      <c r="S70" s="27" t="s">
        <v>18</v>
      </c>
      <c r="T70" s="19" t="s">
        <v>82</v>
      </c>
    </row>
    <row r="71" spans="1:20" ht="37.5" customHeight="1" x14ac:dyDescent="0.25">
      <c r="A71" s="19" t="s">
        <v>83</v>
      </c>
      <c r="B71">
        <f t="shared" ref="B71:B134" si="12">C71+D71</f>
        <v>622</v>
      </c>
      <c r="C71">
        <v>189</v>
      </c>
      <c r="D71">
        <v>433</v>
      </c>
      <c r="E71">
        <v>1770</v>
      </c>
      <c r="F71">
        <f t="shared" si="7"/>
        <v>432</v>
      </c>
      <c r="G71" s="20">
        <f t="shared" si="6"/>
        <v>66</v>
      </c>
      <c r="H71" s="21">
        <v>99625010078</v>
      </c>
      <c r="I71" s="22">
        <v>81</v>
      </c>
      <c r="J71" s="23"/>
      <c r="K71" s="24">
        <f>M71+O71</f>
        <v>190</v>
      </c>
      <c r="L71" s="23">
        <f t="shared" si="8"/>
        <v>432</v>
      </c>
      <c r="M71" s="24">
        <v>61</v>
      </c>
      <c r="N71" s="25">
        <f t="shared" si="9"/>
        <v>128</v>
      </c>
      <c r="O71" s="24">
        <v>129</v>
      </c>
      <c r="P71" s="23">
        <f t="shared" si="10"/>
        <v>304</v>
      </c>
      <c r="Q71" s="26">
        <v>820</v>
      </c>
      <c r="R71" s="23">
        <f t="shared" si="11"/>
        <v>950</v>
      </c>
      <c r="S71" s="27" t="s">
        <v>18</v>
      </c>
      <c r="T71" s="19" t="s">
        <v>83</v>
      </c>
    </row>
    <row r="72" spans="1:20" ht="37.5" customHeight="1" x14ac:dyDescent="0.25">
      <c r="A72" s="19" t="s">
        <v>84</v>
      </c>
      <c r="B72">
        <f t="shared" si="12"/>
        <v>3829</v>
      </c>
      <c r="C72">
        <v>1145</v>
      </c>
      <c r="D72">
        <v>2684</v>
      </c>
      <c r="E72">
        <v>5952</v>
      </c>
      <c r="F72">
        <f t="shared" si="7"/>
        <v>304</v>
      </c>
      <c r="G72" s="20">
        <f t="shared" ref="G72:G135" si="13">G71+1</f>
        <v>67</v>
      </c>
      <c r="H72" s="21">
        <v>99624030020</v>
      </c>
      <c r="I72" s="22">
        <v>82</v>
      </c>
      <c r="J72" s="23"/>
      <c r="K72" s="24">
        <f>M72+O72</f>
        <v>3525</v>
      </c>
      <c r="L72" s="23">
        <f t="shared" si="8"/>
        <v>304</v>
      </c>
      <c r="M72" s="24">
        <v>1056</v>
      </c>
      <c r="N72" s="25">
        <f t="shared" si="9"/>
        <v>89</v>
      </c>
      <c r="O72" s="24">
        <v>2469</v>
      </c>
      <c r="P72" s="23">
        <f t="shared" si="10"/>
        <v>215</v>
      </c>
      <c r="Q72" s="26">
        <v>4993</v>
      </c>
      <c r="R72" s="23">
        <f t="shared" si="11"/>
        <v>959</v>
      </c>
      <c r="S72" s="27" t="s">
        <v>18</v>
      </c>
      <c r="T72" s="19" t="s">
        <v>84</v>
      </c>
    </row>
    <row r="73" spans="1:20" ht="37.5" customHeight="1" x14ac:dyDescent="0.25">
      <c r="A73" s="19" t="s">
        <v>85</v>
      </c>
      <c r="B73">
        <f t="shared" si="12"/>
        <v>17400</v>
      </c>
      <c r="C73">
        <v>2993</v>
      </c>
      <c r="D73">
        <v>14407</v>
      </c>
      <c r="F73">
        <f t="shared" si="7"/>
        <v>245</v>
      </c>
      <c r="G73" s="20">
        <f t="shared" si="13"/>
        <v>68</v>
      </c>
      <c r="H73" s="21">
        <v>88819030282</v>
      </c>
      <c r="I73" s="22">
        <v>84</v>
      </c>
      <c r="J73" s="23"/>
      <c r="K73" s="24">
        <v>17155</v>
      </c>
      <c r="L73" s="23">
        <f t="shared" si="8"/>
        <v>245</v>
      </c>
      <c r="M73" s="24">
        <v>2952</v>
      </c>
      <c r="N73" s="25">
        <f t="shared" si="9"/>
        <v>41</v>
      </c>
      <c r="O73" s="24">
        <v>14203</v>
      </c>
      <c r="P73" s="23">
        <f t="shared" si="10"/>
        <v>204</v>
      </c>
      <c r="Q73" s="26"/>
      <c r="R73" s="23">
        <f t="shared" si="11"/>
        <v>0</v>
      </c>
      <c r="S73" s="27" t="s">
        <v>18</v>
      </c>
      <c r="T73" s="19" t="s">
        <v>85</v>
      </c>
    </row>
    <row r="74" spans="1:20" ht="37.5" customHeight="1" x14ac:dyDescent="0.25">
      <c r="A74" s="19" t="s">
        <v>86</v>
      </c>
      <c r="B74">
        <f t="shared" si="12"/>
        <v>7215</v>
      </c>
      <c r="C74">
        <v>1061</v>
      </c>
      <c r="D74">
        <v>6154</v>
      </c>
      <c r="F74">
        <f t="shared" si="7"/>
        <v>292</v>
      </c>
      <c r="G74" s="20">
        <f t="shared" si="13"/>
        <v>69</v>
      </c>
      <c r="H74" s="21">
        <v>66623010681</v>
      </c>
      <c r="I74" s="22">
        <v>85</v>
      </c>
      <c r="J74" s="23"/>
      <c r="K74" s="24">
        <v>6923</v>
      </c>
      <c r="L74" s="23">
        <f t="shared" si="8"/>
        <v>292</v>
      </c>
      <c r="M74" s="24">
        <v>1021</v>
      </c>
      <c r="N74" s="25">
        <f t="shared" si="9"/>
        <v>40</v>
      </c>
      <c r="O74" s="24">
        <v>5902</v>
      </c>
      <c r="P74" s="23">
        <f t="shared" si="10"/>
        <v>252</v>
      </c>
      <c r="Q74" s="26"/>
      <c r="R74" s="23">
        <f t="shared" si="11"/>
        <v>0</v>
      </c>
      <c r="S74" s="27" t="s">
        <v>18</v>
      </c>
      <c r="T74" s="19" t="s">
        <v>86</v>
      </c>
    </row>
    <row r="75" spans="1:20" ht="37.5" customHeight="1" x14ac:dyDescent="0.25">
      <c r="A75" s="19" t="s">
        <v>87</v>
      </c>
      <c r="B75">
        <f t="shared" si="12"/>
        <v>108612</v>
      </c>
      <c r="C75">
        <v>19196</v>
      </c>
      <c r="D75">
        <v>89416</v>
      </c>
      <c r="F75">
        <f t="shared" si="7"/>
        <v>442</v>
      </c>
      <c r="G75" s="20">
        <f t="shared" si="13"/>
        <v>70</v>
      </c>
      <c r="H75" s="21">
        <v>23012110173</v>
      </c>
      <c r="I75" s="22">
        <v>87</v>
      </c>
      <c r="J75" s="23"/>
      <c r="K75" s="24">
        <v>108170</v>
      </c>
      <c r="L75" s="23">
        <f t="shared" si="8"/>
        <v>442</v>
      </c>
      <c r="M75" s="24">
        <v>19142</v>
      </c>
      <c r="N75" s="25">
        <f t="shared" si="9"/>
        <v>54</v>
      </c>
      <c r="O75" s="24">
        <v>89028</v>
      </c>
      <c r="P75" s="23">
        <f t="shared" si="10"/>
        <v>388</v>
      </c>
      <c r="Q75" s="26"/>
      <c r="R75" s="23">
        <f t="shared" si="11"/>
        <v>0</v>
      </c>
      <c r="S75" s="27" t="s">
        <v>18</v>
      </c>
      <c r="T75" s="19" t="s">
        <v>87</v>
      </c>
    </row>
    <row r="76" spans="1:20" ht="37.5" customHeight="1" x14ac:dyDescent="0.25">
      <c r="A76" s="19" t="s">
        <v>88</v>
      </c>
      <c r="B76">
        <f t="shared" si="12"/>
        <v>8489</v>
      </c>
      <c r="C76">
        <v>2040</v>
      </c>
      <c r="D76">
        <v>6449</v>
      </c>
      <c r="E76">
        <v>15920</v>
      </c>
      <c r="F76">
        <f t="shared" si="7"/>
        <v>267</v>
      </c>
      <c r="G76" s="20">
        <f t="shared" si="13"/>
        <v>71</v>
      </c>
      <c r="H76" s="21">
        <v>99423020001</v>
      </c>
      <c r="I76" s="22">
        <v>88</v>
      </c>
      <c r="J76" s="23"/>
      <c r="K76" s="24">
        <f>M76+O76</f>
        <v>8222</v>
      </c>
      <c r="L76" s="23">
        <f t="shared" si="8"/>
        <v>267</v>
      </c>
      <c r="M76" s="24">
        <v>1968</v>
      </c>
      <c r="N76" s="25">
        <f t="shared" si="9"/>
        <v>72</v>
      </c>
      <c r="O76" s="24">
        <v>6254</v>
      </c>
      <c r="P76" s="23">
        <f t="shared" si="10"/>
        <v>195</v>
      </c>
      <c r="Q76" s="26">
        <v>15092</v>
      </c>
      <c r="R76" s="23">
        <f t="shared" si="11"/>
        <v>828</v>
      </c>
      <c r="S76" s="27" t="s">
        <v>18</v>
      </c>
      <c r="T76" s="19" t="s">
        <v>88</v>
      </c>
    </row>
    <row r="77" spans="1:20" ht="37.5" customHeight="1" x14ac:dyDescent="0.25">
      <c r="A77" s="19" t="s">
        <v>89</v>
      </c>
      <c r="B77">
        <f t="shared" si="12"/>
        <v>2770</v>
      </c>
      <c r="C77">
        <v>710</v>
      </c>
      <c r="D77">
        <v>2060</v>
      </c>
      <c r="E77">
        <v>3678</v>
      </c>
      <c r="F77">
        <f t="shared" si="7"/>
        <v>280</v>
      </c>
      <c r="G77" s="20">
        <f t="shared" si="13"/>
        <v>72</v>
      </c>
      <c r="H77" s="21">
        <v>99624040166</v>
      </c>
      <c r="I77" s="22">
        <v>89</v>
      </c>
      <c r="J77" s="23"/>
      <c r="K77" s="24">
        <f>M77+O77</f>
        <v>2490</v>
      </c>
      <c r="L77" s="23">
        <f t="shared" si="8"/>
        <v>280</v>
      </c>
      <c r="M77" s="24">
        <v>653</v>
      </c>
      <c r="N77" s="25">
        <f t="shared" si="9"/>
        <v>57</v>
      </c>
      <c r="O77" s="24">
        <v>1837</v>
      </c>
      <c r="P77" s="23">
        <f t="shared" si="10"/>
        <v>223</v>
      </c>
      <c r="Q77" s="26">
        <v>3009</v>
      </c>
      <c r="R77" s="23">
        <f t="shared" si="11"/>
        <v>669</v>
      </c>
      <c r="S77" s="27" t="s">
        <v>18</v>
      </c>
      <c r="T77" s="19" t="s">
        <v>89</v>
      </c>
    </row>
    <row r="78" spans="1:20" ht="37.5" customHeight="1" x14ac:dyDescent="0.25">
      <c r="A78" s="19" t="s">
        <v>90</v>
      </c>
      <c r="B78">
        <f t="shared" si="12"/>
        <v>91513</v>
      </c>
      <c r="C78">
        <v>20317</v>
      </c>
      <c r="D78">
        <v>71196</v>
      </c>
      <c r="F78">
        <f t="shared" si="7"/>
        <v>809</v>
      </c>
      <c r="G78" s="20">
        <f t="shared" si="13"/>
        <v>73</v>
      </c>
      <c r="H78" s="21">
        <v>23011010090</v>
      </c>
      <c r="I78" s="22">
        <v>90</v>
      </c>
      <c r="J78" s="23"/>
      <c r="K78" s="24">
        <v>90704</v>
      </c>
      <c r="L78" s="23">
        <f t="shared" si="8"/>
        <v>809</v>
      </c>
      <c r="M78" s="24">
        <v>20170</v>
      </c>
      <c r="N78" s="25">
        <f t="shared" si="9"/>
        <v>147</v>
      </c>
      <c r="O78" s="24">
        <v>70534</v>
      </c>
      <c r="P78" s="23">
        <f t="shared" si="10"/>
        <v>662</v>
      </c>
      <c r="Q78" s="26"/>
      <c r="R78" s="23">
        <f t="shared" si="11"/>
        <v>0</v>
      </c>
      <c r="S78" s="27" t="s">
        <v>18</v>
      </c>
      <c r="T78" s="19" t="s">
        <v>90</v>
      </c>
    </row>
    <row r="79" spans="1:20" ht="37.5" customHeight="1" x14ac:dyDescent="0.25">
      <c r="A79" s="19" t="s">
        <v>91</v>
      </c>
      <c r="B79">
        <f t="shared" si="12"/>
        <v>28716</v>
      </c>
      <c r="C79">
        <v>5482</v>
      </c>
      <c r="D79">
        <v>23234</v>
      </c>
      <c r="F79">
        <f t="shared" si="7"/>
        <v>247</v>
      </c>
      <c r="G79" s="20">
        <f t="shared" si="13"/>
        <v>74</v>
      </c>
      <c r="H79" s="21">
        <v>88820020330</v>
      </c>
      <c r="I79" s="22">
        <v>91</v>
      </c>
      <c r="J79" s="23"/>
      <c r="K79" s="24">
        <v>28469</v>
      </c>
      <c r="L79" s="23">
        <f t="shared" si="8"/>
        <v>247</v>
      </c>
      <c r="M79" s="24">
        <v>5441</v>
      </c>
      <c r="N79" s="25">
        <f t="shared" si="9"/>
        <v>41</v>
      </c>
      <c r="O79" s="24">
        <v>23028</v>
      </c>
      <c r="P79" s="23">
        <f t="shared" si="10"/>
        <v>206</v>
      </c>
      <c r="Q79" s="26"/>
      <c r="R79" s="23">
        <f t="shared" si="11"/>
        <v>0</v>
      </c>
      <c r="S79" s="27" t="s">
        <v>18</v>
      </c>
      <c r="T79" s="19" t="s">
        <v>91</v>
      </c>
    </row>
    <row r="80" spans="1:20" ht="37.5" customHeight="1" x14ac:dyDescent="0.25">
      <c r="A80" s="19" t="s">
        <v>92</v>
      </c>
      <c r="B80">
        <f t="shared" si="12"/>
        <v>8640</v>
      </c>
      <c r="C80">
        <v>1353</v>
      </c>
      <c r="D80">
        <v>7287</v>
      </c>
      <c r="F80">
        <f t="shared" si="7"/>
        <v>79</v>
      </c>
      <c r="G80" s="20">
        <f t="shared" si="13"/>
        <v>75</v>
      </c>
      <c r="H80" s="21">
        <v>88820010142</v>
      </c>
      <c r="I80" s="22">
        <v>92</v>
      </c>
      <c r="J80" s="23"/>
      <c r="K80" s="24">
        <v>8561</v>
      </c>
      <c r="L80" s="23">
        <f t="shared" si="8"/>
        <v>79</v>
      </c>
      <c r="M80" s="24">
        <v>1338</v>
      </c>
      <c r="N80" s="25">
        <f t="shared" si="9"/>
        <v>15</v>
      </c>
      <c r="O80" s="24">
        <v>7223</v>
      </c>
      <c r="P80" s="23">
        <f t="shared" si="10"/>
        <v>64</v>
      </c>
      <c r="Q80" s="26"/>
      <c r="R80" s="23">
        <f t="shared" si="11"/>
        <v>0</v>
      </c>
      <c r="S80" s="27" t="s">
        <v>18</v>
      </c>
      <c r="T80" s="19" t="s">
        <v>92</v>
      </c>
    </row>
    <row r="81" spans="1:20" ht="37.5" customHeight="1" x14ac:dyDescent="0.25">
      <c r="A81" s="19" t="s">
        <v>93</v>
      </c>
      <c r="B81">
        <f t="shared" si="12"/>
        <v>48999</v>
      </c>
      <c r="C81">
        <v>8535</v>
      </c>
      <c r="D81">
        <v>40464</v>
      </c>
      <c r="F81">
        <f t="shared" si="7"/>
        <v>315</v>
      </c>
      <c r="G81" s="20">
        <f t="shared" si="13"/>
        <v>76</v>
      </c>
      <c r="H81" s="21">
        <v>66616031231</v>
      </c>
      <c r="I81" s="22">
        <v>93</v>
      </c>
      <c r="J81" s="23"/>
      <c r="K81" s="24">
        <v>48684</v>
      </c>
      <c r="L81" s="23">
        <f t="shared" si="8"/>
        <v>315</v>
      </c>
      <c r="M81" s="24">
        <v>8479</v>
      </c>
      <c r="N81" s="25">
        <f t="shared" si="9"/>
        <v>56</v>
      </c>
      <c r="O81" s="24">
        <v>40205</v>
      </c>
      <c r="P81" s="23">
        <f t="shared" si="10"/>
        <v>259</v>
      </c>
      <c r="Q81" s="26"/>
      <c r="R81" s="23">
        <f t="shared" si="11"/>
        <v>0</v>
      </c>
      <c r="S81" s="27" t="s">
        <v>18</v>
      </c>
      <c r="T81" s="19" t="s">
        <v>93</v>
      </c>
    </row>
    <row r="82" spans="1:20" ht="37.5" customHeight="1" x14ac:dyDescent="0.25">
      <c r="A82" s="19" t="s">
        <v>94</v>
      </c>
      <c r="B82">
        <f t="shared" si="12"/>
        <v>13586</v>
      </c>
      <c r="C82">
        <v>1959</v>
      </c>
      <c r="D82">
        <v>11627</v>
      </c>
      <c r="F82">
        <f t="shared" si="7"/>
        <v>559</v>
      </c>
      <c r="G82" s="20">
        <f t="shared" si="13"/>
        <v>77</v>
      </c>
      <c r="H82" s="21">
        <v>88820060232</v>
      </c>
      <c r="I82" s="22">
        <v>94</v>
      </c>
      <c r="J82" s="23"/>
      <c r="K82" s="24">
        <v>13027</v>
      </c>
      <c r="L82" s="23">
        <f t="shared" si="8"/>
        <v>559</v>
      </c>
      <c r="M82" s="24">
        <v>1861</v>
      </c>
      <c r="N82" s="25">
        <f t="shared" si="9"/>
        <v>98</v>
      </c>
      <c r="O82" s="24">
        <v>11166</v>
      </c>
      <c r="P82" s="23">
        <f t="shared" si="10"/>
        <v>461</v>
      </c>
      <c r="Q82" s="26"/>
      <c r="R82" s="23">
        <f t="shared" si="11"/>
        <v>0</v>
      </c>
      <c r="S82" s="27" t="s">
        <v>18</v>
      </c>
      <c r="T82" s="19" t="s">
        <v>94</v>
      </c>
    </row>
    <row r="83" spans="1:20" ht="37.5" customHeight="1" x14ac:dyDescent="0.25">
      <c r="A83" s="19" t="s">
        <v>95</v>
      </c>
      <c r="B83">
        <f t="shared" si="12"/>
        <v>85530</v>
      </c>
      <c r="C83">
        <v>15793</v>
      </c>
      <c r="D83">
        <v>69737</v>
      </c>
      <c r="F83">
        <f t="shared" si="7"/>
        <v>454</v>
      </c>
      <c r="G83" s="20">
        <f t="shared" si="13"/>
        <v>78</v>
      </c>
      <c r="H83" s="21">
        <v>23008030101</v>
      </c>
      <c r="I83" s="22">
        <v>95</v>
      </c>
      <c r="J83" s="23"/>
      <c r="K83" s="24">
        <v>85076</v>
      </c>
      <c r="L83" s="23">
        <f t="shared" si="8"/>
        <v>454</v>
      </c>
      <c r="M83" s="24">
        <v>15732</v>
      </c>
      <c r="N83" s="25">
        <f t="shared" si="9"/>
        <v>61</v>
      </c>
      <c r="O83" s="24">
        <v>69344</v>
      </c>
      <c r="P83" s="23">
        <f t="shared" si="10"/>
        <v>393</v>
      </c>
      <c r="Q83" s="26"/>
      <c r="R83" s="23">
        <f t="shared" si="11"/>
        <v>0</v>
      </c>
      <c r="S83" s="27" t="s">
        <v>18</v>
      </c>
      <c r="T83" s="19" t="s">
        <v>95</v>
      </c>
    </row>
    <row r="84" spans="1:20" ht="37.5" customHeight="1" x14ac:dyDescent="0.25">
      <c r="A84" s="19" t="s">
        <v>96</v>
      </c>
      <c r="B84">
        <f t="shared" si="12"/>
        <v>134306</v>
      </c>
      <c r="C84">
        <v>21340</v>
      </c>
      <c r="D84">
        <v>112966</v>
      </c>
      <c r="F84">
        <f t="shared" si="7"/>
        <v>1600</v>
      </c>
      <c r="G84" s="20">
        <f t="shared" si="13"/>
        <v>79</v>
      </c>
      <c r="H84" s="21">
        <v>66616031232</v>
      </c>
      <c r="I84" s="22">
        <v>96</v>
      </c>
      <c r="J84" s="23"/>
      <c r="K84" s="24">
        <v>132706</v>
      </c>
      <c r="L84" s="23">
        <f t="shared" si="8"/>
        <v>1600</v>
      </c>
      <c r="M84" s="24">
        <v>21068</v>
      </c>
      <c r="N84" s="25">
        <f t="shared" si="9"/>
        <v>272</v>
      </c>
      <c r="O84" s="24">
        <v>111638</v>
      </c>
      <c r="P84" s="23">
        <f t="shared" si="10"/>
        <v>1328</v>
      </c>
      <c r="Q84" s="26"/>
      <c r="R84" s="23">
        <f t="shared" si="11"/>
        <v>0</v>
      </c>
      <c r="S84" s="27" t="s">
        <v>18</v>
      </c>
      <c r="T84" s="19" t="s">
        <v>96</v>
      </c>
    </row>
    <row r="85" spans="1:20" ht="37.5" customHeight="1" x14ac:dyDescent="0.25">
      <c r="A85" s="19" t="s">
        <v>97</v>
      </c>
      <c r="B85">
        <f t="shared" si="12"/>
        <v>50432</v>
      </c>
      <c r="C85">
        <v>9142</v>
      </c>
      <c r="D85">
        <v>41290</v>
      </c>
      <c r="F85">
        <f t="shared" si="7"/>
        <v>410</v>
      </c>
      <c r="G85" s="20">
        <f t="shared" si="13"/>
        <v>80</v>
      </c>
      <c r="H85" s="21">
        <v>66616031233</v>
      </c>
      <c r="I85" s="22">
        <v>97</v>
      </c>
      <c r="J85" s="23"/>
      <c r="K85" s="24">
        <v>50022</v>
      </c>
      <c r="L85" s="23">
        <f t="shared" si="8"/>
        <v>410</v>
      </c>
      <c r="M85" s="24">
        <v>9132</v>
      </c>
      <c r="N85" s="25">
        <f t="shared" si="9"/>
        <v>10</v>
      </c>
      <c r="O85" s="24">
        <v>40890</v>
      </c>
      <c r="P85" s="23">
        <f t="shared" si="10"/>
        <v>400</v>
      </c>
      <c r="Q85" s="26"/>
      <c r="R85" s="23">
        <f t="shared" si="11"/>
        <v>0</v>
      </c>
      <c r="S85" s="27" t="s">
        <v>18</v>
      </c>
      <c r="T85" s="19" t="s">
        <v>97</v>
      </c>
    </row>
    <row r="86" spans="1:20" ht="37.5" customHeight="1" x14ac:dyDescent="0.25">
      <c r="A86" s="19" t="s">
        <v>98</v>
      </c>
      <c r="B86">
        <f t="shared" si="12"/>
        <v>29082</v>
      </c>
      <c r="C86">
        <v>4799</v>
      </c>
      <c r="D86">
        <v>24283</v>
      </c>
      <c r="F86">
        <f t="shared" si="7"/>
        <v>622</v>
      </c>
      <c r="G86" s="20">
        <f t="shared" si="13"/>
        <v>81</v>
      </c>
      <c r="H86" s="21">
        <v>66621010137</v>
      </c>
      <c r="I86" s="22">
        <v>99</v>
      </c>
      <c r="J86" s="23"/>
      <c r="K86" s="24">
        <v>28460</v>
      </c>
      <c r="L86" s="23">
        <f t="shared" si="8"/>
        <v>622</v>
      </c>
      <c r="M86" s="24">
        <v>4705</v>
      </c>
      <c r="N86" s="25">
        <f t="shared" si="9"/>
        <v>94</v>
      </c>
      <c r="O86" s="24">
        <v>23755</v>
      </c>
      <c r="P86" s="23">
        <f t="shared" si="10"/>
        <v>528</v>
      </c>
      <c r="Q86" s="26"/>
      <c r="R86" s="23">
        <f t="shared" si="11"/>
        <v>0</v>
      </c>
      <c r="S86" s="27" t="s">
        <v>18</v>
      </c>
      <c r="T86" s="19" t="s">
        <v>98</v>
      </c>
    </row>
    <row r="87" spans="1:20" ht="37.5" customHeight="1" x14ac:dyDescent="0.25">
      <c r="A87" s="19" t="s">
        <v>99</v>
      </c>
      <c r="B87">
        <f t="shared" si="12"/>
        <v>52867</v>
      </c>
      <c r="C87">
        <v>8635</v>
      </c>
      <c r="D87">
        <v>44232</v>
      </c>
      <c r="F87">
        <f t="shared" si="7"/>
        <v>395</v>
      </c>
      <c r="G87" s="20">
        <f t="shared" si="13"/>
        <v>82</v>
      </c>
      <c r="H87" s="21">
        <v>23012110145</v>
      </c>
      <c r="I87" s="22">
        <v>102</v>
      </c>
      <c r="J87" s="23"/>
      <c r="K87" s="24">
        <v>52472</v>
      </c>
      <c r="L87" s="23">
        <f t="shared" si="8"/>
        <v>395</v>
      </c>
      <c r="M87" s="24">
        <v>8579</v>
      </c>
      <c r="N87" s="25">
        <f t="shared" si="9"/>
        <v>56</v>
      </c>
      <c r="O87" s="24">
        <v>43893</v>
      </c>
      <c r="P87" s="23">
        <f t="shared" si="10"/>
        <v>339</v>
      </c>
      <c r="Q87" s="26"/>
      <c r="R87" s="23">
        <f t="shared" si="11"/>
        <v>0</v>
      </c>
      <c r="S87" s="27" t="s">
        <v>18</v>
      </c>
      <c r="T87" s="19" t="s">
        <v>99</v>
      </c>
    </row>
    <row r="88" spans="1:20" ht="37.5" customHeight="1" x14ac:dyDescent="0.25">
      <c r="A88" s="19" t="s">
        <v>100</v>
      </c>
      <c r="B88">
        <f t="shared" si="12"/>
        <v>26397</v>
      </c>
      <c r="C88">
        <v>5123</v>
      </c>
      <c r="D88">
        <v>21274</v>
      </c>
      <c r="F88">
        <f t="shared" si="7"/>
        <v>152</v>
      </c>
      <c r="G88" s="20">
        <f t="shared" si="13"/>
        <v>83</v>
      </c>
      <c r="H88" s="21">
        <v>23014040046</v>
      </c>
      <c r="I88" s="22">
        <v>103</v>
      </c>
      <c r="J88" s="23"/>
      <c r="K88" s="24">
        <v>26245</v>
      </c>
      <c r="L88" s="23">
        <f t="shared" si="8"/>
        <v>152</v>
      </c>
      <c r="M88" s="24">
        <v>5098</v>
      </c>
      <c r="N88" s="25">
        <f t="shared" si="9"/>
        <v>25</v>
      </c>
      <c r="O88" s="24">
        <v>21147</v>
      </c>
      <c r="P88" s="23">
        <f t="shared" si="10"/>
        <v>127</v>
      </c>
      <c r="Q88" s="26"/>
      <c r="R88" s="23">
        <f t="shared" si="11"/>
        <v>0</v>
      </c>
      <c r="S88" s="27" t="s">
        <v>18</v>
      </c>
      <c r="T88" s="19" t="s">
        <v>100</v>
      </c>
    </row>
    <row r="89" spans="1:20" ht="37.5" customHeight="1" x14ac:dyDescent="0.25">
      <c r="A89" s="19" t="s">
        <v>101</v>
      </c>
      <c r="B89">
        <f t="shared" si="12"/>
        <v>34641</v>
      </c>
      <c r="C89">
        <v>4861</v>
      </c>
      <c r="D89">
        <v>29780</v>
      </c>
      <c r="F89">
        <f t="shared" si="7"/>
        <v>258</v>
      </c>
      <c r="G89" s="20">
        <f t="shared" si="13"/>
        <v>84</v>
      </c>
      <c r="H89" s="21">
        <v>66616031018</v>
      </c>
      <c r="I89" s="22">
        <v>104</v>
      </c>
      <c r="J89" s="23"/>
      <c r="K89" s="24">
        <v>34383</v>
      </c>
      <c r="L89" s="23">
        <f t="shared" si="8"/>
        <v>258</v>
      </c>
      <c r="M89" s="24">
        <v>4817</v>
      </c>
      <c r="N89" s="25">
        <f t="shared" si="9"/>
        <v>44</v>
      </c>
      <c r="O89" s="24">
        <v>29566</v>
      </c>
      <c r="P89" s="23">
        <f t="shared" si="10"/>
        <v>214</v>
      </c>
      <c r="Q89" s="26"/>
      <c r="R89" s="23">
        <f t="shared" si="11"/>
        <v>0</v>
      </c>
      <c r="S89" s="27" t="s">
        <v>18</v>
      </c>
      <c r="T89" s="19" t="s">
        <v>101</v>
      </c>
    </row>
    <row r="90" spans="1:20" ht="37.5" customHeight="1" x14ac:dyDescent="0.25">
      <c r="A90" s="19" t="s">
        <v>102</v>
      </c>
      <c r="B90">
        <f t="shared" si="12"/>
        <v>66012</v>
      </c>
      <c r="C90">
        <v>10816</v>
      </c>
      <c r="D90">
        <v>55196</v>
      </c>
      <c r="F90">
        <f t="shared" si="7"/>
        <v>1074</v>
      </c>
      <c r="G90" s="20">
        <f t="shared" si="13"/>
        <v>85</v>
      </c>
      <c r="H90" s="21">
        <v>66617010180</v>
      </c>
      <c r="I90" s="22">
        <v>105</v>
      </c>
      <c r="J90" s="23"/>
      <c r="K90" s="24">
        <v>64938</v>
      </c>
      <c r="L90" s="23">
        <f t="shared" si="8"/>
        <v>1074</v>
      </c>
      <c r="M90" s="24">
        <v>10643</v>
      </c>
      <c r="N90" s="25">
        <f t="shared" si="9"/>
        <v>173</v>
      </c>
      <c r="O90" s="24">
        <v>54295</v>
      </c>
      <c r="P90" s="23">
        <f t="shared" si="10"/>
        <v>901</v>
      </c>
      <c r="Q90" s="26"/>
      <c r="R90" s="23">
        <f t="shared" si="11"/>
        <v>0</v>
      </c>
      <c r="S90" s="27" t="s">
        <v>18</v>
      </c>
      <c r="T90" s="19" t="s">
        <v>102</v>
      </c>
    </row>
    <row r="91" spans="1:20" ht="37.5" customHeight="1" x14ac:dyDescent="0.25">
      <c r="A91" s="19" t="s">
        <v>103</v>
      </c>
      <c r="B91">
        <f t="shared" si="12"/>
        <v>50349</v>
      </c>
      <c r="C91">
        <v>8195</v>
      </c>
      <c r="D91">
        <v>42154</v>
      </c>
      <c r="F91">
        <f t="shared" si="7"/>
        <v>270</v>
      </c>
      <c r="G91" s="20">
        <f t="shared" si="13"/>
        <v>86</v>
      </c>
      <c r="H91" s="21">
        <v>23014090391</v>
      </c>
      <c r="I91" s="22">
        <v>107</v>
      </c>
      <c r="J91" s="23"/>
      <c r="K91" s="24">
        <v>50079</v>
      </c>
      <c r="L91" s="23">
        <f t="shared" si="8"/>
        <v>270</v>
      </c>
      <c r="M91" s="24">
        <v>8149</v>
      </c>
      <c r="N91" s="25">
        <f t="shared" si="9"/>
        <v>46</v>
      </c>
      <c r="O91" s="24">
        <v>41930</v>
      </c>
      <c r="P91" s="23">
        <f t="shared" si="10"/>
        <v>224</v>
      </c>
      <c r="Q91" s="26"/>
      <c r="R91" s="23">
        <f t="shared" si="11"/>
        <v>0</v>
      </c>
      <c r="S91" s="27" t="s">
        <v>18</v>
      </c>
      <c r="T91" s="19" t="s">
        <v>103</v>
      </c>
    </row>
    <row r="92" spans="1:20" ht="37.5" customHeight="1" x14ac:dyDescent="0.25">
      <c r="A92" s="19" t="s">
        <v>104</v>
      </c>
      <c r="B92">
        <f t="shared" si="12"/>
        <v>84528</v>
      </c>
      <c r="C92">
        <v>13543</v>
      </c>
      <c r="D92">
        <v>70985</v>
      </c>
      <c r="F92">
        <f t="shared" si="7"/>
        <v>194</v>
      </c>
      <c r="G92" s="20">
        <f t="shared" si="13"/>
        <v>87</v>
      </c>
      <c r="H92" s="21">
        <v>66616031144</v>
      </c>
      <c r="I92" s="22">
        <v>108</v>
      </c>
      <c r="J92" s="23"/>
      <c r="K92" s="24">
        <v>84334</v>
      </c>
      <c r="L92" s="23">
        <f t="shared" si="8"/>
        <v>194</v>
      </c>
      <c r="M92" s="24">
        <v>13510</v>
      </c>
      <c r="N92" s="25">
        <f t="shared" si="9"/>
        <v>33</v>
      </c>
      <c r="O92" s="24">
        <v>70824</v>
      </c>
      <c r="P92" s="23">
        <f t="shared" si="10"/>
        <v>161</v>
      </c>
      <c r="Q92" s="26"/>
      <c r="R92" s="23">
        <f t="shared" si="11"/>
        <v>0</v>
      </c>
      <c r="S92" s="27" t="s">
        <v>18</v>
      </c>
      <c r="T92" s="19" t="s">
        <v>104</v>
      </c>
    </row>
    <row r="93" spans="1:20" ht="37.5" customHeight="1" x14ac:dyDescent="0.25">
      <c r="A93" s="19" t="s">
        <v>105</v>
      </c>
      <c r="B93">
        <f t="shared" si="12"/>
        <v>35370</v>
      </c>
      <c r="C93">
        <v>6198</v>
      </c>
      <c r="D93">
        <v>29172</v>
      </c>
      <c r="F93">
        <f t="shared" si="7"/>
        <v>188</v>
      </c>
      <c r="G93" s="20">
        <f t="shared" si="13"/>
        <v>88</v>
      </c>
      <c r="H93" s="21">
        <v>23014060430</v>
      </c>
      <c r="I93" s="22">
        <v>109</v>
      </c>
      <c r="J93" s="23"/>
      <c r="K93" s="24">
        <v>35182</v>
      </c>
      <c r="L93" s="23">
        <f t="shared" si="8"/>
        <v>188</v>
      </c>
      <c r="M93" s="24">
        <v>6163</v>
      </c>
      <c r="N93" s="25">
        <f t="shared" si="9"/>
        <v>35</v>
      </c>
      <c r="O93" s="24">
        <v>29019</v>
      </c>
      <c r="P93" s="23">
        <f t="shared" si="10"/>
        <v>153</v>
      </c>
      <c r="Q93" s="26"/>
      <c r="R93" s="23">
        <f t="shared" si="11"/>
        <v>0</v>
      </c>
      <c r="S93" s="27" t="s">
        <v>18</v>
      </c>
      <c r="T93" s="19" t="s">
        <v>105</v>
      </c>
    </row>
    <row r="94" spans="1:20" ht="37.5" customHeight="1" x14ac:dyDescent="0.25">
      <c r="A94" s="19" t="s">
        <v>106</v>
      </c>
      <c r="B94">
        <f t="shared" si="12"/>
        <v>48673</v>
      </c>
      <c r="C94">
        <v>7759</v>
      </c>
      <c r="D94">
        <v>40914</v>
      </c>
      <c r="F94">
        <f t="shared" si="7"/>
        <v>414</v>
      </c>
      <c r="G94" s="20">
        <f t="shared" si="13"/>
        <v>89</v>
      </c>
      <c r="H94" s="21">
        <v>23012110158</v>
      </c>
      <c r="I94" s="22">
        <v>110</v>
      </c>
      <c r="J94" s="23"/>
      <c r="K94" s="24">
        <v>48259</v>
      </c>
      <c r="L94" s="23">
        <f t="shared" si="8"/>
        <v>414</v>
      </c>
      <c r="M94" s="24">
        <v>7685</v>
      </c>
      <c r="N94" s="25">
        <f t="shared" si="9"/>
        <v>74</v>
      </c>
      <c r="O94" s="24">
        <v>40574</v>
      </c>
      <c r="P94" s="23">
        <f t="shared" si="10"/>
        <v>340</v>
      </c>
      <c r="Q94" s="26"/>
      <c r="R94" s="23">
        <f t="shared" si="11"/>
        <v>0</v>
      </c>
      <c r="S94" s="27" t="s">
        <v>18</v>
      </c>
      <c r="T94" s="19" t="s">
        <v>106</v>
      </c>
    </row>
    <row r="95" spans="1:20" ht="37.5" customHeight="1" x14ac:dyDescent="0.25">
      <c r="A95" s="19" t="s">
        <v>107</v>
      </c>
      <c r="B95">
        <f t="shared" si="12"/>
        <v>30649</v>
      </c>
      <c r="C95">
        <v>4912</v>
      </c>
      <c r="D95">
        <v>25737</v>
      </c>
      <c r="F95">
        <f t="shared" si="7"/>
        <v>397</v>
      </c>
      <c r="G95" s="20">
        <f t="shared" si="13"/>
        <v>90</v>
      </c>
      <c r="H95" s="21">
        <v>88818020486</v>
      </c>
      <c r="I95" s="22">
        <v>111</v>
      </c>
      <c r="J95" s="23"/>
      <c r="K95" s="24">
        <v>30252</v>
      </c>
      <c r="L95" s="23">
        <f t="shared" si="8"/>
        <v>397</v>
      </c>
      <c r="M95" s="24">
        <v>4854</v>
      </c>
      <c r="N95" s="25">
        <f t="shared" si="9"/>
        <v>58</v>
      </c>
      <c r="O95" s="24">
        <v>25398</v>
      </c>
      <c r="P95" s="23">
        <f t="shared" si="10"/>
        <v>339</v>
      </c>
      <c r="Q95" s="26"/>
      <c r="R95" s="23">
        <f t="shared" si="11"/>
        <v>0</v>
      </c>
      <c r="S95" s="27" t="s">
        <v>18</v>
      </c>
      <c r="T95" s="19" t="s">
        <v>107</v>
      </c>
    </row>
    <row r="96" spans="1:20" ht="37.5" customHeight="1" x14ac:dyDescent="0.25">
      <c r="A96" s="19" t="s">
        <v>108</v>
      </c>
      <c r="B96">
        <f t="shared" si="12"/>
        <v>11308</v>
      </c>
      <c r="C96">
        <v>2692</v>
      </c>
      <c r="D96">
        <v>8616</v>
      </c>
      <c r="E96">
        <v>10262</v>
      </c>
      <c r="F96">
        <f t="shared" si="7"/>
        <v>470</v>
      </c>
      <c r="G96" s="20">
        <f t="shared" si="13"/>
        <v>91</v>
      </c>
      <c r="H96" s="21">
        <v>99723050178</v>
      </c>
      <c r="I96" s="22">
        <v>113</v>
      </c>
      <c r="J96" s="23"/>
      <c r="K96" s="24">
        <f>M96+O96</f>
        <v>10838</v>
      </c>
      <c r="L96" s="23">
        <f t="shared" si="8"/>
        <v>470</v>
      </c>
      <c r="M96" s="24">
        <v>2595</v>
      </c>
      <c r="N96" s="25">
        <f t="shared" si="9"/>
        <v>97</v>
      </c>
      <c r="O96" s="24">
        <v>8243</v>
      </c>
      <c r="P96" s="23">
        <f t="shared" si="10"/>
        <v>373</v>
      </c>
      <c r="Q96" s="26">
        <v>9741</v>
      </c>
      <c r="R96" s="23">
        <f t="shared" si="11"/>
        <v>521</v>
      </c>
      <c r="S96" s="27" t="s">
        <v>18</v>
      </c>
      <c r="T96" s="19" t="s">
        <v>108</v>
      </c>
    </row>
    <row r="97" spans="1:20" ht="37.5" customHeight="1" x14ac:dyDescent="0.25">
      <c r="A97" s="19" t="s">
        <v>109</v>
      </c>
      <c r="B97">
        <f t="shared" si="12"/>
        <v>29276</v>
      </c>
      <c r="C97">
        <v>5240</v>
      </c>
      <c r="D97">
        <v>24036</v>
      </c>
      <c r="F97">
        <f t="shared" si="7"/>
        <v>421</v>
      </c>
      <c r="G97" s="20">
        <f t="shared" si="13"/>
        <v>92</v>
      </c>
      <c r="H97" s="21">
        <v>23014010194</v>
      </c>
      <c r="I97" s="22">
        <v>115</v>
      </c>
      <c r="J97" s="23"/>
      <c r="K97" s="24">
        <v>28855</v>
      </c>
      <c r="L97" s="23">
        <f t="shared" si="8"/>
        <v>421</v>
      </c>
      <c r="M97" s="24">
        <v>5171</v>
      </c>
      <c r="N97" s="25">
        <f t="shared" si="9"/>
        <v>69</v>
      </c>
      <c r="O97" s="24">
        <v>23684</v>
      </c>
      <c r="P97" s="23">
        <f t="shared" si="10"/>
        <v>352</v>
      </c>
      <c r="Q97" s="26"/>
      <c r="R97" s="23">
        <f t="shared" si="11"/>
        <v>0</v>
      </c>
      <c r="S97" s="27" t="s">
        <v>18</v>
      </c>
      <c r="T97" s="19" t="s">
        <v>109</v>
      </c>
    </row>
    <row r="98" spans="1:20" ht="37.5" customHeight="1" x14ac:dyDescent="0.25">
      <c r="A98" s="19" t="s">
        <v>110</v>
      </c>
      <c r="B98">
        <f t="shared" si="12"/>
        <v>4846</v>
      </c>
      <c r="C98">
        <v>857</v>
      </c>
      <c r="D98">
        <v>3989</v>
      </c>
      <c r="F98">
        <f t="shared" si="7"/>
        <v>64</v>
      </c>
      <c r="G98" s="20">
        <f t="shared" si="13"/>
        <v>93</v>
      </c>
      <c r="H98" s="21">
        <v>66621050304</v>
      </c>
      <c r="I98" s="22">
        <v>117</v>
      </c>
      <c r="J98" s="23"/>
      <c r="K98" s="24">
        <v>4782</v>
      </c>
      <c r="L98" s="23">
        <f t="shared" si="8"/>
        <v>64</v>
      </c>
      <c r="M98" s="24">
        <v>844</v>
      </c>
      <c r="N98" s="25">
        <f t="shared" si="9"/>
        <v>13</v>
      </c>
      <c r="O98" s="24">
        <v>3938</v>
      </c>
      <c r="P98" s="23">
        <f t="shared" si="10"/>
        <v>51</v>
      </c>
      <c r="Q98" s="26"/>
      <c r="R98" s="23">
        <f t="shared" si="11"/>
        <v>0</v>
      </c>
      <c r="S98" s="27" t="s">
        <v>18</v>
      </c>
      <c r="T98" s="19" t="s">
        <v>110</v>
      </c>
    </row>
    <row r="99" spans="1:20" ht="37.5" customHeight="1" x14ac:dyDescent="0.25">
      <c r="A99" s="19" t="s">
        <v>111</v>
      </c>
      <c r="B99">
        <f t="shared" si="12"/>
        <v>335</v>
      </c>
      <c r="C99">
        <v>30</v>
      </c>
      <c r="D99">
        <v>305</v>
      </c>
      <c r="F99">
        <f t="shared" si="7"/>
        <v>0</v>
      </c>
      <c r="G99" s="20">
        <f t="shared" si="13"/>
        <v>94</v>
      </c>
      <c r="H99" s="21">
        <v>66618010447</v>
      </c>
      <c r="I99" s="22">
        <v>118</v>
      </c>
      <c r="J99" s="23"/>
      <c r="K99" s="24">
        <v>335</v>
      </c>
      <c r="L99" s="23">
        <f t="shared" si="8"/>
        <v>0</v>
      </c>
      <c r="M99" s="24">
        <v>30</v>
      </c>
      <c r="N99" s="25">
        <f t="shared" si="9"/>
        <v>0</v>
      </c>
      <c r="O99" s="24">
        <v>305</v>
      </c>
      <c r="P99" s="23">
        <f t="shared" si="10"/>
        <v>0</v>
      </c>
      <c r="Q99" s="26"/>
      <c r="R99" s="23">
        <f t="shared" si="11"/>
        <v>0</v>
      </c>
      <c r="S99" s="27" t="s">
        <v>18</v>
      </c>
      <c r="T99" s="19" t="s">
        <v>111</v>
      </c>
    </row>
    <row r="100" spans="1:20" ht="37.5" customHeight="1" x14ac:dyDescent="0.25">
      <c r="A100" s="19" t="s">
        <v>112</v>
      </c>
      <c r="B100">
        <f t="shared" si="12"/>
        <v>1755</v>
      </c>
      <c r="C100">
        <v>544</v>
      </c>
      <c r="D100">
        <v>1211</v>
      </c>
      <c r="E100">
        <v>2427</v>
      </c>
      <c r="F100">
        <f t="shared" si="7"/>
        <v>270</v>
      </c>
      <c r="G100" s="20">
        <f t="shared" si="13"/>
        <v>95</v>
      </c>
      <c r="H100" s="21">
        <v>99624040293</v>
      </c>
      <c r="I100" s="22">
        <v>119</v>
      </c>
      <c r="J100" s="23"/>
      <c r="K100" s="24">
        <f>M100+O100</f>
        <v>1485</v>
      </c>
      <c r="L100" s="23">
        <f t="shared" si="8"/>
        <v>270</v>
      </c>
      <c r="M100" s="24">
        <v>468</v>
      </c>
      <c r="N100" s="25">
        <f t="shared" si="9"/>
        <v>76</v>
      </c>
      <c r="O100" s="24">
        <v>1017</v>
      </c>
      <c r="P100" s="23">
        <f t="shared" si="10"/>
        <v>194</v>
      </c>
      <c r="Q100" s="26">
        <v>1898</v>
      </c>
      <c r="R100" s="23">
        <f t="shared" si="11"/>
        <v>529</v>
      </c>
      <c r="S100" s="27" t="s">
        <v>18</v>
      </c>
      <c r="T100" s="19" t="s">
        <v>112</v>
      </c>
    </row>
    <row r="101" spans="1:20" ht="37.5" customHeight="1" x14ac:dyDescent="0.25">
      <c r="A101" s="19" t="s">
        <v>113</v>
      </c>
      <c r="B101">
        <f t="shared" si="12"/>
        <v>13640</v>
      </c>
      <c r="C101">
        <v>2251</v>
      </c>
      <c r="D101">
        <v>11389</v>
      </c>
      <c r="F101">
        <f t="shared" si="7"/>
        <v>233</v>
      </c>
      <c r="G101" s="20">
        <f t="shared" si="13"/>
        <v>96</v>
      </c>
      <c r="H101" s="21">
        <v>66622020266</v>
      </c>
      <c r="I101" s="22">
        <v>120</v>
      </c>
      <c r="J101" s="23"/>
      <c r="K101" s="24">
        <v>13407</v>
      </c>
      <c r="L101" s="23">
        <f t="shared" si="8"/>
        <v>233</v>
      </c>
      <c r="M101" s="24">
        <v>2192</v>
      </c>
      <c r="N101" s="25">
        <f t="shared" si="9"/>
        <v>59</v>
      </c>
      <c r="O101" s="24">
        <v>11215</v>
      </c>
      <c r="P101" s="23">
        <f t="shared" si="10"/>
        <v>174</v>
      </c>
      <c r="Q101" s="26"/>
      <c r="R101" s="23">
        <f t="shared" si="11"/>
        <v>0</v>
      </c>
      <c r="S101" s="27" t="s">
        <v>18</v>
      </c>
      <c r="T101" s="19" t="s">
        <v>113</v>
      </c>
    </row>
    <row r="102" spans="1:20" ht="37.5" customHeight="1" x14ac:dyDescent="0.25">
      <c r="A102" s="19" t="s">
        <v>114</v>
      </c>
      <c r="B102">
        <f t="shared" si="12"/>
        <v>44899</v>
      </c>
      <c r="C102">
        <v>7721</v>
      </c>
      <c r="D102">
        <v>37178</v>
      </c>
      <c r="F102">
        <f t="shared" si="7"/>
        <v>355</v>
      </c>
      <c r="G102" s="20">
        <f t="shared" si="13"/>
        <v>97</v>
      </c>
      <c r="H102" s="21">
        <v>23014010298</v>
      </c>
      <c r="I102" s="22">
        <v>121</v>
      </c>
      <c r="J102" s="23"/>
      <c r="K102" s="24">
        <v>44544</v>
      </c>
      <c r="L102" s="23">
        <f t="shared" si="8"/>
        <v>355</v>
      </c>
      <c r="M102" s="24">
        <v>7673</v>
      </c>
      <c r="N102" s="25">
        <f t="shared" si="9"/>
        <v>48</v>
      </c>
      <c r="O102" s="24">
        <v>36871</v>
      </c>
      <c r="P102" s="23">
        <f t="shared" si="10"/>
        <v>307</v>
      </c>
      <c r="Q102" s="26"/>
      <c r="R102" s="23">
        <f t="shared" si="11"/>
        <v>0</v>
      </c>
      <c r="S102" s="27" t="s">
        <v>18</v>
      </c>
      <c r="T102" s="19" t="s">
        <v>114</v>
      </c>
    </row>
    <row r="103" spans="1:20" ht="37.5" customHeight="1" x14ac:dyDescent="0.25">
      <c r="A103" s="19" t="s">
        <v>115</v>
      </c>
      <c r="B103">
        <f t="shared" si="12"/>
        <v>24654</v>
      </c>
      <c r="C103">
        <v>5015</v>
      </c>
      <c r="D103">
        <v>19639</v>
      </c>
      <c r="F103">
        <f t="shared" si="7"/>
        <v>81</v>
      </c>
      <c r="G103" s="20">
        <f t="shared" si="13"/>
        <v>98</v>
      </c>
      <c r="H103" s="21">
        <v>88820060114</v>
      </c>
      <c r="I103" s="22">
        <v>122</v>
      </c>
      <c r="J103" s="23"/>
      <c r="K103" s="24">
        <v>24573</v>
      </c>
      <c r="L103" s="23">
        <f t="shared" si="8"/>
        <v>81</v>
      </c>
      <c r="M103" s="24">
        <v>5001</v>
      </c>
      <c r="N103" s="25">
        <f t="shared" si="9"/>
        <v>14</v>
      </c>
      <c r="O103" s="24">
        <v>19572</v>
      </c>
      <c r="P103" s="23">
        <f t="shared" si="10"/>
        <v>67</v>
      </c>
      <c r="Q103" s="26"/>
      <c r="R103" s="23">
        <f t="shared" si="11"/>
        <v>0</v>
      </c>
      <c r="S103" s="27" t="s">
        <v>18</v>
      </c>
      <c r="T103" s="19" t="s">
        <v>115</v>
      </c>
    </row>
    <row r="104" spans="1:20" ht="37.5" customHeight="1" x14ac:dyDescent="0.25">
      <c r="A104" s="19" t="s">
        <v>116</v>
      </c>
      <c r="B104">
        <f t="shared" si="12"/>
        <v>13614</v>
      </c>
      <c r="C104">
        <v>2393</v>
      </c>
      <c r="D104">
        <v>11221</v>
      </c>
      <c r="F104">
        <f t="shared" si="7"/>
        <v>215</v>
      </c>
      <c r="G104" s="20">
        <f t="shared" si="13"/>
        <v>99</v>
      </c>
      <c r="H104" s="21">
        <v>88819030409</v>
      </c>
      <c r="I104" s="22">
        <v>133</v>
      </c>
      <c r="J104" s="23"/>
      <c r="K104" s="24">
        <v>13399</v>
      </c>
      <c r="L104" s="23">
        <f t="shared" si="8"/>
        <v>215</v>
      </c>
      <c r="M104" s="24">
        <v>2353</v>
      </c>
      <c r="N104" s="25">
        <f t="shared" si="9"/>
        <v>40</v>
      </c>
      <c r="O104" s="24">
        <v>11046</v>
      </c>
      <c r="P104" s="23">
        <f t="shared" si="10"/>
        <v>175</v>
      </c>
      <c r="Q104" s="26"/>
      <c r="R104" s="23">
        <f t="shared" si="11"/>
        <v>0</v>
      </c>
      <c r="S104" s="27" t="s">
        <v>18</v>
      </c>
      <c r="T104" s="19" t="s">
        <v>116</v>
      </c>
    </row>
    <row r="105" spans="1:20" ht="37.5" customHeight="1" x14ac:dyDescent="0.25">
      <c r="A105" s="19" t="s">
        <v>117</v>
      </c>
      <c r="B105">
        <f t="shared" si="12"/>
        <v>22059</v>
      </c>
      <c r="C105">
        <v>4085</v>
      </c>
      <c r="D105">
        <v>17974</v>
      </c>
      <c r="F105">
        <f t="shared" si="7"/>
        <v>160</v>
      </c>
      <c r="G105" s="20">
        <f t="shared" si="13"/>
        <v>100</v>
      </c>
      <c r="H105" s="21">
        <v>23009080083</v>
      </c>
      <c r="I105" s="22">
        <v>134</v>
      </c>
      <c r="J105" s="23"/>
      <c r="K105" s="24">
        <v>21899</v>
      </c>
      <c r="L105" s="23">
        <f t="shared" si="8"/>
        <v>160</v>
      </c>
      <c r="M105" s="24">
        <v>4052</v>
      </c>
      <c r="N105" s="25">
        <f t="shared" si="9"/>
        <v>33</v>
      </c>
      <c r="O105" s="24">
        <v>17847</v>
      </c>
      <c r="P105" s="23">
        <f t="shared" si="10"/>
        <v>127</v>
      </c>
      <c r="Q105" s="26"/>
      <c r="R105" s="23">
        <f t="shared" si="11"/>
        <v>0</v>
      </c>
      <c r="S105" s="27" t="s">
        <v>18</v>
      </c>
      <c r="T105" s="19" t="s">
        <v>117</v>
      </c>
    </row>
    <row r="106" spans="1:20" ht="37.5" customHeight="1" x14ac:dyDescent="0.25">
      <c r="A106" s="19" t="s">
        <v>118</v>
      </c>
      <c r="B106">
        <f t="shared" si="12"/>
        <v>38407</v>
      </c>
      <c r="C106">
        <v>6836</v>
      </c>
      <c r="D106">
        <v>31571</v>
      </c>
      <c r="F106">
        <f t="shared" si="7"/>
        <v>505</v>
      </c>
      <c r="G106" s="20">
        <f t="shared" si="13"/>
        <v>101</v>
      </c>
      <c r="H106" s="21">
        <v>23014040308</v>
      </c>
      <c r="I106" s="22">
        <v>135</v>
      </c>
      <c r="J106" s="23"/>
      <c r="K106" s="24">
        <v>37902</v>
      </c>
      <c r="L106" s="23">
        <f t="shared" si="8"/>
        <v>505</v>
      </c>
      <c r="M106" s="24">
        <v>6758</v>
      </c>
      <c r="N106" s="25">
        <f t="shared" si="9"/>
        <v>78</v>
      </c>
      <c r="O106" s="24">
        <v>31144</v>
      </c>
      <c r="P106" s="23">
        <f t="shared" si="10"/>
        <v>427</v>
      </c>
      <c r="Q106" s="26"/>
      <c r="R106" s="23">
        <f t="shared" si="11"/>
        <v>0</v>
      </c>
      <c r="S106" s="27" t="s">
        <v>18</v>
      </c>
      <c r="T106" s="19" t="s">
        <v>118</v>
      </c>
    </row>
    <row r="107" spans="1:20" ht="37.5" customHeight="1" x14ac:dyDescent="0.25">
      <c r="A107" s="19" t="s">
        <v>119</v>
      </c>
      <c r="B107">
        <f t="shared" si="12"/>
        <v>34693</v>
      </c>
      <c r="C107">
        <v>4812</v>
      </c>
      <c r="D107">
        <v>29881</v>
      </c>
      <c r="F107">
        <f t="shared" si="7"/>
        <v>530</v>
      </c>
      <c r="G107" s="20">
        <f t="shared" si="13"/>
        <v>102</v>
      </c>
      <c r="H107" s="21">
        <v>88819030408</v>
      </c>
      <c r="I107" s="22">
        <v>136</v>
      </c>
      <c r="J107" s="23"/>
      <c r="K107" s="24">
        <v>34163</v>
      </c>
      <c r="L107" s="23">
        <f t="shared" si="8"/>
        <v>530</v>
      </c>
      <c r="M107" s="24">
        <v>4731</v>
      </c>
      <c r="N107" s="25">
        <f t="shared" si="9"/>
        <v>81</v>
      </c>
      <c r="O107" s="24">
        <v>29432</v>
      </c>
      <c r="P107" s="23">
        <f t="shared" si="10"/>
        <v>449</v>
      </c>
      <c r="Q107" s="26"/>
      <c r="R107" s="23">
        <f t="shared" si="11"/>
        <v>0</v>
      </c>
      <c r="S107" s="27" t="s">
        <v>18</v>
      </c>
      <c r="T107" s="19" t="s">
        <v>119</v>
      </c>
    </row>
    <row r="108" spans="1:20" ht="37.5" customHeight="1" x14ac:dyDescent="0.25">
      <c r="A108" s="19" t="s">
        <v>120</v>
      </c>
      <c r="B108">
        <f t="shared" si="12"/>
        <v>39103</v>
      </c>
      <c r="C108">
        <v>7407</v>
      </c>
      <c r="D108">
        <v>31696</v>
      </c>
      <c r="F108">
        <f t="shared" si="7"/>
        <v>409</v>
      </c>
      <c r="G108" s="20">
        <f t="shared" si="13"/>
        <v>103</v>
      </c>
      <c r="H108" s="21">
        <v>88818020092</v>
      </c>
      <c r="I108" s="22">
        <v>137</v>
      </c>
      <c r="J108" s="23"/>
      <c r="K108" s="24">
        <v>38694</v>
      </c>
      <c r="L108" s="23">
        <f t="shared" si="8"/>
        <v>409</v>
      </c>
      <c r="M108" s="24">
        <v>7340</v>
      </c>
      <c r="N108" s="25">
        <f t="shared" si="9"/>
        <v>67</v>
      </c>
      <c r="O108" s="24">
        <v>31354</v>
      </c>
      <c r="P108" s="23">
        <f t="shared" si="10"/>
        <v>342</v>
      </c>
      <c r="Q108" s="26"/>
      <c r="R108" s="23">
        <f t="shared" si="11"/>
        <v>0</v>
      </c>
      <c r="S108" s="27" t="s">
        <v>18</v>
      </c>
      <c r="T108" s="19" t="s">
        <v>120</v>
      </c>
    </row>
    <row r="109" spans="1:20" ht="37.5" customHeight="1" x14ac:dyDescent="0.25">
      <c r="A109" s="19" t="s">
        <v>121</v>
      </c>
      <c r="B109">
        <f t="shared" si="12"/>
        <v>9246</v>
      </c>
      <c r="C109">
        <v>1399</v>
      </c>
      <c r="D109">
        <v>7847</v>
      </c>
      <c r="F109">
        <f t="shared" si="7"/>
        <v>0</v>
      </c>
      <c r="G109" s="20">
        <f t="shared" si="13"/>
        <v>104</v>
      </c>
      <c r="H109" s="21">
        <v>88820003255</v>
      </c>
      <c r="I109" s="22">
        <v>138</v>
      </c>
      <c r="J109" s="23"/>
      <c r="K109" s="24">
        <v>9246</v>
      </c>
      <c r="L109" s="23">
        <f t="shared" si="8"/>
        <v>0</v>
      </c>
      <c r="M109" s="24">
        <v>1399</v>
      </c>
      <c r="N109" s="25">
        <f t="shared" si="9"/>
        <v>0</v>
      </c>
      <c r="O109" s="24">
        <v>7847</v>
      </c>
      <c r="P109" s="23">
        <f t="shared" si="10"/>
        <v>0</v>
      </c>
      <c r="Q109" s="26"/>
      <c r="R109" s="23">
        <f t="shared" si="11"/>
        <v>0</v>
      </c>
      <c r="S109" s="27" t="s">
        <v>18</v>
      </c>
      <c r="T109" s="19" t="s">
        <v>121</v>
      </c>
    </row>
    <row r="110" spans="1:20" ht="37.5" customHeight="1" x14ac:dyDescent="0.25">
      <c r="A110" s="19" t="s">
        <v>122</v>
      </c>
      <c r="B110">
        <f t="shared" si="12"/>
        <v>2608</v>
      </c>
      <c r="C110">
        <v>709</v>
      </c>
      <c r="D110">
        <v>1899</v>
      </c>
      <c r="E110">
        <v>7277</v>
      </c>
      <c r="F110">
        <f t="shared" si="7"/>
        <v>245</v>
      </c>
      <c r="G110" s="20">
        <f t="shared" si="13"/>
        <v>105</v>
      </c>
      <c r="H110" s="21">
        <v>99624010199</v>
      </c>
      <c r="I110" s="22">
        <v>139</v>
      </c>
      <c r="J110" s="23"/>
      <c r="K110" s="24">
        <f>M110+O110</f>
        <v>2363</v>
      </c>
      <c r="L110" s="23">
        <f t="shared" si="8"/>
        <v>245</v>
      </c>
      <c r="M110" s="24">
        <v>634</v>
      </c>
      <c r="N110" s="25">
        <f t="shared" si="9"/>
        <v>75</v>
      </c>
      <c r="O110" s="24">
        <v>1729</v>
      </c>
      <c r="P110" s="23">
        <f t="shared" si="10"/>
        <v>170</v>
      </c>
      <c r="Q110" s="26">
        <v>6580</v>
      </c>
      <c r="R110" s="23">
        <f t="shared" si="11"/>
        <v>697</v>
      </c>
      <c r="S110" s="27" t="s">
        <v>18</v>
      </c>
      <c r="T110" s="19" t="s">
        <v>122</v>
      </c>
    </row>
    <row r="111" spans="1:20" ht="37.5" customHeight="1" x14ac:dyDescent="0.25">
      <c r="A111" s="19" t="s">
        <v>123</v>
      </c>
      <c r="B111">
        <f t="shared" si="12"/>
        <v>5226</v>
      </c>
      <c r="C111">
        <v>1004</v>
      </c>
      <c r="D111">
        <v>4222</v>
      </c>
      <c r="F111">
        <f t="shared" si="7"/>
        <v>38</v>
      </c>
      <c r="G111" s="20">
        <f t="shared" si="13"/>
        <v>106</v>
      </c>
      <c r="H111" s="21">
        <v>88819010281</v>
      </c>
      <c r="I111" s="22">
        <v>140</v>
      </c>
      <c r="J111" s="23"/>
      <c r="K111" s="24">
        <v>5188</v>
      </c>
      <c r="L111" s="23">
        <f t="shared" si="8"/>
        <v>38</v>
      </c>
      <c r="M111" s="24">
        <v>997</v>
      </c>
      <c r="N111" s="25">
        <f t="shared" si="9"/>
        <v>7</v>
      </c>
      <c r="O111" s="24">
        <v>4191</v>
      </c>
      <c r="P111" s="23">
        <f t="shared" si="10"/>
        <v>31</v>
      </c>
      <c r="Q111" s="26"/>
      <c r="R111" s="23">
        <f t="shared" si="11"/>
        <v>0</v>
      </c>
      <c r="S111" s="27" t="s">
        <v>18</v>
      </c>
      <c r="T111" s="19" t="s">
        <v>123</v>
      </c>
    </row>
    <row r="112" spans="1:20" ht="37.5" customHeight="1" x14ac:dyDescent="0.25">
      <c r="A112" s="19" t="s">
        <v>124</v>
      </c>
      <c r="B112">
        <f t="shared" si="12"/>
        <v>4209</v>
      </c>
      <c r="C112">
        <v>1004</v>
      </c>
      <c r="D112">
        <v>3205</v>
      </c>
      <c r="E112">
        <v>4483</v>
      </c>
      <c r="F112">
        <f t="shared" si="7"/>
        <v>291</v>
      </c>
      <c r="G112" s="20">
        <f t="shared" si="13"/>
        <v>107</v>
      </c>
      <c r="H112" s="21">
        <v>99623040075</v>
      </c>
      <c r="I112" s="22">
        <v>141</v>
      </c>
      <c r="J112" s="23"/>
      <c r="K112" s="24">
        <f>M112+O112</f>
        <v>3918</v>
      </c>
      <c r="L112" s="23">
        <f t="shared" si="8"/>
        <v>291</v>
      </c>
      <c r="M112" s="24">
        <v>921</v>
      </c>
      <c r="N112" s="25">
        <f t="shared" si="9"/>
        <v>83</v>
      </c>
      <c r="O112" s="24">
        <v>2997</v>
      </c>
      <c r="P112" s="23">
        <f t="shared" si="10"/>
        <v>208</v>
      </c>
      <c r="Q112" s="26">
        <v>3842</v>
      </c>
      <c r="R112" s="23">
        <f t="shared" si="11"/>
        <v>641</v>
      </c>
      <c r="S112" s="27" t="s">
        <v>18</v>
      </c>
      <c r="T112" s="19" t="s">
        <v>124</v>
      </c>
    </row>
    <row r="113" spans="1:20" ht="37.5" customHeight="1" x14ac:dyDescent="0.25">
      <c r="A113" s="19" t="s">
        <v>125</v>
      </c>
      <c r="B113">
        <f t="shared" si="12"/>
        <v>59814</v>
      </c>
      <c r="C113">
        <v>10468</v>
      </c>
      <c r="D113">
        <v>49346</v>
      </c>
      <c r="F113">
        <f t="shared" si="7"/>
        <v>314</v>
      </c>
      <c r="G113" s="20">
        <f t="shared" si="13"/>
        <v>108</v>
      </c>
      <c r="H113" s="21">
        <v>23015010907</v>
      </c>
      <c r="I113" s="22">
        <v>142</v>
      </c>
      <c r="J113" s="23"/>
      <c r="K113" s="24">
        <v>59500</v>
      </c>
      <c r="L113" s="23">
        <f t="shared" si="8"/>
        <v>314</v>
      </c>
      <c r="M113" s="24">
        <v>10418</v>
      </c>
      <c r="N113" s="25">
        <f t="shared" si="9"/>
        <v>50</v>
      </c>
      <c r="O113" s="24">
        <v>49082</v>
      </c>
      <c r="P113" s="23">
        <f t="shared" si="10"/>
        <v>264</v>
      </c>
      <c r="Q113" s="26"/>
      <c r="R113" s="23">
        <f t="shared" si="11"/>
        <v>0</v>
      </c>
      <c r="S113" s="27" t="s">
        <v>18</v>
      </c>
      <c r="T113" s="19" t="s">
        <v>125</v>
      </c>
    </row>
    <row r="114" spans="1:20" ht="37.5" customHeight="1" x14ac:dyDescent="0.25">
      <c r="A114" s="19" t="s">
        <v>126</v>
      </c>
      <c r="B114">
        <f t="shared" si="12"/>
        <v>27276</v>
      </c>
      <c r="C114">
        <v>6024</v>
      </c>
      <c r="D114">
        <v>21252</v>
      </c>
      <c r="F114">
        <f t="shared" si="7"/>
        <v>425</v>
      </c>
      <c r="G114" s="20">
        <f t="shared" si="13"/>
        <v>109</v>
      </c>
      <c r="H114" s="21">
        <v>66621030203</v>
      </c>
      <c r="I114" s="22">
        <v>143</v>
      </c>
      <c r="J114" s="23"/>
      <c r="K114" s="24">
        <v>26851</v>
      </c>
      <c r="L114" s="23">
        <f t="shared" si="8"/>
        <v>425</v>
      </c>
      <c r="M114" s="24">
        <v>5930</v>
      </c>
      <c r="N114" s="25">
        <f t="shared" si="9"/>
        <v>94</v>
      </c>
      <c r="O114" s="24">
        <v>20921</v>
      </c>
      <c r="P114" s="23">
        <f t="shared" si="10"/>
        <v>331</v>
      </c>
      <c r="Q114" s="26"/>
      <c r="R114" s="23">
        <f t="shared" si="11"/>
        <v>0</v>
      </c>
      <c r="S114" s="27" t="s">
        <v>18</v>
      </c>
      <c r="T114" s="19" t="s">
        <v>126</v>
      </c>
    </row>
    <row r="115" spans="1:20" ht="37.5" customHeight="1" x14ac:dyDescent="0.25">
      <c r="A115" s="19" t="s">
        <v>127</v>
      </c>
      <c r="B115">
        <f t="shared" si="12"/>
        <v>79739</v>
      </c>
      <c r="C115">
        <v>13264</v>
      </c>
      <c r="D115">
        <v>66475</v>
      </c>
      <c r="F115">
        <f t="shared" si="7"/>
        <v>389</v>
      </c>
      <c r="G115" s="20">
        <f t="shared" si="13"/>
        <v>110</v>
      </c>
      <c r="H115" s="21">
        <v>23014010460</v>
      </c>
      <c r="I115" s="22">
        <v>144</v>
      </c>
      <c r="J115" s="23"/>
      <c r="K115" s="24">
        <v>79350</v>
      </c>
      <c r="L115" s="23">
        <f t="shared" si="8"/>
        <v>389</v>
      </c>
      <c r="M115" s="24">
        <v>13201</v>
      </c>
      <c r="N115" s="25">
        <f t="shared" si="9"/>
        <v>63</v>
      </c>
      <c r="O115" s="24">
        <v>66149</v>
      </c>
      <c r="P115" s="23">
        <f t="shared" si="10"/>
        <v>326</v>
      </c>
      <c r="Q115" s="26"/>
      <c r="R115" s="23">
        <f t="shared" si="11"/>
        <v>0</v>
      </c>
      <c r="S115" s="27" t="s">
        <v>18</v>
      </c>
      <c r="T115" s="19" t="s">
        <v>127</v>
      </c>
    </row>
    <row r="116" spans="1:20" ht="37.5" customHeight="1" x14ac:dyDescent="0.25">
      <c r="A116" s="19" t="s">
        <v>128</v>
      </c>
      <c r="B116">
        <f t="shared" si="12"/>
        <v>43075</v>
      </c>
      <c r="C116">
        <v>8071</v>
      </c>
      <c r="D116">
        <v>35004</v>
      </c>
      <c r="F116">
        <f t="shared" si="7"/>
        <v>250</v>
      </c>
      <c r="G116" s="20">
        <f t="shared" si="13"/>
        <v>111</v>
      </c>
      <c r="H116" s="21">
        <v>23013010098</v>
      </c>
      <c r="I116" s="22">
        <v>145</v>
      </c>
      <c r="J116" s="23"/>
      <c r="K116" s="24">
        <v>42825</v>
      </c>
      <c r="L116" s="23">
        <f t="shared" si="8"/>
        <v>250</v>
      </c>
      <c r="M116" s="24">
        <v>8017</v>
      </c>
      <c r="N116" s="25">
        <f t="shared" si="9"/>
        <v>54</v>
      </c>
      <c r="O116" s="24">
        <v>34808</v>
      </c>
      <c r="P116" s="23">
        <f t="shared" si="10"/>
        <v>196</v>
      </c>
      <c r="Q116" s="26"/>
      <c r="R116" s="23">
        <f t="shared" si="11"/>
        <v>0</v>
      </c>
      <c r="S116" s="27" t="s">
        <v>18</v>
      </c>
      <c r="T116" s="19" t="s">
        <v>128</v>
      </c>
    </row>
    <row r="117" spans="1:20" ht="37.5" customHeight="1" x14ac:dyDescent="0.25">
      <c r="A117" s="19" t="s">
        <v>129</v>
      </c>
      <c r="B117">
        <f t="shared" si="12"/>
        <v>50077</v>
      </c>
      <c r="C117">
        <v>8919</v>
      </c>
      <c r="D117">
        <v>41158</v>
      </c>
      <c r="F117">
        <f t="shared" si="7"/>
        <v>882</v>
      </c>
      <c r="G117" s="20">
        <f t="shared" si="13"/>
        <v>112</v>
      </c>
      <c r="H117" s="21">
        <v>66616020426</v>
      </c>
      <c r="I117" s="22">
        <v>146</v>
      </c>
      <c r="J117" s="23"/>
      <c r="K117" s="24">
        <v>49195</v>
      </c>
      <c r="L117" s="23">
        <f t="shared" si="8"/>
        <v>882</v>
      </c>
      <c r="M117" s="24">
        <v>8764</v>
      </c>
      <c r="N117" s="25">
        <f t="shared" si="9"/>
        <v>155</v>
      </c>
      <c r="O117" s="24">
        <v>40431</v>
      </c>
      <c r="P117" s="23">
        <f t="shared" si="10"/>
        <v>727</v>
      </c>
      <c r="Q117" s="26"/>
      <c r="R117" s="23">
        <f t="shared" si="11"/>
        <v>0</v>
      </c>
      <c r="S117" s="27" t="s">
        <v>18</v>
      </c>
      <c r="T117" s="19" t="s">
        <v>129</v>
      </c>
    </row>
    <row r="118" spans="1:20" ht="37.5" customHeight="1" x14ac:dyDescent="0.25">
      <c r="A118" s="19" t="s">
        <v>130</v>
      </c>
      <c r="B118">
        <f t="shared" si="12"/>
        <v>18294</v>
      </c>
      <c r="C118">
        <v>3031</v>
      </c>
      <c r="D118">
        <v>15263</v>
      </c>
      <c r="F118">
        <f t="shared" si="7"/>
        <v>359</v>
      </c>
      <c r="G118" s="20">
        <f t="shared" si="13"/>
        <v>113</v>
      </c>
      <c r="H118" s="21">
        <v>88820010430</v>
      </c>
      <c r="I118" s="22">
        <v>147</v>
      </c>
      <c r="J118" s="23"/>
      <c r="K118" s="24">
        <v>17935</v>
      </c>
      <c r="L118" s="23">
        <f t="shared" si="8"/>
        <v>359</v>
      </c>
      <c r="M118" s="24">
        <v>2970</v>
      </c>
      <c r="N118" s="25">
        <f t="shared" si="9"/>
        <v>61</v>
      </c>
      <c r="O118" s="24">
        <v>14965</v>
      </c>
      <c r="P118" s="23">
        <f t="shared" si="10"/>
        <v>298</v>
      </c>
      <c r="Q118" s="26"/>
      <c r="R118" s="23">
        <f t="shared" si="11"/>
        <v>0</v>
      </c>
      <c r="S118" s="27" t="s">
        <v>18</v>
      </c>
      <c r="T118" s="19" t="s">
        <v>130</v>
      </c>
    </row>
    <row r="119" spans="1:20" ht="37.5" customHeight="1" x14ac:dyDescent="0.25">
      <c r="A119" s="19" t="s">
        <v>131</v>
      </c>
      <c r="B119">
        <f t="shared" si="12"/>
        <v>28821</v>
      </c>
      <c r="C119">
        <v>4147</v>
      </c>
      <c r="D119">
        <v>24674</v>
      </c>
      <c r="F119">
        <f t="shared" si="7"/>
        <v>54</v>
      </c>
      <c r="G119" s="20">
        <f t="shared" si="13"/>
        <v>114</v>
      </c>
      <c r="H119" s="21">
        <v>23012070011</v>
      </c>
      <c r="I119" s="22">
        <v>148</v>
      </c>
      <c r="J119" s="23"/>
      <c r="K119" s="24">
        <v>28767</v>
      </c>
      <c r="L119" s="23">
        <f t="shared" si="8"/>
        <v>54</v>
      </c>
      <c r="M119" s="24">
        <v>4136</v>
      </c>
      <c r="N119" s="25">
        <f t="shared" si="9"/>
        <v>11</v>
      </c>
      <c r="O119" s="24">
        <v>24631</v>
      </c>
      <c r="P119" s="23">
        <f t="shared" si="10"/>
        <v>43</v>
      </c>
      <c r="Q119" s="26"/>
      <c r="R119" s="23">
        <f t="shared" si="11"/>
        <v>0</v>
      </c>
      <c r="S119" s="27" t="s">
        <v>18</v>
      </c>
      <c r="T119" s="19" t="s">
        <v>131</v>
      </c>
    </row>
    <row r="120" spans="1:20" ht="37.5" customHeight="1" x14ac:dyDescent="0.25">
      <c r="A120" s="19" t="s">
        <v>132</v>
      </c>
      <c r="B120">
        <f t="shared" si="12"/>
        <v>12302</v>
      </c>
      <c r="C120">
        <v>1969</v>
      </c>
      <c r="D120">
        <v>10333</v>
      </c>
      <c r="F120">
        <f t="shared" si="7"/>
        <v>229</v>
      </c>
      <c r="G120" s="20">
        <f t="shared" si="13"/>
        <v>115</v>
      </c>
      <c r="H120" s="21">
        <v>88818030449</v>
      </c>
      <c r="I120" s="22">
        <v>149</v>
      </c>
      <c r="J120" s="23"/>
      <c r="K120" s="24">
        <v>12073</v>
      </c>
      <c r="L120" s="23">
        <f t="shared" si="8"/>
        <v>229</v>
      </c>
      <c r="M120" s="24">
        <v>1931</v>
      </c>
      <c r="N120" s="25">
        <f t="shared" si="9"/>
        <v>38</v>
      </c>
      <c r="O120" s="24">
        <v>10142</v>
      </c>
      <c r="P120" s="23">
        <f t="shared" si="10"/>
        <v>191</v>
      </c>
      <c r="Q120" s="26"/>
      <c r="R120" s="23">
        <f t="shared" si="11"/>
        <v>0</v>
      </c>
      <c r="S120" s="27" t="s">
        <v>18</v>
      </c>
      <c r="T120" s="19" t="s">
        <v>132</v>
      </c>
    </row>
    <row r="121" spans="1:20" ht="37.5" customHeight="1" x14ac:dyDescent="0.25">
      <c r="A121" s="19" t="s">
        <v>133</v>
      </c>
      <c r="B121">
        <f t="shared" si="12"/>
        <v>42446</v>
      </c>
      <c r="C121">
        <v>6573</v>
      </c>
      <c r="D121">
        <v>35873</v>
      </c>
      <c r="F121">
        <f t="shared" si="7"/>
        <v>274</v>
      </c>
      <c r="G121" s="20">
        <f t="shared" si="13"/>
        <v>116</v>
      </c>
      <c r="H121" s="21">
        <v>88820020132</v>
      </c>
      <c r="I121" s="22">
        <v>150</v>
      </c>
      <c r="J121" s="23"/>
      <c r="K121" s="24">
        <v>42172</v>
      </c>
      <c r="L121" s="23">
        <f t="shared" si="8"/>
        <v>274</v>
      </c>
      <c r="M121" s="24">
        <v>6527</v>
      </c>
      <c r="N121" s="25">
        <f t="shared" si="9"/>
        <v>46</v>
      </c>
      <c r="O121" s="24">
        <v>35645</v>
      </c>
      <c r="P121" s="23">
        <f t="shared" si="10"/>
        <v>228</v>
      </c>
      <c r="Q121" s="26"/>
      <c r="R121" s="23">
        <f t="shared" si="11"/>
        <v>0</v>
      </c>
      <c r="S121" s="27" t="s">
        <v>18</v>
      </c>
      <c r="T121" s="19" t="s">
        <v>133</v>
      </c>
    </row>
    <row r="122" spans="1:20" ht="37.5" customHeight="1" x14ac:dyDescent="0.25">
      <c r="A122" s="19" t="s">
        <v>134</v>
      </c>
      <c r="B122">
        <f t="shared" si="12"/>
        <v>61547</v>
      </c>
      <c r="C122">
        <v>13331</v>
      </c>
      <c r="D122">
        <v>48216</v>
      </c>
      <c r="F122">
        <f t="shared" si="7"/>
        <v>312</v>
      </c>
      <c r="G122" s="20">
        <f t="shared" si="13"/>
        <v>117</v>
      </c>
      <c r="H122" s="21">
        <v>23010050027</v>
      </c>
      <c r="I122" s="22">
        <v>151</v>
      </c>
      <c r="J122" s="23"/>
      <c r="K122" s="24">
        <v>61235</v>
      </c>
      <c r="L122" s="23">
        <f t="shared" si="8"/>
        <v>312</v>
      </c>
      <c r="M122" s="24">
        <v>13275</v>
      </c>
      <c r="N122" s="25">
        <f t="shared" si="9"/>
        <v>56</v>
      </c>
      <c r="O122" s="24">
        <v>47960</v>
      </c>
      <c r="P122" s="23">
        <f t="shared" si="10"/>
        <v>256</v>
      </c>
      <c r="Q122" s="26"/>
      <c r="R122" s="23">
        <f t="shared" si="11"/>
        <v>0</v>
      </c>
      <c r="S122" s="27" t="s">
        <v>18</v>
      </c>
      <c r="T122" s="19" t="s">
        <v>134</v>
      </c>
    </row>
    <row r="123" spans="1:20" ht="37.5" customHeight="1" x14ac:dyDescent="0.25">
      <c r="A123" s="19" t="s">
        <v>135</v>
      </c>
      <c r="B123">
        <f t="shared" si="12"/>
        <v>13724</v>
      </c>
      <c r="C123">
        <v>2550</v>
      </c>
      <c r="D123">
        <v>11174</v>
      </c>
      <c r="F123">
        <f t="shared" si="7"/>
        <v>135</v>
      </c>
      <c r="G123" s="20">
        <f t="shared" si="13"/>
        <v>118</v>
      </c>
      <c r="H123" s="21">
        <v>88820030389</v>
      </c>
      <c r="I123" s="22">
        <v>152</v>
      </c>
      <c r="J123" s="23"/>
      <c r="K123" s="24">
        <v>13589</v>
      </c>
      <c r="L123" s="23">
        <f t="shared" si="8"/>
        <v>135</v>
      </c>
      <c r="M123" s="24">
        <v>2528</v>
      </c>
      <c r="N123" s="25">
        <f t="shared" si="9"/>
        <v>22</v>
      </c>
      <c r="O123" s="24">
        <v>11061</v>
      </c>
      <c r="P123" s="23">
        <f t="shared" si="10"/>
        <v>113</v>
      </c>
      <c r="Q123" s="26"/>
      <c r="R123" s="23">
        <f t="shared" si="11"/>
        <v>0</v>
      </c>
      <c r="S123" s="27" t="s">
        <v>18</v>
      </c>
      <c r="T123" s="19" t="s">
        <v>135</v>
      </c>
    </row>
    <row r="124" spans="1:20" ht="37.5" customHeight="1" x14ac:dyDescent="0.25">
      <c r="A124" s="19" t="s">
        <v>136</v>
      </c>
      <c r="B124">
        <f t="shared" si="12"/>
        <v>42482</v>
      </c>
      <c r="C124">
        <v>7271</v>
      </c>
      <c r="D124">
        <v>35211</v>
      </c>
      <c r="F124">
        <f t="shared" si="7"/>
        <v>470</v>
      </c>
      <c r="G124" s="20">
        <f t="shared" si="13"/>
        <v>119</v>
      </c>
      <c r="H124" s="21">
        <v>66617010220</v>
      </c>
      <c r="I124" s="22">
        <v>153</v>
      </c>
      <c r="J124" s="23"/>
      <c r="K124" s="24">
        <v>42012</v>
      </c>
      <c r="L124" s="23">
        <f t="shared" si="8"/>
        <v>470</v>
      </c>
      <c r="M124" s="24">
        <v>7185</v>
      </c>
      <c r="N124" s="25">
        <f t="shared" si="9"/>
        <v>86</v>
      </c>
      <c r="O124" s="24">
        <v>34827</v>
      </c>
      <c r="P124" s="23">
        <f t="shared" si="10"/>
        <v>384</v>
      </c>
      <c r="Q124" s="26"/>
      <c r="R124" s="23">
        <f t="shared" si="11"/>
        <v>0</v>
      </c>
      <c r="S124" s="27" t="s">
        <v>18</v>
      </c>
      <c r="T124" s="19" t="s">
        <v>136</v>
      </c>
    </row>
    <row r="125" spans="1:20" ht="37.5" customHeight="1" x14ac:dyDescent="0.25">
      <c r="A125" s="19" t="s">
        <v>137</v>
      </c>
      <c r="B125">
        <f t="shared" si="12"/>
        <v>62236</v>
      </c>
      <c r="C125">
        <v>9798</v>
      </c>
      <c r="D125">
        <v>52438</v>
      </c>
      <c r="F125">
        <f t="shared" si="7"/>
        <v>335</v>
      </c>
      <c r="G125" s="20">
        <f t="shared" si="13"/>
        <v>120</v>
      </c>
      <c r="H125" s="21">
        <v>23013010007</v>
      </c>
      <c r="I125" s="22">
        <v>154</v>
      </c>
      <c r="J125" s="23"/>
      <c r="K125" s="24">
        <v>61901</v>
      </c>
      <c r="L125" s="23">
        <f t="shared" si="8"/>
        <v>335</v>
      </c>
      <c r="M125" s="24">
        <v>9748</v>
      </c>
      <c r="N125" s="25">
        <f t="shared" si="9"/>
        <v>50</v>
      </c>
      <c r="O125" s="24">
        <v>52153</v>
      </c>
      <c r="P125" s="23">
        <f t="shared" si="10"/>
        <v>285</v>
      </c>
      <c r="Q125" s="26"/>
      <c r="R125" s="23">
        <f t="shared" si="11"/>
        <v>0</v>
      </c>
      <c r="S125" s="27" t="s">
        <v>18</v>
      </c>
      <c r="T125" s="19" t="s">
        <v>137</v>
      </c>
    </row>
    <row r="126" spans="1:20" ht="37.5" customHeight="1" x14ac:dyDescent="0.25">
      <c r="A126" s="19" t="s">
        <v>138</v>
      </c>
      <c r="B126">
        <f t="shared" si="12"/>
        <v>58452</v>
      </c>
      <c r="C126">
        <v>10532</v>
      </c>
      <c r="D126">
        <v>47920</v>
      </c>
      <c r="F126">
        <f t="shared" si="7"/>
        <v>202</v>
      </c>
      <c r="G126" s="20">
        <f t="shared" si="13"/>
        <v>121</v>
      </c>
      <c r="H126" s="21">
        <v>23013040216</v>
      </c>
      <c r="I126" s="22">
        <v>155</v>
      </c>
      <c r="J126" s="23"/>
      <c r="K126" s="24">
        <v>58250</v>
      </c>
      <c r="L126" s="23">
        <f t="shared" si="8"/>
        <v>202</v>
      </c>
      <c r="M126" s="24">
        <v>10495</v>
      </c>
      <c r="N126" s="25">
        <f t="shared" si="9"/>
        <v>37</v>
      </c>
      <c r="O126" s="24">
        <v>47755</v>
      </c>
      <c r="P126" s="23">
        <f t="shared" si="10"/>
        <v>165</v>
      </c>
      <c r="Q126" s="26"/>
      <c r="R126" s="23">
        <f t="shared" si="11"/>
        <v>0</v>
      </c>
      <c r="S126" s="27" t="s">
        <v>18</v>
      </c>
      <c r="T126" s="19" t="s">
        <v>138</v>
      </c>
    </row>
    <row r="127" spans="1:20" ht="37.5" customHeight="1" x14ac:dyDescent="0.25">
      <c r="A127" s="19" t="s">
        <v>139</v>
      </c>
      <c r="B127">
        <f t="shared" si="12"/>
        <v>72223</v>
      </c>
      <c r="C127">
        <v>10351</v>
      </c>
      <c r="D127">
        <v>61872</v>
      </c>
      <c r="F127">
        <f t="shared" si="7"/>
        <v>220</v>
      </c>
      <c r="G127" s="20">
        <f t="shared" si="13"/>
        <v>122</v>
      </c>
      <c r="H127" s="21">
        <v>66617010176</v>
      </c>
      <c r="I127" s="22">
        <v>156</v>
      </c>
      <c r="J127" s="23"/>
      <c r="K127" s="24">
        <v>72003</v>
      </c>
      <c r="L127" s="23">
        <f t="shared" si="8"/>
        <v>220</v>
      </c>
      <c r="M127" s="24">
        <v>10318</v>
      </c>
      <c r="N127" s="25">
        <f t="shared" si="9"/>
        <v>33</v>
      </c>
      <c r="O127" s="24">
        <v>61685</v>
      </c>
      <c r="P127" s="23">
        <f t="shared" si="10"/>
        <v>187</v>
      </c>
      <c r="Q127" s="26"/>
      <c r="R127" s="23">
        <f t="shared" si="11"/>
        <v>0</v>
      </c>
      <c r="S127" s="27" t="s">
        <v>18</v>
      </c>
      <c r="T127" s="19" t="s">
        <v>139</v>
      </c>
    </row>
    <row r="128" spans="1:20" ht="37.5" customHeight="1" x14ac:dyDescent="0.25">
      <c r="A128" s="19" t="s">
        <v>140</v>
      </c>
      <c r="B128">
        <f t="shared" si="12"/>
        <v>26447</v>
      </c>
      <c r="C128">
        <v>4837</v>
      </c>
      <c r="D128">
        <v>21610</v>
      </c>
      <c r="F128">
        <f t="shared" si="7"/>
        <v>384</v>
      </c>
      <c r="G128" s="20">
        <f t="shared" si="13"/>
        <v>123</v>
      </c>
      <c r="H128" s="21">
        <v>88819030346</v>
      </c>
      <c r="I128" s="22">
        <v>158</v>
      </c>
      <c r="J128" s="23"/>
      <c r="K128" s="24">
        <v>26063</v>
      </c>
      <c r="L128" s="23">
        <f t="shared" si="8"/>
        <v>384</v>
      </c>
      <c r="M128" s="24">
        <v>4775</v>
      </c>
      <c r="N128" s="25">
        <f t="shared" si="9"/>
        <v>62</v>
      </c>
      <c r="O128" s="24">
        <v>21288</v>
      </c>
      <c r="P128" s="23">
        <f t="shared" si="10"/>
        <v>322</v>
      </c>
      <c r="Q128" s="26"/>
      <c r="R128" s="23">
        <f t="shared" si="11"/>
        <v>0</v>
      </c>
      <c r="S128" s="27" t="s">
        <v>18</v>
      </c>
      <c r="T128" s="19" t="s">
        <v>140</v>
      </c>
    </row>
    <row r="129" spans="1:20" ht="37.5" customHeight="1" x14ac:dyDescent="0.25">
      <c r="A129" s="19" t="s">
        <v>141</v>
      </c>
      <c r="B129">
        <f t="shared" si="12"/>
        <v>59589</v>
      </c>
      <c r="C129">
        <v>11594</v>
      </c>
      <c r="D129">
        <v>47995</v>
      </c>
      <c r="F129">
        <f t="shared" si="7"/>
        <v>534</v>
      </c>
      <c r="G129" s="20">
        <f t="shared" si="13"/>
        <v>124</v>
      </c>
      <c r="H129" s="21">
        <v>23015010682</v>
      </c>
      <c r="I129" s="22">
        <v>159</v>
      </c>
      <c r="J129" s="23"/>
      <c r="K129" s="24">
        <v>59055</v>
      </c>
      <c r="L129" s="23">
        <f t="shared" si="8"/>
        <v>534</v>
      </c>
      <c r="M129" s="24">
        <v>11495</v>
      </c>
      <c r="N129" s="25">
        <f t="shared" si="9"/>
        <v>99</v>
      </c>
      <c r="O129" s="24">
        <v>47560</v>
      </c>
      <c r="P129" s="23">
        <f t="shared" si="10"/>
        <v>435</v>
      </c>
      <c r="Q129" s="26"/>
      <c r="R129" s="23">
        <f t="shared" si="11"/>
        <v>0</v>
      </c>
      <c r="S129" s="27" t="s">
        <v>18</v>
      </c>
      <c r="T129" s="19" t="s">
        <v>141</v>
      </c>
    </row>
    <row r="130" spans="1:20" ht="37.5" customHeight="1" x14ac:dyDescent="0.25">
      <c r="A130" s="19" t="s">
        <v>142</v>
      </c>
      <c r="B130">
        <f t="shared" si="12"/>
        <v>60015</v>
      </c>
      <c r="C130">
        <v>10190</v>
      </c>
      <c r="D130">
        <v>49825</v>
      </c>
      <c r="F130">
        <f t="shared" si="7"/>
        <v>261</v>
      </c>
      <c r="G130" s="20">
        <f t="shared" si="13"/>
        <v>125</v>
      </c>
      <c r="H130" s="21">
        <v>23014090722</v>
      </c>
      <c r="I130" s="22">
        <v>160</v>
      </c>
      <c r="J130" s="23"/>
      <c r="K130" s="24">
        <v>59754</v>
      </c>
      <c r="L130" s="23">
        <f t="shared" si="8"/>
        <v>261</v>
      </c>
      <c r="M130" s="24">
        <v>10109</v>
      </c>
      <c r="N130" s="25">
        <f t="shared" si="9"/>
        <v>81</v>
      </c>
      <c r="O130" s="24">
        <v>49645</v>
      </c>
      <c r="P130" s="23">
        <f t="shared" si="10"/>
        <v>180</v>
      </c>
      <c r="Q130" s="26"/>
      <c r="R130" s="23">
        <f t="shared" si="11"/>
        <v>0</v>
      </c>
      <c r="S130" s="27" t="s">
        <v>18</v>
      </c>
      <c r="T130" s="19" t="s">
        <v>142</v>
      </c>
    </row>
    <row r="131" spans="1:20" ht="37.5" customHeight="1" x14ac:dyDescent="0.25">
      <c r="A131" s="19" t="s">
        <v>143</v>
      </c>
      <c r="B131">
        <f t="shared" si="12"/>
        <v>1376</v>
      </c>
      <c r="C131">
        <v>317</v>
      </c>
      <c r="D131">
        <v>1059</v>
      </c>
      <c r="E131">
        <v>2700</v>
      </c>
      <c r="F131">
        <f t="shared" si="7"/>
        <v>295</v>
      </c>
      <c r="G131" s="20">
        <f t="shared" si="13"/>
        <v>126</v>
      </c>
      <c r="H131" s="21">
        <v>99624040330</v>
      </c>
      <c r="I131" s="22">
        <v>161</v>
      </c>
      <c r="J131" s="23"/>
      <c r="K131" s="24">
        <f>M131+O131</f>
        <v>1081</v>
      </c>
      <c r="L131" s="23">
        <f t="shared" si="8"/>
        <v>295</v>
      </c>
      <c r="M131" s="24">
        <v>258</v>
      </c>
      <c r="N131" s="25">
        <f t="shared" si="9"/>
        <v>59</v>
      </c>
      <c r="O131" s="24">
        <v>823</v>
      </c>
      <c r="P131" s="23">
        <f t="shared" si="10"/>
        <v>236</v>
      </c>
      <c r="Q131" s="26">
        <v>2092</v>
      </c>
      <c r="R131" s="23">
        <f t="shared" si="11"/>
        <v>608</v>
      </c>
      <c r="S131" s="27" t="s">
        <v>18</v>
      </c>
      <c r="T131" s="19" t="s">
        <v>143</v>
      </c>
    </row>
    <row r="132" spans="1:20" ht="37.5" customHeight="1" x14ac:dyDescent="0.25">
      <c r="A132" s="19" t="s">
        <v>144</v>
      </c>
      <c r="B132">
        <f t="shared" si="12"/>
        <v>19533</v>
      </c>
      <c r="C132">
        <v>3128</v>
      </c>
      <c r="D132">
        <v>16405</v>
      </c>
      <c r="F132">
        <f t="shared" si="7"/>
        <v>653</v>
      </c>
      <c r="G132" s="20">
        <f t="shared" si="13"/>
        <v>127</v>
      </c>
      <c r="H132" s="21">
        <v>88820050127</v>
      </c>
      <c r="I132" s="22">
        <v>162</v>
      </c>
      <c r="J132" s="23"/>
      <c r="K132" s="24">
        <v>18880</v>
      </c>
      <c r="L132" s="23">
        <f t="shared" si="8"/>
        <v>653</v>
      </c>
      <c r="M132" s="24">
        <v>3020</v>
      </c>
      <c r="N132" s="25">
        <f t="shared" si="9"/>
        <v>108</v>
      </c>
      <c r="O132" s="24">
        <v>15860</v>
      </c>
      <c r="P132" s="23">
        <f t="shared" si="10"/>
        <v>545</v>
      </c>
      <c r="Q132" s="26"/>
      <c r="R132" s="23">
        <f t="shared" si="11"/>
        <v>0</v>
      </c>
      <c r="S132" s="27" t="s">
        <v>18</v>
      </c>
      <c r="T132" s="19" t="s">
        <v>144</v>
      </c>
    </row>
    <row r="133" spans="1:20" ht="37.5" customHeight="1" x14ac:dyDescent="0.25">
      <c r="A133" s="19" t="s">
        <v>145</v>
      </c>
      <c r="B133">
        <f t="shared" si="12"/>
        <v>22186</v>
      </c>
      <c r="C133">
        <v>3770</v>
      </c>
      <c r="D133">
        <v>18416</v>
      </c>
      <c r="F133">
        <f t="shared" ref="F133:F196" si="14">L133</f>
        <v>807</v>
      </c>
      <c r="G133" s="20">
        <f t="shared" si="13"/>
        <v>128</v>
      </c>
      <c r="H133" s="21">
        <v>88820040412</v>
      </c>
      <c r="I133" s="22">
        <v>163</v>
      </c>
      <c r="J133" s="23"/>
      <c r="K133" s="24">
        <v>21379</v>
      </c>
      <c r="L133" s="23">
        <f t="shared" si="8"/>
        <v>807</v>
      </c>
      <c r="M133" s="24">
        <v>3630</v>
      </c>
      <c r="N133" s="25">
        <f t="shared" si="9"/>
        <v>140</v>
      </c>
      <c r="O133" s="24">
        <v>17749</v>
      </c>
      <c r="P133" s="23">
        <f t="shared" si="10"/>
        <v>667</v>
      </c>
      <c r="Q133" s="26"/>
      <c r="R133" s="23">
        <f t="shared" si="11"/>
        <v>0</v>
      </c>
      <c r="S133" s="27" t="s">
        <v>18</v>
      </c>
      <c r="T133" s="19" t="s">
        <v>145</v>
      </c>
    </row>
    <row r="134" spans="1:20" ht="37.5" customHeight="1" x14ac:dyDescent="0.25">
      <c r="A134" s="19" t="s">
        <v>146</v>
      </c>
      <c r="B134">
        <f t="shared" si="12"/>
        <v>84882</v>
      </c>
      <c r="C134">
        <v>15963</v>
      </c>
      <c r="D134">
        <v>68919</v>
      </c>
      <c r="F134">
        <f t="shared" si="14"/>
        <v>489</v>
      </c>
      <c r="G134" s="20">
        <f t="shared" si="13"/>
        <v>129</v>
      </c>
      <c r="H134" s="21">
        <v>23013080313</v>
      </c>
      <c r="I134" s="22">
        <v>165</v>
      </c>
      <c r="J134" s="23"/>
      <c r="K134" s="24">
        <v>84393</v>
      </c>
      <c r="L134" s="23">
        <f t="shared" ref="L134:L197" si="15">B134-K134</f>
        <v>489</v>
      </c>
      <c r="M134" s="24">
        <v>15887</v>
      </c>
      <c r="N134" s="25">
        <f t="shared" ref="N134:N197" si="16">C134-M134</f>
        <v>76</v>
      </c>
      <c r="O134" s="24">
        <v>68506</v>
      </c>
      <c r="P134" s="23">
        <f t="shared" ref="P134:P197" si="17">D134-O134</f>
        <v>413</v>
      </c>
      <c r="Q134" s="26"/>
      <c r="R134" s="23">
        <f t="shared" ref="R134:R197" si="18">E134-Q134</f>
        <v>0</v>
      </c>
      <c r="S134" s="27" t="s">
        <v>18</v>
      </c>
      <c r="T134" s="19" t="s">
        <v>146</v>
      </c>
    </row>
    <row r="135" spans="1:20" ht="37.5" customHeight="1" x14ac:dyDescent="0.25">
      <c r="A135" s="19" t="s">
        <v>147</v>
      </c>
      <c r="B135">
        <f t="shared" ref="B135:B198" si="19">C135+D135</f>
        <v>25688</v>
      </c>
      <c r="C135">
        <v>4178</v>
      </c>
      <c r="D135">
        <v>21510</v>
      </c>
      <c r="F135">
        <f t="shared" si="14"/>
        <v>258</v>
      </c>
      <c r="G135" s="20">
        <f t="shared" si="13"/>
        <v>130</v>
      </c>
      <c r="H135" s="21">
        <v>23014010116</v>
      </c>
      <c r="I135" s="22">
        <v>166</v>
      </c>
      <c r="J135" s="23"/>
      <c r="K135" s="24">
        <v>25430</v>
      </c>
      <c r="L135" s="23">
        <f t="shared" si="15"/>
        <v>258</v>
      </c>
      <c r="M135" s="24">
        <v>4145</v>
      </c>
      <c r="N135" s="25">
        <f t="shared" si="16"/>
        <v>33</v>
      </c>
      <c r="O135" s="24">
        <v>21285</v>
      </c>
      <c r="P135" s="23">
        <f t="shared" si="17"/>
        <v>225</v>
      </c>
      <c r="Q135" s="26"/>
      <c r="R135" s="23">
        <f t="shared" si="18"/>
        <v>0</v>
      </c>
      <c r="S135" s="27" t="s">
        <v>18</v>
      </c>
      <c r="T135" s="19" t="s">
        <v>147</v>
      </c>
    </row>
    <row r="136" spans="1:20" ht="37.5" customHeight="1" x14ac:dyDescent="0.25">
      <c r="A136" s="19" t="s">
        <v>148</v>
      </c>
      <c r="B136">
        <f t="shared" si="19"/>
        <v>25587</v>
      </c>
      <c r="C136">
        <v>4819</v>
      </c>
      <c r="D136">
        <v>20768</v>
      </c>
      <c r="F136">
        <f t="shared" si="14"/>
        <v>524</v>
      </c>
      <c r="G136" s="20">
        <f t="shared" ref="G136:G199" si="20">G135+1</f>
        <v>131</v>
      </c>
      <c r="H136" s="21">
        <v>66621090150</v>
      </c>
      <c r="I136" s="22">
        <v>167</v>
      </c>
      <c r="J136" s="23"/>
      <c r="K136" s="24">
        <v>25063</v>
      </c>
      <c r="L136" s="23">
        <f t="shared" si="15"/>
        <v>524</v>
      </c>
      <c r="M136" s="24">
        <v>4738</v>
      </c>
      <c r="N136" s="25">
        <f t="shared" si="16"/>
        <v>81</v>
      </c>
      <c r="O136" s="24">
        <v>20325</v>
      </c>
      <c r="P136" s="23">
        <f t="shared" si="17"/>
        <v>443</v>
      </c>
      <c r="Q136" s="26"/>
      <c r="R136" s="23">
        <f t="shared" si="18"/>
        <v>0</v>
      </c>
      <c r="S136" s="27" t="s">
        <v>18</v>
      </c>
      <c r="T136" s="19" t="s">
        <v>148</v>
      </c>
    </row>
    <row r="137" spans="1:20" ht="37.5" customHeight="1" x14ac:dyDescent="0.25">
      <c r="A137" s="19" t="s">
        <v>149</v>
      </c>
      <c r="B137">
        <f t="shared" si="19"/>
        <v>56382</v>
      </c>
      <c r="C137">
        <v>9895</v>
      </c>
      <c r="D137">
        <v>46487</v>
      </c>
      <c r="F137">
        <f t="shared" si="14"/>
        <v>408</v>
      </c>
      <c r="G137" s="20">
        <f t="shared" si="20"/>
        <v>132</v>
      </c>
      <c r="H137" s="21">
        <v>23014090473</v>
      </c>
      <c r="I137" s="22">
        <v>168</v>
      </c>
      <c r="J137" s="23"/>
      <c r="K137" s="24">
        <v>55974</v>
      </c>
      <c r="L137" s="23">
        <f t="shared" si="15"/>
        <v>408</v>
      </c>
      <c r="M137" s="24">
        <v>9820</v>
      </c>
      <c r="N137" s="25">
        <f t="shared" si="16"/>
        <v>75</v>
      </c>
      <c r="O137" s="24">
        <v>46154</v>
      </c>
      <c r="P137" s="23">
        <f t="shared" si="17"/>
        <v>333</v>
      </c>
      <c r="Q137" s="26"/>
      <c r="R137" s="23">
        <f t="shared" si="18"/>
        <v>0</v>
      </c>
      <c r="S137" s="27" t="s">
        <v>18</v>
      </c>
      <c r="T137" s="19" t="s">
        <v>149</v>
      </c>
    </row>
    <row r="138" spans="1:20" ht="37.5" customHeight="1" x14ac:dyDescent="0.25">
      <c r="A138" s="19" t="s">
        <v>150</v>
      </c>
      <c r="B138">
        <f t="shared" si="19"/>
        <v>8430</v>
      </c>
      <c r="C138">
        <v>1438</v>
      </c>
      <c r="D138">
        <v>6992</v>
      </c>
      <c r="F138">
        <f t="shared" si="14"/>
        <v>241</v>
      </c>
      <c r="G138" s="20">
        <f t="shared" si="20"/>
        <v>133</v>
      </c>
      <c r="H138" s="21">
        <v>66622010299</v>
      </c>
      <c r="I138" s="22">
        <v>169</v>
      </c>
      <c r="J138" s="23"/>
      <c r="K138" s="24">
        <v>8189</v>
      </c>
      <c r="L138" s="23">
        <f t="shared" si="15"/>
        <v>241</v>
      </c>
      <c r="M138" s="24">
        <v>1400</v>
      </c>
      <c r="N138" s="25">
        <f t="shared" si="16"/>
        <v>38</v>
      </c>
      <c r="O138" s="24">
        <v>6789</v>
      </c>
      <c r="P138" s="23">
        <f t="shared" si="17"/>
        <v>203</v>
      </c>
      <c r="Q138" s="26"/>
      <c r="R138" s="23">
        <f t="shared" si="18"/>
        <v>0</v>
      </c>
      <c r="S138" s="27" t="s">
        <v>18</v>
      </c>
      <c r="T138" s="19" t="s">
        <v>150</v>
      </c>
    </row>
    <row r="139" spans="1:20" ht="37.5" customHeight="1" x14ac:dyDescent="0.25">
      <c r="A139" s="19" t="s">
        <v>151</v>
      </c>
      <c r="B139">
        <f t="shared" si="19"/>
        <v>23541</v>
      </c>
      <c r="C139">
        <v>3796</v>
      </c>
      <c r="D139">
        <v>19745</v>
      </c>
      <c r="F139">
        <f t="shared" si="14"/>
        <v>226</v>
      </c>
      <c r="G139" s="20">
        <f t="shared" si="20"/>
        <v>134</v>
      </c>
      <c r="H139" s="21">
        <v>23015100720</v>
      </c>
      <c r="I139" s="22">
        <v>171</v>
      </c>
      <c r="J139" s="23"/>
      <c r="K139" s="24">
        <v>23315</v>
      </c>
      <c r="L139" s="23">
        <f t="shared" si="15"/>
        <v>226</v>
      </c>
      <c r="M139" s="24">
        <v>3753</v>
      </c>
      <c r="N139" s="25">
        <f t="shared" si="16"/>
        <v>43</v>
      </c>
      <c r="O139" s="24">
        <v>19562</v>
      </c>
      <c r="P139" s="23">
        <f t="shared" si="17"/>
        <v>183</v>
      </c>
      <c r="Q139" s="26"/>
      <c r="R139" s="23">
        <f t="shared" si="18"/>
        <v>0</v>
      </c>
      <c r="S139" s="27" t="s">
        <v>18</v>
      </c>
      <c r="T139" s="19" t="s">
        <v>151</v>
      </c>
    </row>
    <row r="140" spans="1:20" ht="37.5" customHeight="1" x14ac:dyDescent="0.25">
      <c r="A140" s="19" t="s">
        <v>152</v>
      </c>
      <c r="B140">
        <f t="shared" si="19"/>
        <v>7391</v>
      </c>
      <c r="C140">
        <v>1492</v>
      </c>
      <c r="D140">
        <v>5899</v>
      </c>
      <c r="F140">
        <f t="shared" si="14"/>
        <v>253</v>
      </c>
      <c r="G140" s="20">
        <f t="shared" si="20"/>
        <v>135</v>
      </c>
      <c r="H140" s="21">
        <v>66601102603</v>
      </c>
      <c r="I140" s="22">
        <v>172</v>
      </c>
      <c r="J140" s="23"/>
      <c r="K140" s="24">
        <v>7138</v>
      </c>
      <c r="L140" s="23">
        <f t="shared" si="15"/>
        <v>253</v>
      </c>
      <c r="M140" s="24">
        <v>1432</v>
      </c>
      <c r="N140" s="25">
        <f t="shared" si="16"/>
        <v>60</v>
      </c>
      <c r="O140" s="24">
        <v>5706</v>
      </c>
      <c r="P140" s="23">
        <f t="shared" si="17"/>
        <v>193</v>
      </c>
      <c r="Q140" s="26"/>
      <c r="R140" s="23">
        <f t="shared" si="18"/>
        <v>0</v>
      </c>
      <c r="S140" s="27" t="s">
        <v>18</v>
      </c>
      <c r="T140" s="19" t="s">
        <v>152</v>
      </c>
    </row>
    <row r="141" spans="1:20" ht="37.5" customHeight="1" x14ac:dyDescent="0.25">
      <c r="A141" s="19" t="s">
        <v>153</v>
      </c>
      <c r="B141">
        <f t="shared" si="19"/>
        <v>41756</v>
      </c>
      <c r="C141">
        <v>7235</v>
      </c>
      <c r="D141">
        <v>34521</v>
      </c>
      <c r="F141">
        <f t="shared" si="14"/>
        <v>342</v>
      </c>
      <c r="G141" s="20">
        <f t="shared" si="20"/>
        <v>136</v>
      </c>
      <c r="H141" s="21">
        <v>23013040129</v>
      </c>
      <c r="I141" s="22">
        <v>173</v>
      </c>
      <c r="J141" s="23"/>
      <c r="K141" s="24">
        <v>41414</v>
      </c>
      <c r="L141" s="23">
        <f t="shared" si="15"/>
        <v>342</v>
      </c>
      <c r="M141" s="24">
        <v>7174</v>
      </c>
      <c r="N141" s="25">
        <f t="shared" si="16"/>
        <v>61</v>
      </c>
      <c r="O141" s="24">
        <v>34240</v>
      </c>
      <c r="P141" s="23">
        <f t="shared" si="17"/>
        <v>281</v>
      </c>
      <c r="Q141" s="26"/>
      <c r="R141" s="23">
        <f t="shared" si="18"/>
        <v>0</v>
      </c>
      <c r="S141" s="27" t="s">
        <v>18</v>
      </c>
      <c r="T141" s="19" t="s">
        <v>153</v>
      </c>
    </row>
    <row r="142" spans="1:20" ht="37.5" customHeight="1" x14ac:dyDescent="0.25">
      <c r="A142" s="19" t="s">
        <v>154</v>
      </c>
      <c r="B142">
        <f t="shared" si="19"/>
        <v>84684</v>
      </c>
      <c r="C142">
        <v>12840</v>
      </c>
      <c r="D142">
        <v>71844</v>
      </c>
      <c r="F142">
        <f t="shared" si="14"/>
        <v>305</v>
      </c>
      <c r="G142" s="20">
        <f t="shared" si="20"/>
        <v>137</v>
      </c>
      <c r="H142" s="21">
        <v>23013040397</v>
      </c>
      <c r="I142" s="22">
        <v>174</v>
      </c>
      <c r="J142" s="23"/>
      <c r="K142" s="24">
        <v>84379</v>
      </c>
      <c r="L142" s="23">
        <f t="shared" si="15"/>
        <v>305</v>
      </c>
      <c r="M142" s="24">
        <v>12799</v>
      </c>
      <c r="N142" s="25">
        <f t="shared" si="16"/>
        <v>41</v>
      </c>
      <c r="O142" s="24">
        <v>71580</v>
      </c>
      <c r="P142" s="23">
        <f t="shared" si="17"/>
        <v>264</v>
      </c>
      <c r="Q142" s="26"/>
      <c r="R142" s="23">
        <f t="shared" si="18"/>
        <v>0</v>
      </c>
      <c r="S142" s="27" t="s">
        <v>18</v>
      </c>
      <c r="T142" s="19" t="s">
        <v>154</v>
      </c>
    </row>
    <row r="143" spans="1:20" ht="37.5" customHeight="1" x14ac:dyDescent="0.25">
      <c r="A143" s="19" t="s">
        <v>155</v>
      </c>
      <c r="B143">
        <f t="shared" si="19"/>
        <v>4895</v>
      </c>
      <c r="C143">
        <v>667</v>
      </c>
      <c r="D143">
        <v>4228</v>
      </c>
      <c r="F143">
        <f t="shared" si="14"/>
        <v>85</v>
      </c>
      <c r="G143" s="20">
        <f t="shared" si="20"/>
        <v>138</v>
      </c>
      <c r="H143" s="21">
        <v>66622020218</v>
      </c>
      <c r="I143" s="22">
        <v>175</v>
      </c>
      <c r="J143" s="23"/>
      <c r="K143" s="24">
        <v>4810</v>
      </c>
      <c r="L143" s="23">
        <f t="shared" si="15"/>
        <v>85</v>
      </c>
      <c r="M143" s="24">
        <v>650</v>
      </c>
      <c r="N143" s="25">
        <f t="shared" si="16"/>
        <v>17</v>
      </c>
      <c r="O143" s="24">
        <v>4160</v>
      </c>
      <c r="P143" s="23">
        <f t="shared" si="17"/>
        <v>68</v>
      </c>
      <c r="Q143" s="26"/>
      <c r="R143" s="23">
        <f t="shared" si="18"/>
        <v>0</v>
      </c>
      <c r="S143" s="27" t="s">
        <v>18</v>
      </c>
      <c r="T143" s="19" t="s">
        <v>155</v>
      </c>
    </row>
    <row r="144" spans="1:20" ht="37.5" customHeight="1" x14ac:dyDescent="0.25">
      <c r="A144" s="19" t="s">
        <v>156</v>
      </c>
      <c r="B144">
        <f t="shared" si="19"/>
        <v>60155</v>
      </c>
      <c r="C144">
        <v>9963</v>
      </c>
      <c r="D144">
        <v>50192</v>
      </c>
      <c r="F144">
        <f t="shared" si="14"/>
        <v>58</v>
      </c>
      <c r="G144" s="20">
        <f t="shared" si="20"/>
        <v>139</v>
      </c>
      <c r="H144" s="21">
        <v>66616020040</v>
      </c>
      <c r="I144" s="22">
        <v>176</v>
      </c>
      <c r="J144" s="23"/>
      <c r="K144" s="24">
        <v>60097</v>
      </c>
      <c r="L144" s="23">
        <f t="shared" si="15"/>
        <v>58</v>
      </c>
      <c r="M144" s="24">
        <v>9960</v>
      </c>
      <c r="N144" s="25">
        <f t="shared" si="16"/>
        <v>3</v>
      </c>
      <c r="O144" s="24">
        <v>50137</v>
      </c>
      <c r="P144" s="23">
        <f t="shared" si="17"/>
        <v>55</v>
      </c>
      <c r="Q144" s="26"/>
      <c r="R144" s="23">
        <f t="shared" si="18"/>
        <v>0</v>
      </c>
      <c r="S144" s="27" t="s">
        <v>18</v>
      </c>
      <c r="T144" s="19" t="s">
        <v>156</v>
      </c>
    </row>
    <row r="145" spans="1:20" ht="37.5" customHeight="1" x14ac:dyDescent="0.25">
      <c r="A145" s="19" t="s">
        <v>157</v>
      </c>
      <c r="B145">
        <f t="shared" si="19"/>
        <v>13130</v>
      </c>
      <c r="C145">
        <v>2553</v>
      </c>
      <c r="D145">
        <v>10577</v>
      </c>
      <c r="F145">
        <f t="shared" si="14"/>
        <v>920</v>
      </c>
      <c r="G145" s="20">
        <f t="shared" si="20"/>
        <v>140</v>
      </c>
      <c r="H145" s="21">
        <v>66621100470</v>
      </c>
      <c r="I145" s="22">
        <v>177</v>
      </c>
      <c r="J145" s="23"/>
      <c r="K145" s="24">
        <v>12210</v>
      </c>
      <c r="L145" s="23">
        <f t="shared" si="15"/>
        <v>920</v>
      </c>
      <c r="M145" s="24">
        <v>2397</v>
      </c>
      <c r="N145" s="25">
        <f t="shared" si="16"/>
        <v>156</v>
      </c>
      <c r="O145" s="24">
        <v>9813</v>
      </c>
      <c r="P145" s="23">
        <f t="shared" si="17"/>
        <v>764</v>
      </c>
      <c r="Q145" s="26"/>
      <c r="R145" s="23">
        <f t="shared" si="18"/>
        <v>0</v>
      </c>
      <c r="S145" s="27" t="s">
        <v>18</v>
      </c>
      <c r="T145" s="19" t="s">
        <v>157</v>
      </c>
    </row>
    <row r="146" spans="1:20" ht="37.5" customHeight="1" x14ac:dyDescent="0.25">
      <c r="A146" s="19" t="s">
        <v>158</v>
      </c>
      <c r="B146">
        <f t="shared" si="19"/>
        <v>10399</v>
      </c>
      <c r="C146">
        <v>1698</v>
      </c>
      <c r="D146">
        <v>8701</v>
      </c>
      <c r="F146">
        <f t="shared" si="14"/>
        <v>431</v>
      </c>
      <c r="G146" s="20">
        <f t="shared" si="20"/>
        <v>141</v>
      </c>
      <c r="H146" s="21">
        <v>66622040344</v>
      </c>
      <c r="I146" s="22">
        <v>179</v>
      </c>
      <c r="J146" s="23"/>
      <c r="K146" s="24">
        <v>9968</v>
      </c>
      <c r="L146" s="23">
        <f t="shared" si="15"/>
        <v>431</v>
      </c>
      <c r="M146" s="24">
        <v>1622</v>
      </c>
      <c r="N146" s="25">
        <f t="shared" si="16"/>
        <v>76</v>
      </c>
      <c r="O146" s="24">
        <v>8346</v>
      </c>
      <c r="P146" s="23">
        <f t="shared" si="17"/>
        <v>355</v>
      </c>
      <c r="Q146" s="26"/>
      <c r="R146" s="23">
        <f t="shared" si="18"/>
        <v>0</v>
      </c>
      <c r="S146" s="27" t="s">
        <v>18</v>
      </c>
      <c r="T146" s="19" t="s">
        <v>158</v>
      </c>
    </row>
    <row r="147" spans="1:20" ht="37.5" customHeight="1" x14ac:dyDescent="0.25">
      <c r="A147" s="19" t="s">
        <v>159</v>
      </c>
      <c r="B147">
        <f t="shared" si="19"/>
        <v>27855</v>
      </c>
      <c r="C147">
        <v>4984</v>
      </c>
      <c r="D147">
        <v>22871</v>
      </c>
      <c r="F147">
        <f t="shared" si="14"/>
        <v>502</v>
      </c>
      <c r="G147" s="20">
        <f t="shared" si="20"/>
        <v>142</v>
      </c>
      <c r="H147" s="21">
        <v>88820010395</v>
      </c>
      <c r="I147" s="22">
        <v>181</v>
      </c>
      <c r="J147" s="23"/>
      <c r="K147" s="24">
        <v>27353</v>
      </c>
      <c r="L147" s="23">
        <f t="shared" si="15"/>
        <v>502</v>
      </c>
      <c r="M147" s="24">
        <v>4905</v>
      </c>
      <c r="N147" s="25">
        <f t="shared" si="16"/>
        <v>79</v>
      </c>
      <c r="O147" s="24">
        <v>22448</v>
      </c>
      <c r="P147" s="23">
        <f t="shared" si="17"/>
        <v>423</v>
      </c>
      <c r="Q147" s="26"/>
      <c r="R147" s="23">
        <f t="shared" si="18"/>
        <v>0</v>
      </c>
      <c r="S147" s="27" t="s">
        <v>18</v>
      </c>
      <c r="T147" s="19" t="s">
        <v>159</v>
      </c>
    </row>
    <row r="148" spans="1:20" ht="37.5" customHeight="1" x14ac:dyDescent="0.25">
      <c r="A148" s="19" t="s">
        <v>160</v>
      </c>
      <c r="B148">
        <f t="shared" si="19"/>
        <v>29410</v>
      </c>
      <c r="C148">
        <v>5603</v>
      </c>
      <c r="D148">
        <v>23807</v>
      </c>
      <c r="F148">
        <f t="shared" si="14"/>
        <v>261</v>
      </c>
      <c r="G148" s="20">
        <f t="shared" si="20"/>
        <v>143</v>
      </c>
      <c r="H148" s="21">
        <v>23014060131</v>
      </c>
      <c r="I148" s="22">
        <v>183</v>
      </c>
      <c r="J148" s="23"/>
      <c r="K148" s="24">
        <v>29149</v>
      </c>
      <c r="L148" s="23">
        <f t="shared" si="15"/>
        <v>261</v>
      </c>
      <c r="M148" s="24">
        <v>5551</v>
      </c>
      <c r="N148" s="25">
        <f t="shared" si="16"/>
        <v>52</v>
      </c>
      <c r="O148" s="24">
        <v>23598</v>
      </c>
      <c r="P148" s="23">
        <f t="shared" si="17"/>
        <v>209</v>
      </c>
      <c r="Q148" s="26"/>
      <c r="R148" s="23">
        <f t="shared" si="18"/>
        <v>0</v>
      </c>
      <c r="S148" s="27" t="s">
        <v>18</v>
      </c>
      <c r="T148" s="19" t="s">
        <v>160</v>
      </c>
    </row>
    <row r="149" spans="1:20" ht="37.5" customHeight="1" x14ac:dyDescent="0.25">
      <c r="A149" s="19" t="s">
        <v>161</v>
      </c>
      <c r="B149">
        <f t="shared" si="19"/>
        <v>60989</v>
      </c>
      <c r="C149">
        <v>11633</v>
      </c>
      <c r="D149">
        <v>49356</v>
      </c>
      <c r="F149">
        <f t="shared" si="14"/>
        <v>366</v>
      </c>
      <c r="G149" s="20">
        <f t="shared" si="20"/>
        <v>144</v>
      </c>
      <c r="H149" s="21">
        <v>23014010411</v>
      </c>
      <c r="I149" s="22">
        <v>184</v>
      </c>
      <c r="J149" s="23"/>
      <c r="K149" s="24">
        <v>60623</v>
      </c>
      <c r="L149" s="23">
        <f t="shared" si="15"/>
        <v>366</v>
      </c>
      <c r="M149" s="24">
        <v>11570</v>
      </c>
      <c r="N149" s="25">
        <f t="shared" si="16"/>
        <v>63</v>
      </c>
      <c r="O149" s="24">
        <v>49053</v>
      </c>
      <c r="P149" s="23">
        <f t="shared" si="17"/>
        <v>303</v>
      </c>
      <c r="Q149" s="26"/>
      <c r="R149" s="23">
        <f t="shared" si="18"/>
        <v>0</v>
      </c>
      <c r="S149" s="27" t="s">
        <v>18</v>
      </c>
      <c r="T149" s="19" t="s">
        <v>161</v>
      </c>
    </row>
    <row r="150" spans="1:20" ht="37.5" customHeight="1" x14ac:dyDescent="0.25">
      <c r="A150" s="19" t="s">
        <v>162</v>
      </c>
      <c r="B150">
        <f t="shared" si="19"/>
        <v>85594</v>
      </c>
      <c r="C150">
        <v>23140</v>
      </c>
      <c r="D150">
        <v>62454</v>
      </c>
      <c r="F150">
        <f t="shared" si="14"/>
        <v>302</v>
      </c>
      <c r="G150" s="20">
        <f t="shared" si="20"/>
        <v>145</v>
      </c>
      <c r="H150" s="21">
        <v>23010090129</v>
      </c>
      <c r="I150" s="22">
        <v>185</v>
      </c>
      <c r="J150" s="23"/>
      <c r="K150" s="24">
        <v>85292</v>
      </c>
      <c r="L150" s="23">
        <f t="shared" si="15"/>
        <v>302</v>
      </c>
      <c r="M150" s="24">
        <v>23095</v>
      </c>
      <c r="N150" s="25">
        <f t="shared" si="16"/>
        <v>45</v>
      </c>
      <c r="O150" s="24">
        <v>62197</v>
      </c>
      <c r="P150" s="23">
        <f t="shared" si="17"/>
        <v>257</v>
      </c>
      <c r="Q150" s="26"/>
      <c r="R150" s="23">
        <f t="shared" si="18"/>
        <v>0</v>
      </c>
      <c r="S150" s="27" t="s">
        <v>18</v>
      </c>
      <c r="T150" s="19" t="s">
        <v>162</v>
      </c>
    </row>
    <row r="151" spans="1:20" ht="37.5" customHeight="1" x14ac:dyDescent="0.25">
      <c r="A151" s="19" t="s">
        <v>163</v>
      </c>
      <c r="B151">
        <f t="shared" si="19"/>
        <v>48786</v>
      </c>
      <c r="C151">
        <v>9020</v>
      </c>
      <c r="D151">
        <v>39766</v>
      </c>
      <c r="F151">
        <f t="shared" si="14"/>
        <v>113</v>
      </c>
      <c r="G151" s="20">
        <f t="shared" si="20"/>
        <v>146</v>
      </c>
      <c r="H151" s="21">
        <v>23014090819</v>
      </c>
      <c r="I151" s="22">
        <v>186</v>
      </c>
      <c r="J151" s="23"/>
      <c r="K151" s="24">
        <v>48673</v>
      </c>
      <c r="L151" s="23">
        <f t="shared" si="15"/>
        <v>113</v>
      </c>
      <c r="M151" s="24">
        <v>9000</v>
      </c>
      <c r="N151" s="25">
        <f t="shared" si="16"/>
        <v>20</v>
      </c>
      <c r="O151" s="24">
        <v>39673</v>
      </c>
      <c r="P151" s="23">
        <f t="shared" si="17"/>
        <v>93</v>
      </c>
      <c r="Q151" s="26"/>
      <c r="R151" s="23">
        <f t="shared" si="18"/>
        <v>0</v>
      </c>
      <c r="S151" s="27" t="s">
        <v>18</v>
      </c>
      <c r="T151" s="19" t="s">
        <v>163</v>
      </c>
    </row>
    <row r="152" spans="1:20" ht="37.5" customHeight="1" x14ac:dyDescent="0.25">
      <c r="A152" s="19" t="s">
        <v>164</v>
      </c>
      <c r="B152">
        <f t="shared" si="19"/>
        <v>3604</v>
      </c>
      <c r="C152">
        <v>986</v>
      </c>
      <c r="D152">
        <v>2618</v>
      </c>
      <c r="E152">
        <v>4497</v>
      </c>
      <c r="F152">
        <f t="shared" si="14"/>
        <v>307</v>
      </c>
      <c r="G152" s="20">
        <f t="shared" si="20"/>
        <v>147</v>
      </c>
      <c r="H152" s="21">
        <v>99624020261</v>
      </c>
      <c r="I152" s="22">
        <v>190</v>
      </c>
      <c r="J152" s="23"/>
      <c r="K152" s="24">
        <f>M152+O152</f>
        <v>3297</v>
      </c>
      <c r="L152" s="23">
        <f t="shared" si="15"/>
        <v>307</v>
      </c>
      <c r="M152" s="24">
        <v>913</v>
      </c>
      <c r="N152" s="25">
        <f t="shared" si="16"/>
        <v>73</v>
      </c>
      <c r="O152" s="24">
        <v>2384</v>
      </c>
      <c r="P152" s="23">
        <f t="shared" si="17"/>
        <v>234</v>
      </c>
      <c r="Q152" s="26">
        <v>3877</v>
      </c>
      <c r="R152" s="23">
        <f t="shared" si="18"/>
        <v>620</v>
      </c>
      <c r="S152" s="27" t="s">
        <v>18</v>
      </c>
      <c r="T152" s="19" t="s">
        <v>164</v>
      </c>
    </row>
    <row r="153" spans="1:20" ht="37.5" customHeight="1" x14ac:dyDescent="0.25">
      <c r="A153" s="19" t="s">
        <v>165</v>
      </c>
      <c r="B153">
        <f t="shared" si="19"/>
        <v>5007</v>
      </c>
      <c r="C153">
        <v>1420</v>
      </c>
      <c r="D153">
        <v>3587</v>
      </c>
      <c r="E153">
        <v>5748</v>
      </c>
      <c r="F153">
        <f t="shared" si="14"/>
        <v>281</v>
      </c>
      <c r="G153" s="20">
        <f t="shared" si="20"/>
        <v>148</v>
      </c>
      <c r="H153" s="21">
        <v>99624020223</v>
      </c>
      <c r="I153" s="22">
        <v>191</v>
      </c>
      <c r="J153" s="23"/>
      <c r="K153" s="24">
        <f>M153+O153</f>
        <v>4726</v>
      </c>
      <c r="L153" s="23">
        <f t="shared" si="15"/>
        <v>281</v>
      </c>
      <c r="M153" s="24">
        <v>1358</v>
      </c>
      <c r="N153" s="25">
        <f t="shared" si="16"/>
        <v>62</v>
      </c>
      <c r="O153" s="24">
        <v>3368</v>
      </c>
      <c r="P153" s="23">
        <f t="shared" si="17"/>
        <v>219</v>
      </c>
      <c r="Q153" s="26">
        <v>4902</v>
      </c>
      <c r="R153" s="23">
        <f t="shared" si="18"/>
        <v>846</v>
      </c>
      <c r="S153" s="27" t="s">
        <v>18</v>
      </c>
      <c r="T153" s="19" t="s">
        <v>165</v>
      </c>
    </row>
    <row r="154" spans="1:20" ht="37.5" customHeight="1" x14ac:dyDescent="0.25">
      <c r="A154" s="19" t="s">
        <v>166</v>
      </c>
      <c r="B154">
        <f t="shared" si="19"/>
        <v>46176</v>
      </c>
      <c r="C154">
        <v>9026</v>
      </c>
      <c r="D154">
        <v>37150</v>
      </c>
      <c r="F154">
        <f t="shared" si="14"/>
        <v>520</v>
      </c>
      <c r="G154" s="20">
        <f t="shared" si="20"/>
        <v>149</v>
      </c>
      <c r="H154" s="21">
        <v>66617010134</v>
      </c>
      <c r="I154" s="22">
        <v>193</v>
      </c>
      <c r="J154" s="23"/>
      <c r="K154" s="24">
        <v>45656</v>
      </c>
      <c r="L154" s="23">
        <f t="shared" si="15"/>
        <v>520</v>
      </c>
      <c r="M154" s="24">
        <v>8932</v>
      </c>
      <c r="N154" s="25">
        <f t="shared" si="16"/>
        <v>94</v>
      </c>
      <c r="O154" s="24">
        <v>36724</v>
      </c>
      <c r="P154" s="23">
        <f t="shared" si="17"/>
        <v>426</v>
      </c>
      <c r="Q154" s="26"/>
      <c r="R154" s="23">
        <f t="shared" si="18"/>
        <v>0</v>
      </c>
      <c r="S154" s="27" t="s">
        <v>18</v>
      </c>
      <c r="T154" s="19" t="s">
        <v>166</v>
      </c>
    </row>
    <row r="155" spans="1:20" ht="37.5" customHeight="1" x14ac:dyDescent="0.25">
      <c r="A155" s="19" t="s">
        <v>167</v>
      </c>
      <c r="B155">
        <f t="shared" si="19"/>
        <v>853</v>
      </c>
      <c r="C155">
        <v>277</v>
      </c>
      <c r="D155">
        <v>576</v>
      </c>
      <c r="E155">
        <v>2820</v>
      </c>
      <c r="F155">
        <f t="shared" si="14"/>
        <v>230</v>
      </c>
      <c r="G155" s="20">
        <f t="shared" si="20"/>
        <v>150</v>
      </c>
      <c r="H155" s="21">
        <v>99624050144</v>
      </c>
      <c r="I155" s="22">
        <v>194</v>
      </c>
      <c r="J155" s="23"/>
      <c r="K155" s="24">
        <f>M155+O155</f>
        <v>623</v>
      </c>
      <c r="L155" s="23">
        <f t="shared" si="15"/>
        <v>230</v>
      </c>
      <c r="M155" s="24">
        <v>208</v>
      </c>
      <c r="N155" s="25">
        <f t="shared" si="16"/>
        <v>69</v>
      </c>
      <c r="O155" s="24">
        <v>415</v>
      </c>
      <c r="P155" s="23">
        <f t="shared" si="17"/>
        <v>161</v>
      </c>
      <c r="Q155" s="26">
        <v>1983</v>
      </c>
      <c r="R155" s="23">
        <f t="shared" si="18"/>
        <v>837</v>
      </c>
      <c r="S155" s="27" t="s">
        <v>18</v>
      </c>
      <c r="T155" s="19" t="s">
        <v>167</v>
      </c>
    </row>
    <row r="156" spans="1:20" ht="37.5" customHeight="1" x14ac:dyDescent="0.25">
      <c r="A156" s="19" t="s">
        <v>168</v>
      </c>
      <c r="B156">
        <f t="shared" si="19"/>
        <v>4126</v>
      </c>
      <c r="C156">
        <v>875</v>
      </c>
      <c r="D156">
        <v>3251</v>
      </c>
      <c r="F156">
        <f t="shared" si="14"/>
        <v>414</v>
      </c>
      <c r="G156" s="20">
        <f t="shared" si="20"/>
        <v>151</v>
      </c>
      <c r="H156" s="21">
        <v>66622060153</v>
      </c>
      <c r="I156" s="22">
        <v>195</v>
      </c>
      <c r="J156" s="23"/>
      <c r="K156" s="24">
        <v>3712</v>
      </c>
      <c r="L156" s="23">
        <f t="shared" si="15"/>
        <v>414</v>
      </c>
      <c r="M156" s="24">
        <v>796</v>
      </c>
      <c r="N156" s="25">
        <f t="shared" si="16"/>
        <v>79</v>
      </c>
      <c r="O156" s="24">
        <v>2916</v>
      </c>
      <c r="P156" s="23">
        <f t="shared" si="17"/>
        <v>335</v>
      </c>
      <c r="Q156" s="26"/>
      <c r="R156" s="23">
        <f t="shared" si="18"/>
        <v>0</v>
      </c>
      <c r="S156" s="27" t="s">
        <v>18</v>
      </c>
      <c r="T156" s="19" t="s">
        <v>168</v>
      </c>
    </row>
    <row r="157" spans="1:20" ht="37.5" customHeight="1" x14ac:dyDescent="0.25">
      <c r="A157" s="19" t="s">
        <v>169</v>
      </c>
      <c r="B157">
        <f t="shared" si="19"/>
        <v>3460</v>
      </c>
      <c r="C157">
        <v>875</v>
      </c>
      <c r="D157">
        <v>2585</v>
      </c>
      <c r="E157">
        <v>8425</v>
      </c>
      <c r="F157">
        <f t="shared" si="14"/>
        <v>213</v>
      </c>
      <c r="G157" s="20">
        <f t="shared" si="20"/>
        <v>152</v>
      </c>
      <c r="H157" s="21">
        <v>99623080344</v>
      </c>
      <c r="I157" s="22">
        <v>196</v>
      </c>
      <c r="J157" s="23"/>
      <c r="K157" s="24">
        <f>M157+O157</f>
        <v>3247</v>
      </c>
      <c r="L157" s="23">
        <f t="shared" si="15"/>
        <v>213</v>
      </c>
      <c r="M157" s="24">
        <v>828</v>
      </c>
      <c r="N157" s="25">
        <f t="shared" si="16"/>
        <v>47</v>
      </c>
      <c r="O157" s="24">
        <v>2419</v>
      </c>
      <c r="P157" s="23">
        <f t="shared" si="17"/>
        <v>166</v>
      </c>
      <c r="Q157" s="26">
        <v>7742</v>
      </c>
      <c r="R157" s="23">
        <f t="shared" si="18"/>
        <v>683</v>
      </c>
      <c r="S157" s="27" t="s">
        <v>18</v>
      </c>
      <c r="T157" s="19" t="s">
        <v>169</v>
      </c>
    </row>
    <row r="158" spans="1:20" ht="37.5" customHeight="1" x14ac:dyDescent="0.25">
      <c r="A158" s="19" t="s">
        <v>170</v>
      </c>
      <c r="B158">
        <f t="shared" si="19"/>
        <v>1973</v>
      </c>
      <c r="C158">
        <v>560</v>
      </c>
      <c r="D158">
        <v>1413</v>
      </c>
      <c r="E158">
        <v>2416</v>
      </c>
      <c r="F158">
        <f t="shared" si="14"/>
        <v>438</v>
      </c>
      <c r="G158" s="20">
        <f t="shared" si="20"/>
        <v>153</v>
      </c>
      <c r="H158" s="21">
        <v>99624040322</v>
      </c>
      <c r="I158" s="22">
        <v>197</v>
      </c>
      <c r="J158" s="23"/>
      <c r="K158" s="24">
        <f>M158+O158</f>
        <v>1535</v>
      </c>
      <c r="L158" s="23">
        <f t="shared" si="15"/>
        <v>438</v>
      </c>
      <c r="M158" s="24">
        <v>448</v>
      </c>
      <c r="N158" s="25">
        <f t="shared" si="16"/>
        <v>112</v>
      </c>
      <c r="O158" s="24">
        <v>1087</v>
      </c>
      <c r="P158" s="23">
        <f t="shared" si="17"/>
        <v>326</v>
      </c>
      <c r="Q158" s="26">
        <v>1833</v>
      </c>
      <c r="R158" s="23">
        <f t="shared" si="18"/>
        <v>583</v>
      </c>
      <c r="S158" s="27" t="s">
        <v>18</v>
      </c>
      <c r="T158" s="19" t="s">
        <v>170</v>
      </c>
    </row>
    <row r="159" spans="1:20" ht="37.5" customHeight="1" x14ac:dyDescent="0.25">
      <c r="A159" s="19" t="s">
        <v>171</v>
      </c>
      <c r="B159">
        <f t="shared" si="19"/>
        <v>17434</v>
      </c>
      <c r="C159">
        <v>3238</v>
      </c>
      <c r="D159">
        <v>14196</v>
      </c>
      <c r="F159">
        <f t="shared" si="14"/>
        <v>344</v>
      </c>
      <c r="G159" s="20">
        <f t="shared" si="20"/>
        <v>154</v>
      </c>
      <c r="H159" s="21">
        <v>66622030341</v>
      </c>
      <c r="I159" s="22">
        <v>198</v>
      </c>
      <c r="J159" s="23"/>
      <c r="K159" s="24">
        <v>17090</v>
      </c>
      <c r="L159" s="23">
        <f t="shared" si="15"/>
        <v>344</v>
      </c>
      <c r="M159" s="24">
        <v>3168</v>
      </c>
      <c r="N159" s="25">
        <f t="shared" si="16"/>
        <v>70</v>
      </c>
      <c r="O159" s="24">
        <v>13922</v>
      </c>
      <c r="P159" s="23">
        <f t="shared" si="17"/>
        <v>274</v>
      </c>
      <c r="Q159" s="26"/>
      <c r="R159" s="23">
        <f t="shared" si="18"/>
        <v>0</v>
      </c>
      <c r="S159" s="27" t="s">
        <v>18</v>
      </c>
      <c r="T159" s="19" t="s">
        <v>171</v>
      </c>
    </row>
    <row r="160" spans="1:20" ht="37.5" customHeight="1" x14ac:dyDescent="0.25">
      <c r="A160" s="19" t="s">
        <v>172</v>
      </c>
      <c r="B160">
        <f t="shared" si="19"/>
        <v>24896</v>
      </c>
      <c r="C160">
        <v>4076</v>
      </c>
      <c r="D160">
        <v>20820</v>
      </c>
      <c r="F160">
        <f t="shared" si="14"/>
        <v>133</v>
      </c>
      <c r="G160" s="20">
        <f t="shared" si="20"/>
        <v>155</v>
      </c>
      <c r="H160" s="21">
        <v>88820040330</v>
      </c>
      <c r="I160" s="22">
        <v>199</v>
      </c>
      <c r="J160" s="23"/>
      <c r="K160" s="24">
        <v>24763</v>
      </c>
      <c r="L160" s="23">
        <f t="shared" si="15"/>
        <v>133</v>
      </c>
      <c r="M160" s="24">
        <v>4053</v>
      </c>
      <c r="N160" s="25">
        <f t="shared" si="16"/>
        <v>23</v>
      </c>
      <c r="O160" s="24">
        <v>20710</v>
      </c>
      <c r="P160" s="23">
        <f t="shared" si="17"/>
        <v>110</v>
      </c>
      <c r="Q160" s="26"/>
      <c r="R160" s="23">
        <f t="shared" si="18"/>
        <v>0</v>
      </c>
      <c r="S160" s="27" t="s">
        <v>18</v>
      </c>
      <c r="T160" s="19" t="s">
        <v>172</v>
      </c>
    </row>
    <row r="161" spans="1:20" ht="37.5" customHeight="1" x14ac:dyDescent="0.25">
      <c r="A161" s="19" t="s">
        <v>173</v>
      </c>
      <c r="B161">
        <f t="shared" si="19"/>
        <v>78670</v>
      </c>
      <c r="C161">
        <v>13893</v>
      </c>
      <c r="D161">
        <v>64777</v>
      </c>
      <c r="F161">
        <f t="shared" si="14"/>
        <v>496</v>
      </c>
      <c r="G161" s="20">
        <f t="shared" si="20"/>
        <v>156</v>
      </c>
      <c r="H161" s="21">
        <v>23014060295</v>
      </c>
      <c r="I161" s="22">
        <v>200</v>
      </c>
      <c r="J161" s="23"/>
      <c r="K161" s="24">
        <v>78174</v>
      </c>
      <c r="L161" s="23">
        <f t="shared" si="15"/>
        <v>496</v>
      </c>
      <c r="M161" s="24">
        <v>13814</v>
      </c>
      <c r="N161" s="25">
        <f t="shared" si="16"/>
        <v>79</v>
      </c>
      <c r="O161" s="24">
        <v>64360</v>
      </c>
      <c r="P161" s="23">
        <f t="shared" si="17"/>
        <v>417</v>
      </c>
      <c r="Q161" s="26"/>
      <c r="R161" s="23">
        <f t="shared" si="18"/>
        <v>0</v>
      </c>
      <c r="S161" s="27" t="s">
        <v>18</v>
      </c>
      <c r="T161" s="19" t="s">
        <v>173</v>
      </c>
    </row>
    <row r="162" spans="1:20" ht="37.5" customHeight="1" x14ac:dyDescent="0.25">
      <c r="A162" s="19" t="s">
        <v>174</v>
      </c>
      <c r="B162">
        <f t="shared" si="19"/>
        <v>15645</v>
      </c>
      <c r="C162">
        <v>3158</v>
      </c>
      <c r="D162">
        <v>12487</v>
      </c>
      <c r="F162">
        <f t="shared" si="14"/>
        <v>496</v>
      </c>
      <c r="G162" s="20">
        <f t="shared" si="20"/>
        <v>157</v>
      </c>
      <c r="H162" s="21">
        <v>88820030271</v>
      </c>
      <c r="I162" s="22">
        <v>201</v>
      </c>
      <c r="J162" s="23"/>
      <c r="K162" s="24">
        <v>15149</v>
      </c>
      <c r="L162" s="23">
        <f t="shared" si="15"/>
        <v>496</v>
      </c>
      <c r="M162" s="24">
        <v>3074</v>
      </c>
      <c r="N162" s="25">
        <f t="shared" si="16"/>
        <v>84</v>
      </c>
      <c r="O162" s="24">
        <v>12075</v>
      </c>
      <c r="P162" s="23">
        <f t="shared" si="17"/>
        <v>412</v>
      </c>
      <c r="Q162" s="26"/>
      <c r="R162" s="23">
        <f t="shared" si="18"/>
        <v>0</v>
      </c>
      <c r="S162" s="27" t="s">
        <v>18</v>
      </c>
      <c r="T162" s="19" t="s">
        <v>174</v>
      </c>
    </row>
    <row r="163" spans="1:20" ht="37.5" customHeight="1" x14ac:dyDescent="0.25">
      <c r="A163" s="19" t="s">
        <v>175</v>
      </c>
      <c r="B163">
        <f t="shared" si="19"/>
        <v>15913</v>
      </c>
      <c r="C163">
        <v>2896</v>
      </c>
      <c r="D163">
        <v>13017</v>
      </c>
      <c r="F163">
        <f t="shared" si="14"/>
        <v>307</v>
      </c>
      <c r="G163" s="20">
        <f t="shared" si="20"/>
        <v>158</v>
      </c>
      <c r="H163" s="21">
        <v>66621090349</v>
      </c>
      <c r="I163" s="22">
        <v>203</v>
      </c>
      <c r="J163" s="23"/>
      <c r="K163" s="24">
        <v>15606</v>
      </c>
      <c r="L163" s="23">
        <f t="shared" si="15"/>
        <v>307</v>
      </c>
      <c r="M163" s="24">
        <v>2842</v>
      </c>
      <c r="N163" s="25">
        <f t="shared" si="16"/>
        <v>54</v>
      </c>
      <c r="O163" s="24">
        <v>12764</v>
      </c>
      <c r="P163" s="23">
        <f t="shared" si="17"/>
        <v>253</v>
      </c>
      <c r="Q163" s="26"/>
      <c r="R163" s="23">
        <f t="shared" si="18"/>
        <v>0</v>
      </c>
      <c r="S163" s="27" t="s">
        <v>18</v>
      </c>
      <c r="T163" s="19" t="s">
        <v>175</v>
      </c>
    </row>
    <row r="164" spans="1:20" ht="37.5" customHeight="1" x14ac:dyDescent="0.25">
      <c r="A164" s="19" t="s">
        <v>176</v>
      </c>
      <c r="B164">
        <f t="shared" si="19"/>
        <v>32602</v>
      </c>
      <c r="C164">
        <v>6329</v>
      </c>
      <c r="D164">
        <v>26273</v>
      </c>
      <c r="F164">
        <f t="shared" si="14"/>
        <v>418</v>
      </c>
      <c r="G164" s="20">
        <f t="shared" si="20"/>
        <v>159</v>
      </c>
      <c r="H164" s="21">
        <v>88820030316</v>
      </c>
      <c r="I164" s="22">
        <v>204</v>
      </c>
      <c r="J164" s="23"/>
      <c r="K164" s="24">
        <v>32184</v>
      </c>
      <c r="L164" s="23">
        <f t="shared" si="15"/>
        <v>418</v>
      </c>
      <c r="M164" s="24">
        <v>6259</v>
      </c>
      <c r="N164" s="25">
        <f t="shared" si="16"/>
        <v>70</v>
      </c>
      <c r="O164" s="24">
        <v>25925</v>
      </c>
      <c r="P164" s="23">
        <f t="shared" si="17"/>
        <v>348</v>
      </c>
      <c r="Q164" s="26"/>
      <c r="R164" s="23">
        <f t="shared" si="18"/>
        <v>0</v>
      </c>
      <c r="S164" s="27" t="s">
        <v>18</v>
      </c>
      <c r="T164" s="19" t="s">
        <v>176</v>
      </c>
    </row>
    <row r="165" spans="1:20" ht="37.5" customHeight="1" x14ac:dyDescent="0.25">
      <c r="A165" s="19" t="s">
        <v>177</v>
      </c>
      <c r="B165">
        <f t="shared" si="19"/>
        <v>15434</v>
      </c>
      <c r="C165">
        <v>2143</v>
      </c>
      <c r="D165">
        <v>13291</v>
      </c>
      <c r="F165">
        <f t="shared" si="14"/>
        <v>355</v>
      </c>
      <c r="G165" s="20">
        <f t="shared" si="20"/>
        <v>160</v>
      </c>
      <c r="H165" s="21">
        <v>66621030136</v>
      </c>
      <c r="I165" s="22">
        <v>205</v>
      </c>
      <c r="J165" s="23"/>
      <c r="K165" s="24">
        <v>15079</v>
      </c>
      <c r="L165" s="23">
        <f t="shared" si="15"/>
        <v>355</v>
      </c>
      <c r="M165" s="24">
        <v>2086</v>
      </c>
      <c r="N165" s="25">
        <f t="shared" si="16"/>
        <v>57</v>
      </c>
      <c r="O165" s="24">
        <v>12993</v>
      </c>
      <c r="P165" s="23">
        <f t="shared" si="17"/>
        <v>298</v>
      </c>
      <c r="Q165" s="26"/>
      <c r="R165" s="23">
        <f t="shared" si="18"/>
        <v>0</v>
      </c>
      <c r="S165" s="27" t="s">
        <v>18</v>
      </c>
      <c r="T165" s="19" t="s">
        <v>177</v>
      </c>
    </row>
    <row r="166" spans="1:20" ht="37.5" customHeight="1" x14ac:dyDescent="0.25">
      <c r="A166" s="19" t="s">
        <v>178</v>
      </c>
      <c r="B166">
        <f t="shared" si="19"/>
        <v>23490</v>
      </c>
      <c r="C166">
        <v>4410</v>
      </c>
      <c r="D166">
        <v>19080</v>
      </c>
      <c r="F166">
        <f t="shared" si="14"/>
        <v>293</v>
      </c>
      <c r="G166" s="20">
        <f t="shared" si="20"/>
        <v>161</v>
      </c>
      <c r="H166" s="21">
        <v>66619040194</v>
      </c>
      <c r="I166" s="22">
        <v>207</v>
      </c>
      <c r="J166" s="23"/>
      <c r="K166" s="24">
        <v>23197</v>
      </c>
      <c r="L166" s="23">
        <f t="shared" si="15"/>
        <v>293</v>
      </c>
      <c r="M166" s="24">
        <v>4354</v>
      </c>
      <c r="N166" s="25">
        <f t="shared" si="16"/>
        <v>56</v>
      </c>
      <c r="O166" s="24">
        <v>18843</v>
      </c>
      <c r="P166" s="23">
        <f t="shared" si="17"/>
        <v>237</v>
      </c>
      <c r="Q166" s="26"/>
      <c r="R166" s="23">
        <f t="shared" si="18"/>
        <v>0</v>
      </c>
      <c r="S166" s="27" t="s">
        <v>18</v>
      </c>
      <c r="T166" s="19" t="s">
        <v>178</v>
      </c>
    </row>
    <row r="167" spans="1:20" ht="37.5" customHeight="1" x14ac:dyDescent="0.25">
      <c r="A167" s="19" t="s">
        <v>179</v>
      </c>
      <c r="B167">
        <f t="shared" si="19"/>
        <v>5822</v>
      </c>
      <c r="C167">
        <v>966</v>
      </c>
      <c r="D167">
        <v>4856</v>
      </c>
      <c r="F167">
        <f t="shared" si="14"/>
        <v>0</v>
      </c>
      <c r="G167" s="20">
        <f t="shared" si="20"/>
        <v>162</v>
      </c>
      <c r="H167" s="21">
        <v>88818010266</v>
      </c>
      <c r="I167" s="22">
        <v>208</v>
      </c>
      <c r="J167" s="23"/>
      <c r="K167" s="24">
        <v>5822</v>
      </c>
      <c r="L167" s="23">
        <f t="shared" si="15"/>
        <v>0</v>
      </c>
      <c r="M167" s="24">
        <v>966</v>
      </c>
      <c r="N167" s="25">
        <f t="shared" si="16"/>
        <v>0</v>
      </c>
      <c r="O167" s="24">
        <v>4856</v>
      </c>
      <c r="P167" s="23">
        <f t="shared" si="17"/>
        <v>0</v>
      </c>
      <c r="Q167" s="26"/>
      <c r="R167" s="23">
        <f t="shared" si="18"/>
        <v>0</v>
      </c>
      <c r="S167" s="27" t="s">
        <v>18</v>
      </c>
      <c r="T167" s="19" t="s">
        <v>179</v>
      </c>
    </row>
    <row r="168" spans="1:20" ht="37.5" customHeight="1" x14ac:dyDescent="0.25">
      <c r="A168" s="19" t="s">
        <v>180</v>
      </c>
      <c r="B168">
        <f t="shared" si="19"/>
        <v>62463</v>
      </c>
      <c r="C168">
        <v>10931</v>
      </c>
      <c r="D168">
        <v>51532</v>
      </c>
      <c r="F168">
        <f t="shared" si="14"/>
        <v>224</v>
      </c>
      <c r="G168" s="20">
        <f t="shared" si="20"/>
        <v>163</v>
      </c>
      <c r="H168" s="21">
        <v>23013042287</v>
      </c>
      <c r="I168" s="22">
        <v>209</v>
      </c>
      <c r="J168" s="23"/>
      <c r="K168" s="24">
        <v>62239</v>
      </c>
      <c r="L168" s="23">
        <f t="shared" si="15"/>
        <v>224</v>
      </c>
      <c r="M168" s="24">
        <v>10895</v>
      </c>
      <c r="N168" s="25">
        <f t="shared" si="16"/>
        <v>36</v>
      </c>
      <c r="O168" s="24">
        <v>51344</v>
      </c>
      <c r="P168" s="23">
        <f t="shared" si="17"/>
        <v>188</v>
      </c>
      <c r="Q168" s="26"/>
      <c r="R168" s="23">
        <f t="shared" si="18"/>
        <v>0</v>
      </c>
      <c r="S168" s="27" t="s">
        <v>18</v>
      </c>
      <c r="T168" s="19" t="s">
        <v>180</v>
      </c>
    </row>
    <row r="169" spans="1:20" ht="37.5" customHeight="1" x14ac:dyDescent="0.25">
      <c r="A169" s="19" t="s">
        <v>181</v>
      </c>
      <c r="B169">
        <f t="shared" si="19"/>
        <v>3854</v>
      </c>
      <c r="C169">
        <v>874</v>
      </c>
      <c r="D169">
        <v>2980</v>
      </c>
      <c r="E169">
        <v>5497</v>
      </c>
      <c r="F169">
        <f t="shared" si="14"/>
        <v>251</v>
      </c>
      <c r="G169" s="20">
        <f t="shared" si="20"/>
        <v>164</v>
      </c>
      <c r="H169" s="21">
        <v>99624010055</v>
      </c>
      <c r="I169" s="22">
        <v>211</v>
      </c>
      <c r="J169" s="23"/>
      <c r="K169" s="24">
        <f>M169+O169</f>
        <v>3603</v>
      </c>
      <c r="L169" s="23">
        <f t="shared" si="15"/>
        <v>251</v>
      </c>
      <c r="M169" s="24">
        <v>815</v>
      </c>
      <c r="N169" s="25">
        <f t="shared" si="16"/>
        <v>59</v>
      </c>
      <c r="O169" s="24">
        <v>2788</v>
      </c>
      <c r="P169" s="23">
        <f t="shared" si="17"/>
        <v>192</v>
      </c>
      <c r="Q169" s="26">
        <v>4973</v>
      </c>
      <c r="R169" s="23">
        <f t="shared" si="18"/>
        <v>524</v>
      </c>
      <c r="S169" s="27" t="s">
        <v>18</v>
      </c>
      <c r="T169" s="19" t="s">
        <v>181</v>
      </c>
    </row>
    <row r="170" spans="1:20" ht="37.5" customHeight="1" x14ac:dyDescent="0.25">
      <c r="A170" s="19" t="s">
        <v>182</v>
      </c>
      <c r="B170">
        <f t="shared" si="19"/>
        <v>1317</v>
      </c>
      <c r="C170">
        <v>117</v>
      </c>
      <c r="D170">
        <v>1200</v>
      </c>
      <c r="F170">
        <f t="shared" si="14"/>
        <v>37</v>
      </c>
      <c r="G170" s="20">
        <f t="shared" si="20"/>
        <v>165</v>
      </c>
      <c r="H170" s="21">
        <v>88821080299</v>
      </c>
      <c r="I170" s="22">
        <v>213</v>
      </c>
      <c r="J170" s="23"/>
      <c r="K170" s="24">
        <v>1280</v>
      </c>
      <c r="L170" s="23">
        <f t="shared" si="15"/>
        <v>37</v>
      </c>
      <c r="M170" s="24">
        <v>113</v>
      </c>
      <c r="N170" s="25">
        <f t="shared" si="16"/>
        <v>4</v>
      </c>
      <c r="O170" s="24">
        <v>1167</v>
      </c>
      <c r="P170" s="23">
        <f t="shared" si="17"/>
        <v>33</v>
      </c>
      <c r="Q170" s="26"/>
      <c r="R170" s="23">
        <f t="shared" si="18"/>
        <v>0</v>
      </c>
      <c r="S170" s="27" t="s">
        <v>18</v>
      </c>
      <c r="T170" s="19" t="s">
        <v>182</v>
      </c>
    </row>
    <row r="171" spans="1:20" ht="37.5" customHeight="1" x14ac:dyDescent="0.25">
      <c r="A171" s="19" t="s">
        <v>183</v>
      </c>
      <c r="B171">
        <f t="shared" si="19"/>
        <v>4679</v>
      </c>
      <c r="C171">
        <v>759</v>
      </c>
      <c r="D171">
        <v>3920</v>
      </c>
      <c r="F171">
        <f t="shared" si="14"/>
        <v>29</v>
      </c>
      <c r="G171" s="20">
        <f t="shared" si="20"/>
        <v>166</v>
      </c>
      <c r="H171" s="21">
        <v>88819010087</v>
      </c>
      <c r="I171" s="22">
        <v>214</v>
      </c>
      <c r="J171" s="23"/>
      <c r="K171" s="24">
        <v>4650</v>
      </c>
      <c r="L171" s="23">
        <f t="shared" si="15"/>
        <v>29</v>
      </c>
      <c r="M171" s="24">
        <v>755</v>
      </c>
      <c r="N171" s="25">
        <f t="shared" si="16"/>
        <v>4</v>
      </c>
      <c r="O171" s="24">
        <v>3895</v>
      </c>
      <c r="P171" s="23">
        <f t="shared" si="17"/>
        <v>25</v>
      </c>
      <c r="Q171" s="26"/>
      <c r="R171" s="23">
        <f t="shared" si="18"/>
        <v>0</v>
      </c>
      <c r="S171" s="27" t="s">
        <v>18</v>
      </c>
      <c r="T171" s="19" t="s">
        <v>183</v>
      </c>
    </row>
    <row r="172" spans="1:20" ht="37.5" customHeight="1" x14ac:dyDescent="0.25">
      <c r="A172" s="19" t="s">
        <v>184</v>
      </c>
      <c r="B172">
        <f t="shared" si="19"/>
        <v>46974</v>
      </c>
      <c r="C172">
        <v>8689</v>
      </c>
      <c r="D172">
        <v>38285</v>
      </c>
      <c r="F172">
        <f t="shared" si="14"/>
        <v>403</v>
      </c>
      <c r="G172" s="20">
        <f t="shared" si="20"/>
        <v>167</v>
      </c>
      <c r="H172" s="21">
        <v>23012110174</v>
      </c>
      <c r="I172" s="22">
        <v>215</v>
      </c>
      <c r="J172" s="23"/>
      <c r="K172" s="24">
        <v>46571</v>
      </c>
      <c r="L172" s="23">
        <f t="shared" si="15"/>
        <v>403</v>
      </c>
      <c r="M172" s="24">
        <v>8613</v>
      </c>
      <c r="N172" s="25">
        <f t="shared" si="16"/>
        <v>76</v>
      </c>
      <c r="O172" s="24">
        <v>37958</v>
      </c>
      <c r="P172" s="23">
        <f t="shared" si="17"/>
        <v>327</v>
      </c>
      <c r="Q172" s="26"/>
      <c r="R172" s="23">
        <f t="shared" si="18"/>
        <v>0</v>
      </c>
      <c r="S172" s="27" t="s">
        <v>18</v>
      </c>
      <c r="T172" s="19" t="s">
        <v>184</v>
      </c>
    </row>
    <row r="173" spans="1:20" ht="37.5" customHeight="1" x14ac:dyDescent="0.25">
      <c r="A173" s="19" t="s">
        <v>185</v>
      </c>
      <c r="B173">
        <f t="shared" si="19"/>
        <v>9756</v>
      </c>
      <c r="C173">
        <v>1639</v>
      </c>
      <c r="D173">
        <v>8117</v>
      </c>
      <c r="F173">
        <f t="shared" si="14"/>
        <v>2</v>
      </c>
      <c r="G173" s="20">
        <f t="shared" si="20"/>
        <v>168</v>
      </c>
      <c r="H173" s="21">
        <v>66621030103</v>
      </c>
      <c r="I173" s="22">
        <v>216</v>
      </c>
      <c r="J173" s="23"/>
      <c r="K173" s="24">
        <v>9754</v>
      </c>
      <c r="L173" s="23">
        <f t="shared" si="15"/>
        <v>2</v>
      </c>
      <c r="M173" s="24">
        <v>1639</v>
      </c>
      <c r="N173" s="25">
        <f t="shared" si="16"/>
        <v>0</v>
      </c>
      <c r="O173" s="24">
        <v>8115</v>
      </c>
      <c r="P173" s="23">
        <f t="shared" si="17"/>
        <v>2</v>
      </c>
      <c r="Q173" s="26"/>
      <c r="R173" s="23">
        <f t="shared" si="18"/>
        <v>0</v>
      </c>
      <c r="S173" s="27" t="s">
        <v>18</v>
      </c>
      <c r="T173" s="19" t="s">
        <v>185</v>
      </c>
    </row>
    <row r="174" spans="1:20" ht="37.5" customHeight="1" x14ac:dyDescent="0.25">
      <c r="A174" s="19" t="s">
        <v>186</v>
      </c>
      <c r="B174">
        <f t="shared" si="19"/>
        <v>9884</v>
      </c>
      <c r="C174">
        <v>1924</v>
      </c>
      <c r="D174">
        <v>7960</v>
      </c>
      <c r="F174">
        <f t="shared" si="14"/>
        <v>270</v>
      </c>
      <c r="G174" s="20">
        <f t="shared" si="20"/>
        <v>169</v>
      </c>
      <c r="H174" s="21">
        <v>66621100487</v>
      </c>
      <c r="I174" s="22">
        <v>217</v>
      </c>
      <c r="J174" s="23"/>
      <c r="K174" s="24">
        <v>9614</v>
      </c>
      <c r="L174" s="23">
        <f t="shared" si="15"/>
        <v>270</v>
      </c>
      <c r="M174" s="24">
        <v>1871</v>
      </c>
      <c r="N174" s="25">
        <f t="shared" si="16"/>
        <v>53</v>
      </c>
      <c r="O174" s="24">
        <v>7743</v>
      </c>
      <c r="P174" s="23">
        <f t="shared" si="17"/>
        <v>217</v>
      </c>
      <c r="Q174" s="26"/>
      <c r="R174" s="23">
        <f t="shared" si="18"/>
        <v>0</v>
      </c>
      <c r="S174" s="27" t="s">
        <v>18</v>
      </c>
      <c r="T174" s="19" t="s">
        <v>186</v>
      </c>
    </row>
    <row r="175" spans="1:20" ht="37.5" customHeight="1" x14ac:dyDescent="0.25">
      <c r="A175" s="19" t="s">
        <v>187</v>
      </c>
      <c r="B175">
        <f t="shared" si="19"/>
        <v>11491</v>
      </c>
      <c r="C175">
        <v>2061</v>
      </c>
      <c r="D175">
        <v>9430</v>
      </c>
      <c r="F175">
        <f t="shared" si="14"/>
        <v>327</v>
      </c>
      <c r="G175" s="20">
        <f t="shared" si="20"/>
        <v>170</v>
      </c>
      <c r="H175" s="21">
        <v>88820010218</v>
      </c>
      <c r="I175" s="22">
        <v>218</v>
      </c>
      <c r="J175" s="23"/>
      <c r="K175" s="24">
        <v>11164</v>
      </c>
      <c r="L175" s="23">
        <f t="shared" si="15"/>
        <v>327</v>
      </c>
      <c r="M175" s="24">
        <v>2003</v>
      </c>
      <c r="N175" s="25">
        <f t="shared" si="16"/>
        <v>58</v>
      </c>
      <c r="O175" s="24">
        <v>9161</v>
      </c>
      <c r="P175" s="23">
        <f t="shared" si="17"/>
        <v>269</v>
      </c>
      <c r="Q175" s="26"/>
      <c r="R175" s="23">
        <f t="shared" si="18"/>
        <v>0</v>
      </c>
      <c r="S175" s="27" t="s">
        <v>18</v>
      </c>
      <c r="T175" s="19" t="s">
        <v>187</v>
      </c>
    </row>
    <row r="176" spans="1:20" ht="37.5" customHeight="1" x14ac:dyDescent="0.25">
      <c r="A176" s="19" t="s">
        <v>188</v>
      </c>
      <c r="B176">
        <f t="shared" si="19"/>
        <v>56399</v>
      </c>
      <c r="C176">
        <v>11844</v>
      </c>
      <c r="D176">
        <v>44555</v>
      </c>
      <c r="F176">
        <f t="shared" si="14"/>
        <v>184</v>
      </c>
      <c r="G176" s="20">
        <f t="shared" si="20"/>
        <v>171</v>
      </c>
      <c r="H176" s="21">
        <v>23012110251</v>
      </c>
      <c r="I176" s="22">
        <v>219</v>
      </c>
      <c r="J176" s="23"/>
      <c r="K176" s="24">
        <v>56215</v>
      </c>
      <c r="L176" s="23">
        <f t="shared" si="15"/>
        <v>184</v>
      </c>
      <c r="M176" s="24">
        <v>11818</v>
      </c>
      <c r="N176" s="25">
        <f t="shared" si="16"/>
        <v>26</v>
      </c>
      <c r="O176" s="24">
        <v>44397</v>
      </c>
      <c r="P176" s="23">
        <f t="shared" si="17"/>
        <v>158</v>
      </c>
      <c r="Q176" s="26"/>
      <c r="R176" s="23">
        <f t="shared" si="18"/>
        <v>0</v>
      </c>
      <c r="S176" s="27" t="s">
        <v>18</v>
      </c>
      <c r="T176" s="19" t="s">
        <v>188</v>
      </c>
    </row>
    <row r="177" spans="1:20" ht="37.5" customHeight="1" x14ac:dyDescent="0.25">
      <c r="A177" s="19" t="s">
        <v>189</v>
      </c>
      <c r="B177">
        <f t="shared" si="19"/>
        <v>71114</v>
      </c>
      <c r="C177">
        <v>12427</v>
      </c>
      <c r="D177">
        <v>58687</v>
      </c>
      <c r="F177">
        <f t="shared" si="14"/>
        <v>364</v>
      </c>
      <c r="G177" s="20">
        <f t="shared" si="20"/>
        <v>172</v>
      </c>
      <c r="H177" s="21">
        <v>23012040123</v>
      </c>
      <c r="I177" s="22">
        <v>220</v>
      </c>
      <c r="J177" s="23"/>
      <c r="K177" s="24">
        <v>70750</v>
      </c>
      <c r="L177" s="23">
        <f t="shared" si="15"/>
        <v>364</v>
      </c>
      <c r="M177" s="24">
        <v>12359</v>
      </c>
      <c r="N177" s="25">
        <f t="shared" si="16"/>
        <v>68</v>
      </c>
      <c r="O177" s="24">
        <v>58391</v>
      </c>
      <c r="P177" s="23">
        <f t="shared" si="17"/>
        <v>296</v>
      </c>
      <c r="Q177" s="26"/>
      <c r="R177" s="23">
        <f t="shared" si="18"/>
        <v>0</v>
      </c>
      <c r="S177" s="27" t="s">
        <v>18</v>
      </c>
      <c r="T177" s="19" t="s">
        <v>189</v>
      </c>
    </row>
    <row r="178" spans="1:20" ht="37.5" customHeight="1" x14ac:dyDescent="0.25">
      <c r="A178" s="19" t="s">
        <v>190</v>
      </c>
      <c r="B178">
        <f t="shared" si="19"/>
        <v>9661</v>
      </c>
      <c r="C178">
        <v>2190</v>
      </c>
      <c r="D178">
        <v>7471</v>
      </c>
      <c r="F178">
        <f t="shared" si="14"/>
        <v>0</v>
      </c>
      <c r="G178" s="20">
        <f t="shared" si="20"/>
        <v>173</v>
      </c>
      <c r="H178" s="21">
        <v>66617020278</v>
      </c>
      <c r="I178" s="22">
        <v>221</v>
      </c>
      <c r="J178" s="23"/>
      <c r="K178" s="24">
        <v>9661</v>
      </c>
      <c r="L178" s="23">
        <f t="shared" si="15"/>
        <v>0</v>
      </c>
      <c r="M178" s="24">
        <v>2190</v>
      </c>
      <c r="N178" s="25">
        <f t="shared" si="16"/>
        <v>0</v>
      </c>
      <c r="O178" s="24">
        <v>7471</v>
      </c>
      <c r="P178" s="23">
        <f t="shared" si="17"/>
        <v>0</v>
      </c>
      <c r="Q178" s="26"/>
      <c r="R178" s="23">
        <f t="shared" si="18"/>
        <v>0</v>
      </c>
      <c r="S178" s="27" t="s">
        <v>18</v>
      </c>
      <c r="T178" s="19" t="s">
        <v>190</v>
      </c>
    </row>
    <row r="179" spans="1:20" ht="37.5" customHeight="1" x14ac:dyDescent="0.25">
      <c r="A179" s="19" t="s">
        <v>191</v>
      </c>
      <c r="B179">
        <f t="shared" si="19"/>
        <v>37226</v>
      </c>
      <c r="C179">
        <v>7014</v>
      </c>
      <c r="D179">
        <v>30212</v>
      </c>
      <c r="F179">
        <f t="shared" si="14"/>
        <v>347</v>
      </c>
      <c r="G179" s="20">
        <f t="shared" si="20"/>
        <v>174</v>
      </c>
      <c r="H179" s="21">
        <v>66617020277</v>
      </c>
      <c r="I179" s="22">
        <v>222</v>
      </c>
      <c r="J179" s="23"/>
      <c r="K179" s="24">
        <v>36879</v>
      </c>
      <c r="L179" s="23">
        <f t="shared" si="15"/>
        <v>347</v>
      </c>
      <c r="M179" s="24">
        <v>6955</v>
      </c>
      <c r="N179" s="25">
        <f t="shared" si="16"/>
        <v>59</v>
      </c>
      <c r="O179" s="24">
        <v>29924</v>
      </c>
      <c r="P179" s="23">
        <f t="shared" si="17"/>
        <v>288</v>
      </c>
      <c r="Q179" s="26"/>
      <c r="R179" s="23">
        <f t="shared" si="18"/>
        <v>0</v>
      </c>
      <c r="S179" s="27" t="s">
        <v>18</v>
      </c>
      <c r="T179" s="19" t="s">
        <v>191</v>
      </c>
    </row>
    <row r="180" spans="1:20" ht="37.5" customHeight="1" x14ac:dyDescent="0.25">
      <c r="A180" s="19" t="s">
        <v>192</v>
      </c>
      <c r="B180">
        <f t="shared" si="19"/>
        <v>8028</v>
      </c>
      <c r="C180">
        <v>1373</v>
      </c>
      <c r="D180">
        <v>6655</v>
      </c>
      <c r="F180">
        <f t="shared" si="14"/>
        <v>11</v>
      </c>
      <c r="G180" s="20">
        <f t="shared" si="20"/>
        <v>175</v>
      </c>
      <c r="H180" s="21">
        <v>66622040068</v>
      </c>
      <c r="I180" s="22">
        <v>223</v>
      </c>
      <c r="J180" s="23"/>
      <c r="K180" s="24">
        <v>8017</v>
      </c>
      <c r="L180" s="23">
        <f t="shared" si="15"/>
        <v>11</v>
      </c>
      <c r="M180" s="24">
        <v>1371</v>
      </c>
      <c r="N180" s="25">
        <f t="shared" si="16"/>
        <v>2</v>
      </c>
      <c r="O180" s="24">
        <v>6646</v>
      </c>
      <c r="P180" s="23">
        <f t="shared" si="17"/>
        <v>9</v>
      </c>
      <c r="Q180" s="26"/>
      <c r="R180" s="23">
        <f t="shared" si="18"/>
        <v>0</v>
      </c>
      <c r="S180" s="27" t="s">
        <v>18</v>
      </c>
      <c r="T180" s="19" t="s">
        <v>192</v>
      </c>
    </row>
    <row r="181" spans="1:20" ht="37.5" customHeight="1" x14ac:dyDescent="0.25">
      <c r="A181" s="19" t="s">
        <v>193</v>
      </c>
      <c r="B181">
        <f t="shared" si="19"/>
        <v>10156</v>
      </c>
      <c r="C181">
        <v>1788</v>
      </c>
      <c r="D181">
        <v>8368</v>
      </c>
      <c r="F181">
        <f t="shared" si="14"/>
        <v>567</v>
      </c>
      <c r="G181" s="20">
        <f t="shared" si="20"/>
        <v>176</v>
      </c>
      <c r="H181" s="21">
        <v>66621070225</v>
      </c>
      <c r="I181" s="22">
        <v>224</v>
      </c>
      <c r="J181" s="23"/>
      <c r="K181" s="24">
        <v>9589</v>
      </c>
      <c r="L181" s="23">
        <f t="shared" si="15"/>
        <v>567</v>
      </c>
      <c r="M181" s="24">
        <v>1664</v>
      </c>
      <c r="N181" s="25">
        <f t="shared" si="16"/>
        <v>124</v>
      </c>
      <c r="O181" s="24">
        <v>7925</v>
      </c>
      <c r="P181" s="23">
        <f t="shared" si="17"/>
        <v>443</v>
      </c>
      <c r="Q181" s="26"/>
      <c r="R181" s="23">
        <f t="shared" si="18"/>
        <v>0</v>
      </c>
      <c r="S181" s="27" t="s">
        <v>18</v>
      </c>
      <c r="T181" s="19" t="s">
        <v>193</v>
      </c>
    </row>
    <row r="182" spans="1:20" ht="37.5" customHeight="1" x14ac:dyDescent="0.25">
      <c r="A182" s="19" t="s">
        <v>194</v>
      </c>
      <c r="B182">
        <f t="shared" si="19"/>
        <v>21428</v>
      </c>
      <c r="C182">
        <v>3518</v>
      </c>
      <c r="D182">
        <v>17910</v>
      </c>
      <c r="F182">
        <f t="shared" si="14"/>
        <v>473</v>
      </c>
      <c r="G182" s="20">
        <f t="shared" si="20"/>
        <v>177</v>
      </c>
      <c r="H182" s="21">
        <v>88820060193</v>
      </c>
      <c r="I182" s="22">
        <v>225</v>
      </c>
      <c r="J182" s="23"/>
      <c r="K182" s="24">
        <v>20955</v>
      </c>
      <c r="L182" s="23">
        <f t="shared" si="15"/>
        <v>473</v>
      </c>
      <c r="M182" s="24">
        <v>3439</v>
      </c>
      <c r="N182" s="25">
        <f t="shared" si="16"/>
        <v>79</v>
      </c>
      <c r="O182" s="24">
        <v>17516</v>
      </c>
      <c r="P182" s="23">
        <f t="shared" si="17"/>
        <v>394</v>
      </c>
      <c r="Q182" s="26"/>
      <c r="R182" s="23">
        <f t="shared" si="18"/>
        <v>0</v>
      </c>
      <c r="S182" s="27" t="s">
        <v>18</v>
      </c>
      <c r="T182" s="19" t="s">
        <v>194</v>
      </c>
    </row>
    <row r="183" spans="1:20" ht="37.5" customHeight="1" x14ac:dyDescent="0.25">
      <c r="A183" s="19" t="s">
        <v>195</v>
      </c>
      <c r="B183">
        <f t="shared" si="19"/>
        <v>20447</v>
      </c>
      <c r="C183">
        <v>3944</v>
      </c>
      <c r="D183">
        <v>16503</v>
      </c>
      <c r="F183">
        <f t="shared" si="14"/>
        <v>283</v>
      </c>
      <c r="G183" s="20">
        <f t="shared" si="20"/>
        <v>178</v>
      </c>
      <c r="H183" s="21">
        <v>88820010099</v>
      </c>
      <c r="I183" s="22">
        <v>226</v>
      </c>
      <c r="J183" s="23"/>
      <c r="K183" s="24">
        <v>20164</v>
      </c>
      <c r="L183" s="23">
        <f t="shared" si="15"/>
        <v>283</v>
      </c>
      <c r="M183" s="24">
        <v>3883</v>
      </c>
      <c r="N183" s="25">
        <f t="shared" si="16"/>
        <v>61</v>
      </c>
      <c r="O183" s="24">
        <v>16281</v>
      </c>
      <c r="P183" s="23">
        <f t="shared" si="17"/>
        <v>222</v>
      </c>
      <c r="Q183" s="26"/>
      <c r="R183" s="23">
        <f t="shared" si="18"/>
        <v>0</v>
      </c>
      <c r="S183" s="27" t="s">
        <v>18</v>
      </c>
      <c r="T183" s="19" t="s">
        <v>195</v>
      </c>
    </row>
    <row r="184" spans="1:20" ht="37.5" customHeight="1" x14ac:dyDescent="0.25">
      <c r="A184" s="19" t="s">
        <v>196</v>
      </c>
      <c r="B184">
        <f t="shared" si="19"/>
        <v>36580</v>
      </c>
      <c r="C184">
        <v>5702</v>
      </c>
      <c r="D184">
        <v>30878</v>
      </c>
      <c r="F184">
        <f t="shared" si="14"/>
        <v>389</v>
      </c>
      <c r="G184" s="20">
        <f t="shared" si="20"/>
        <v>179</v>
      </c>
      <c r="H184" s="21">
        <v>66616020315</v>
      </c>
      <c r="I184" s="22">
        <v>227</v>
      </c>
      <c r="J184" s="23"/>
      <c r="K184" s="24">
        <v>36191</v>
      </c>
      <c r="L184" s="23">
        <f t="shared" si="15"/>
        <v>389</v>
      </c>
      <c r="M184" s="24">
        <v>5646</v>
      </c>
      <c r="N184" s="25">
        <f t="shared" si="16"/>
        <v>56</v>
      </c>
      <c r="O184" s="24">
        <v>30545</v>
      </c>
      <c r="P184" s="23">
        <f t="shared" si="17"/>
        <v>333</v>
      </c>
      <c r="Q184" s="26"/>
      <c r="R184" s="23">
        <f t="shared" si="18"/>
        <v>0</v>
      </c>
      <c r="S184" s="27" t="s">
        <v>18</v>
      </c>
      <c r="T184" s="19" t="s">
        <v>196</v>
      </c>
    </row>
    <row r="185" spans="1:20" ht="37.5" customHeight="1" x14ac:dyDescent="0.25">
      <c r="A185" s="19" t="s">
        <v>197</v>
      </c>
      <c r="B185">
        <f t="shared" si="19"/>
        <v>49754</v>
      </c>
      <c r="C185">
        <v>9041</v>
      </c>
      <c r="D185">
        <v>40713</v>
      </c>
      <c r="F185">
        <f t="shared" si="14"/>
        <v>193</v>
      </c>
      <c r="G185" s="20">
        <f t="shared" si="20"/>
        <v>180</v>
      </c>
      <c r="H185" s="21">
        <v>23013010298</v>
      </c>
      <c r="I185" s="22">
        <v>228</v>
      </c>
      <c r="J185" s="23"/>
      <c r="K185" s="24">
        <v>49561</v>
      </c>
      <c r="L185" s="23">
        <f t="shared" si="15"/>
        <v>193</v>
      </c>
      <c r="M185" s="24">
        <v>8991</v>
      </c>
      <c r="N185" s="25">
        <f t="shared" si="16"/>
        <v>50</v>
      </c>
      <c r="O185" s="24">
        <v>40570</v>
      </c>
      <c r="P185" s="23">
        <f t="shared" si="17"/>
        <v>143</v>
      </c>
      <c r="Q185" s="26"/>
      <c r="R185" s="23">
        <f t="shared" si="18"/>
        <v>0</v>
      </c>
      <c r="S185" s="27" t="s">
        <v>18</v>
      </c>
      <c r="T185" s="19" t="s">
        <v>197</v>
      </c>
    </row>
    <row r="186" spans="1:20" ht="37.5" customHeight="1" x14ac:dyDescent="0.25">
      <c r="A186" s="19" t="s">
        <v>198</v>
      </c>
      <c r="B186">
        <f t="shared" si="19"/>
        <v>51603</v>
      </c>
      <c r="C186">
        <v>10456</v>
      </c>
      <c r="D186">
        <v>41147</v>
      </c>
      <c r="F186">
        <f t="shared" si="14"/>
        <v>333</v>
      </c>
      <c r="G186" s="20">
        <f t="shared" si="20"/>
        <v>181</v>
      </c>
      <c r="H186" s="21">
        <v>23010050068</v>
      </c>
      <c r="I186" s="22">
        <v>229</v>
      </c>
      <c r="J186" s="23"/>
      <c r="K186" s="24">
        <v>51270</v>
      </c>
      <c r="L186" s="23">
        <f t="shared" si="15"/>
        <v>333</v>
      </c>
      <c r="M186" s="24">
        <v>10395</v>
      </c>
      <c r="N186" s="25">
        <f t="shared" si="16"/>
        <v>61</v>
      </c>
      <c r="O186" s="24">
        <v>40875</v>
      </c>
      <c r="P186" s="23">
        <f t="shared" si="17"/>
        <v>272</v>
      </c>
      <c r="Q186" s="26"/>
      <c r="R186" s="23">
        <f t="shared" si="18"/>
        <v>0</v>
      </c>
      <c r="S186" s="27" t="s">
        <v>18</v>
      </c>
      <c r="T186" s="19" t="s">
        <v>198</v>
      </c>
    </row>
    <row r="187" spans="1:20" ht="37.5" customHeight="1" x14ac:dyDescent="0.25">
      <c r="A187" s="19" t="s">
        <v>199</v>
      </c>
      <c r="B187">
        <f t="shared" si="19"/>
        <v>7323</v>
      </c>
      <c r="C187">
        <v>1196</v>
      </c>
      <c r="D187">
        <v>6127</v>
      </c>
      <c r="F187">
        <f t="shared" si="14"/>
        <v>180</v>
      </c>
      <c r="G187" s="20">
        <f t="shared" si="20"/>
        <v>182</v>
      </c>
      <c r="H187" s="21">
        <v>66622040660</v>
      </c>
      <c r="I187" s="22">
        <v>230</v>
      </c>
      <c r="J187" s="23"/>
      <c r="K187" s="24">
        <v>7143</v>
      </c>
      <c r="L187" s="23">
        <f t="shared" si="15"/>
        <v>180</v>
      </c>
      <c r="M187" s="24">
        <v>1163</v>
      </c>
      <c r="N187" s="25">
        <f t="shared" si="16"/>
        <v>33</v>
      </c>
      <c r="O187" s="24">
        <v>5980</v>
      </c>
      <c r="P187" s="23">
        <f t="shared" si="17"/>
        <v>147</v>
      </c>
      <c r="Q187" s="26"/>
      <c r="R187" s="23">
        <f t="shared" si="18"/>
        <v>0</v>
      </c>
      <c r="S187" s="27" t="s">
        <v>18</v>
      </c>
      <c r="T187" s="19" t="s">
        <v>199</v>
      </c>
    </row>
    <row r="188" spans="1:20" ht="37.5" customHeight="1" x14ac:dyDescent="0.25">
      <c r="A188" s="19" t="s">
        <v>200</v>
      </c>
      <c r="B188">
        <f t="shared" si="19"/>
        <v>20672</v>
      </c>
      <c r="C188">
        <v>3567</v>
      </c>
      <c r="D188">
        <v>17105</v>
      </c>
      <c r="F188">
        <f t="shared" si="14"/>
        <v>647</v>
      </c>
      <c r="G188" s="20">
        <f t="shared" si="20"/>
        <v>183</v>
      </c>
      <c r="H188" s="21">
        <v>88819030483</v>
      </c>
      <c r="I188" s="22">
        <v>231</v>
      </c>
      <c r="J188" s="23"/>
      <c r="K188" s="24">
        <v>20025</v>
      </c>
      <c r="L188" s="23">
        <f t="shared" si="15"/>
        <v>647</v>
      </c>
      <c r="M188" s="24">
        <v>3464</v>
      </c>
      <c r="N188" s="25">
        <f t="shared" si="16"/>
        <v>103</v>
      </c>
      <c r="O188" s="24">
        <v>16561</v>
      </c>
      <c r="P188" s="23">
        <f t="shared" si="17"/>
        <v>544</v>
      </c>
      <c r="Q188" s="26"/>
      <c r="R188" s="23">
        <f t="shared" si="18"/>
        <v>0</v>
      </c>
      <c r="S188" s="27" t="s">
        <v>18</v>
      </c>
      <c r="T188" s="19" t="s">
        <v>200</v>
      </c>
    </row>
    <row r="189" spans="1:20" ht="37.5" customHeight="1" x14ac:dyDescent="0.25">
      <c r="A189" s="19" t="s">
        <v>201</v>
      </c>
      <c r="B189">
        <f t="shared" si="19"/>
        <v>68798</v>
      </c>
      <c r="C189">
        <v>12211</v>
      </c>
      <c r="D189">
        <v>56587</v>
      </c>
      <c r="F189">
        <f t="shared" si="14"/>
        <v>612</v>
      </c>
      <c r="G189" s="20">
        <f t="shared" si="20"/>
        <v>184</v>
      </c>
      <c r="H189" s="21">
        <v>23012010141</v>
      </c>
      <c r="I189" s="22">
        <v>232</v>
      </c>
      <c r="J189" s="23"/>
      <c r="K189" s="24">
        <v>68186</v>
      </c>
      <c r="L189" s="23">
        <f t="shared" si="15"/>
        <v>612</v>
      </c>
      <c r="M189" s="24">
        <v>12098</v>
      </c>
      <c r="N189" s="25">
        <f t="shared" si="16"/>
        <v>113</v>
      </c>
      <c r="O189" s="24">
        <v>56088</v>
      </c>
      <c r="P189" s="23">
        <f t="shared" si="17"/>
        <v>499</v>
      </c>
      <c r="Q189" s="26"/>
      <c r="R189" s="23">
        <f t="shared" si="18"/>
        <v>0</v>
      </c>
      <c r="S189" s="27" t="s">
        <v>18</v>
      </c>
      <c r="T189" s="19" t="s">
        <v>201</v>
      </c>
    </row>
    <row r="190" spans="1:20" ht="37.5" customHeight="1" x14ac:dyDescent="0.25">
      <c r="A190" s="19" t="s">
        <v>202</v>
      </c>
      <c r="B190">
        <f t="shared" si="19"/>
        <v>10502</v>
      </c>
      <c r="C190">
        <v>2250</v>
      </c>
      <c r="D190">
        <v>8252</v>
      </c>
      <c r="F190">
        <f t="shared" si="14"/>
        <v>181</v>
      </c>
      <c r="G190" s="20">
        <f t="shared" si="20"/>
        <v>185</v>
      </c>
      <c r="H190" s="21">
        <v>66621090350</v>
      </c>
      <c r="I190" s="22">
        <v>234</v>
      </c>
      <c r="J190" s="23"/>
      <c r="K190" s="24">
        <v>10321</v>
      </c>
      <c r="L190" s="23">
        <f t="shared" si="15"/>
        <v>181</v>
      </c>
      <c r="M190" s="24">
        <v>2208</v>
      </c>
      <c r="N190" s="25">
        <f t="shared" si="16"/>
        <v>42</v>
      </c>
      <c r="O190" s="24">
        <v>8113</v>
      </c>
      <c r="P190" s="23">
        <f t="shared" si="17"/>
        <v>139</v>
      </c>
      <c r="Q190" s="26"/>
      <c r="R190" s="23">
        <f t="shared" si="18"/>
        <v>0</v>
      </c>
      <c r="S190" s="27" t="s">
        <v>18</v>
      </c>
      <c r="T190" s="19" t="s">
        <v>202</v>
      </c>
    </row>
    <row r="191" spans="1:20" ht="37.5" customHeight="1" x14ac:dyDescent="0.25">
      <c r="A191" s="19" t="s">
        <v>203</v>
      </c>
      <c r="B191">
        <f t="shared" si="19"/>
        <v>8014</v>
      </c>
      <c r="C191">
        <v>1219</v>
      </c>
      <c r="D191">
        <v>6795</v>
      </c>
      <c r="F191">
        <f t="shared" si="14"/>
        <v>297</v>
      </c>
      <c r="G191" s="20">
        <f t="shared" si="20"/>
        <v>186</v>
      </c>
      <c r="H191" s="21">
        <v>66621040111</v>
      </c>
      <c r="I191" s="22">
        <v>235</v>
      </c>
      <c r="J191" s="23"/>
      <c r="K191" s="24">
        <v>7717</v>
      </c>
      <c r="L191" s="23">
        <f t="shared" si="15"/>
        <v>297</v>
      </c>
      <c r="M191" s="24">
        <v>1182</v>
      </c>
      <c r="N191" s="25">
        <f t="shared" si="16"/>
        <v>37</v>
      </c>
      <c r="O191" s="24">
        <v>6535</v>
      </c>
      <c r="P191" s="23">
        <f t="shared" si="17"/>
        <v>260</v>
      </c>
      <c r="Q191" s="26"/>
      <c r="R191" s="23">
        <f t="shared" si="18"/>
        <v>0</v>
      </c>
      <c r="S191" s="27" t="s">
        <v>18</v>
      </c>
      <c r="T191" s="19" t="s">
        <v>203</v>
      </c>
    </row>
    <row r="192" spans="1:20" ht="37.5" customHeight="1" x14ac:dyDescent="0.25">
      <c r="A192" s="19" t="s">
        <v>204</v>
      </c>
      <c r="B192">
        <f t="shared" si="19"/>
        <v>31353</v>
      </c>
      <c r="C192">
        <v>5426</v>
      </c>
      <c r="D192">
        <v>25927</v>
      </c>
      <c r="F192">
        <f t="shared" si="14"/>
        <v>246</v>
      </c>
      <c r="G192" s="20">
        <f t="shared" si="20"/>
        <v>187</v>
      </c>
      <c r="H192" s="21">
        <v>66616020444</v>
      </c>
      <c r="I192" s="22">
        <v>236</v>
      </c>
      <c r="J192" s="23"/>
      <c r="K192" s="24">
        <v>31107</v>
      </c>
      <c r="L192" s="23">
        <f t="shared" si="15"/>
        <v>246</v>
      </c>
      <c r="M192" s="24">
        <v>5373</v>
      </c>
      <c r="N192" s="25">
        <f t="shared" si="16"/>
        <v>53</v>
      </c>
      <c r="O192" s="24">
        <v>25734</v>
      </c>
      <c r="P192" s="23">
        <f t="shared" si="17"/>
        <v>193</v>
      </c>
      <c r="Q192" s="26"/>
      <c r="R192" s="23">
        <f t="shared" si="18"/>
        <v>0</v>
      </c>
      <c r="S192" s="27" t="s">
        <v>18</v>
      </c>
      <c r="T192" s="19" t="s">
        <v>204</v>
      </c>
    </row>
    <row r="193" spans="1:20" ht="37.5" customHeight="1" x14ac:dyDescent="0.25">
      <c r="A193" s="19" t="s">
        <v>205</v>
      </c>
      <c r="B193">
        <f t="shared" si="19"/>
        <v>21861</v>
      </c>
      <c r="C193">
        <v>4353</v>
      </c>
      <c r="D193">
        <v>17508</v>
      </c>
      <c r="F193">
        <f t="shared" si="14"/>
        <v>364</v>
      </c>
      <c r="G193" s="20">
        <f t="shared" si="20"/>
        <v>188</v>
      </c>
      <c r="H193" s="21">
        <v>66621060173</v>
      </c>
      <c r="I193" s="22">
        <v>238</v>
      </c>
      <c r="J193" s="23"/>
      <c r="K193" s="24">
        <v>21497</v>
      </c>
      <c r="L193" s="23">
        <f t="shared" si="15"/>
        <v>364</v>
      </c>
      <c r="M193" s="24">
        <v>4280</v>
      </c>
      <c r="N193" s="25">
        <f t="shared" si="16"/>
        <v>73</v>
      </c>
      <c r="O193" s="24">
        <v>17217</v>
      </c>
      <c r="P193" s="23">
        <f t="shared" si="17"/>
        <v>291</v>
      </c>
      <c r="Q193" s="26"/>
      <c r="R193" s="23">
        <f t="shared" si="18"/>
        <v>0</v>
      </c>
      <c r="S193" s="27" t="s">
        <v>18</v>
      </c>
      <c r="T193" s="19" t="s">
        <v>205</v>
      </c>
    </row>
    <row r="194" spans="1:20" ht="37.5" customHeight="1" x14ac:dyDescent="0.25">
      <c r="A194" s="19" t="s">
        <v>206</v>
      </c>
      <c r="B194">
        <f t="shared" si="19"/>
        <v>7684</v>
      </c>
      <c r="C194">
        <v>1477</v>
      </c>
      <c r="D194">
        <v>6207</v>
      </c>
      <c r="F194">
        <f t="shared" si="14"/>
        <v>260</v>
      </c>
      <c r="G194" s="20">
        <f t="shared" si="20"/>
        <v>189</v>
      </c>
      <c r="H194" s="21">
        <v>88820060089</v>
      </c>
      <c r="I194" s="22">
        <v>239</v>
      </c>
      <c r="J194" s="23"/>
      <c r="K194" s="24">
        <v>7424</v>
      </c>
      <c r="L194" s="23">
        <f t="shared" si="15"/>
        <v>260</v>
      </c>
      <c r="M194" s="24">
        <v>1432</v>
      </c>
      <c r="N194" s="25">
        <f t="shared" si="16"/>
        <v>45</v>
      </c>
      <c r="O194" s="24">
        <v>5992</v>
      </c>
      <c r="P194" s="23">
        <f t="shared" si="17"/>
        <v>215</v>
      </c>
      <c r="Q194" s="26"/>
      <c r="R194" s="23">
        <f t="shared" si="18"/>
        <v>0</v>
      </c>
      <c r="S194" s="27" t="s">
        <v>18</v>
      </c>
      <c r="T194" s="19" t="s">
        <v>206</v>
      </c>
    </row>
    <row r="195" spans="1:20" ht="37.5" customHeight="1" x14ac:dyDescent="0.25">
      <c r="A195" s="19" t="s">
        <v>207</v>
      </c>
      <c r="B195">
        <f t="shared" si="19"/>
        <v>4357</v>
      </c>
      <c r="C195">
        <v>909</v>
      </c>
      <c r="D195">
        <v>3448</v>
      </c>
      <c r="F195">
        <f t="shared" si="14"/>
        <v>0</v>
      </c>
      <c r="G195" s="20">
        <f t="shared" si="20"/>
        <v>190</v>
      </c>
      <c r="H195" s="21">
        <v>88818030035</v>
      </c>
      <c r="I195" s="22">
        <v>240</v>
      </c>
      <c r="J195" s="23"/>
      <c r="K195" s="24">
        <v>4357</v>
      </c>
      <c r="L195" s="23">
        <f t="shared" si="15"/>
        <v>0</v>
      </c>
      <c r="M195" s="24">
        <v>909</v>
      </c>
      <c r="N195" s="25">
        <f t="shared" si="16"/>
        <v>0</v>
      </c>
      <c r="O195" s="24">
        <v>3448</v>
      </c>
      <c r="P195" s="23">
        <f t="shared" si="17"/>
        <v>0</v>
      </c>
      <c r="Q195" s="26"/>
      <c r="R195" s="23">
        <f t="shared" si="18"/>
        <v>0</v>
      </c>
      <c r="S195" s="27" t="s">
        <v>18</v>
      </c>
      <c r="T195" s="19" t="s">
        <v>207</v>
      </c>
    </row>
    <row r="196" spans="1:20" ht="37.5" customHeight="1" x14ac:dyDescent="0.25">
      <c r="A196" s="19" t="s">
        <v>208</v>
      </c>
      <c r="B196">
        <f t="shared" si="19"/>
        <v>69434</v>
      </c>
      <c r="C196">
        <v>11393</v>
      </c>
      <c r="D196">
        <v>58041</v>
      </c>
      <c r="F196">
        <f t="shared" si="14"/>
        <v>431</v>
      </c>
      <c r="G196" s="20">
        <f t="shared" si="20"/>
        <v>191</v>
      </c>
      <c r="H196" s="21">
        <v>23013010048</v>
      </c>
      <c r="I196" s="22">
        <v>241</v>
      </c>
      <c r="J196" s="23"/>
      <c r="K196" s="24">
        <v>69003</v>
      </c>
      <c r="L196" s="23">
        <f t="shared" si="15"/>
        <v>431</v>
      </c>
      <c r="M196" s="24">
        <v>11316</v>
      </c>
      <c r="N196" s="25">
        <f t="shared" si="16"/>
        <v>77</v>
      </c>
      <c r="O196" s="24">
        <v>57687</v>
      </c>
      <c r="P196" s="23">
        <f t="shared" si="17"/>
        <v>354</v>
      </c>
      <c r="Q196" s="26"/>
      <c r="R196" s="23">
        <f t="shared" si="18"/>
        <v>0</v>
      </c>
      <c r="S196" s="27" t="s">
        <v>18</v>
      </c>
      <c r="T196" s="19" t="s">
        <v>208</v>
      </c>
    </row>
    <row r="197" spans="1:20" ht="37.5" customHeight="1" x14ac:dyDescent="0.25">
      <c r="A197" s="19" t="s">
        <v>209</v>
      </c>
      <c r="B197">
        <f t="shared" si="19"/>
        <v>3357</v>
      </c>
      <c r="C197">
        <v>947</v>
      </c>
      <c r="D197">
        <v>2410</v>
      </c>
      <c r="E197">
        <v>7728</v>
      </c>
      <c r="F197">
        <f t="shared" ref="F197:F260" si="21">L197</f>
        <v>274</v>
      </c>
      <c r="G197" s="20">
        <f t="shared" si="20"/>
        <v>192</v>
      </c>
      <c r="H197" s="21">
        <v>99624020207</v>
      </c>
      <c r="I197" s="22">
        <v>242</v>
      </c>
      <c r="J197" s="23"/>
      <c r="K197" s="24">
        <f>M197+O197</f>
        <v>3083</v>
      </c>
      <c r="L197" s="23">
        <f t="shared" si="15"/>
        <v>274</v>
      </c>
      <c r="M197" s="24">
        <v>874</v>
      </c>
      <c r="N197" s="25">
        <f t="shared" si="16"/>
        <v>73</v>
      </c>
      <c r="O197" s="24">
        <v>2209</v>
      </c>
      <c r="P197" s="23">
        <f t="shared" si="17"/>
        <v>201</v>
      </c>
      <c r="Q197" s="26">
        <v>6713</v>
      </c>
      <c r="R197" s="23">
        <f t="shared" si="18"/>
        <v>1015</v>
      </c>
      <c r="S197" s="27" t="s">
        <v>18</v>
      </c>
      <c r="T197" s="19" t="s">
        <v>209</v>
      </c>
    </row>
    <row r="198" spans="1:20" ht="37.5" customHeight="1" x14ac:dyDescent="0.25">
      <c r="A198" s="19" t="s">
        <v>210</v>
      </c>
      <c r="B198">
        <f t="shared" si="19"/>
        <v>82109</v>
      </c>
      <c r="C198">
        <v>14729</v>
      </c>
      <c r="D198">
        <v>67380</v>
      </c>
      <c r="F198">
        <f t="shared" si="21"/>
        <v>369</v>
      </c>
      <c r="G198" s="20">
        <f t="shared" si="20"/>
        <v>193</v>
      </c>
      <c r="H198" s="21">
        <v>23012010070</v>
      </c>
      <c r="I198" s="22">
        <v>243</v>
      </c>
      <c r="J198" s="23"/>
      <c r="K198" s="24">
        <v>81740</v>
      </c>
      <c r="L198" s="23">
        <f t="shared" ref="L198:L261" si="22">B198-K198</f>
        <v>369</v>
      </c>
      <c r="M198" s="24">
        <v>14667</v>
      </c>
      <c r="N198" s="25">
        <f t="shared" ref="N198:N261" si="23">C198-M198</f>
        <v>62</v>
      </c>
      <c r="O198" s="24">
        <v>67073</v>
      </c>
      <c r="P198" s="23">
        <f t="shared" ref="P198:P261" si="24">D198-O198</f>
        <v>307</v>
      </c>
      <c r="Q198" s="26"/>
      <c r="R198" s="23">
        <f t="shared" ref="R198:R261" si="25">E198-Q198</f>
        <v>0</v>
      </c>
      <c r="S198" s="27" t="s">
        <v>18</v>
      </c>
      <c r="T198" s="19" t="s">
        <v>210</v>
      </c>
    </row>
    <row r="199" spans="1:20" ht="37.5" customHeight="1" x14ac:dyDescent="0.25">
      <c r="A199" s="19" t="s">
        <v>211</v>
      </c>
      <c r="B199">
        <f t="shared" ref="B199:B262" si="26">C199+D199</f>
        <v>75707</v>
      </c>
      <c r="C199">
        <v>13480</v>
      </c>
      <c r="D199">
        <v>62227</v>
      </c>
      <c r="F199">
        <f t="shared" si="21"/>
        <v>497</v>
      </c>
      <c r="G199" s="20">
        <f t="shared" si="20"/>
        <v>194</v>
      </c>
      <c r="H199" s="21">
        <v>23012010116</v>
      </c>
      <c r="I199" s="22">
        <v>244</v>
      </c>
      <c r="J199" s="23"/>
      <c r="K199" s="24">
        <v>75210</v>
      </c>
      <c r="L199" s="23">
        <f t="shared" si="22"/>
        <v>497</v>
      </c>
      <c r="M199" s="24">
        <v>13382</v>
      </c>
      <c r="N199" s="25">
        <f t="shared" si="23"/>
        <v>98</v>
      </c>
      <c r="O199" s="24">
        <v>61828</v>
      </c>
      <c r="P199" s="23">
        <f t="shared" si="24"/>
        <v>399</v>
      </c>
      <c r="Q199" s="26"/>
      <c r="R199" s="23">
        <f t="shared" si="25"/>
        <v>0</v>
      </c>
      <c r="S199" s="27" t="s">
        <v>18</v>
      </c>
      <c r="T199" s="19" t="s">
        <v>211</v>
      </c>
    </row>
    <row r="200" spans="1:20" ht="37.5" customHeight="1" x14ac:dyDescent="0.25">
      <c r="A200" s="19" t="s">
        <v>212</v>
      </c>
      <c r="B200">
        <f t="shared" si="26"/>
        <v>19471</v>
      </c>
      <c r="C200">
        <v>2583</v>
      </c>
      <c r="D200">
        <v>16888</v>
      </c>
      <c r="F200">
        <f t="shared" si="21"/>
        <v>673</v>
      </c>
      <c r="G200" s="20">
        <f t="shared" ref="G200:G263" si="27">G199+1</f>
        <v>195</v>
      </c>
      <c r="H200" s="21">
        <v>66621100342</v>
      </c>
      <c r="I200" s="22">
        <v>245</v>
      </c>
      <c r="J200" s="23"/>
      <c r="K200" s="24">
        <v>18798</v>
      </c>
      <c r="L200" s="23">
        <f t="shared" si="22"/>
        <v>673</v>
      </c>
      <c r="M200" s="24">
        <v>2507</v>
      </c>
      <c r="N200" s="25">
        <f t="shared" si="23"/>
        <v>76</v>
      </c>
      <c r="O200" s="24">
        <v>16291</v>
      </c>
      <c r="P200" s="23">
        <f t="shared" si="24"/>
        <v>597</v>
      </c>
      <c r="Q200" s="26"/>
      <c r="R200" s="23">
        <f t="shared" si="25"/>
        <v>0</v>
      </c>
      <c r="S200" s="27" t="s">
        <v>18</v>
      </c>
      <c r="T200" s="19" t="s">
        <v>212</v>
      </c>
    </row>
    <row r="201" spans="1:20" ht="37.5" customHeight="1" x14ac:dyDescent="0.25">
      <c r="A201" s="19" t="s">
        <v>213</v>
      </c>
      <c r="B201">
        <f t="shared" si="26"/>
        <v>34232</v>
      </c>
      <c r="C201">
        <v>6666</v>
      </c>
      <c r="D201">
        <v>27566</v>
      </c>
      <c r="F201">
        <f t="shared" si="21"/>
        <v>304</v>
      </c>
      <c r="G201" s="20">
        <f t="shared" si="27"/>
        <v>196</v>
      </c>
      <c r="H201" s="21">
        <v>88819050132</v>
      </c>
      <c r="I201" s="22">
        <v>246</v>
      </c>
      <c r="J201" s="23"/>
      <c r="K201" s="24">
        <v>33928</v>
      </c>
      <c r="L201" s="23">
        <f t="shared" si="22"/>
        <v>304</v>
      </c>
      <c r="M201" s="24">
        <v>6612</v>
      </c>
      <c r="N201" s="25">
        <f t="shared" si="23"/>
        <v>54</v>
      </c>
      <c r="O201" s="24">
        <v>27316</v>
      </c>
      <c r="P201" s="23">
        <f t="shared" si="24"/>
        <v>250</v>
      </c>
      <c r="Q201" s="26"/>
      <c r="R201" s="23">
        <f t="shared" si="25"/>
        <v>0</v>
      </c>
      <c r="S201" s="27" t="s">
        <v>18</v>
      </c>
      <c r="T201" s="19" t="s">
        <v>213</v>
      </c>
    </row>
    <row r="202" spans="1:20" ht="37.5" customHeight="1" x14ac:dyDescent="0.25">
      <c r="A202" s="19" t="s">
        <v>214</v>
      </c>
      <c r="B202">
        <f t="shared" si="26"/>
        <v>31149</v>
      </c>
      <c r="C202">
        <v>6325</v>
      </c>
      <c r="D202">
        <v>24824</v>
      </c>
      <c r="F202">
        <f t="shared" si="21"/>
        <v>304</v>
      </c>
      <c r="G202" s="20">
        <f t="shared" si="27"/>
        <v>197</v>
      </c>
      <c r="H202" s="21">
        <v>66616020010</v>
      </c>
      <c r="I202" s="22">
        <v>247</v>
      </c>
      <c r="J202" s="23"/>
      <c r="K202" s="24">
        <v>30845</v>
      </c>
      <c r="L202" s="23">
        <f t="shared" si="22"/>
        <v>304</v>
      </c>
      <c r="M202" s="24">
        <v>6257</v>
      </c>
      <c r="N202" s="25">
        <f t="shared" si="23"/>
        <v>68</v>
      </c>
      <c r="O202" s="24">
        <v>24588</v>
      </c>
      <c r="P202" s="23">
        <f t="shared" si="24"/>
        <v>236</v>
      </c>
      <c r="Q202" s="26"/>
      <c r="R202" s="23">
        <f t="shared" si="25"/>
        <v>0</v>
      </c>
      <c r="S202" s="27" t="s">
        <v>18</v>
      </c>
      <c r="T202" s="19" t="s">
        <v>214</v>
      </c>
    </row>
    <row r="203" spans="1:20" ht="37.5" customHeight="1" x14ac:dyDescent="0.25">
      <c r="A203" s="19" t="s">
        <v>215</v>
      </c>
      <c r="B203">
        <f t="shared" si="26"/>
        <v>560</v>
      </c>
      <c r="C203">
        <v>152</v>
      </c>
      <c r="D203">
        <v>408</v>
      </c>
      <c r="E203">
        <v>2242</v>
      </c>
      <c r="F203">
        <f t="shared" si="21"/>
        <v>399</v>
      </c>
      <c r="G203" s="20">
        <f t="shared" si="27"/>
        <v>198</v>
      </c>
      <c r="H203" s="21">
        <v>99722030035</v>
      </c>
      <c r="I203" s="22">
        <v>248</v>
      </c>
      <c r="J203" s="23"/>
      <c r="K203" s="24">
        <f>M203+O203</f>
        <v>161</v>
      </c>
      <c r="L203" s="23">
        <f t="shared" si="22"/>
        <v>399</v>
      </c>
      <c r="M203" s="24">
        <v>59</v>
      </c>
      <c r="N203" s="25">
        <f t="shared" si="23"/>
        <v>93</v>
      </c>
      <c r="O203" s="24">
        <v>102</v>
      </c>
      <c r="P203" s="23">
        <f t="shared" si="24"/>
        <v>306</v>
      </c>
      <c r="Q203" s="26">
        <v>1252</v>
      </c>
      <c r="R203" s="23">
        <f t="shared" si="25"/>
        <v>990</v>
      </c>
      <c r="S203" s="27" t="s">
        <v>18</v>
      </c>
      <c r="T203" s="19" t="s">
        <v>215</v>
      </c>
    </row>
    <row r="204" spans="1:20" ht="37.5" customHeight="1" x14ac:dyDescent="0.25">
      <c r="A204" s="19" t="s">
        <v>216</v>
      </c>
      <c r="B204">
        <f t="shared" si="26"/>
        <v>31584</v>
      </c>
      <c r="C204">
        <v>5342</v>
      </c>
      <c r="D204">
        <v>26242</v>
      </c>
      <c r="F204">
        <f t="shared" si="21"/>
        <v>143</v>
      </c>
      <c r="G204" s="20">
        <f t="shared" si="27"/>
        <v>199</v>
      </c>
      <c r="H204" s="21">
        <v>66616031215</v>
      </c>
      <c r="I204" s="22">
        <v>249</v>
      </c>
      <c r="J204" s="23"/>
      <c r="K204" s="24">
        <v>31441</v>
      </c>
      <c r="L204" s="23">
        <f t="shared" si="22"/>
        <v>143</v>
      </c>
      <c r="M204" s="24">
        <v>5326</v>
      </c>
      <c r="N204" s="25">
        <f t="shared" si="23"/>
        <v>16</v>
      </c>
      <c r="O204" s="24">
        <v>26115</v>
      </c>
      <c r="P204" s="23">
        <f t="shared" si="24"/>
        <v>127</v>
      </c>
      <c r="Q204" s="26"/>
      <c r="R204" s="23">
        <f t="shared" si="25"/>
        <v>0</v>
      </c>
      <c r="S204" s="27" t="s">
        <v>18</v>
      </c>
      <c r="T204" s="19" t="s">
        <v>216</v>
      </c>
    </row>
    <row r="205" spans="1:20" ht="37.5" customHeight="1" x14ac:dyDescent="0.25">
      <c r="A205" s="19" t="s">
        <v>217</v>
      </c>
      <c r="B205">
        <f t="shared" si="26"/>
        <v>35894</v>
      </c>
      <c r="C205">
        <v>7376</v>
      </c>
      <c r="D205">
        <v>28518</v>
      </c>
      <c r="F205">
        <f t="shared" si="21"/>
        <v>603</v>
      </c>
      <c r="G205" s="20">
        <f t="shared" si="27"/>
        <v>200</v>
      </c>
      <c r="H205" s="21">
        <v>88819010028</v>
      </c>
      <c r="I205" s="22">
        <v>250</v>
      </c>
      <c r="J205" s="23"/>
      <c r="K205" s="24">
        <v>35291</v>
      </c>
      <c r="L205" s="23">
        <f t="shared" si="22"/>
        <v>603</v>
      </c>
      <c r="M205" s="24">
        <v>7272</v>
      </c>
      <c r="N205" s="25">
        <f t="shared" si="23"/>
        <v>104</v>
      </c>
      <c r="O205" s="24">
        <v>28019</v>
      </c>
      <c r="P205" s="23">
        <f t="shared" si="24"/>
        <v>499</v>
      </c>
      <c r="Q205" s="26"/>
      <c r="R205" s="23">
        <f t="shared" si="25"/>
        <v>0</v>
      </c>
      <c r="S205" s="27" t="s">
        <v>18</v>
      </c>
      <c r="T205" s="19" t="s">
        <v>217</v>
      </c>
    </row>
    <row r="206" spans="1:20" ht="37.5" customHeight="1" x14ac:dyDescent="0.25">
      <c r="A206" s="19" t="s">
        <v>218</v>
      </c>
      <c r="B206">
        <f t="shared" si="26"/>
        <v>38293</v>
      </c>
      <c r="C206">
        <v>7357</v>
      </c>
      <c r="D206">
        <v>30936</v>
      </c>
      <c r="F206">
        <f t="shared" si="21"/>
        <v>658</v>
      </c>
      <c r="G206" s="20">
        <f t="shared" si="27"/>
        <v>201</v>
      </c>
      <c r="H206" s="21">
        <v>66622020042</v>
      </c>
      <c r="I206" s="22">
        <v>251</v>
      </c>
      <c r="J206" s="23"/>
      <c r="K206" s="24">
        <v>37635</v>
      </c>
      <c r="L206" s="23">
        <f t="shared" si="22"/>
        <v>658</v>
      </c>
      <c r="M206" s="24">
        <v>7297</v>
      </c>
      <c r="N206" s="25">
        <f t="shared" si="23"/>
        <v>60</v>
      </c>
      <c r="O206" s="24">
        <v>30338</v>
      </c>
      <c r="P206" s="23">
        <f t="shared" si="24"/>
        <v>598</v>
      </c>
      <c r="Q206" s="26"/>
      <c r="R206" s="23">
        <f t="shared" si="25"/>
        <v>0</v>
      </c>
      <c r="S206" s="27" t="s">
        <v>18</v>
      </c>
      <c r="T206" s="19" t="s">
        <v>218</v>
      </c>
    </row>
    <row r="207" spans="1:20" ht="37.5" customHeight="1" x14ac:dyDescent="0.25">
      <c r="A207" s="19" t="s">
        <v>219</v>
      </c>
      <c r="B207">
        <f t="shared" si="26"/>
        <v>8695</v>
      </c>
      <c r="C207">
        <v>1530</v>
      </c>
      <c r="D207">
        <v>7165</v>
      </c>
      <c r="F207">
        <f t="shared" si="21"/>
        <v>240</v>
      </c>
      <c r="G207" s="20">
        <f t="shared" si="27"/>
        <v>202</v>
      </c>
      <c r="H207" s="21">
        <v>88821080270</v>
      </c>
      <c r="I207" s="22">
        <v>252</v>
      </c>
      <c r="J207" s="23"/>
      <c r="K207" s="24">
        <v>8455</v>
      </c>
      <c r="L207" s="23">
        <f t="shared" si="22"/>
        <v>240</v>
      </c>
      <c r="M207" s="24">
        <v>1494</v>
      </c>
      <c r="N207" s="25">
        <f t="shared" si="23"/>
        <v>36</v>
      </c>
      <c r="O207" s="24">
        <v>6961</v>
      </c>
      <c r="P207" s="23">
        <f t="shared" si="24"/>
        <v>204</v>
      </c>
      <c r="Q207" s="26"/>
      <c r="R207" s="23">
        <f t="shared" si="25"/>
        <v>0</v>
      </c>
      <c r="S207" s="27" t="s">
        <v>18</v>
      </c>
      <c r="T207" s="19" t="s">
        <v>219</v>
      </c>
    </row>
    <row r="208" spans="1:20" ht="37.5" customHeight="1" x14ac:dyDescent="0.25">
      <c r="A208" s="19" t="s">
        <v>220</v>
      </c>
      <c r="B208">
        <f t="shared" si="26"/>
        <v>17545</v>
      </c>
      <c r="C208">
        <v>3075</v>
      </c>
      <c r="D208">
        <v>14470</v>
      </c>
      <c r="F208">
        <f t="shared" si="21"/>
        <v>34</v>
      </c>
      <c r="G208" s="20">
        <f t="shared" si="27"/>
        <v>203</v>
      </c>
      <c r="H208" s="21">
        <v>88819050454</v>
      </c>
      <c r="I208" s="22">
        <v>253</v>
      </c>
      <c r="J208" s="23"/>
      <c r="K208" s="24">
        <v>17511</v>
      </c>
      <c r="L208" s="23">
        <f t="shared" si="22"/>
        <v>34</v>
      </c>
      <c r="M208" s="24">
        <v>3072</v>
      </c>
      <c r="N208" s="25">
        <f t="shared" si="23"/>
        <v>3</v>
      </c>
      <c r="O208" s="24">
        <v>14439</v>
      </c>
      <c r="P208" s="23">
        <f t="shared" si="24"/>
        <v>31</v>
      </c>
      <c r="Q208" s="26"/>
      <c r="R208" s="23">
        <f t="shared" si="25"/>
        <v>0</v>
      </c>
      <c r="S208" s="27" t="s">
        <v>18</v>
      </c>
      <c r="T208" s="19" t="s">
        <v>220</v>
      </c>
    </row>
    <row r="209" spans="1:20" ht="37.5" customHeight="1" x14ac:dyDescent="0.25">
      <c r="A209" s="19" t="s">
        <v>221</v>
      </c>
      <c r="B209">
        <f t="shared" si="26"/>
        <v>27990</v>
      </c>
      <c r="C209">
        <v>4977</v>
      </c>
      <c r="D209">
        <v>23013</v>
      </c>
      <c r="F209">
        <f t="shared" si="21"/>
        <v>473</v>
      </c>
      <c r="G209" s="20">
        <f t="shared" si="27"/>
        <v>204</v>
      </c>
      <c r="H209" s="21">
        <v>66617020479</v>
      </c>
      <c r="I209" s="22">
        <v>254</v>
      </c>
      <c r="J209" s="23"/>
      <c r="K209" s="24">
        <v>27517</v>
      </c>
      <c r="L209" s="23">
        <f t="shared" si="22"/>
        <v>473</v>
      </c>
      <c r="M209" s="24">
        <v>4901</v>
      </c>
      <c r="N209" s="25">
        <f t="shared" si="23"/>
        <v>76</v>
      </c>
      <c r="O209" s="24">
        <v>22616</v>
      </c>
      <c r="P209" s="23">
        <f t="shared" si="24"/>
        <v>397</v>
      </c>
      <c r="Q209" s="26"/>
      <c r="R209" s="23">
        <f t="shared" si="25"/>
        <v>0</v>
      </c>
      <c r="S209" s="27" t="s">
        <v>18</v>
      </c>
      <c r="T209" s="19" t="s">
        <v>221</v>
      </c>
    </row>
    <row r="210" spans="1:20" ht="37.5" customHeight="1" x14ac:dyDescent="0.25">
      <c r="A210" s="19" t="s">
        <v>222</v>
      </c>
      <c r="B210">
        <f t="shared" si="26"/>
        <v>19399</v>
      </c>
      <c r="C210">
        <v>3296</v>
      </c>
      <c r="D210">
        <v>16103</v>
      </c>
      <c r="F210">
        <f t="shared" si="21"/>
        <v>365</v>
      </c>
      <c r="G210" s="20">
        <f t="shared" si="27"/>
        <v>205</v>
      </c>
      <c r="H210" s="21">
        <v>66616020267</v>
      </c>
      <c r="I210" s="22">
        <v>255</v>
      </c>
      <c r="J210" s="23"/>
      <c r="K210" s="24">
        <v>19034</v>
      </c>
      <c r="L210" s="23">
        <f t="shared" si="22"/>
        <v>365</v>
      </c>
      <c r="M210" s="24">
        <v>3238</v>
      </c>
      <c r="N210" s="25">
        <f t="shared" si="23"/>
        <v>58</v>
      </c>
      <c r="O210" s="24">
        <v>15796</v>
      </c>
      <c r="P210" s="23">
        <f t="shared" si="24"/>
        <v>307</v>
      </c>
      <c r="Q210" s="26"/>
      <c r="R210" s="23">
        <f t="shared" si="25"/>
        <v>0</v>
      </c>
      <c r="S210" s="27" t="s">
        <v>18</v>
      </c>
      <c r="T210" s="19" t="s">
        <v>222</v>
      </c>
    </row>
    <row r="211" spans="1:20" ht="37.5" customHeight="1" x14ac:dyDescent="0.25">
      <c r="A211" s="19" t="s">
        <v>223</v>
      </c>
      <c r="B211">
        <f t="shared" si="26"/>
        <v>28842</v>
      </c>
      <c r="C211">
        <v>4650</v>
      </c>
      <c r="D211">
        <v>24192</v>
      </c>
      <c r="F211">
        <f t="shared" si="21"/>
        <v>400</v>
      </c>
      <c r="G211" s="20">
        <f t="shared" si="27"/>
        <v>206</v>
      </c>
      <c r="H211" s="21">
        <v>23013080055</v>
      </c>
      <c r="I211" s="22">
        <v>256</v>
      </c>
      <c r="J211" s="23"/>
      <c r="K211" s="24">
        <v>28442</v>
      </c>
      <c r="L211" s="23">
        <f t="shared" si="22"/>
        <v>400</v>
      </c>
      <c r="M211" s="24">
        <v>4588</v>
      </c>
      <c r="N211" s="25">
        <f t="shared" si="23"/>
        <v>62</v>
      </c>
      <c r="O211" s="24">
        <v>23854</v>
      </c>
      <c r="P211" s="23">
        <f t="shared" si="24"/>
        <v>338</v>
      </c>
      <c r="Q211" s="26"/>
      <c r="R211" s="23">
        <f t="shared" si="25"/>
        <v>0</v>
      </c>
      <c r="S211" s="27" t="s">
        <v>18</v>
      </c>
      <c r="T211" s="19" t="s">
        <v>223</v>
      </c>
    </row>
    <row r="212" spans="1:20" ht="37.5" customHeight="1" x14ac:dyDescent="0.25">
      <c r="A212" s="19" t="s">
        <v>224</v>
      </c>
      <c r="B212">
        <f t="shared" si="26"/>
        <v>42274</v>
      </c>
      <c r="C212">
        <v>7410</v>
      </c>
      <c r="D212">
        <v>34864</v>
      </c>
      <c r="F212">
        <f t="shared" si="21"/>
        <v>254</v>
      </c>
      <c r="G212" s="20">
        <f t="shared" si="27"/>
        <v>207</v>
      </c>
      <c r="H212" s="21">
        <v>23012070135</v>
      </c>
      <c r="I212" s="22">
        <v>257</v>
      </c>
      <c r="J212" s="23"/>
      <c r="K212" s="24">
        <v>42020</v>
      </c>
      <c r="L212" s="23">
        <f t="shared" si="22"/>
        <v>254</v>
      </c>
      <c r="M212" s="24">
        <v>7367</v>
      </c>
      <c r="N212" s="25">
        <f t="shared" si="23"/>
        <v>43</v>
      </c>
      <c r="O212" s="24">
        <v>34653</v>
      </c>
      <c r="P212" s="23">
        <f t="shared" si="24"/>
        <v>211</v>
      </c>
      <c r="Q212" s="26"/>
      <c r="R212" s="23">
        <f t="shared" si="25"/>
        <v>0</v>
      </c>
      <c r="S212" s="27" t="s">
        <v>18</v>
      </c>
      <c r="T212" s="19" t="s">
        <v>224</v>
      </c>
    </row>
    <row r="213" spans="1:20" ht="37.5" customHeight="1" x14ac:dyDescent="0.25">
      <c r="A213" s="19" t="s">
        <v>225</v>
      </c>
      <c r="B213">
        <f t="shared" si="26"/>
        <v>42070</v>
      </c>
      <c r="C213">
        <v>7541</v>
      </c>
      <c r="D213">
        <v>34529</v>
      </c>
      <c r="F213">
        <f t="shared" si="21"/>
        <v>375</v>
      </c>
      <c r="G213" s="20">
        <f t="shared" si="27"/>
        <v>208</v>
      </c>
      <c r="H213" s="21">
        <v>23015010908</v>
      </c>
      <c r="I213" s="22">
        <v>258</v>
      </c>
      <c r="J213" s="23"/>
      <c r="K213" s="24">
        <v>41695</v>
      </c>
      <c r="L213" s="23">
        <f t="shared" si="22"/>
        <v>375</v>
      </c>
      <c r="M213" s="24">
        <v>7480</v>
      </c>
      <c r="N213" s="25">
        <f t="shared" si="23"/>
        <v>61</v>
      </c>
      <c r="O213" s="24">
        <v>34215</v>
      </c>
      <c r="P213" s="23">
        <f t="shared" si="24"/>
        <v>314</v>
      </c>
      <c r="Q213" s="26"/>
      <c r="R213" s="23">
        <f t="shared" si="25"/>
        <v>0</v>
      </c>
      <c r="S213" s="27" t="s">
        <v>18</v>
      </c>
      <c r="T213" s="19" t="s">
        <v>225</v>
      </c>
    </row>
    <row r="214" spans="1:20" ht="37.5" customHeight="1" x14ac:dyDescent="0.25">
      <c r="A214" s="19" t="s">
        <v>226</v>
      </c>
      <c r="B214">
        <f t="shared" si="26"/>
        <v>14980</v>
      </c>
      <c r="C214">
        <v>1552</v>
      </c>
      <c r="D214">
        <v>13428</v>
      </c>
      <c r="F214">
        <f t="shared" si="21"/>
        <v>280</v>
      </c>
      <c r="G214" s="20">
        <f t="shared" si="27"/>
        <v>209</v>
      </c>
      <c r="H214" s="21">
        <v>88821080468</v>
      </c>
      <c r="I214" s="22">
        <v>259</v>
      </c>
      <c r="J214" s="23"/>
      <c r="K214" s="24">
        <v>14700</v>
      </c>
      <c r="L214" s="23">
        <f t="shared" si="22"/>
        <v>280</v>
      </c>
      <c r="M214" s="24">
        <v>1509</v>
      </c>
      <c r="N214" s="25">
        <f t="shared" si="23"/>
        <v>43</v>
      </c>
      <c r="O214" s="24">
        <v>13191</v>
      </c>
      <c r="P214" s="23">
        <f t="shared" si="24"/>
        <v>237</v>
      </c>
      <c r="Q214" s="26"/>
      <c r="R214" s="23">
        <f t="shared" si="25"/>
        <v>0</v>
      </c>
      <c r="S214" s="27" t="s">
        <v>18</v>
      </c>
      <c r="T214" s="19" t="s">
        <v>226</v>
      </c>
    </row>
    <row r="215" spans="1:20" ht="37.5" customHeight="1" x14ac:dyDescent="0.25">
      <c r="A215" s="19" t="s">
        <v>227</v>
      </c>
      <c r="B215">
        <f t="shared" si="26"/>
        <v>43976</v>
      </c>
      <c r="C215">
        <v>8014</v>
      </c>
      <c r="D215">
        <v>35962</v>
      </c>
      <c r="F215">
        <f t="shared" si="21"/>
        <v>304</v>
      </c>
      <c r="G215" s="20">
        <f t="shared" si="27"/>
        <v>210</v>
      </c>
      <c r="H215" s="21">
        <v>23014060303</v>
      </c>
      <c r="I215" s="22">
        <v>260</v>
      </c>
      <c r="J215" s="23"/>
      <c r="K215" s="24">
        <v>43672</v>
      </c>
      <c r="L215" s="23">
        <f t="shared" si="22"/>
        <v>304</v>
      </c>
      <c r="M215" s="24">
        <v>7949</v>
      </c>
      <c r="N215" s="25">
        <f t="shared" si="23"/>
        <v>65</v>
      </c>
      <c r="O215" s="24">
        <v>35723</v>
      </c>
      <c r="P215" s="23">
        <f t="shared" si="24"/>
        <v>239</v>
      </c>
      <c r="Q215" s="26"/>
      <c r="R215" s="23">
        <f t="shared" si="25"/>
        <v>0</v>
      </c>
      <c r="S215" s="27" t="s">
        <v>18</v>
      </c>
      <c r="T215" s="19" t="s">
        <v>227</v>
      </c>
    </row>
    <row r="216" spans="1:20" ht="37.5" customHeight="1" x14ac:dyDescent="0.25">
      <c r="A216" s="19" t="s">
        <v>228</v>
      </c>
      <c r="B216">
        <f t="shared" si="26"/>
        <v>19543</v>
      </c>
      <c r="C216">
        <v>3567</v>
      </c>
      <c r="D216">
        <v>15976</v>
      </c>
      <c r="F216">
        <f t="shared" si="21"/>
        <v>316</v>
      </c>
      <c r="G216" s="20">
        <f t="shared" si="27"/>
        <v>211</v>
      </c>
      <c r="H216" s="21">
        <v>66618010028</v>
      </c>
      <c r="I216" s="22">
        <v>262</v>
      </c>
      <c r="J216" s="23"/>
      <c r="K216" s="24">
        <v>19227</v>
      </c>
      <c r="L216" s="23">
        <f t="shared" si="22"/>
        <v>316</v>
      </c>
      <c r="M216" s="24">
        <v>3502</v>
      </c>
      <c r="N216" s="25">
        <f t="shared" si="23"/>
        <v>65</v>
      </c>
      <c r="O216" s="24">
        <v>15725</v>
      </c>
      <c r="P216" s="23">
        <f t="shared" si="24"/>
        <v>251</v>
      </c>
      <c r="Q216" s="26"/>
      <c r="R216" s="23">
        <f t="shared" si="25"/>
        <v>0</v>
      </c>
      <c r="S216" s="27" t="s">
        <v>18</v>
      </c>
      <c r="T216" s="19" t="s">
        <v>228</v>
      </c>
    </row>
    <row r="217" spans="1:20" ht="37.5" customHeight="1" x14ac:dyDescent="0.25">
      <c r="A217" s="19" t="s">
        <v>229</v>
      </c>
      <c r="B217">
        <f t="shared" si="26"/>
        <v>34329</v>
      </c>
      <c r="C217">
        <v>5412</v>
      </c>
      <c r="D217">
        <v>28917</v>
      </c>
      <c r="F217">
        <f t="shared" si="21"/>
        <v>329</v>
      </c>
      <c r="G217" s="20">
        <f t="shared" si="27"/>
        <v>212</v>
      </c>
      <c r="H217" s="21">
        <v>66618010171</v>
      </c>
      <c r="I217" s="22">
        <v>263</v>
      </c>
      <c r="J217" s="23"/>
      <c r="K217" s="24">
        <v>34000</v>
      </c>
      <c r="L217" s="23">
        <f t="shared" si="22"/>
        <v>329</v>
      </c>
      <c r="M217" s="24">
        <v>5356</v>
      </c>
      <c r="N217" s="25">
        <f t="shared" si="23"/>
        <v>56</v>
      </c>
      <c r="O217" s="24">
        <v>28644</v>
      </c>
      <c r="P217" s="23">
        <f t="shared" si="24"/>
        <v>273</v>
      </c>
      <c r="Q217" s="26"/>
      <c r="R217" s="23">
        <f t="shared" si="25"/>
        <v>0</v>
      </c>
      <c r="S217" s="27" t="s">
        <v>18</v>
      </c>
      <c r="T217" s="19" t="s">
        <v>229</v>
      </c>
    </row>
    <row r="218" spans="1:20" ht="37.5" customHeight="1" x14ac:dyDescent="0.25">
      <c r="A218" s="19" t="s">
        <v>230</v>
      </c>
      <c r="B218">
        <f t="shared" si="26"/>
        <v>1501</v>
      </c>
      <c r="C218">
        <v>132</v>
      </c>
      <c r="D218">
        <v>1369</v>
      </c>
      <c r="F218">
        <f t="shared" si="21"/>
        <v>46</v>
      </c>
      <c r="G218" s="20">
        <f t="shared" si="27"/>
        <v>213</v>
      </c>
      <c r="H218" s="21">
        <v>66621040349</v>
      </c>
      <c r="I218" s="22">
        <v>264</v>
      </c>
      <c r="J218" s="23"/>
      <c r="K218" s="24">
        <v>1455</v>
      </c>
      <c r="L218" s="23">
        <f t="shared" si="22"/>
        <v>46</v>
      </c>
      <c r="M218" s="24">
        <v>128</v>
      </c>
      <c r="N218" s="25">
        <f t="shared" si="23"/>
        <v>4</v>
      </c>
      <c r="O218" s="24">
        <v>1327</v>
      </c>
      <c r="P218" s="23">
        <f t="shared" si="24"/>
        <v>42</v>
      </c>
      <c r="Q218" s="26"/>
      <c r="R218" s="23">
        <f t="shared" si="25"/>
        <v>0</v>
      </c>
      <c r="S218" s="27" t="s">
        <v>18</v>
      </c>
      <c r="T218" s="19" t="s">
        <v>230</v>
      </c>
    </row>
    <row r="219" spans="1:20" ht="37.5" customHeight="1" x14ac:dyDescent="0.25">
      <c r="A219" s="19" t="s">
        <v>231</v>
      </c>
      <c r="B219">
        <f t="shared" si="26"/>
        <v>25567</v>
      </c>
      <c r="C219">
        <v>4543</v>
      </c>
      <c r="D219">
        <v>21024</v>
      </c>
      <c r="F219">
        <f t="shared" si="21"/>
        <v>270</v>
      </c>
      <c r="G219" s="20">
        <f t="shared" si="27"/>
        <v>214</v>
      </c>
      <c r="H219" s="21">
        <v>88820040422</v>
      </c>
      <c r="I219" s="22">
        <v>266</v>
      </c>
      <c r="J219" s="23"/>
      <c r="K219" s="24">
        <v>25297</v>
      </c>
      <c r="L219" s="23">
        <f t="shared" si="22"/>
        <v>270</v>
      </c>
      <c r="M219" s="24">
        <v>4498</v>
      </c>
      <c r="N219" s="25">
        <f t="shared" si="23"/>
        <v>45</v>
      </c>
      <c r="O219" s="24">
        <v>20799</v>
      </c>
      <c r="P219" s="23">
        <f t="shared" si="24"/>
        <v>225</v>
      </c>
      <c r="Q219" s="26"/>
      <c r="R219" s="23">
        <f t="shared" si="25"/>
        <v>0</v>
      </c>
      <c r="S219" s="27" t="s">
        <v>18</v>
      </c>
      <c r="T219" s="19" t="s">
        <v>231</v>
      </c>
    </row>
    <row r="220" spans="1:20" ht="37.5" customHeight="1" x14ac:dyDescent="0.25">
      <c r="A220" s="19" t="s">
        <v>232</v>
      </c>
      <c r="B220">
        <f t="shared" si="26"/>
        <v>21459</v>
      </c>
      <c r="C220">
        <v>3585</v>
      </c>
      <c r="D220">
        <v>17874</v>
      </c>
      <c r="F220">
        <f t="shared" si="21"/>
        <v>205</v>
      </c>
      <c r="G220" s="20">
        <f t="shared" si="27"/>
        <v>215</v>
      </c>
      <c r="H220" s="21">
        <v>88818030006</v>
      </c>
      <c r="I220" s="22">
        <v>267</v>
      </c>
      <c r="J220" s="23"/>
      <c r="K220" s="24">
        <v>21254</v>
      </c>
      <c r="L220" s="23">
        <f t="shared" si="22"/>
        <v>205</v>
      </c>
      <c r="M220" s="24">
        <v>3543</v>
      </c>
      <c r="N220" s="25">
        <f t="shared" si="23"/>
        <v>42</v>
      </c>
      <c r="O220" s="24">
        <v>17711</v>
      </c>
      <c r="P220" s="23">
        <f t="shared" si="24"/>
        <v>163</v>
      </c>
      <c r="Q220" s="26"/>
      <c r="R220" s="23">
        <f t="shared" si="25"/>
        <v>0</v>
      </c>
      <c r="S220" s="27" t="s">
        <v>18</v>
      </c>
      <c r="T220" s="19" t="s">
        <v>232</v>
      </c>
    </row>
    <row r="221" spans="1:20" ht="37.5" customHeight="1" x14ac:dyDescent="0.25">
      <c r="A221" s="19" t="s">
        <v>233</v>
      </c>
      <c r="B221">
        <f t="shared" si="26"/>
        <v>11892</v>
      </c>
      <c r="C221">
        <v>2450</v>
      </c>
      <c r="D221">
        <v>9442</v>
      </c>
      <c r="F221">
        <f t="shared" si="21"/>
        <v>127</v>
      </c>
      <c r="G221" s="20">
        <f t="shared" si="27"/>
        <v>216</v>
      </c>
      <c r="H221" s="21">
        <v>66621060159</v>
      </c>
      <c r="I221" s="22">
        <v>268</v>
      </c>
      <c r="J221" s="23"/>
      <c r="K221" s="24">
        <v>11765</v>
      </c>
      <c r="L221" s="23">
        <f t="shared" si="22"/>
        <v>127</v>
      </c>
      <c r="M221" s="24">
        <v>2418</v>
      </c>
      <c r="N221" s="25">
        <f t="shared" si="23"/>
        <v>32</v>
      </c>
      <c r="O221" s="24">
        <v>9347</v>
      </c>
      <c r="P221" s="23">
        <f t="shared" si="24"/>
        <v>95</v>
      </c>
      <c r="Q221" s="26"/>
      <c r="R221" s="23">
        <f t="shared" si="25"/>
        <v>0</v>
      </c>
      <c r="S221" s="27" t="s">
        <v>18</v>
      </c>
      <c r="T221" s="19" t="s">
        <v>233</v>
      </c>
    </row>
    <row r="222" spans="1:20" ht="37.5" customHeight="1" x14ac:dyDescent="0.25">
      <c r="A222" s="19" t="s">
        <v>234</v>
      </c>
      <c r="B222">
        <f t="shared" si="26"/>
        <v>40329</v>
      </c>
      <c r="C222">
        <v>7554</v>
      </c>
      <c r="D222">
        <v>32775</v>
      </c>
      <c r="F222">
        <f t="shared" si="21"/>
        <v>456</v>
      </c>
      <c r="G222" s="20">
        <f t="shared" si="27"/>
        <v>217</v>
      </c>
      <c r="H222" s="21">
        <v>88820003282</v>
      </c>
      <c r="I222" s="22">
        <v>269</v>
      </c>
      <c r="J222" s="23"/>
      <c r="K222" s="24">
        <v>39873</v>
      </c>
      <c r="L222" s="23">
        <f t="shared" si="22"/>
        <v>456</v>
      </c>
      <c r="M222" s="24">
        <v>7475</v>
      </c>
      <c r="N222" s="25">
        <f t="shared" si="23"/>
        <v>79</v>
      </c>
      <c r="O222" s="24">
        <v>32398</v>
      </c>
      <c r="P222" s="23">
        <f t="shared" si="24"/>
        <v>377</v>
      </c>
      <c r="Q222" s="26"/>
      <c r="R222" s="23">
        <f t="shared" si="25"/>
        <v>0</v>
      </c>
      <c r="S222" s="27" t="s">
        <v>18</v>
      </c>
      <c r="T222" s="19" t="s">
        <v>234</v>
      </c>
    </row>
    <row r="223" spans="1:20" ht="37.5" customHeight="1" x14ac:dyDescent="0.25">
      <c r="A223" s="19" t="s">
        <v>235</v>
      </c>
      <c r="B223">
        <f t="shared" si="26"/>
        <v>26692</v>
      </c>
      <c r="C223">
        <v>5415</v>
      </c>
      <c r="D223">
        <v>21277</v>
      </c>
      <c r="F223">
        <f t="shared" si="21"/>
        <v>345</v>
      </c>
      <c r="G223" s="20">
        <f t="shared" si="27"/>
        <v>218</v>
      </c>
      <c r="H223" s="21">
        <v>23010090157</v>
      </c>
      <c r="I223" s="22">
        <v>270</v>
      </c>
      <c r="J223" s="23"/>
      <c r="K223" s="24">
        <v>26347</v>
      </c>
      <c r="L223" s="23">
        <f t="shared" si="22"/>
        <v>345</v>
      </c>
      <c r="M223" s="24">
        <v>5354</v>
      </c>
      <c r="N223" s="25">
        <f t="shared" si="23"/>
        <v>61</v>
      </c>
      <c r="O223" s="24">
        <v>20993</v>
      </c>
      <c r="P223" s="23">
        <f t="shared" si="24"/>
        <v>284</v>
      </c>
      <c r="Q223" s="26"/>
      <c r="R223" s="23">
        <f t="shared" si="25"/>
        <v>0</v>
      </c>
      <c r="S223" s="27" t="s">
        <v>18</v>
      </c>
      <c r="T223" s="19" t="s">
        <v>235</v>
      </c>
    </row>
    <row r="224" spans="1:20" ht="37.5" customHeight="1" x14ac:dyDescent="0.25">
      <c r="A224" s="19" t="s">
        <v>236</v>
      </c>
      <c r="B224">
        <f t="shared" si="26"/>
        <v>34343</v>
      </c>
      <c r="C224">
        <v>5971</v>
      </c>
      <c r="D224">
        <v>28372</v>
      </c>
      <c r="F224">
        <f t="shared" si="21"/>
        <v>477</v>
      </c>
      <c r="G224" s="20">
        <f t="shared" si="27"/>
        <v>219</v>
      </c>
      <c r="H224" s="21">
        <v>23013080140</v>
      </c>
      <c r="I224" s="22">
        <v>271</v>
      </c>
      <c r="J224" s="23"/>
      <c r="K224" s="24">
        <v>33866</v>
      </c>
      <c r="L224" s="23">
        <f t="shared" si="22"/>
        <v>477</v>
      </c>
      <c r="M224" s="24">
        <v>5900</v>
      </c>
      <c r="N224" s="25">
        <f t="shared" si="23"/>
        <v>71</v>
      </c>
      <c r="O224" s="24">
        <v>27966</v>
      </c>
      <c r="P224" s="23">
        <f t="shared" si="24"/>
        <v>406</v>
      </c>
      <c r="Q224" s="26"/>
      <c r="R224" s="23">
        <f t="shared" si="25"/>
        <v>0</v>
      </c>
      <c r="S224" s="27" t="s">
        <v>18</v>
      </c>
      <c r="T224" s="19" t="s">
        <v>236</v>
      </c>
    </row>
    <row r="225" spans="1:20" ht="37.5" customHeight="1" x14ac:dyDescent="0.25">
      <c r="A225" s="19" t="s">
        <v>237</v>
      </c>
      <c r="B225">
        <f t="shared" si="26"/>
        <v>31411</v>
      </c>
      <c r="C225">
        <v>5488</v>
      </c>
      <c r="D225">
        <v>25923</v>
      </c>
      <c r="F225">
        <f t="shared" si="21"/>
        <v>219</v>
      </c>
      <c r="G225" s="20">
        <f t="shared" si="27"/>
        <v>220</v>
      </c>
      <c r="H225" s="21">
        <v>66616031088</v>
      </c>
      <c r="I225" s="22">
        <v>272</v>
      </c>
      <c r="J225" s="23"/>
      <c r="K225" s="24">
        <v>31192</v>
      </c>
      <c r="L225" s="23">
        <f t="shared" si="22"/>
        <v>219</v>
      </c>
      <c r="M225" s="24">
        <v>5450</v>
      </c>
      <c r="N225" s="25">
        <f t="shared" si="23"/>
        <v>38</v>
      </c>
      <c r="O225" s="24">
        <v>25742</v>
      </c>
      <c r="P225" s="23">
        <f t="shared" si="24"/>
        <v>181</v>
      </c>
      <c r="Q225" s="26"/>
      <c r="R225" s="23">
        <f t="shared" si="25"/>
        <v>0</v>
      </c>
      <c r="S225" s="27" t="s">
        <v>18</v>
      </c>
      <c r="T225" s="19" t="s">
        <v>237</v>
      </c>
    </row>
    <row r="226" spans="1:20" ht="37.5" customHeight="1" x14ac:dyDescent="0.25">
      <c r="A226" s="19" t="s">
        <v>238</v>
      </c>
      <c r="B226">
        <f t="shared" si="26"/>
        <v>11771</v>
      </c>
      <c r="C226">
        <v>1773</v>
      </c>
      <c r="D226">
        <v>9998</v>
      </c>
      <c r="F226">
        <f t="shared" si="21"/>
        <v>63</v>
      </c>
      <c r="G226" s="20">
        <f t="shared" si="27"/>
        <v>221</v>
      </c>
      <c r="H226" s="21">
        <v>88820020363</v>
      </c>
      <c r="I226" s="22">
        <v>273</v>
      </c>
      <c r="J226" s="23"/>
      <c r="K226" s="24">
        <v>11708</v>
      </c>
      <c r="L226" s="23">
        <f t="shared" si="22"/>
        <v>63</v>
      </c>
      <c r="M226" s="24">
        <v>1762</v>
      </c>
      <c r="N226" s="25">
        <f t="shared" si="23"/>
        <v>11</v>
      </c>
      <c r="O226" s="24">
        <v>9946</v>
      </c>
      <c r="P226" s="23">
        <f t="shared" si="24"/>
        <v>52</v>
      </c>
      <c r="Q226" s="26"/>
      <c r="R226" s="23">
        <f t="shared" si="25"/>
        <v>0</v>
      </c>
      <c r="S226" s="27" t="s">
        <v>18</v>
      </c>
      <c r="T226" s="19" t="s">
        <v>238</v>
      </c>
    </row>
    <row r="227" spans="1:20" ht="37.5" customHeight="1" x14ac:dyDescent="0.25">
      <c r="A227" s="19" t="s">
        <v>239</v>
      </c>
      <c r="B227">
        <f t="shared" si="26"/>
        <v>3638</v>
      </c>
      <c r="C227">
        <v>463</v>
      </c>
      <c r="D227">
        <v>3175</v>
      </c>
      <c r="F227">
        <f t="shared" si="21"/>
        <v>1</v>
      </c>
      <c r="G227" s="20">
        <f t="shared" si="27"/>
        <v>222</v>
      </c>
      <c r="H227" s="21">
        <v>66621040500</v>
      </c>
      <c r="I227" s="22">
        <v>274</v>
      </c>
      <c r="J227" s="23"/>
      <c r="K227" s="24">
        <v>3637</v>
      </c>
      <c r="L227" s="23">
        <f t="shared" si="22"/>
        <v>1</v>
      </c>
      <c r="M227" s="24">
        <v>463</v>
      </c>
      <c r="N227" s="25">
        <f t="shared" si="23"/>
        <v>0</v>
      </c>
      <c r="O227" s="24">
        <v>3174</v>
      </c>
      <c r="P227" s="23">
        <f t="shared" si="24"/>
        <v>1</v>
      </c>
      <c r="Q227" s="26"/>
      <c r="R227" s="23">
        <f t="shared" si="25"/>
        <v>0</v>
      </c>
      <c r="S227" s="27" t="s">
        <v>18</v>
      </c>
      <c r="T227" s="19" t="s">
        <v>239</v>
      </c>
    </row>
    <row r="228" spans="1:20" ht="37.5" customHeight="1" x14ac:dyDescent="0.25">
      <c r="A228" s="19" t="s">
        <v>240</v>
      </c>
      <c r="B228">
        <f t="shared" si="26"/>
        <v>23906</v>
      </c>
      <c r="C228">
        <v>3921</v>
      </c>
      <c r="D228">
        <v>19985</v>
      </c>
      <c r="F228">
        <f t="shared" si="21"/>
        <v>36</v>
      </c>
      <c r="G228" s="20">
        <f t="shared" si="27"/>
        <v>223</v>
      </c>
      <c r="H228" s="21">
        <v>88820060071</v>
      </c>
      <c r="I228" s="22">
        <v>275</v>
      </c>
      <c r="J228" s="23"/>
      <c r="K228" s="24">
        <v>23870</v>
      </c>
      <c r="L228" s="23">
        <f t="shared" si="22"/>
        <v>36</v>
      </c>
      <c r="M228" s="24">
        <v>3919</v>
      </c>
      <c r="N228" s="25">
        <f t="shared" si="23"/>
        <v>2</v>
      </c>
      <c r="O228" s="24">
        <v>19951</v>
      </c>
      <c r="P228" s="23">
        <f t="shared" si="24"/>
        <v>34</v>
      </c>
      <c r="Q228" s="26"/>
      <c r="R228" s="23">
        <f t="shared" si="25"/>
        <v>0</v>
      </c>
      <c r="S228" s="27" t="s">
        <v>18</v>
      </c>
      <c r="T228" s="19" t="s">
        <v>240</v>
      </c>
    </row>
    <row r="229" spans="1:20" ht="37.5" customHeight="1" x14ac:dyDescent="0.25">
      <c r="A229" s="19" t="s">
        <v>241</v>
      </c>
      <c r="B229">
        <f t="shared" si="26"/>
        <v>9418</v>
      </c>
      <c r="C229">
        <v>1587</v>
      </c>
      <c r="D229">
        <v>7831</v>
      </c>
      <c r="F229">
        <f t="shared" si="21"/>
        <v>134</v>
      </c>
      <c r="G229" s="20">
        <f t="shared" si="27"/>
        <v>224</v>
      </c>
      <c r="H229" s="21">
        <v>666210550253</v>
      </c>
      <c r="I229" s="22">
        <v>276</v>
      </c>
      <c r="J229" s="23"/>
      <c r="K229" s="24">
        <v>9284</v>
      </c>
      <c r="L229" s="23">
        <f t="shared" si="22"/>
        <v>134</v>
      </c>
      <c r="M229" s="24">
        <v>1561</v>
      </c>
      <c r="N229" s="25">
        <f t="shared" si="23"/>
        <v>26</v>
      </c>
      <c r="O229" s="24">
        <v>7723</v>
      </c>
      <c r="P229" s="23">
        <f t="shared" si="24"/>
        <v>108</v>
      </c>
      <c r="Q229" s="26"/>
      <c r="R229" s="23">
        <f t="shared" si="25"/>
        <v>0</v>
      </c>
      <c r="S229" s="27" t="s">
        <v>18</v>
      </c>
      <c r="T229" s="19" t="s">
        <v>241</v>
      </c>
    </row>
    <row r="230" spans="1:20" ht="37.5" customHeight="1" x14ac:dyDescent="0.25">
      <c r="A230" s="19" t="s">
        <v>242</v>
      </c>
      <c r="B230">
        <f t="shared" si="26"/>
        <v>2439</v>
      </c>
      <c r="C230">
        <v>426</v>
      </c>
      <c r="D230">
        <v>2013</v>
      </c>
      <c r="F230">
        <f t="shared" si="21"/>
        <v>0</v>
      </c>
      <c r="G230" s="20">
        <f t="shared" si="27"/>
        <v>225</v>
      </c>
      <c r="H230" s="21">
        <v>66622010444</v>
      </c>
      <c r="I230" s="22">
        <v>277</v>
      </c>
      <c r="J230" s="23"/>
      <c r="K230" s="24">
        <v>2439</v>
      </c>
      <c r="L230" s="23">
        <f t="shared" si="22"/>
        <v>0</v>
      </c>
      <c r="M230" s="24">
        <v>426</v>
      </c>
      <c r="N230" s="25">
        <f t="shared" si="23"/>
        <v>0</v>
      </c>
      <c r="O230" s="24">
        <v>2013</v>
      </c>
      <c r="P230" s="23">
        <f t="shared" si="24"/>
        <v>0</v>
      </c>
      <c r="Q230" s="26"/>
      <c r="R230" s="23">
        <f t="shared" si="25"/>
        <v>0</v>
      </c>
      <c r="S230" s="27" t="s">
        <v>18</v>
      </c>
      <c r="T230" s="19" t="s">
        <v>242</v>
      </c>
    </row>
    <row r="231" spans="1:20" ht="37.5" customHeight="1" x14ac:dyDescent="0.25">
      <c r="A231" s="19" t="s">
        <v>243</v>
      </c>
      <c r="B231">
        <f t="shared" si="26"/>
        <v>3982</v>
      </c>
      <c r="C231">
        <v>544</v>
      </c>
      <c r="D231">
        <v>3438</v>
      </c>
      <c r="F231">
        <f t="shared" si="21"/>
        <v>177</v>
      </c>
      <c r="G231" s="20">
        <f t="shared" si="27"/>
        <v>226</v>
      </c>
      <c r="H231" s="21">
        <v>66623011332</v>
      </c>
      <c r="I231" s="22">
        <v>278</v>
      </c>
      <c r="J231" s="23"/>
      <c r="K231" s="24">
        <v>3805</v>
      </c>
      <c r="L231" s="23">
        <f t="shared" si="22"/>
        <v>177</v>
      </c>
      <c r="M231" s="24">
        <v>521</v>
      </c>
      <c r="N231" s="25">
        <f t="shared" si="23"/>
        <v>23</v>
      </c>
      <c r="O231" s="24">
        <v>3284</v>
      </c>
      <c r="P231" s="23">
        <f t="shared" si="24"/>
        <v>154</v>
      </c>
      <c r="Q231" s="26"/>
      <c r="R231" s="23">
        <f t="shared" si="25"/>
        <v>0</v>
      </c>
      <c r="S231" s="27" t="s">
        <v>18</v>
      </c>
      <c r="T231" s="19" t="s">
        <v>243</v>
      </c>
    </row>
    <row r="232" spans="1:20" ht="37.5" customHeight="1" x14ac:dyDescent="0.25">
      <c r="A232" s="19" t="s">
        <v>244</v>
      </c>
      <c r="B232">
        <f t="shared" si="26"/>
        <v>6328</v>
      </c>
      <c r="C232">
        <v>1096</v>
      </c>
      <c r="D232">
        <v>5232</v>
      </c>
      <c r="F232">
        <f t="shared" si="21"/>
        <v>0</v>
      </c>
      <c r="G232" s="20">
        <f t="shared" si="27"/>
        <v>227</v>
      </c>
      <c r="H232" s="21">
        <v>23014060665</v>
      </c>
      <c r="I232" s="22">
        <v>279</v>
      </c>
      <c r="J232" s="23"/>
      <c r="K232" s="24">
        <v>6328</v>
      </c>
      <c r="L232" s="23">
        <f t="shared" si="22"/>
        <v>0</v>
      </c>
      <c r="M232" s="24">
        <v>1096</v>
      </c>
      <c r="N232" s="25">
        <f t="shared" si="23"/>
        <v>0</v>
      </c>
      <c r="O232" s="24">
        <v>5232</v>
      </c>
      <c r="P232" s="23">
        <f t="shared" si="24"/>
        <v>0</v>
      </c>
      <c r="Q232" s="26"/>
      <c r="R232" s="23">
        <f t="shared" si="25"/>
        <v>0</v>
      </c>
      <c r="S232" s="27" t="s">
        <v>18</v>
      </c>
      <c r="T232" s="19" t="s">
        <v>244</v>
      </c>
    </row>
    <row r="233" spans="1:20" ht="37.5" customHeight="1" x14ac:dyDescent="0.25">
      <c r="A233" s="19" t="s">
        <v>245</v>
      </c>
      <c r="B233">
        <f t="shared" si="26"/>
        <v>12939</v>
      </c>
      <c r="C233">
        <v>1694</v>
      </c>
      <c r="D233">
        <v>11245</v>
      </c>
      <c r="F233">
        <f t="shared" si="21"/>
        <v>251</v>
      </c>
      <c r="G233" s="20">
        <f t="shared" si="27"/>
        <v>228</v>
      </c>
      <c r="H233" s="21">
        <v>66621060157</v>
      </c>
      <c r="I233" s="22">
        <v>280</v>
      </c>
      <c r="J233" s="23"/>
      <c r="K233" s="24">
        <v>12688</v>
      </c>
      <c r="L233" s="23">
        <f t="shared" si="22"/>
        <v>251</v>
      </c>
      <c r="M233" s="24">
        <v>1642</v>
      </c>
      <c r="N233" s="25">
        <f t="shared" si="23"/>
        <v>52</v>
      </c>
      <c r="O233" s="24">
        <v>11046</v>
      </c>
      <c r="P233" s="23">
        <f t="shared" si="24"/>
        <v>199</v>
      </c>
      <c r="Q233" s="26"/>
      <c r="R233" s="23">
        <f t="shared" si="25"/>
        <v>0</v>
      </c>
      <c r="S233" s="27" t="s">
        <v>18</v>
      </c>
      <c r="T233" s="19" t="s">
        <v>245</v>
      </c>
    </row>
    <row r="234" spans="1:20" ht="37.5" customHeight="1" x14ac:dyDescent="0.25">
      <c r="A234" s="19" t="s">
        <v>246</v>
      </c>
      <c r="B234">
        <f t="shared" si="26"/>
        <v>17618</v>
      </c>
      <c r="C234">
        <v>2615</v>
      </c>
      <c r="D234">
        <v>15003</v>
      </c>
      <c r="F234">
        <f t="shared" si="21"/>
        <v>333</v>
      </c>
      <c r="G234" s="20">
        <f t="shared" si="27"/>
        <v>229</v>
      </c>
      <c r="H234" s="21">
        <v>66621070244</v>
      </c>
      <c r="I234" s="22">
        <v>281</v>
      </c>
      <c r="J234" s="23"/>
      <c r="K234" s="24">
        <v>17285</v>
      </c>
      <c r="L234" s="23">
        <f t="shared" si="22"/>
        <v>333</v>
      </c>
      <c r="M234" s="24">
        <v>2559</v>
      </c>
      <c r="N234" s="25">
        <f t="shared" si="23"/>
        <v>56</v>
      </c>
      <c r="O234" s="24">
        <v>14726</v>
      </c>
      <c r="P234" s="23">
        <f t="shared" si="24"/>
        <v>277</v>
      </c>
      <c r="Q234" s="26"/>
      <c r="R234" s="23">
        <f t="shared" si="25"/>
        <v>0</v>
      </c>
      <c r="S234" s="27" t="s">
        <v>18</v>
      </c>
      <c r="T234" s="19" t="s">
        <v>246</v>
      </c>
    </row>
    <row r="235" spans="1:20" ht="37.5" customHeight="1" x14ac:dyDescent="0.25">
      <c r="A235" s="19" t="s">
        <v>247</v>
      </c>
      <c r="B235">
        <f t="shared" si="26"/>
        <v>76367</v>
      </c>
      <c r="C235">
        <v>19177</v>
      </c>
      <c r="D235">
        <v>57190</v>
      </c>
      <c r="F235">
        <f t="shared" si="21"/>
        <v>639</v>
      </c>
      <c r="G235" s="20">
        <f t="shared" si="27"/>
        <v>230</v>
      </c>
      <c r="H235" s="21">
        <v>23011100039</v>
      </c>
      <c r="I235" s="22">
        <v>282</v>
      </c>
      <c r="J235" s="23"/>
      <c r="K235" s="24">
        <v>75728</v>
      </c>
      <c r="L235" s="23">
        <f t="shared" si="22"/>
        <v>639</v>
      </c>
      <c r="M235" s="24">
        <v>19068</v>
      </c>
      <c r="N235" s="25">
        <f t="shared" si="23"/>
        <v>109</v>
      </c>
      <c r="O235" s="24">
        <v>56660</v>
      </c>
      <c r="P235" s="23">
        <f t="shared" si="24"/>
        <v>530</v>
      </c>
      <c r="Q235" s="26"/>
      <c r="R235" s="23">
        <f t="shared" si="25"/>
        <v>0</v>
      </c>
      <c r="S235" s="27" t="s">
        <v>18</v>
      </c>
      <c r="T235" s="19" t="s">
        <v>247</v>
      </c>
    </row>
    <row r="236" spans="1:20" ht="37.5" customHeight="1" x14ac:dyDescent="0.25">
      <c r="A236" s="19" t="s">
        <v>248</v>
      </c>
      <c r="B236">
        <f t="shared" si="26"/>
        <v>8832</v>
      </c>
      <c r="C236">
        <v>1794</v>
      </c>
      <c r="D236">
        <v>7038</v>
      </c>
      <c r="F236">
        <f t="shared" si="21"/>
        <v>385</v>
      </c>
      <c r="G236" s="20">
        <f t="shared" si="27"/>
        <v>231</v>
      </c>
      <c r="H236" s="21">
        <v>66622040466</v>
      </c>
      <c r="I236" s="22">
        <v>283</v>
      </c>
      <c r="J236" s="23"/>
      <c r="K236" s="24">
        <v>8447</v>
      </c>
      <c r="L236" s="23">
        <f t="shared" si="22"/>
        <v>385</v>
      </c>
      <c r="M236" s="24">
        <v>1730</v>
      </c>
      <c r="N236" s="25">
        <f t="shared" si="23"/>
        <v>64</v>
      </c>
      <c r="O236" s="24">
        <v>6717</v>
      </c>
      <c r="P236" s="23">
        <f t="shared" si="24"/>
        <v>321</v>
      </c>
      <c r="Q236" s="26"/>
      <c r="R236" s="23">
        <f t="shared" si="25"/>
        <v>0</v>
      </c>
      <c r="S236" s="27" t="s">
        <v>18</v>
      </c>
      <c r="T236" s="19" t="s">
        <v>248</v>
      </c>
    </row>
    <row r="237" spans="1:20" ht="37.5" customHeight="1" x14ac:dyDescent="0.25">
      <c r="A237" s="19" t="s">
        <v>249</v>
      </c>
      <c r="B237">
        <f t="shared" si="26"/>
        <v>28774</v>
      </c>
      <c r="C237">
        <v>4668</v>
      </c>
      <c r="D237">
        <v>24106</v>
      </c>
      <c r="F237">
        <f t="shared" si="21"/>
        <v>262</v>
      </c>
      <c r="G237" s="20">
        <f t="shared" si="27"/>
        <v>232</v>
      </c>
      <c r="H237" s="21">
        <v>23010090151</v>
      </c>
      <c r="I237" s="22">
        <v>284</v>
      </c>
      <c r="J237" s="23"/>
      <c r="K237" s="24">
        <v>28512</v>
      </c>
      <c r="L237" s="23">
        <f t="shared" si="22"/>
        <v>262</v>
      </c>
      <c r="M237" s="24">
        <v>4625</v>
      </c>
      <c r="N237" s="25">
        <f t="shared" si="23"/>
        <v>43</v>
      </c>
      <c r="O237" s="24">
        <v>23887</v>
      </c>
      <c r="P237" s="23">
        <f t="shared" si="24"/>
        <v>219</v>
      </c>
      <c r="Q237" s="26"/>
      <c r="R237" s="23">
        <f t="shared" si="25"/>
        <v>0</v>
      </c>
      <c r="S237" s="27" t="s">
        <v>18</v>
      </c>
      <c r="T237" s="19" t="s">
        <v>249</v>
      </c>
    </row>
    <row r="238" spans="1:20" ht="37.5" customHeight="1" x14ac:dyDescent="0.25">
      <c r="A238" s="19" t="s">
        <v>250</v>
      </c>
      <c r="B238">
        <f t="shared" si="26"/>
        <v>31946</v>
      </c>
      <c r="C238">
        <v>5187</v>
      </c>
      <c r="D238">
        <v>26759</v>
      </c>
      <c r="F238">
        <f t="shared" si="21"/>
        <v>179</v>
      </c>
      <c r="G238" s="20">
        <f t="shared" si="27"/>
        <v>233</v>
      </c>
      <c r="H238" s="21">
        <v>23014040015</v>
      </c>
      <c r="I238" s="22">
        <v>285</v>
      </c>
      <c r="J238" s="23"/>
      <c r="K238" s="24">
        <v>31767</v>
      </c>
      <c r="L238" s="23">
        <f t="shared" si="22"/>
        <v>179</v>
      </c>
      <c r="M238" s="24">
        <v>5157</v>
      </c>
      <c r="N238" s="25">
        <f t="shared" si="23"/>
        <v>30</v>
      </c>
      <c r="O238" s="24">
        <v>26610</v>
      </c>
      <c r="P238" s="23">
        <f t="shared" si="24"/>
        <v>149</v>
      </c>
      <c r="Q238" s="26"/>
      <c r="R238" s="23">
        <f t="shared" si="25"/>
        <v>0</v>
      </c>
      <c r="S238" s="27" t="s">
        <v>18</v>
      </c>
      <c r="T238" s="19" t="s">
        <v>250</v>
      </c>
    </row>
    <row r="239" spans="1:20" ht="37.5" customHeight="1" x14ac:dyDescent="0.25">
      <c r="A239" s="19" t="s">
        <v>251</v>
      </c>
      <c r="B239">
        <f t="shared" si="26"/>
        <v>4383</v>
      </c>
      <c r="C239">
        <v>756</v>
      </c>
      <c r="D239">
        <v>3627</v>
      </c>
      <c r="F239">
        <f t="shared" si="21"/>
        <v>0</v>
      </c>
      <c r="G239" s="20">
        <f t="shared" si="27"/>
        <v>234</v>
      </c>
      <c r="H239" s="21">
        <v>23015010369</v>
      </c>
      <c r="I239" s="22">
        <v>286</v>
      </c>
      <c r="J239" s="23"/>
      <c r="K239" s="24">
        <v>4383</v>
      </c>
      <c r="L239" s="23">
        <f t="shared" si="22"/>
        <v>0</v>
      </c>
      <c r="M239" s="24">
        <v>756</v>
      </c>
      <c r="N239" s="25">
        <f t="shared" si="23"/>
        <v>0</v>
      </c>
      <c r="O239" s="24">
        <v>3627</v>
      </c>
      <c r="P239" s="23">
        <f t="shared" si="24"/>
        <v>0</v>
      </c>
      <c r="Q239" s="26"/>
      <c r="R239" s="23">
        <f t="shared" si="25"/>
        <v>0</v>
      </c>
      <c r="S239" s="27" t="s">
        <v>18</v>
      </c>
      <c r="T239" s="19" t="s">
        <v>251</v>
      </c>
    </row>
    <row r="240" spans="1:20" ht="37.5" customHeight="1" x14ac:dyDescent="0.25">
      <c r="A240" s="19" t="s">
        <v>252</v>
      </c>
      <c r="B240">
        <f t="shared" si="26"/>
        <v>60195</v>
      </c>
      <c r="C240">
        <v>9567</v>
      </c>
      <c r="D240">
        <v>50628</v>
      </c>
      <c r="F240">
        <f t="shared" si="21"/>
        <v>241</v>
      </c>
      <c r="G240" s="20">
        <f t="shared" si="27"/>
        <v>235</v>
      </c>
      <c r="H240" s="21">
        <v>23014010016</v>
      </c>
      <c r="I240" s="22">
        <v>287</v>
      </c>
      <c r="J240" s="23"/>
      <c r="K240" s="24">
        <v>59954</v>
      </c>
      <c r="L240" s="23">
        <f t="shared" si="22"/>
        <v>241</v>
      </c>
      <c r="M240" s="24">
        <v>9536</v>
      </c>
      <c r="N240" s="25">
        <f t="shared" si="23"/>
        <v>31</v>
      </c>
      <c r="O240" s="24">
        <v>50418</v>
      </c>
      <c r="P240" s="23">
        <f t="shared" si="24"/>
        <v>210</v>
      </c>
      <c r="Q240" s="26"/>
      <c r="R240" s="23">
        <f t="shared" si="25"/>
        <v>0</v>
      </c>
      <c r="S240" s="27" t="s">
        <v>18</v>
      </c>
      <c r="T240" s="19" t="s">
        <v>252</v>
      </c>
    </row>
    <row r="241" spans="1:20" ht="37.5" customHeight="1" x14ac:dyDescent="0.25">
      <c r="A241" s="19" t="s">
        <v>253</v>
      </c>
      <c r="B241">
        <f t="shared" si="26"/>
        <v>18004</v>
      </c>
      <c r="C241">
        <v>2366</v>
      </c>
      <c r="D241">
        <v>15638</v>
      </c>
      <c r="F241">
        <f t="shared" si="21"/>
        <v>126</v>
      </c>
      <c r="G241" s="20">
        <f t="shared" si="27"/>
        <v>236</v>
      </c>
      <c r="H241" s="21">
        <v>23014061004</v>
      </c>
      <c r="I241" s="22">
        <v>288</v>
      </c>
      <c r="J241" s="23"/>
      <c r="K241" s="24">
        <v>17878</v>
      </c>
      <c r="L241" s="23">
        <f t="shared" si="22"/>
        <v>126</v>
      </c>
      <c r="M241" s="24">
        <v>2346</v>
      </c>
      <c r="N241" s="25">
        <f t="shared" si="23"/>
        <v>20</v>
      </c>
      <c r="O241" s="24">
        <v>15532</v>
      </c>
      <c r="P241" s="23">
        <f t="shared" si="24"/>
        <v>106</v>
      </c>
      <c r="Q241" s="26"/>
      <c r="R241" s="23">
        <f t="shared" si="25"/>
        <v>0</v>
      </c>
      <c r="S241" s="27" t="s">
        <v>18</v>
      </c>
      <c r="T241" s="19" t="s">
        <v>253</v>
      </c>
    </row>
    <row r="242" spans="1:20" ht="37.5" customHeight="1" x14ac:dyDescent="0.25">
      <c r="A242" s="19" t="s">
        <v>254</v>
      </c>
      <c r="B242">
        <f t="shared" si="26"/>
        <v>76672</v>
      </c>
      <c r="C242">
        <v>14234</v>
      </c>
      <c r="D242">
        <v>62438</v>
      </c>
      <c r="F242">
        <f t="shared" si="21"/>
        <v>409</v>
      </c>
      <c r="G242" s="20">
        <f t="shared" si="27"/>
        <v>237</v>
      </c>
      <c r="H242" s="21">
        <v>23012060161</v>
      </c>
      <c r="I242" s="22">
        <v>289</v>
      </c>
      <c r="J242" s="23"/>
      <c r="K242" s="24">
        <v>76263</v>
      </c>
      <c r="L242" s="23">
        <f t="shared" si="22"/>
        <v>409</v>
      </c>
      <c r="M242" s="24">
        <v>14147</v>
      </c>
      <c r="N242" s="25">
        <f t="shared" si="23"/>
        <v>87</v>
      </c>
      <c r="O242" s="24">
        <v>62116</v>
      </c>
      <c r="P242" s="23">
        <f t="shared" si="24"/>
        <v>322</v>
      </c>
      <c r="Q242" s="26"/>
      <c r="R242" s="23">
        <f t="shared" si="25"/>
        <v>0</v>
      </c>
      <c r="S242" s="27" t="s">
        <v>18</v>
      </c>
      <c r="T242" s="19" t="s">
        <v>254</v>
      </c>
    </row>
    <row r="243" spans="1:20" ht="37.5" customHeight="1" x14ac:dyDescent="0.25">
      <c r="A243" s="19" t="s">
        <v>255</v>
      </c>
      <c r="B243">
        <f t="shared" si="26"/>
        <v>48347</v>
      </c>
      <c r="C243">
        <v>8508</v>
      </c>
      <c r="D243">
        <v>39839</v>
      </c>
      <c r="F243">
        <f t="shared" si="21"/>
        <v>265</v>
      </c>
      <c r="G243" s="20">
        <f t="shared" si="27"/>
        <v>238</v>
      </c>
      <c r="H243" s="21">
        <v>23010050104</v>
      </c>
      <c r="I243" s="22">
        <v>290</v>
      </c>
      <c r="J243" s="23"/>
      <c r="K243" s="24">
        <v>48082</v>
      </c>
      <c r="L243" s="23">
        <f t="shared" si="22"/>
        <v>265</v>
      </c>
      <c r="M243" s="24">
        <v>8467</v>
      </c>
      <c r="N243" s="25">
        <f t="shared" si="23"/>
        <v>41</v>
      </c>
      <c r="O243" s="24">
        <v>39615</v>
      </c>
      <c r="P243" s="23">
        <f t="shared" si="24"/>
        <v>224</v>
      </c>
      <c r="Q243" s="26"/>
      <c r="R243" s="23">
        <f t="shared" si="25"/>
        <v>0</v>
      </c>
      <c r="S243" s="27" t="s">
        <v>18</v>
      </c>
      <c r="T243" s="19" t="s">
        <v>255</v>
      </c>
    </row>
    <row r="244" spans="1:20" ht="37.5" customHeight="1" x14ac:dyDescent="0.25">
      <c r="A244" s="19" t="s">
        <v>256</v>
      </c>
      <c r="B244">
        <f t="shared" si="26"/>
        <v>11038</v>
      </c>
      <c r="C244">
        <v>1585</v>
      </c>
      <c r="D244">
        <v>9453</v>
      </c>
      <c r="F244">
        <f t="shared" si="21"/>
        <v>461</v>
      </c>
      <c r="G244" s="20">
        <f t="shared" si="27"/>
        <v>239</v>
      </c>
      <c r="H244" s="21">
        <v>66622050343</v>
      </c>
      <c r="I244" s="22">
        <v>291</v>
      </c>
      <c r="J244" s="23"/>
      <c r="K244" s="24">
        <v>10577</v>
      </c>
      <c r="L244" s="23">
        <f t="shared" si="22"/>
        <v>461</v>
      </c>
      <c r="M244" s="24">
        <v>1509</v>
      </c>
      <c r="N244" s="25">
        <f t="shared" si="23"/>
        <v>76</v>
      </c>
      <c r="O244" s="24">
        <v>9068</v>
      </c>
      <c r="P244" s="23">
        <f t="shared" si="24"/>
        <v>385</v>
      </c>
      <c r="Q244" s="26"/>
      <c r="R244" s="23">
        <f t="shared" si="25"/>
        <v>0</v>
      </c>
      <c r="S244" s="27" t="s">
        <v>18</v>
      </c>
      <c r="T244" s="19" t="s">
        <v>256</v>
      </c>
    </row>
    <row r="245" spans="1:20" ht="37.5" customHeight="1" x14ac:dyDescent="0.25">
      <c r="A245" s="19" t="s">
        <v>257</v>
      </c>
      <c r="B245">
        <f t="shared" si="26"/>
        <v>11321</v>
      </c>
      <c r="C245">
        <v>1881</v>
      </c>
      <c r="D245">
        <v>9440</v>
      </c>
      <c r="F245">
        <f t="shared" si="21"/>
        <v>269</v>
      </c>
      <c r="G245" s="20">
        <f t="shared" si="27"/>
        <v>240</v>
      </c>
      <c r="H245" s="21">
        <v>66622030080</v>
      </c>
      <c r="I245" s="22">
        <v>292</v>
      </c>
      <c r="J245" s="23"/>
      <c r="K245" s="24">
        <v>11052</v>
      </c>
      <c r="L245" s="23">
        <f t="shared" si="22"/>
        <v>269</v>
      </c>
      <c r="M245" s="24">
        <v>1835</v>
      </c>
      <c r="N245" s="25">
        <f t="shared" si="23"/>
        <v>46</v>
      </c>
      <c r="O245" s="24">
        <v>9217</v>
      </c>
      <c r="P245" s="23">
        <f t="shared" si="24"/>
        <v>223</v>
      </c>
      <c r="Q245" s="26"/>
      <c r="R245" s="23">
        <f t="shared" si="25"/>
        <v>0</v>
      </c>
      <c r="S245" s="27" t="s">
        <v>18</v>
      </c>
      <c r="T245" s="19" t="s">
        <v>257</v>
      </c>
    </row>
    <row r="246" spans="1:20" ht="37.5" customHeight="1" x14ac:dyDescent="0.25">
      <c r="A246" s="19" t="s">
        <v>258</v>
      </c>
      <c r="B246">
        <f t="shared" si="26"/>
        <v>14041</v>
      </c>
      <c r="C246">
        <v>2517</v>
      </c>
      <c r="D246">
        <v>11524</v>
      </c>
      <c r="F246">
        <f t="shared" si="21"/>
        <v>76</v>
      </c>
      <c r="G246" s="20">
        <f t="shared" si="27"/>
        <v>241</v>
      </c>
      <c r="H246" s="21">
        <v>66619040226</v>
      </c>
      <c r="I246" s="22">
        <v>293</v>
      </c>
      <c r="J246" s="23"/>
      <c r="K246" s="24">
        <v>13965</v>
      </c>
      <c r="L246" s="23">
        <f t="shared" si="22"/>
        <v>76</v>
      </c>
      <c r="M246" s="24">
        <v>2506</v>
      </c>
      <c r="N246" s="25">
        <f t="shared" si="23"/>
        <v>11</v>
      </c>
      <c r="O246" s="24">
        <v>11459</v>
      </c>
      <c r="P246" s="23">
        <f t="shared" si="24"/>
        <v>65</v>
      </c>
      <c r="Q246" s="26"/>
      <c r="R246" s="23">
        <f t="shared" si="25"/>
        <v>0</v>
      </c>
      <c r="S246" s="27" t="s">
        <v>18</v>
      </c>
      <c r="T246" s="19" t="s">
        <v>258</v>
      </c>
    </row>
    <row r="247" spans="1:20" ht="37.5" customHeight="1" x14ac:dyDescent="0.25">
      <c r="A247" s="19" t="s">
        <v>259</v>
      </c>
      <c r="B247">
        <f t="shared" si="26"/>
        <v>28700</v>
      </c>
      <c r="C247">
        <v>5739</v>
      </c>
      <c r="D247">
        <v>22961</v>
      </c>
      <c r="F247">
        <f t="shared" si="21"/>
        <v>319</v>
      </c>
      <c r="G247" s="20">
        <f t="shared" si="27"/>
        <v>242</v>
      </c>
      <c r="H247" s="21">
        <v>66616031091</v>
      </c>
      <c r="I247" s="22">
        <v>294</v>
      </c>
      <c r="J247" s="23"/>
      <c r="K247" s="24">
        <v>28381</v>
      </c>
      <c r="L247" s="23">
        <f t="shared" si="22"/>
        <v>319</v>
      </c>
      <c r="M247" s="24">
        <v>5687</v>
      </c>
      <c r="N247" s="25">
        <f t="shared" si="23"/>
        <v>52</v>
      </c>
      <c r="O247" s="24">
        <v>22694</v>
      </c>
      <c r="P247" s="23">
        <f t="shared" si="24"/>
        <v>267</v>
      </c>
      <c r="Q247" s="26"/>
      <c r="R247" s="23">
        <f t="shared" si="25"/>
        <v>0</v>
      </c>
      <c r="S247" s="27" t="s">
        <v>18</v>
      </c>
      <c r="T247" s="19" t="s">
        <v>259</v>
      </c>
    </row>
    <row r="248" spans="1:20" ht="37.5" customHeight="1" x14ac:dyDescent="0.25">
      <c r="A248" s="19" t="s">
        <v>260</v>
      </c>
      <c r="B248">
        <f t="shared" si="26"/>
        <v>55497</v>
      </c>
      <c r="C248">
        <v>13377</v>
      </c>
      <c r="D248">
        <v>42120</v>
      </c>
      <c r="F248">
        <f t="shared" si="21"/>
        <v>284</v>
      </c>
      <c r="G248" s="20">
        <f t="shared" si="27"/>
        <v>243</v>
      </c>
      <c r="H248" s="21">
        <v>23010090042</v>
      </c>
      <c r="I248" s="22">
        <v>295</v>
      </c>
      <c r="J248" s="23"/>
      <c r="K248" s="24">
        <v>55213</v>
      </c>
      <c r="L248" s="23">
        <f t="shared" si="22"/>
        <v>284</v>
      </c>
      <c r="M248" s="24">
        <v>13326</v>
      </c>
      <c r="N248" s="25">
        <f t="shared" si="23"/>
        <v>51</v>
      </c>
      <c r="O248" s="24">
        <v>41887</v>
      </c>
      <c r="P248" s="23">
        <f t="shared" si="24"/>
        <v>233</v>
      </c>
      <c r="Q248" s="26"/>
      <c r="R248" s="23">
        <f t="shared" si="25"/>
        <v>0</v>
      </c>
      <c r="S248" s="27" t="s">
        <v>18</v>
      </c>
      <c r="T248" s="19" t="s">
        <v>260</v>
      </c>
    </row>
    <row r="249" spans="1:20" ht="37.5" customHeight="1" x14ac:dyDescent="0.25">
      <c r="A249" s="19" t="s">
        <v>261</v>
      </c>
      <c r="B249">
        <f t="shared" si="26"/>
        <v>19444</v>
      </c>
      <c r="C249">
        <v>3990</v>
      </c>
      <c r="D249">
        <v>15454</v>
      </c>
      <c r="F249">
        <f t="shared" si="21"/>
        <v>76</v>
      </c>
      <c r="G249" s="20">
        <f t="shared" si="27"/>
        <v>244</v>
      </c>
      <c r="H249" s="21">
        <v>23011100090</v>
      </c>
      <c r="I249" s="22">
        <v>297</v>
      </c>
      <c r="J249" s="23"/>
      <c r="K249" s="24">
        <v>19368</v>
      </c>
      <c r="L249" s="23">
        <f t="shared" si="22"/>
        <v>76</v>
      </c>
      <c r="M249" s="24">
        <v>3979</v>
      </c>
      <c r="N249" s="25">
        <f t="shared" si="23"/>
        <v>11</v>
      </c>
      <c r="O249" s="24">
        <v>15389</v>
      </c>
      <c r="P249" s="23">
        <f t="shared" si="24"/>
        <v>65</v>
      </c>
      <c r="Q249" s="26"/>
      <c r="R249" s="23">
        <f t="shared" si="25"/>
        <v>0</v>
      </c>
      <c r="S249" s="27" t="s">
        <v>18</v>
      </c>
      <c r="T249" s="19" t="s">
        <v>261</v>
      </c>
    </row>
    <row r="250" spans="1:20" ht="37.5" customHeight="1" x14ac:dyDescent="0.25">
      <c r="A250" s="19" t="s">
        <v>262</v>
      </c>
      <c r="B250">
        <f t="shared" si="26"/>
        <v>56030</v>
      </c>
      <c r="C250">
        <v>9388</v>
      </c>
      <c r="D250">
        <v>46642</v>
      </c>
      <c r="F250">
        <f t="shared" si="21"/>
        <v>549</v>
      </c>
      <c r="G250" s="20">
        <f t="shared" si="27"/>
        <v>245</v>
      </c>
      <c r="H250" s="21">
        <v>23013080023</v>
      </c>
      <c r="I250" s="22">
        <v>298</v>
      </c>
      <c r="J250" s="23"/>
      <c r="K250" s="24">
        <v>55481</v>
      </c>
      <c r="L250" s="23">
        <f t="shared" si="22"/>
        <v>549</v>
      </c>
      <c r="M250" s="24">
        <v>9269</v>
      </c>
      <c r="N250" s="25">
        <f t="shared" si="23"/>
        <v>119</v>
      </c>
      <c r="O250" s="24">
        <v>46212</v>
      </c>
      <c r="P250" s="23">
        <f t="shared" si="24"/>
        <v>430</v>
      </c>
      <c r="Q250" s="26"/>
      <c r="R250" s="23">
        <f t="shared" si="25"/>
        <v>0</v>
      </c>
      <c r="S250" s="27" t="s">
        <v>18</v>
      </c>
      <c r="T250" s="19" t="s">
        <v>262</v>
      </c>
    </row>
    <row r="251" spans="1:20" ht="37.5" customHeight="1" x14ac:dyDescent="0.25">
      <c r="A251" s="19" t="s">
        <v>263</v>
      </c>
      <c r="B251">
        <f t="shared" si="26"/>
        <v>2644</v>
      </c>
      <c r="C251">
        <v>806</v>
      </c>
      <c r="D251">
        <v>1838</v>
      </c>
      <c r="E251">
        <v>3832</v>
      </c>
      <c r="F251">
        <f t="shared" si="21"/>
        <v>410</v>
      </c>
      <c r="G251" s="20">
        <f t="shared" si="27"/>
        <v>246</v>
      </c>
      <c r="H251" s="21">
        <v>99624030248</v>
      </c>
      <c r="I251" s="22">
        <v>299</v>
      </c>
      <c r="J251" s="23"/>
      <c r="K251" s="24">
        <f>M251+O251</f>
        <v>2234</v>
      </c>
      <c r="L251" s="23">
        <f t="shared" si="22"/>
        <v>410</v>
      </c>
      <c r="M251" s="24">
        <v>673</v>
      </c>
      <c r="N251" s="25">
        <f t="shared" si="23"/>
        <v>133</v>
      </c>
      <c r="O251" s="24">
        <v>1561</v>
      </c>
      <c r="P251" s="23">
        <f t="shared" si="24"/>
        <v>277</v>
      </c>
      <c r="Q251" s="26">
        <v>3333</v>
      </c>
      <c r="R251" s="23">
        <f t="shared" si="25"/>
        <v>499</v>
      </c>
      <c r="S251" s="27" t="s">
        <v>18</v>
      </c>
      <c r="T251" s="19" t="s">
        <v>263</v>
      </c>
    </row>
    <row r="252" spans="1:20" ht="37.5" customHeight="1" x14ac:dyDescent="0.25">
      <c r="A252" s="19" t="s">
        <v>264</v>
      </c>
      <c r="B252">
        <f t="shared" si="26"/>
        <v>43392</v>
      </c>
      <c r="C252">
        <v>7747</v>
      </c>
      <c r="D252">
        <v>35645</v>
      </c>
      <c r="F252">
        <f t="shared" si="21"/>
        <v>311</v>
      </c>
      <c r="G252" s="20">
        <f t="shared" si="27"/>
        <v>247</v>
      </c>
      <c r="H252" s="21">
        <v>23012070287</v>
      </c>
      <c r="I252" s="22">
        <v>301</v>
      </c>
      <c r="J252" s="23"/>
      <c r="K252" s="24">
        <v>43081</v>
      </c>
      <c r="L252" s="23">
        <f t="shared" si="22"/>
        <v>311</v>
      </c>
      <c r="M252" s="24">
        <v>7667</v>
      </c>
      <c r="N252" s="25">
        <f t="shared" si="23"/>
        <v>80</v>
      </c>
      <c r="O252" s="24">
        <v>35414</v>
      </c>
      <c r="P252" s="23">
        <f t="shared" si="24"/>
        <v>231</v>
      </c>
      <c r="Q252" s="26"/>
      <c r="R252" s="23">
        <f t="shared" si="25"/>
        <v>0</v>
      </c>
      <c r="S252" s="27" t="s">
        <v>18</v>
      </c>
      <c r="T252" s="19" t="s">
        <v>264</v>
      </c>
    </row>
    <row r="253" spans="1:20" ht="37.5" customHeight="1" x14ac:dyDescent="0.25">
      <c r="A253" s="19" t="s">
        <v>265</v>
      </c>
      <c r="B253">
        <f t="shared" si="26"/>
        <v>488</v>
      </c>
      <c r="C253">
        <v>106</v>
      </c>
      <c r="D253">
        <v>382</v>
      </c>
      <c r="E253">
        <v>455</v>
      </c>
      <c r="F253">
        <f t="shared" si="21"/>
        <v>488</v>
      </c>
      <c r="G253" s="20">
        <f t="shared" si="27"/>
        <v>248</v>
      </c>
      <c r="H253" s="21">
        <v>99625010218</v>
      </c>
      <c r="I253" s="22">
        <v>302</v>
      </c>
      <c r="J253" s="23"/>
      <c r="K253" s="24">
        <v>0</v>
      </c>
      <c r="L253" s="23">
        <f t="shared" si="22"/>
        <v>488</v>
      </c>
      <c r="M253" s="24">
        <v>0</v>
      </c>
      <c r="N253" s="25">
        <f t="shared" si="23"/>
        <v>106</v>
      </c>
      <c r="O253" s="24">
        <v>0</v>
      </c>
      <c r="P253" s="23">
        <f t="shared" si="24"/>
        <v>382</v>
      </c>
      <c r="Q253" s="26">
        <v>0</v>
      </c>
      <c r="R253" s="23">
        <f t="shared" si="25"/>
        <v>455</v>
      </c>
      <c r="S253" s="27" t="s">
        <v>18</v>
      </c>
      <c r="T253" s="19" t="s">
        <v>265</v>
      </c>
    </row>
    <row r="254" spans="1:20" ht="37.5" customHeight="1" x14ac:dyDescent="0.25">
      <c r="A254" s="19" t="s">
        <v>266</v>
      </c>
      <c r="B254">
        <f t="shared" si="26"/>
        <v>19741</v>
      </c>
      <c r="C254">
        <v>2693</v>
      </c>
      <c r="D254">
        <v>17048</v>
      </c>
      <c r="F254">
        <f t="shared" si="21"/>
        <v>224</v>
      </c>
      <c r="G254" s="20">
        <f t="shared" si="27"/>
        <v>249</v>
      </c>
      <c r="H254" s="21">
        <v>66621030169</v>
      </c>
      <c r="I254" s="22">
        <v>303</v>
      </c>
      <c r="J254" s="23"/>
      <c r="K254" s="24">
        <v>19517</v>
      </c>
      <c r="L254" s="23">
        <f t="shared" si="22"/>
        <v>224</v>
      </c>
      <c r="M254" s="24">
        <v>2656</v>
      </c>
      <c r="N254" s="25">
        <f t="shared" si="23"/>
        <v>37</v>
      </c>
      <c r="O254" s="24">
        <v>16861</v>
      </c>
      <c r="P254" s="23">
        <f t="shared" si="24"/>
        <v>187</v>
      </c>
      <c r="Q254" s="26"/>
      <c r="R254" s="23">
        <f t="shared" si="25"/>
        <v>0</v>
      </c>
      <c r="S254" s="27" t="s">
        <v>18</v>
      </c>
      <c r="T254" s="19" t="s">
        <v>266</v>
      </c>
    </row>
    <row r="255" spans="1:20" ht="37.5" customHeight="1" x14ac:dyDescent="0.25">
      <c r="A255" s="19" t="s">
        <v>267</v>
      </c>
      <c r="B255">
        <f t="shared" si="26"/>
        <v>49086</v>
      </c>
      <c r="C255">
        <v>14617</v>
      </c>
      <c r="D255">
        <v>34469</v>
      </c>
      <c r="F255">
        <f t="shared" si="21"/>
        <v>165</v>
      </c>
      <c r="G255" s="20">
        <f t="shared" si="27"/>
        <v>250</v>
      </c>
      <c r="H255" s="21">
        <v>23010020051</v>
      </c>
      <c r="I255" s="22">
        <v>304</v>
      </c>
      <c r="J255" s="23"/>
      <c r="K255" s="24">
        <v>48921</v>
      </c>
      <c r="L255" s="23">
        <f t="shared" si="22"/>
        <v>165</v>
      </c>
      <c r="M255" s="24">
        <v>14590</v>
      </c>
      <c r="N255" s="25">
        <f t="shared" si="23"/>
        <v>27</v>
      </c>
      <c r="O255" s="24">
        <v>34331</v>
      </c>
      <c r="P255" s="23">
        <f t="shared" si="24"/>
        <v>138</v>
      </c>
      <c r="Q255" s="26"/>
      <c r="R255" s="23">
        <f t="shared" si="25"/>
        <v>0</v>
      </c>
      <c r="S255" s="27" t="s">
        <v>18</v>
      </c>
      <c r="T255" s="19" t="s">
        <v>267</v>
      </c>
    </row>
    <row r="256" spans="1:20" ht="37.5" customHeight="1" x14ac:dyDescent="0.25">
      <c r="A256" s="19" t="s">
        <v>268</v>
      </c>
      <c r="B256">
        <f t="shared" si="26"/>
        <v>45866</v>
      </c>
      <c r="C256">
        <v>6506</v>
      </c>
      <c r="D256">
        <v>39360</v>
      </c>
      <c r="F256">
        <f t="shared" si="21"/>
        <v>229</v>
      </c>
      <c r="G256" s="20">
        <f t="shared" si="27"/>
        <v>251</v>
      </c>
      <c r="H256" s="21">
        <v>23014010096</v>
      </c>
      <c r="I256" s="22">
        <v>306</v>
      </c>
      <c r="J256" s="23"/>
      <c r="K256" s="24">
        <v>45637</v>
      </c>
      <c r="L256" s="23">
        <f t="shared" si="22"/>
        <v>229</v>
      </c>
      <c r="M256" s="24">
        <v>6471</v>
      </c>
      <c r="N256" s="25">
        <f t="shared" si="23"/>
        <v>35</v>
      </c>
      <c r="O256" s="24">
        <v>39166</v>
      </c>
      <c r="P256" s="23">
        <f t="shared" si="24"/>
        <v>194</v>
      </c>
      <c r="Q256" s="26"/>
      <c r="R256" s="23">
        <f t="shared" si="25"/>
        <v>0</v>
      </c>
      <c r="S256" s="27" t="s">
        <v>18</v>
      </c>
      <c r="T256" s="19" t="s">
        <v>268</v>
      </c>
    </row>
    <row r="257" spans="1:20" ht="37.5" customHeight="1" x14ac:dyDescent="0.25">
      <c r="A257" s="19" t="s">
        <v>269</v>
      </c>
      <c r="B257">
        <f t="shared" si="26"/>
        <v>45620</v>
      </c>
      <c r="C257">
        <v>6791</v>
      </c>
      <c r="D257">
        <v>38829</v>
      </c>
      <c r="F257">
        <f t="shared" si="21"/>
        <v>439</v>
      </c>
      <c r="G257" s="20">
        <f t="shared" si="27"/>
        <v>252</v>
      </c>
      <c r="H257" s="21">
        <v>23014010201</v>
      </c>
      <c r="I257" s="22">
        <v>308</v>
      </c>
      <c r="J257" s="23"/>
      <c r="K257" s="24">
        <v>45181</v>
      </c>
      <c r="L257" s="23">
        <f t="shared" si="22"/>
        <v>439</v>
      </c>
      <c r="M257" s="24">
        <v>6763</v>
      </c>
      <c r="N257" s="25">
        <f t="shared" si="23"/>
        <v>28</v>
      </c>
      <c r="O257" s="24">
        <v>38418</v>
      </c>
      <c r="P257" s="23">
        <f t="shared" si="24"/>
        <v>411</v>
      </c>
      <c r="Q257" s="26"/>
      <c r="R257" s="23">
        <f t="shared" si="25"/>
        <v>0</v>
      </c>
      <c r="S257" s="27" t="s">
        <v>18</v>
      </c>
      <c r="T257" s="19" t="s">
        <v>269</v>
      </c>
    </row>
    <row r="258" spans="1:20" ht="37.5" customHeight="1" x14ac:dyDescent="0.25">
      <c r="A258" s="19" t="s">
        <v>270</v>
      </c>
      <c r="B258">
        <f t="shared" si="26"/>
        <v>203</v>
      </c>
      <c r="C258">
        <v>24</v>
      </c>
      <c r="D258">
        <v>179</v>
      </c>
      <c r="F258">
        <f t="shared" si="21"/>
        <v>91</v>
      </c>
      <c r="G258" s="20">
        <f t="shared" si="27"/>
        <v>253</v>
      </c>
      <c r="H258" s="21">
        <v>66625010054</v>
      </c>
      <c r="I258" s="22">
        <v>309</v>
      </c>
      <c r="J258" s="23"/>
      <c r="K258" s="24">
        <v>112</v>
      </c>
      <c r="L258" s="23">
        <f t="shared" si="22"/>
        <v>91</v>
      </c>
      <c r="M258" s="24">
        <v>14</v>
      </c>
      <c r="N258" s="25">
        <f t="shared" si="23"/>
        <v>10</v>
      </c>
      <c r="O258" s="24">
        <v>98</v>
      </c>
      <c r="P258" s="23">
        <f t="shared" si="24"/>
        <v>81</v>
      </c>
      <c r="Q258" s="26"/>
      <c r="R258" s="23">
        <f t="shared" si="25"/>
        <v>0</v>
      </c>
      <c r="S258" s="27" t="s">
        <v>18</v>
      </c>
      <c r="T258" s="19" t="s">
        <v>270</v>
      </c>
    </row>
    <row r="259" spans="1:20" ht="37.5" customHeight="1" x14ac:dyDescent="0.25">
      <c r="A259" s="19" t="s">
        <v>271</v>
      </c>
      <c r="B259">
        <f t="shared" si="26"/>
        <v>49719</v>
      </c>
      <c r="C259">
        <v>8452</v>
      </c>
      <c r="D259">
        <v>41267</v>
      </c>
      <c r="F259">
        <f t="shared" si="21"/>
        <v>544</v>
      </c>
      <c r="G259" s="20">
        <f t="shared" si="27"/>
        <v>254</v>
      </c>
      <c r="H259" s="21">
        <v>66617010479</v>
      </c>
      <c r="I259" s="22">
        <v>310</v>
      </c>
      <c r="J259" s="23"/>
      <c r="K259" s="24">
        <v>49175</v>
      </c>
      <c r="L259" s="23">
        <f t="shared" si="22"/>
        <v>544</v>
      </c>
      <c r="M259" s="24">
        <v>8370</v>
      </c>
      <c r="N259" s="25">
        <f t="shared" si="23"/>
        <v>82</v>
      </c>
      <c r="O259" s="24">
        <v>40805</v>
      </c>
      <c r="P259" s="23">
        <f t="shared" si="24"/>
        <v>462</v>
      </c>
      <c r="Q259" s="26"/>
      <c r="R259" s="23">
        <f t="shared" si="25"/>
        <v>0</v>
      </c>
      <c r="S259" s="27" t="s">
        <v>18</v>
      </c>
      <c r="T259" s="19" t="s">
        <v>271</v>
      </c>
    </row>
    <row r="260" spans="1:20" ht="37.5" customHeight="1" x14ac:dyDescent="0.25">
      <c r="A260" s="19" t="s">
        <v>272</v>
      </c>
      <c r="B260">
        <f t="shared" si="26"/>
        <v>48067</v>
      </c>
      <c r="C260">
        <v>8398</v>
      </c>
      <c r="D260">
        <v>39669</v>
      </c>
      <c r="F260">
        <f t="shared" si="21"/>
        <v>235</v>
      </c>
      <c r="G260" s="20">
        <f t="shared" si="27"/>
        <v>255</v>
      </c>
      <c r="H260" s="21">
        <v>23015100787</v>
      </c>
      <c r="I260" s="22">
        <v>311</v>
      </c>
      <c r="J260" s="23"/>
      <c r="K260" s="24">
        <v>47832</v>
      </c>
      <c r="L260" s="23">
        <f t="shared" si="22"/>
        <v>235</v>
      </c>
      <c r="M260" s="24">
        <v>8355</v>
      </c>
      <c r="N260" s="25">
        <f t="shared" si="23"/>
        <v>43</v>
      </c>
      <c r="O260" s="24">
        <v>39477</v>
      </c>
      <c r="P260" s="23">
        <f t="shared" si="24"/>
        <v>192</v>
      </c>
      <c r="Q260" s="26"/>
      <c r="R260" s="23">
        <f t="shared" si="25"/>
        <v>0</v>
      </c>
      <c r="S260" s="27" t="s">
        <v>18</v>
      </c>
      <c r="T260" s="19" t="s">
        <v>272</v>
      </c>
    </row>
    <row r="261" spans="1:20" ht="37.5" customHeight="1" x14ac:dyDescent="0.25">
      <c r="A261" s="19" t="s">
        <v>273</v>
      </c>
      <c r="B261">
        <f t="shared" si="26"/>
        <v>15685</v>
      </c>
      <c r="C261">
        <v>2566</v>
      </c>
      <c r="D261">
        <v>13119</v>
      </c>
      <c r="F261">
        <f t="shared" ref="F261:F324" si="28">L261</f>
        <v>175</v>
      </c>
      <c r="G261" s="20">
        <f t="shared" si="27"/>
        <v>256</v>
      </c>
      <c r="H261" s="21">
        <v>66618010310</v>
      </c>
      <c r="I261" s="22">
        <v>312</v>
      </c>
      <c r="J261" s="23"/>
      <c r="K261" s="24">
        <v>15510</v>
      </c>
      <c r="L261" s="23">
        <f t="shared" si="22"/>
        <v>175</v>
      </c>
      <c r="M261" s="24">
        <v>2517</v>
      </c>
      <c r="N261" s="25">
        <f t="shared" si="23"/>
        <v>49</v>
      </c>
      <c r="O261" s="24">
        <v>12993</v>
      </c>
      <c r="P261" s="23">
        <f t="shared" si="24"/>
        <v>126</v>
      </c>
      <c r="Q261" s="26"/>
      <c r="R261" s="23">
        <f t="shared" si="25"/>
        <v>0</v>
      </c>
      <c r="S261" s="27" t="s">
        <v>18</v>
      </c>
      <c r="T261" s="19" t="s">
        <v>273</v>
      </c>
    </row>
    <row r="262" spans="1:20" ht="37.5" customHeight="1" x14ac:dyDescent="0.25">
      <c r="A262" s="19" t="s">
        <v>274</v>
      </c>
      <c r="B262">
        <f t="shared" si="26"/>
        <v>55100</v>
      </c>
      <c r="C262">
        <v>10697</v>
      </c>
      <c r="D262">
        <v>44403</v>
      </c>
      <c r="F262">
        <f t="shared" si="28"/>
        <v>3</v>
      </c>
      <c r="G262" s="20">
        <f t="shared" si="27"/>
        <v>257</v>
      </c>
      <c r="H262" s="21">
        <v>23011090067</v>
      </c>
      <c r="I262" s="22">
        <v>313</v>
      </c>
      <c r="J262" s="23"/>
      <c r="K262" s="24">
        <v>55097</v>
      </c>
      <c r="L262" s="23">
        <f t="shared" ref="L262:L325" si="29">B262-K262</f>
        <v>3</v>
      </c>
      <c r="M262" s="24">
        <v>10697</v>
      </c>
      <c r="N262" s="25">
        <f t="shared" ref="N262:N325" si="30">C262-M262</f>
        <v>0</v>
      </c>
      <c r="O262" s="24">
        <v>44400</v>
      </c>
      <c r="P262" s="23">
        <f t="shared" ref="P262:P325" si="31">D262-O262</f>
        <v>3</v>
      </c>
      <c r="Q262" s="26"/>
      <c r="R262" s="23">
        <f t="shared" ref="R262:R325" si="32">E262-Q262</f>
        <v>0</v>
      </c>
      <c r="S262" s="27" t="s">
        <v>18</v>
      </c>
      <c r="T262" s="19" t="s">
        <v>274</v>
      </c>
    </row>
    <row r="263" spans="1:20" ht="37.5" customHeight="1" x14ac:dyDescent="0.25">
      <c r="A263" s="19" t="s">
        <v>275</v>
      </c>
      <c r="B263">
        <f t="shared" ref="B263:B326" si="33">C263+D263</f>
        <v>3823</v>
      </c>
      <c r="C263">
        <v>663</v>
      </c>
      <c r="D263">
        <v>3160</v>
      </c>
      <c r="F263">
        <f t="shared" si="28"/>
        <v>362</v>
      </c>
      <c r="G263" s="20">
        <f t="shared" si="27"/>
        <v>258</v>
      </c>
      <c r="H263" s="21">
        <v>66622060154</v>
      </c>
      <c r="I263" s="22">
        <v>314</v>
      </c>
      <c r="J263" s="23"/>
      <c r="K263" s="24">
        <v>3461</v>
      </c>
      <c r="L263" s="23">
        <f t="shared" si="29"/>
        <v>362</v>
      </c>
      <c r="M263" s="24">
        <v>597</v>
      </c>
      <c r="N263" s="25">
        <f t="shared" si="30"/>
        <v>66</v>
      </c>
      <c r="O263" s="24">
        <v>2864</v>
      </c>
      <c r="P263" s="23">
        <f t="shared" si="31"/>
        <v>296</v>
      </c>
      <c r="Q263" s="26"/>
      <c r="R263" s="23">
        <f t="shared" si="32"/>
        <v>0</v>
      </c>
      <c r="S263" s="27" t="s">
        <v>18</v>
      </c>
      <c r="T263" s="19" t="s">
        <v>275</v>
      </c>
    </row>
    <row r="264" spans="1:20" ht="37.5" customHeight="1" x14ac:dyDescent="0.25">
      <c r="A264" s="19" t="s">
        <v>276</v>
      </c>
      <c r="B264">
        <f t="shared" si="33"/>
        <v>19161</v>
      </c>
      <c r="C264">
        <v>2964</v>
      </c>
      <c r="D264">
        <v>16197</v>
      </c>
      <c r="F264">
        <f t="shared" si="28"/>
        <v>8</v>
      </c>
      <c r="G264" s="20">
        <f t="shared" ref="G264:G327" si="34">G263+1</f>
        <v>259</v>
      </c>
      <c r="H264" s="21">
        <v>23014040412</v>
      </c>
      <c r="I264" s="22">
        <v>315</v>
      </c>
      <c r="J264" s="23"/>
      <c r="K264" s="24">
        <v>19153</v>
      </c>
      <c r="L264" s="23">
        <f t="shared" si="29"/>
        <v>8</v>
      </c>
      <c r="M264" s="24">
        <v>2964</v>
      </c>
      <c r="N264" s="25">
        <f t="shared" si="30"/>
        <v>0</v>
      </c>
      <c r="O264" s="24">
        <v>16189</v>
      </c>
      <c r="P264" s="23">
        <f t="shared" si="31"/>
        <v>8</v>
      </c>
      <c r="Q264" s="26"/>
      <c r="R264" s="23">
        <f t="shared" si="32"/>
        <v>0</v>
      </c>
      <c r="S264" s="27" t="s">
        <v>18</v>
      </c>
      <c r="T264" s="19" t="s">
        <v>276</v>
      </c>
    </row>
    <row r="265" spans="1:20" ht="37.5" customHeight="1" x14ac:dyDescent="0.25">
      <c r="A265" s="19" t="s">
        <v>277</v>
      </c>
      <c r="B265">
        <f t="shared" si="33"/>
        <v>26100</v>
      </c>
      <c r="C265">
        <v>4577</v>
      </c>
      <c r="D265">
        <v>21523</v>
      </c>
      <c r="F265">
        <f t="shared" si="28"/>
        <v>172</v>
      </c>
      <c r="G265" s="20">
        <f t="shared" si="34"/>
        <v>260</v>
      </c>
      <c r="H265" s="21">
        <v>66621030170</v>
      </c>
      <c r="I265" s="22">
        <v>316</v>
      </c>
      <c r="J265" s="23"/>
      <c r="K265" s="24">
        <v>25928</v>
      </c>
      <c r="L265" s="23">
        <f t="shared" si="29"/>
        <v>172</v>
      </c>
      <c r="M265" s="24">
        <v>4538</v>
      </c>
      <c r="N265" s="25">
        <f t="shared" si="30"/>
        <v>39</v>
      </c>
      <c r="O265" s="24">
        <v>21390</v>
      </c>
      <c r="P265" s="23">
        <f t="shared" si="31"/>
        <v>133</v>
      </c>
      <c r="Q265" s="26"/>
      <c r="R265" s="23">
        <f t="shared" si="32"/>
        <v>0</v>
      </c>
      <c r="S265" s="27" t="s">
        <v>18</v>
      </c>
      <c r="T265" s="19" t="s">
        <v>277</v>
      </c>
    </row>
    <row r="266" spans="1:20" ht="37.5" customHeight="1" x14ac:dyDescent="0.25">
      <c r="A266" s="19" t="s">
        <v>278</v>
      </c>
      <c r="B266">
        <f t="shared" si="33"/>
        <v>46968</v>
      </c>
      <c r="C266">
        <v>7181</v>
      </c>
      <c r="D266">
        <v>39787</v>
      </c>
      <c r="F266">
        <f t="shared" si="28"/>
        <v>448</v>
      </c>
      <c r="G266" s="20">
        <f t="shared" si="34"/>
        <v>261</v>
      </c>
      <c r="H266" s="21">
        <v>23012110171</v>
      </c>
      <c r="I266" s="22">
        <v>318</v>
      </c>
      <c r="J266" s="23"/>
      <c r="K266" s="24">
        <v>46520</v>
      </c>
      <c r="L266" s="23">
        <f t="shared" si="29"/>
        <v>448</v>
      </c>
      <c r="M266" s="24">
        <v>7113</v>
      </c>
      <c r="N266" s="25">
        <f t="shared" si="30"/>
        <v>68</v>
      </c>
      <c r="O266" s="24">
        <v>39407</v>
      </c>
      <c r="P266" s="23">
        <f t="shared" si="31"/>
        <v>380</v>
      </c>
      <c r="Q266" s="26"/>
      <c r="R266" s="23">
        <f t="shared" si="32"/>
        <v>0</v>
      </c>
      <c r="S266" s="27" t="s">
        <v>18</v>
      </c>
      <c r="T266" s="19" t="s">
        <v>278</v>
      </c>
    </row>
    <row r="267" spans="1:20" ht="37.5" customHeight="1" x14ac:dyDescent="0.25">
      <c r="A267" s="19" t="s">
        <v>279</v>
      </c>
      <c r="B267">
        <f t="shared" si="33"/>
        <v>18602</v>
      </c>
      <c r="C267">
        <v>3216</v>
      </c>
      <c r="D267">
        <v>15386</v>
      </c>
      <c r="F267">
        <f t="shared" si="28"/>
        <v>413</v>
      </c>
      <c r="G267" s="20">
        <f t="shared" si="34"/>
        <v>262</v>
      </c>
      <c r="H267" s="21">
        <v>66621100284</v>
      </c>
      <c r="I267" s="22">
        <v>319</v>
      </c>
      <c r="J267" s="23"/>
      <c r="K267" s="24">
        <v>18189</v>
      </c>
      <c r="L267" s="23">
        <f t="shared" si="29"/>
        <v>413</v>
      </c>
      <c r="M267" s="24">
        <v>3142</v>
      </c>
      <c r="N267" s="25">
        <f t="shared" si="30"/>
        <v>74</v>
      </c>
      <c r="O267" s="24">
        <v>15047</v>
      </c>
      <c r="P267" s="23">
        <f t="shared" si="31"/>
        <v>339</v>
      </c>
      <c r="Q267" s="26"/>
      <c r="R267" s="23">
        <f t="shared" si="32"/>
        <v>0</v>
      </c>
      <c r="S267" s="27" t="s">
        <v>18</v>
      </c>
      <c r="T267" s="19" t="s">
        <v>279</v>
      </c>
    </row>
    <row r="268" spans="1:20" ht="37.5" customHeight="1" x14ac:dyDescent="0.25">
      <c r="A268" s="19" t="s">
        <v>280</v>
      </c>
      <c r="B268">
        <f t="shared" si="33"/>
        <v>5085</v>
      </c>
      <c r="C268">
        <v>1487</v>
      </c>
      <c r="D268">
        <v>3598</v>
      </c>
      <c r="E268">
        <v>7297</v>
      </c>
      <c r="F268">
        <f t="shared" si="28"/>
        <v>152</v>
      </c>
      <c r="G268" s="20">
        <f t="shared" si="34"/>
        <v>263</v>
      </c>
      <c r="H268" s="21">
        <v>99723050142</v>
      </c>
      <c r="I268" s="22">
        <v>320</v>
      </c>
      <c r="J268" s="23"/>
      <c r="K268" s="24">
        <f>M268+O268</f>
        <v>4933</v>
      </c>
      <c r="L268" s="23">
        <f t="shared" si="29"/>
        <v>152</v>
      </c>
      <c r="M268" s="24">
        <v>1437</v>
      </c>
      <c r="N268" s="25">
        <f t="shared" si="30"/>
        <v>50</v>
      </c>
      <c r="O268" s="24">
        <v>3496</v>
      </c>
      <c r="P268" s="23">
        <f t="shared" si="31"/>
        <v>102</v>
      </c>
      <c r="Q268" s="26">
        <v>6684</v>
      </c>
      <c r="R268" s="23">
        <f t="shared" si="32"/>
        <v>613</v>
      </c>
      <c r="S268" s="27" t="s">
        <v>18</v>
      </c>
      <c r="T268" s="19" t="s">
        <v>280</v>
      </c>
    </row>
    <row r="269" spans="1:20" ht="37.5" customHeight="1" x14ac:dyDescent="0.25">
      <c r="A269" s="19" t="s">
        <v>281</v>
      </c>
      <c r="B269">
        <f t="shared" si="33"/>
        <v>45753</v>
      </c>
      <c r="C269">
        <v>7388</v>
      </c>
      <c r="D269">
        <v>38365</v>
      </c>
      <c r="F269">
        <f t="shared" si="28"/>
        <v>539</v>
      </c>
      <c r="G269" s="20">
        <f t="shared" si="34"/>
        <v>264</v>
      </c>
      <c r="H269" s="21">
        <v>88818030274</v>
      </c>
      <c r="I269" s="22">
        <v>321</v>
      </c>
      <c r="J269" s="23"/>
      <c r="K269" s="24">
        <v>45214</v>
      </c>
      <c r="L269" s="23">
        <f t="shared" si="29"/>
        <v>539</v>
      </c>
      <c r="M269" s="24">
        <v>7306</v>
      </c>
      <c r="N269" s="25">
        <f t="shared" si="30"/>
        <v>82</v>
      </c>
      <c r="O269" s="24">
        <v>37908</v>
      </c>
      <c r="P269" s="23">
        <f t="shared" si="31"/>
        <v>457</v>
      </c>
      <c r="Q269" s="26"/>
      <c r="R269" s="23">
        <f t="shared" si="32"/>
        <v>0</v>
      </c>
      <c r="S269" s="27" t="s">
        <v>18</v>
      </c>
      <c r="T269" s="19" t="s">
        <v>281</v>
      </c>
    </row>
    <row r="270" spans="1:20" ht="37.5" customHeight="1" x14ac:dyDescent="0.25">
      <c r="A270" s="19" t="s">
        <v>282</v>
      </c>
      <c r="B270">
        <f t="shared" si="33"/>
        <v>50814</v>
      </c>
      <c r="C270">
        <v>10255</v>
      </c>
      <c r="D270">
        <v>40559</v>
      </c>
      <c r="F270">
        <f t="shared" si="28"/>
        <v>353</v>
      </c>
      <c r="G270" s="20">
        <f t="shared" si="34"/>
        <v>265</v>
      </c>
      <c r="H270" s="21">
        <v>23012040253</v>
      </c>
      <c r="I270" s="22">
        <v>322</v>
      </c>
      <c r="J270" s="23"/>
      <c r="K270" s="24">
        <v>50461</v>
      </c>
      <c r="L270" s="23">
        <f t="shared" si="29"/>
        <v>353</v>
      </c>
      <c r="M270" s="24">
        <v>10191</v>
      </c>
      <c r="N270" s="25">
        <f t="shared" si="30"/>
        <v>64</v>
      </c>
      <c r="O270" s="24">
        <v>40270</v>
      </c>
      <c r="P270" s="23">
        <f t="shared" si="31"/>
        <v>289</v>
      </c>
      <c r="Q270" s="26"/>
      <c r="R270" s="23">
        <f t="shared" si="32"/>
        <v>0</v>
      </c>
      <c r="S270" s="27" t="s">
        <v>18</v>
      </c>
      <c r="T270" s="19" t="s">
        <v>282</v>
      </c>
    </row>
    <row r="271" spans="1:20" ht="37.5" customHeight="1" x14ac:dyDescent="0.25">
      <c r="A271" s="19" t="s">
        <v>283</v>
      </c>
      <c r="B271">
        <f t="shared" si="33"/>
        <v>1346</v>
      </c>
      <c r="C271">
        <v>349</v>
      </c>
      <c r="D271">
        <v>997</v>
      </c>
      <c r="E271">
        <v>1722</v>
      </c>
      <c r="F271">
        <f t="shared" si="28"/>
        <v>509</v>
      </c>
      <c r="G271" s="20">
        <f t="shared" si="34"/>
        <v>266</v>
      </c>
      <c r="H271" s="21">
        <v>99624050200</v>
      </c>
      <c r="I271" s="22">
        <v>323</v>
      </c>
      <c r="J271" s="23"/>
      <c r="K271" s="24">
        <f>M271+O271</f>
        <v>837</v>
      </c>
      <c r="L271" s="23">
        <f t="shared" si="29"/>
        <v>509</v>
      </c>
      <c r="M271" s="24">
        <v>193</v>
      </c>
      <c r="N271" s="25">
        <f t="shared" si="30"/>
        <v>156</v>
      </c>
      <c r="O271" s="24">
        <v>644</v>
      </c>
      <c r="P271" s="23">
        <f t="shared" si="31"/>
        <v>353</v>
      </c>
      <c r="Q271" s="26">
        <v>1111</v>
      </c>
      <c r="R271" s="23">
        <f t="shared" si="32"/>
        <v>611</v>
      </c>
      <c r="S271" s="27" t="s">
        <v>18</v>
      </c>
      <c r="T271" s="19" t="s">
        <v>283</v>
      </c>
    </row>
    <row r="272" spans="1:20" ht="37.5" customHeight="1" x14ac:dyDescent="0.25">
      <c r="A272" s="19" t="s">
        <v>284</v>
      </c>
      <c r="B272">
        <f t="shared" si="33"/>
        <v>16917</v>
      </c>
      <c r="C272">
        <v>3311</v>
      </c>
      <c r="D272">
        <v>13606</v>
      </c>
      <c r="F272">
        <f t="shared" si="28"/>
        <v>700</v>
      </c>
      <c r="G272" s="20">
        <f t="shared" si="34"/>
        <v>267</v>
      </c>
      <c r="H272" s="21">
        <v>66619040128</v>
      </c>
      <c r="I272" s="22">
        <v>324</v>
      </c>
      <c r="J272" s="23"/>
      <c r="K272" s="24">
        <v>16217</v>
      </c>
      <c r="L272" s="23">
        <f t="shared" si="29"/>
        <v>700</v>
      </c>
      <c r="M272" s="24">
        <v>3139</v>
      </c>
      <c r="N272" s="25">
        <f t="shared" si="30"/>
        <v>172</v>
      </c>
      <c r="O272" s="24">
        <v>13078</v>
      </c>
      <c r="P272" s="23">
        <f t="shared" si="31"/>
        <v>528</v>
      </c>
      <c r="Q272" s="26"/>
      <c r="R272" s="23">
        <f t="shared" si="32"/>
        <v>0</v>
      </c>
      <c r="S272" s="27" t="s">
        <v>18</v>
      </c>
      <c r="T272" s="19" t="s">
        <v>284</v>
      </c>
    </row>
    <row r="273" spans="1:20" ht="37.5" customHeight="1" x14ac:dyDescent="0.25">
      <c r="A273" s="19" t="s">
        <v>285</v>
      </c>
      <c r="B273">
        <f t="shared" si="33"/>
        <v>61244</v>
      </c>
      <c r="C273">
        <v>13459</v>
      </c>
      <c r="D273">
        <v>47785</v>
      </c>
      <c r="F273">
        <f t="shared" si="28"/>
        <v>466</v>
      </c>
      <c r="G273" s="20">
        <f t="shared" si="34"/>
        <v>268</v>
      </c>
      <c r="H273" s="21">
        <v>23010090131</v>
      </c>
      <c r="I273" s="22">
        <v>325</v>
      </c>
      <c r="J273" s="23"/>
      <c r="K273" s="24">
        <v>60778</v>
      </c>
      <c r="L273" s="23">
        <f t="shared" si="29"/>
        <v>466</v>
      </c>
      <c r="M273" s="24">
        <v>13381</v>
      </c>
      <c r="N273" s="25">
        <f t="shared" si="30"/>
        <v>78</v>
      </c>
      <c r="O273" s="24">
        <v>47397</v>
      </c>
      <c r="P273" s="23">
        <f t="shared" si="31"/>
        <v>388</v>
      </c>
      <c r="Q273" s="26"/>
      <c r="R273" s="23">
        <f t="shared" si="32"/>
        <v>0</v>
      </c>
      <c r="S273" s="27" t="s">
        <v>18</v>
      </c>
      <c r="T273" s="19" t="s">
        <v>285</v>
      </c>
    </row>
    <row r="274" spans="1:20" ht="37.5" customHeight="1" x14ac:dyDescent="0.25">
      <c r="A274" s="19" t="s">
        <v>286</v>
      </c>
      <c r="B274">
        <f t="shared" si="33"/>
        <v>2228</v>
      </c>
      <c r="C274">
        <v>616</v>
      </c>
      <c r="D274">
        <v>1612</v>
      </c>
      <c r="E274">
        <v>3577</v>
      </c>
      <c r="F274">
        <f t="shared" si="28"/>
        <v>241</v>
      </c>
      <c r="G274" s="20">
        <f t="shared" si="34"/>
        <v>269</v>
      </c>
      <c r="H274" s="21">
        <v>99624040126</v>
      </c>
      <c r="I274" s="22">
        <v>326</v>
      </c>
      <c r="J274" s="23"/>
      <c r="K274" s="24">
        <f>M274+O274</f>
        <v>1987</v>
      </c>
      <c r="L274" s="23">
        <f t="shared" si="29"/>
        <v>241</v>
      </c>
      <c r="M274" s="24">
        <v>554</v>
      </c>
      <c r="N274" s="25">
        <f t="shared" si="30"/>
        <v>62</v>
      </c>
      <c r="O274" s="24">
        <v>1433</v>
      </c>
      <c r="P274" s="23">
        <f t="shared" si="31"/>
        <v>179</v>
      </c>
      <c r="Q274" s="26">
        <v>2962</v>
      </c>
      <c r="R274" s="23">
        <f t="shared" si="32"/>
        <v>615</v>
      </c>
      <c r="S274" s="27" t="s">
        <v>18</v>
      </c>
      <c r="T274" s="19" t="s">
        <v>286</v>
      </c>
    </row>
    <row r="275" spans="1:20" ht="37.5" customHeight="1" x14ac:dyDescent="0.25">
      <c r="A275" s="19" t="s">
        <v>287</v>
      </c>
      <c r="B275">
        <f t="shared" si="33"/>
        <v>10532</v>
      </c>
      <c r="C275">
        <v>1937</v>
      </c>
      <c r="D275">
        <v>8595</v>
      </c>
      <c r="F275">
        <f t="shared" si="28"/>
        <v>0</v>
      </c>
      <c r="G275" s="20">
        <f t="shared" si="34"/>
        <v>270</v>
      </c>
      <c r="H275" s="21">
        <v>23011050139</v>
      </c>
      <c r="I275" s="22">
        <v>328</v>
      </c>
      <c r="J275" s="23"/>
      <c r="K275" s="24">
        <v>10532</v>
      </c>
      <c r="L275" s="23">
        <f t="shared" si="29"/>
        <v>0</v>
      </c>
      <c r="M275" s="24">
        <v>1937</v>
      </c>
      <c r="N275" s="25">
        <f t="shared" si="30"/>
        <v>0</v>
      </c>
      <c r="O275" s="24">
        <v>8595</v>
      </c>
      <c r="P275" s="23">
        <f t="shared" si="31"/>
        <v>0</v>
      </c>
      <c r="Q275" s="26"/>
      <c r="R275" s="23">
        <f t="shared" si="32"/>
        <v>0</v>
      </c>
      <c r="S275" s="27" t="s">
        <v>18</v>
      </c>
      <c r="T275" s="19" t="s">
        <v>287</v>
      </c>
    </row>
    <row r="276" spans="1:20" ht="37.5" customHeight="1" x14ac:dyDescent="0.25">
      <c r="A276" s="19" t="s">
        <v>288</v>
      </c>
      <c r="B276">
        <f t="shared" si="33"/>
        <v>31846</v>
      </c>
      <c r="C276">
        <v>5300</v>
      </c>
      <c r="D276">
        <v>26546</v>
      </c>
      <c r="F276">
        <f t="shared" si="28"/>
        <v>193</v>
      </c>
      <c r="G276" s="20">
        <f t="shared" si="34"/>
        <v>271</v>
      </c>
      <c r="H276" s="21">
        <v>66616020259</v>
      </c>
      <c r="I276" s="22">
        <v>329</v>
      </c>
      <c r="J276" s="23"/>
      <c r="K276" s="24">
        <v>31653</v>
      </c>
      <c r="L276" s="23">
        <f t="shared" si="29"/>
        <v>193</v>
      </c>
      <c r="M276" s="24">
        <v>5267</v>
      </c>
      <c r="N276" s="25">
        <f t="shared" si="30"/>
        <v>33</v>
      </c>
      <c r="O276" s="24">
        <v>26386</v>
      </c>
      <c r="P276" s="23">
        <f t="shared" si="31"/>
        <v>160</v>
      </c>
      <c r="Q276" s="26"/>
      <c r="R276" s="23">
        <f t="shared" si="32"/>
        <v>0</v>
      </c>
      <c r="S276" s="27" t="s">
        <v>18</v>
      </c>
      <c r="T276" s="19" t="s">
        <v>288</v>
      </c>
    </row>
    <row r="277" spans="1:20" ht="37.5" customHeight="1" x14ac:dyDescent="0.25">
      <c r="A277" s="19" t="s">
        <v>289</v>
      </c>
      <c r="B277">
        <f t="shared" si="33"/>
        <v>48344</v>
      </c>
      <c r="C277">
        <v>10443</v>
      </c>
      <c r="D277">
        <v>37901</v>
      </c>
      <c r="F277">
        <f t="shared" si="28"/>
        <v>287</v>
      </c>
      <c r="G277" s="20">
        <f t="shared" si="34"/>
        <v>272</v>
      </c>
      <c r="H277" s="21">
        <v>23012010077</v>
      </c>
      <c r="I277" s="22">
        <v>330</v>
      </c>
      <c r="J277" s="23"/>
      <c r="K277" s="24">
        <v>48057</v>
      </c>
      <c r="L277" s="23">
        <f t="shared" si="29"/>
        <v>287</v>
      </c>
      <c r="M277" s="24">
        <v>10395</v>
      </c>
      <c r="N277" s="25">
        <f t="shared" si="30"/>
        <v>48</v>
      </c>
      <c r="O277" s="24">
        <v>37662</v>
      </c>
      <c r="P277" s="23">
        <f t="shared" si="31"/>
        <v>239</v>
      </c>
      <c r="Q277" s="26"/>
      <c r="R277" s="23">
        <f t="shared" si="32"/>
        <v>0</v>
      </c>
      <c r="S277" s="27" t="s">
        <v>18</v>
      </c>
      <c r="T277" s="19" t="s">
        <v>289</v>
      </c>
    </row>
    <row r="278" spans="1:20" ht="37.5" customHeight="1" x14ac:dyDescent="0.25">
      <c r="A278" s="19" t="s">
        <v>290</v>
      </c>
      <c r="B278">
        <f t="shared" si="33"/>
        <v>9664</v>
      </c>
      <c r="C278">
        <v>1687</v>
      </c>
      <c r="D278">
        <v>7977</v>
      </c>
      <c r="F278">
        <f t="shared" si="28"/>
        <v>113</v>
      </c>
      <c r="G278" s="20">
        <f t="shared" si="34"/>
        <v>273</v>
      </c>
      <c r="H278" s="21">
        <v>66621090118</v>
      </c>
      <c r="I278" s="22">
        <v>331</v>
      </c>
      <c r="J278" s="23"/>
      <c r="K278" s="24">
        <v>9551</v>
      </c>
      <c r="L278" s="23">
        <f t="shared" si="29"/>
        <v>113</v>
      </c>
      <c r="M278" s="24">
        <v>1669</v>
      </c>
      <c r="N278" s="25">
        <f t="shared" si="30"/>
        <v>18</v>
      </c>
      <c r="O278" s="24">
        <v>7882</v>
      </c>
      <c r="P278" s="23">
        <f t="shared" si="31"/>
        <v>95</v>
      </c>
      <c r="Q278" s="26"/>
      <c r="R278" s="23">
        <f t="shared" si="32"/>
        <v>0</v>
      </c>
      <c r="S278" s="27" t="s">
        <v>18</v>
      </c>
      <c r="T278" s="19" t="s">
        <v>290</v>
      </c>
    </row>
    <row r="279" spans="1:20" ht="37.5" customHeight="1" x14ac:dyDescent="0.25">
      <c r="A279" s="19" t="s">
        <v>291</v>
      </c>
      <c r="B279">
        <f t="shared" si="33"/>
        <v>18737</v>
      </c>
      <c r="C279">
        <v>3166</v>
      </c>
      <c r="D279">
        <v>15571</v>
      </c>
      <c r="F279">
        <f t="shared" si="28"/>
        <v>86</v>
      </c>
      <c r="G279" s="20">
        <f t="shared" si="34"/>
        <v>274</v>
      </c>
      <c r="H279" s="21">
        <v>23014090201</v>
      </c>
      <c r="I279" s="22">
        <v>332</v>
      </c>
      <c r="J279" s="23"/>
      <c r="K279" s="24">
        <v>18651</v>
      </c>
      <c r="L279" s="23">
        <f t="shared" si="29"/>
        <v>86</v>
      </c>
      <c r="M279" s="24">
        <v>3152</v>
      </c>
      <c r="N279" s="25">
        <f t="shared" si="30"/>
        <v>14</v>
      </c>
      <c r="O279" s="24">
        <v>15499</v>
      </c>
      <c r="P279" s="23">
        <f t="shared" si="31"/>
        <v>72</v>
      </c>
      <c r="Q279" s="26"/>
      <c r="R279" s="23">
        <f t="shared" si="32"/>
        <v>0</v>
      </c>
      <c r="S279" s="27" t="s">
        <v>18</v>
      </c>
      <c r="T279" s="19" t="s">
        <v>291</v>
      </c>
    </row>
    <row r="280" spans="1:20" ht="37.5" customHeight="1" x14ac:dyDescent="0.25">
      <c r="A280" s="19" t="s">
        <v>292</v>
      </c>
      <c r="B280">
        <f t="shared" si="33"/>
        <v>12713</v>
      </c>
      <c r="C280">
        <v>1893</v>
      </c>
      <c r="D280">
        <v>10820</v>
      </c>
      <c r="F280">
        <f t="shared" si="28"/>
        <v>254</v>
      </c>
      <c r="G280" s="20">
        <f t="shared" si="34"/>
        <v>275</v>
      </c>
      <c r="H280" s="21">
        <v>666210900552</v>
      </c>
      <c r="I280" s="22">
        <v>333</v>
      </c>
      <c r="J280" s="23"/>
      <c r="K280" s="24">
        <v>12459</v>
      </c>
      <c r="L280" s="23">
        <f t="shared" si="29"/>
        <v>254</v>
      </c>
      <c r="M280" s="24">
        <v>1853</v>
      </c>
      <c r="N280" s="25">
        <f t="shared" si="30"/>
        <v>40</v>
      </c>
      <c r="O280" s="24">
        <v>10606</v>
      </c>
      <c r="P280" s="23">
        <f t="shared" si="31"/>
        <v>214</v>
      </c>
      <c r="Q280" s="26"/>
      <c r="R280" s="23">
        <f t="shared" si="32"/>
        <v>0</v>
      </c>
      <c r="S280" s="27" t="s">
        <v>18</v>
      </c>
      <c r="T280" s="19" t="s">
        <v>292</v>
      </c>
    </row>
    <row r="281" spans="1:20" ht="37.5" customHeight="1" x14ac:dyDescent="0.25">
      <c r="A281" s="19" t="s">
        <v>293</v>
      </c>
      <c r="B281">
        <f t="shared" si="33"/>
        <v>12000</v>
      </c>
      <c r="C281">
        <v>2209</v>
      </c>
      <c r="D281">
        <v>9791</v>
      </c>
      <c r="F281">
        <f t="shared" si="28"/>
        <v>441</v>
      </c>
      <c r="G281" s="20">
        <f t="shared" si="34"/>
        <v>276</v>
      </c>
      <c r="H281" s="21">
        <v>66621100343</v>
      </c>
      <c r="I281" s="22">
        <v>334</v>
      </c>
      <c r="J281" s="23"/>
      <c r="K281" s="24">
        <v>11559</v>
      </c>
      <c r="L281" s="23">
        <f t="shared" si="29"/>
        <v>441</v>
      </c>
      <c r="M281" s="24">
        <v>2124</v>
      </c>
      <c r="N281" s="25">
        <f t="shared" si="30"/>
        <v>85</v>
      </c>
      <c r="O281" s="24">
        <v>9435</v>
      </c>
      <c r="P281" s="23">
        <f t="shared" si="31"/>
        <v>356</v>
      </c>
      <c r="Q281" s="26"/>
      <c r="R281" s="23">
        <f t="shared" si="32"/>
        <v>0</v>
      </c>
      <c r="S281" s="27" t="s">
        <v>18</v>
      </c>
      <c r="T281" s="19" t="s">
        <v>293</v>
      </c>
    </row>
    <row r="282" spans="1:20" ht="37.5" customHeight="1" x14ac:dyDescent="0.25">
      <c r="A282" s="19" t="s">
        <v>294</v>
      </c>
      <c r="B282">
        <f t="shared" si="33"/>
        <v>58947</v>
      </c>
      <c r="C282">
        <v>8657</v>
      </c>
      <c r="D282">
        <v>50290</v>
      </c>
      <c r="F282">
        <f t="shared" si="28"/>
        <v>338</v>
      </c>
      <c r="G282" s="20">
        <f t="shared" si="34"/>
        <v>277</v>
      </c>
      <c r="H282" s="21">
        <v>23008030172</v>
      </c>
      <c r="I282" s="22">
        <v>337</v>
      </c>
      <c r="J282" s="23"/>
      <c r="K282" s="24">
        <v>58609</v>
      </c>
      <c r="L282" s="23">
        <f t="shared" si="29"/>
        <v>338</v>
      </c>
      <c r="M282" s="24">
        <v>8606</v>
      </c>
      <c r="N282" s="25">
        <f t="shared" si="30"/>
        <v>51</v>
      </c>
      <c r="O282" s="24">
        <v>50003</v>
      </c>
      <c r="P282" s="23">
        <f t="shared" si="31"/>
        <v>287</v>
      </c>
      <c r="Q282" s="26"/>
      <c r="R282" s="23">
        <f t="shared" si="32"/>
        <v>0</v>
      </c>
      <c r="S282" s="27" t="s">
        <v>18</v>
      </c>
      <c r="T282" s="19" t="s">
        <v>294</v>
      </c>
    </row>
    <row r="283" spans="1:20" ht="37.5" customHeight="1" x14ac:dyDescent="0.25">
      <c r="A283" s="19" t="s">
        <v>295</v>
      </c>
      <c r="B283">
        <f t="shared" si="33"/>
        <v>42879</v>
      </c>
      <c r="C283">
        <v>8940</v>
      </c>
      <c r="D283">
        <v>33939</v>
      </c>
      <c r="F283">
        <f t="shared" si="28"/>
        <v>389</v>
      </c>
      <c r="G283" s="20">
        <f t="shared" si="34"/>
        <v>278</v>
      </c>
      <c r="H283" s="21">
        <v>23012070192</v>
      </c>
      <c r="I283" s="22">
        <v>338</v>
      </c>
      <c r="J283" s="23"/>
      <c r="K283" s="24">
        <v>42490</v>
      </c>
      <c r="L283" s="23">
        <f t="shared" si="29"/>
        <v>389</v>
      </c>
      <c r="M283" s="24">
        <v>8829</v>
      </c>
      <c r="N283" s="25">
        <f t="shared" si="30"/>
        <v>111</v>
      </c>
      <c r="O283" s="24">
        <v>33661</v>
      </c>
      <c r="P283" s="23">
        <f t="shared" si="31"/>
        <v>278</v>
      </c>
      <c r="Q283" s="26"/>
      <c r="R283" s="23">
        <f t="shared" si="32"/>
        <v>0</v>
      </c>
      <c r="S283" s="27" t="s">
        <v>18</v>
      </c>
      <c r="T283" s="19" t="s">
        <v>295</v>
      </c>
    </row>
    <row r="284" spans="1:20" ht="37.5" customHeight="1" x14ac:dyDescent="0.25">
      <c r="A284" s="19" t="s">
        <v>296</v>
      </c>
      <c r="B284">
        <f t="shared" si="33"/>
        <v>32511</v>
      </c>
      <c r="C284">
        <v>5754</v>
      </c>
      <c r="D284">
        <v>26757</v>
      </c>
      <c r="F284">
        <f t="shared" si="28"/>
        <v>239</v>
      </c>
      <c r="G284" s="20">
        <f t="shared" si="34"/>
        <v>279</v>
      </c>
      <c r="H284" s="21">
        <v>66601102584</v>
      </c>
      <c r="I284" s="22">
        <v>339</v>
      </c>
      <c r="J284" s="23"/>
      <c r="K284" s="24">
        <v>32272</v>
      </c>
      <c r="L284" s="23">
        <f t="shared" si="29"/>
        <v>239</v>
      </c>
      <c r="M284" s="24">
        <v>5710</v>
      </c>
      <c r="N284" s="25">
        <f t="shared" si="30"/>
        <v>44</v>
      </c>
      <c r="O284" s="24">
        <v>26562</v>
      </c>
      <c r="P284" s="23">
        <f t="shared" si="31"/>
        <v>195</v>
      </c>
      <c r="Q284" s="26"/>
      <c r="R284" s="23">
        <f t="shared" si="32"/>
        <v>0</v>
      </c>
      <c r="S284" s="27" t="s">
        <v>18</v>
      </c>
      <c r="T284" s="19" t="s">
        <v>296</v>
      </c>
    </row>
    <row r="285" spans="1:20" ht="37.5" customHeight="1" x14ac:dyDescent="0.25">
      <c r="A285" s="19" t="s">
        <v>297</v>
      </c>
      <c r="B285">
        <f t="shared" si="33"/>
        <v>9077</v>
      </c>
      <c r="C285">
        <v>2350</v>
      </c>
      <c r="D285">
        <v>6727</v>
      </c>
      <c r="E285">
        <v>15322</v>
      </c>
      <c r="F285">
        <f t="shared" si="28"/>
        <v>402</v>
      </c>
      <c r="G285" s="20">
        <f t="shared" si="34"/>
        <v>280</v>
      </c>
      <c r="H285" s="21">
        <v>99723060002</v>
      </c>
      <c r="I285" s="22">
        <v>340</v>
      </c>
      <c r="J285" s="23"/>
      <c r="K285" s="24">
        <f>M285+O285</f>
        <v>8675</v>
      </c>
      <c r="L285" s="23">
        <f t="shared" si="29"/>
        <v>402</v>
      </c>
      <c r="M285" s="24">
        <v>2270</v>
      </c>
      <c r="N285" s="25">
        <f t="shared" si="30"/>
        <v>80</v>
      </c>
      <c r="O285" s="24">
        <v>6405</v>
      </c>
      <c r="P285" s="23">
        <f t="shared" si="31"/>
        <v>322</v>
      </c>
      <c r="Q285" s="26">
        <v>14166</v>
      </c>
      <c r="R285" s="23">
        <f t="shared" si="32"/>
        <v>1156</v>
      </c>
      <c r="S285" s="27" t="s">
        <v>18</v>
      </c>
      <c r="T285" s="19" t="s">
        <v>297</v>
      </c>
    </row>
    <row r="286" spans="1:20" ht="37.5" customHeight="1" x14ac:dyDescent="0.25">
      <c r="A286" s="19" t="s">
        <v>298</v>
      </c>
      <c r="B286">
        <f t="shared" si="33"/>
        <v>64657</v>
      </c>
      <c r="C286">
        <v>11523</v>
      </c>
      <c r="D286">
        <v>53134</v>
      </c>
      <c r="F286">
        <f t="shared" si="28"/>
        <v>430</v>
      </c>
      <c r="G286" s="20">
        <f t="shared" si="34"/>
        <v>281</v>
      </c>
      <c r="H286" s="21">
        <v>23011090044</v>
      </c>
      <c r="I286" s="22">
        <v>341</v>
      </c>
      <c r="J286" s="23"/>
      <c r="K286" s="24">
        <v>64227</v>
      </c>
      <c r="L286" s="23">
        <f t="shared" si="29"/>
        <v>430</v>
      </c>
      <c r="M286" s="24">
        <v>11456</v>
      </c>
      <c r="N286" s="25">
        <f t="shared" si="30"/>
        <v>67</v>
      </c>
      <c r="O286" s="24">
        <v>52771</v>
      </c>
      <c r="P286" s="23">
        <f t="shared" si="31"/>
        <v>363</v>
      </c>
      <c r="Q286" s="26"/>
      <c r="R286" s="23">
        <f t="shared" si="32"/>
        <v>0</v>
      </c>
      <c r="S286" s="27" t="s">
        <v>18</v>
      </c>
      <c r="T286" s="19" t="s">
        <v>298</v>
      </c>
    </row>
    <row r="287" spans="1:20" ht="37.5" customHeight="1" x14ac:dyDescent="0.25">
      <c r="A287" s="19" t="s">
        <v>299</v>
      </c>
      <c r="B287">
        <f t="shared" si="33"/>
        <v>24169</v>
      </c>
      <c r="C287">
        <v>4017</v>
      </c>
      <c r="D287">
        <v>20152</v>
      </c>
      <c r="F287">
        <f t="shared" si="28"/>
        <v>201</v>
      </c>
      <c r="G287" s="20">
        <f t="shared" si="34"/>
        <v>282</v>
      </c>
      <c r="H287" s="21">
        <v>23012010133</v>
      </c>
      <c r="I287" s="22">
        <v>342</v>
      </c>
      <c r="J287" s="23"/>
      <c r="K287" s="24">
        <v>23968</v>
      </c>
      <c r="L287" s="23">
        <f t="shared" si="29"/>
        <v>201</v>
      </c>
      <c r="M287" s="24">
        <v>3983</v>
      </c>
      <c r="N287" s="25">
        <f t="shared" si="30"/>
        <v>34</v>
      </c>
      <c r="O287" s="24">
        <v>19985</v>
      </c>
      <c r="P287" s="23">
        <f t="shared" si="31"/>
        <v>167</v>
      </c>
      <c r="Q287" s="26"/>
      <c r="R287" s="23">
        <f t="shared" si="32"/>
        <v>0</v>
      </c>
      <c r="S287" s="27" t="s">
        <v>18</v>
      </c>
      <c r="T287" s="19" t="s">
        <v>299</v>
      </c>
    </row>
    <row r="288" spans="1:20" ht="37.5" customHeight="1" x14ac:dyDescent="0.25">
      <c r="A288" s="19" t="s">
        <v>300</v>
      </c>
      <c r="B288">
        <f t="shared" si="33"/>
        <v>16529</v>
      </c>
      <c r="C288">
        <v>2523</v>
      </c>
      <c r="D288">
        <v>14006</v>
      </c>
      <c r="F288">
        <f t="shared" si="28"/>
        <v>95</v>
      </c>
      <c r="G288" s="20">
        <f t="shared" si="34"/>
        <v>283</v>
      </c>
      <c r="H288" s="21">
        <v>88819030049</v>
      </c>
      <c r="I288" s="22">
        <v>343</v>
      </c>
      <c r="J288" s="23"/>
      <c r="K288" s="24">
        <v>16434</v>
      </c>
      <c r="L288" s="23">
        <f t="shared" si="29"/>
        <v>95</v>
      </c>
      <c r="M288" s="24">
        <v>2511</v>
      </c>
      <c r="N288" s="25">
        <f t="shared" si="30"/>
        <v>12</v>
      </c>
      <c r="O288" s="24">
        <v>13923</v>
      </c>
      <c r="P288" s="23">
        <f t="shared" si="31"/>
        <v>83</v>
      </c>
      <c r="Q288" s="26"/>
      <c r="R288" s="23">
        <f t="shared" si="32"/>
        <v>0</v>
      </c>
      <c r="S288" s="27" t="s">
        <v>18</v>
      </c>
      <c r="T288" s="19" t="s">
        <v>300</v>
      </c>
    </row>
    <row r="289" spans="1:20" ht="37.5" customHeight="1" x14ac:dyDescent="0.25">
      <c r="A289" s="19" t="s">
        <v>301</v>
      </c>
      <c r="B289">
        <f t="shared" si="33"/>
        <v>60477</v>
      </c>
      <c r="C289">
        <v>10823</v>
      </c>
      <c r="D289">
        <v>49654</v>
      </c>
      <c r="F289">
        <f t="shared" si="28"/>
        <v>387</v>
      </c>
      <c r="G289" s="20">
        <f t="shared" si="34"/>
        <v>284</v>
      </c>
      <c r="H289" s="21">
        <v>23011120020</v>
      </c>
      <c r="I289" s="22">
        <v>344</v>
      </c>
      <c r="J289" s="23"/>
      <c r="K289" s="24">
        <v>60090</v>
      </c>
      <c r="L289" s="23">
        <f t="shared" si="29"/>
        <v>387</v>
      </c>
      <c r="M289" s="24">
        <v>10755</v>
      </c>
      <c r="N289" s="25">
        <f t="shared" si="30"/>
        <v>68</v>
      </c>
      <c r="O289" s="24">
        <v>49335</v>
      </c>
      <c r="P289" s="23">
        <f t="shared" si="31"/>
        <v>319</v>
      </c>
      <c r="Q289" s="26"/>
      <c r="R289" s="23">
        <f t="shared" si="32"/>
        <v>0</v>
      </c>
      <c r="S289" s="27" t="s">
        <v>18</v>
      </c>
      <c r="T289" s="19" t="s">
        <v>301</v>
      </c>
    </row>
    <row r="290" spans="1:20" ht="37.5" customHeight="1" x14ac:dyDescent="0.25">
      <c r="A290" s="19" t="s">
        <v>302</v>
      </c>
      <c r="B290">
        <f t="shared" si="33"/>
        <v>5289</v>
      </c>
      <c r="C290">
        <v>1026</v>
      </c>
      <c r="D290">
        <v>4263</v>
      </c>
      <c r="E290">
        <v>5470</v>
      </c>
      <c r="F290">
        <f t="shared" si="28"/>
        <v>367</v>
      </c>
      <c r="G290" s="20">
        <f t="shared" si="34"/>
        <v>285</v>
      </c>
      <c r="H290" s="21">
        <v>99624020118</v>
      </c>
      <c r="I290" s="22">
        <v>345</v>
      </c>
      <c r="J290" s="23"/>
      <c r="K290" s="24">
        <f>M290+O290</f>
        <v>4922</v>
      </c>
      <c r="L290" s="23">
        <f t="shared" si="29"/>
        <v>367</v>
      </c>
      <c r="M290" s="24">
        <v>937</v>
      </c>
      <c r="N290" s="25">
        <f t="shared" si="30"/>
        <v>89</v>
      </c>
      <c r="O290" s="24">
        <v>3985</v>
      </c>
      <c r="P290" s="23">
        <f t="shared" si="31"/>
        <v>278</v>
      </c>
      <c r="Q290" s="26">
        <v>4762</v>
      </c>
      <c r="R290" s="23">
        <f t="shared" si="32"/>
        <v>708</v>
      </c>
      <c r="S290" s="27" t="s">
        <v>18</v>
      </c>
      <c r="T290" s="19" t="s">
        <v>302</v>
      </c>
    </row>
    <row r="291" spans="1:20" ht="37.5" customHeight="1" x14ac:dyDescent="0.25">
      <c r="A291" s="19" t="s">
        <v>303</v>
      </c>
      <c r="B291">
        <f t="shared" si="33"/>
        <v>18160</v>
      </c>
      <c r="C291">
        <v>2520</v>
      </c>
      <c r="D291">
        <v>15640</v>
      </c>
      <c r="F291">
        <f t="shared" si="28"/>
        <v>280</v>
      </c>
      <c r="G291" s="20">
        <f t="shared" si="34"/>
        <v>286</v>
      </c>
      <c r="H291" s="21">
        <v>88818030444</v>
      </c>
      <c r="I291" s="22">
        <v>346</v>
      </c>
      <c r="J291" s="23"/>
      <c r="K291" s="24">
        <v>17880</v>
      </c>
      <c r="L291" s="23">
        <f t="shared" si="29"/>
        <v>280</v>
      </c>
      <c r="M291" s="24">
        <v>2478</v>
      </c>
      <c r="N291" s="25">
        <f t="shared" si="30"/>
        <v>42</v>
      </c>
      <c r="O291" s="24">
        <v>15402</v>
      </c>
      <c r="P291" s="23">
        <f t="shared" si="31"/>
        <v>238</v>
      </c>
      <c r="Q291" s="26"/>
      <c r="R291" s="23">
        <f t="shared" si="32"/>
        <v>0</v>
      </c>
      <c r="S291" s="27" t="s">
        <v>18</v>
      </c>
      <c r="T291" s="19" t="s">
        <v>303</v>
      </c>
    </row>
    <row r="292" spans="1:20" ht="37.5" customHeight="1" x14ac:dyDescent="0.25">
      <c r="A292" s="19" t="s">
        <v>304</v>
      </c>
      <c r="B292">
        <f t="shared" si="33"/>
        <v>2874</v>
      </c>
      <c r="C292">
        <v>674</v>
      </c>
      <c r="D292">
        <v>2200</v>
      </c>
      <c r="E292">
        <v>3388</v>
      </c>
      <c r="F292">
        <f t="shared" si="28"/>
        <v>358</v>
      </c>
      <c r="G292" s="20">
        <f t="shared" si="34"/>
        <v>287</v>
      </c>
      <c r="H292" s="21">
        <v>99624040124</v>
      </c>
      <c r="I292" s="22">
        <v>348</v>
      </c>
      <c r="J292" s="23"/>
      <c r="K292" s="24">
        <f>M292+O292</f>
        <v>2516</v>
      </c>
      <c r="L292" s="23">
        <f t="shared" si="29"/>
        <v>358</v>
      </c>
      <c r="M292" s="24">
        <v>589</v>
      </c>
      <c r="N292" s="25">
        <f t="shared" si="30"/>
        <v>85</v>
      </c>
      <c r="O292" s="24">
        <v>1927</v>
      </c>
      <c r="P292" s="23">
        <f t="shared" si="31"/>
        <v>273</v>
      </c>
      <c r="Q292" s="26">
        <v>2818</v>
      </c>
      <c r="R292" s="23">
        <f t="shared" si="32"/>
        <v>570</v>
      </c>
      <c r="S292" s="27" t="s">
        <v>18</v>
      </c>
      <c r="T292" s="19" t="s">
        <v>304</v>
      </c>
    </row>
    <row r="293" spans="1:20" ht="37.5" customHeight="1" x14ac:dyDescent="0.25">
      <c r="A293" s="19" t="s">
        <v>305</v>
      </c>
      <c r="B293">
        <f t="shared" si="33"/>
        <v>7615</v>
      </c>
      <c r="C293">
        <v>1055</v>
      </c>
      <c r="D293">
        <v>6560</v>
      </c>
      <c r="E293">
        <v>9383</v>
      </c>
      <c r="F293">
        <f t="shared" si="28"/>
        <v>438</v>
      </c>
      <c r="G293" s="20">
        <f t="shared" si="34"/>
        <v>288</v>
      </c>
      <c r="H293" s="21">
        <v>99623080211</v>
      </c>
      <c r="I293" s="22">
        <v>350</v>
      </c>
      <c r="J293" s="23"/>
      <c r="K293" s="24">
        <f>M293+O293</f>
        <v>7177</v>
      </c>
      <c r="L293" s="23">
        <f t="shared" si="29"/>
        <v>438</v>
      </c>
      <c r="M293" s="24">
        <v>962</v>
      </c>
      <c r="N293" s="25">
        <f t="shared" si="30"/>
        <v>93</v>
      </c>
      <c r="O293" s="24">
        <v>6215</v>
      </c>
      <c r="P293" s="23">
        <f t="shared" si="31"/>
        <v>345</v>
      </c>
      <c r="Q293" s="26">
        <v>8561</v>
      </c>
      <c r="R293" s="23">
        <f t="shared" si="32"/>
        <v>822</v>
      </c>
      <c r="S293" s="27" t="s">
        <v>18</v>
      </c>
      <c r="T293" s="19" t="s">
        <v>305</v>
      </c>
    </row>
    <row r="294" spans="1:20" ht="37.5" customHeight="1" x14ac:dyDescent="0.25">
      <c r="A294" s="19" t="s">
        <v>306</v>
      </c>
      <c r="B294">
        <f t="shared" si="33"/>
        <v>8765</v>
      </c>
      <c r="C294">
        <v>690</v>
      </c>
      <c r="D294">
        <v>8075</v>
      </c>
      <c r="F294">
        <f t="shared" si="28"/>
        <v>36</v>
      </c>
      <c r="G294" s="20">
        <f t="shared" si="34"/>
        <v>289</v>
      </c>
      <c r="H294" s="21">
        <v>23014060663</v>
      </c>
      <c r="I294" s="22">
        <v>351</v>
      </c>
      <c r="J294" s="23"/>
      <c r="K294" s="24">
        <v>8729</v>
      </c>
      <c r="L294" s="23">
        <f t="shared" si="29"/>
        <v>36</v>
      </c>
      <c r="M294" s="24">
        <v>690</v>
      </c>
      <c r="N294" s="25">
        <f t="shared" si="30"/>
        <v>0</v>
      </c>
      <c r="O294" s="24">
        <v>8039</v>
      </c>
      <c r="P294" s="23">
        <f t="shared" si="31"/>
        <v>36</v>
      </c>
      <c r="Q294" s="26"/>
      <c r="R294" s="23">
        <f t="shared" si="32"/>
        <v>0</v>
      </c>
      <c r="S294" s="27" t="s">
        <v>18</v>
      </c>
      <c r="T294" s="19" t="s">
        <v>306</v>
      </c>
    </row>
    <row r="295" spans="1:20" ht="37.5" customHeight="1" x14ac:dyDescent="0.25">
      <c r="A295" s="19" t="s">
        <v>307</v>
      </c>
      <c r="B295">
        <f t="shared" si="33"/>
        <v>785</v>
      </c>
      <c r="C295">
        <v>111</v>
      </c>
      <c r="D295">
        <v>674</v>
      </c>
      <c r="F295">
        <f t="shared" si="28"/>
        <v>7</v>
      </c>
      <c r="G295" s="20">
        <f t="shared" si="34"/>
        <v>290</v>
      </c>
      <c r="H295" s="21">
        <v>66623010438</v>
      </c>
      <c r="I295" s="22" t="s">
        <v>308</v>
      </c>
      <c r="J295" s="23"/>
      <c r="K295" s="24">
        <v>778</v>
      </c>
      <c r="L295" s="23">
        <f t="shared" si="29"/>
        <v>7</v>
      </c>
      <c r="M295" s="24">
        <v>110</v>
      </c>
      <c r="N295" s="25">
        <f t="shared" si="30"/>
        <v>1</v>
      </c>
      <c r="O295" s="24">
        <v>668</v>
      </c>
      <c r="P295" s="23">
        <f t="shared" si="31"/>
        <v>6</v>
      </c>
      <c r="Q295" s="26"/>
      <c r="R295" s="23">
        <f t="shared" si="32"/>
        <v>0</v>
      </c>
      <c r="S295" s="27" t="s">
        <v>18</v>
      </c>
      <c r="T295" s="19" t="s">
        <v>307</v>
      </c>
    </row>
    <row r="296" spans="1:20" ht="37.5" customHeight="1" x14ac:dyDescent="0.25">
      <c r="A296" s="19" t="s">
        <v>309</v>
      </c>
      <c r="B296">
        <f t="shared" si="33"/>
        <v>17694</v>
      </c>
      <c r="C296">
        <v>3046</v>
      </c>
      <c r="D296">
        <v>14648</v>
      </c>
      <c r="F296">
        <f t="shared" si="28"/>
        <v>229</v>
      </c>
      <c r="G296" s="20">
        <f t="shared" si="34"/>
        <v>291</v>
      </c>
      <c r="H296" s="21">
        <v>66617010132</v>
      </c>
      <c r="I296" s="22">
        <v>356</v>
      </c>
      <c r="J296" s="23"/>
      <c r="K296" s="24">
        <v>17465</v>
      </c>
      <c r="L296" s="23">
        <f t="shared" si="29"/>
        <v>229</v>
      </c>
      <c r="M296" s="24">
        <v>3006</v>
      </c>
      <c r="N296" s="25">
        <f t="shared" si="30"/>
        <v>40</v>
      </c>
      <c r="O296" s="24">
        <v>14459</v>
      </c>
      <c r="P296" s="23">
        <f t="shared" si="31"/>
        <v>189</v>
      </c>
      <c r="Q296" s="26"/>
      <c r="R296" s="23">
        <f t="shared" si="32"/>
        <v>0</v>
      </c>
      <c r="S296" s="27" t="s">
        <v>18</v>
      </c>
      <c r="T296" s="19" t="s">
        <v>309</v>
      </c>
    </row>
    <row r="297" spans="1:20" ht="37.5" customHeight="1" x14ac:dyDescent="0.25">
      <c r="A297" s="19" t="s">
        <v>310</v>
      </c>
      <c r="B297">
        <f t="shared" si="33"/>
        <v>47523</v>
      </c>
      <c r="C297">
        <v>8596</v>
      </c>
      <c r="D297">
        <v>38927</v>
      </c>
      <c r="F297">
        <f t="shared" si="28"/>
        <v>339</v>
      </c>
      <c r="G297" s="20">
        <f t="shared" si="34"/>
        <v>292</v>
      </c>
      <c r="H297" s="21">
        <v>23014040056</v>
      </c>
      <c r="I297" s="22">
        <v>357</v>
      </c>
      <c r="J297" s="23"/>
      <c r="K297" s="24">
        <v>47184</v>
      </c>
      <c r="L297" s="23">
        <f t="shared" si="29"/>
        <v>339</v>
      </c>
      <c r="M297" s="24">
        <v>8531</v>
      </c>
      <c r="N297" s="25">
        <f t="shared" si="30"/>
        <v>65</v>
      </c>
      <c r="O297" s="24">
        <v>38653</v>
      </c>
      <c r="P297" s="23">
        <f t="shared" si="31"/>
        <v>274</v>
      </c>
      <c r="Q297" s="26"/>
      <c r="R297" s="23">
        <f t="shared" si="32"/>
        <v>0</v>
      </c>
      <c r="S297" s="27" t="s">
        <v>18</v>
      </c>
      <c r="T297" s="19" t="s">
        <v>310</v>
      </c>
    </row>
    <row r="298" spans="1:20" ht="37.5" customHeight="1" x14ac:dyDescent="0.25">
      <c r="A298" s="19" t="s">
        <v>311</v>
      </c>
      <c r="B298">
        <f t="shared" si="33"/>
        <v>80758</v>
      </c>
      <c r="C298">
        <v>13408</v>
      </c>
      <c r="D298">
        <v>67350</v>
      </c>
      <c r="F298">
        <f t="shared" si="28"/>
        <v>180</v>
      </c>
      <c r="G298" s="20">
        <f t="shared" si="34"/>
        <v>293</v>
      </c>
      <c r="H298" s="21">
        <v>23012070189</v>
      </c>
      <c r="I298" s="22">
        <v>358</v>
      </c>
      <c r="J298" s="23"/>
      <c r="K298" s="24">
        <v>80578</v>
      </c>
      <c r="L298" s="23">
        <f t="shared" si="29"/>
        <v>180</v>
      </c>
      <c r="M298" s="24">
        <v>13376</v>
      </c>
      <c r="N298" s="25">
        <f t="shared" si="30"/>
        <v>32</v>
      </c>
      <c r="O298" s="24">
        <v>67202</v>
      </c>
      <c r="P298" s="23">
        <f t="shared" si="31"/>
        <v>148</v>
      </c>
      <c r="Q298" s="26"/>
      <c r="R298" s="23">
        <f t="shared" si="32"/>
        <v>0</v>
      </c>
      <c r="S298" s="27" t="s">
        <v>18</v>
      </c>
      <c r="T298" s="19" t="s">
        <v>311</v>
      </c>
    </row>
    <row r="299" spans="1:20" ht="37.5" customHeight="1" x14ac:dyDescent="0.25">
      <c r="A299" s="19" t="s">
        <v>312</v>
      </c>
      <c r="B299">
        <f t="shared" si="33"/>
        <v>37574</v>
      </c>
      <c r="C299">
        <v>6415</v>
      </c>
      <c r="D299">
        <v>31159</v>
      </c>
      <c r="F299">
        <f t="shared" si="28"/>
        <v>148</v>
      </c>
      <c r="G299" s="20">
        <f t="shared" si="34"/>
        <v>294</v>
      </c>
      <c r="H299" s="21">
        <v>88818030165</v>
      </c>
      <c r="I299" s="22">
        <v>359</v>
      </c>
      <c r="J299" s="23"/>
      <c r="K299" s="24">
        <v>37426</v>
      </c>
      <c r="L299" s="23">
        <f t="shared" si="29"/>
        <v>148</v>
      </c>
      <c r="M299" s="24">
        <v>6382</v>
      </c>
      <c r="N299" s="25">
        <f t="shared" si="30"/>
        <v>33</v>
      </c>
      <c r="O299" s="24">
        <v>31044</v>
      </c>
      <c r="P299" s="23">
        <f t="shared" si="31"/>
        <v>115</v>
      </c>
      <c r="Q299" s="26"/>
      <c r="R299" s="23">
        <f t="shared" si="32"/>
        <v>0</v>
      </c>
      <c r="S299" s="27" t="s">
        <v>18</v>
      </c>
      <c r="T299" s="19" t="s">
        <v>312</v>
      </c>
    </row>
    <row r="300" spans="1:20" ht="37.5" customHeight="1" x14ac:dyDescent="0.25">
      <c r="A300" s="19" t="s">
        <v>313</v>
      </c>
      <c r="B300">
        <f t="shared" si="33"/>
        <v>40718</v>
      </c>
      <c r="C300">
        <v>5649</v>
      </c>
      <c r="D300">
        <v>35069</v>
      </c>
      <c r="F300">
        <f t="shared" si="28"/>
        <v>216</v>
      </c>
      <c r="G300" s="20">
        <f t="shared" si="34"/>
        <v>295</v>
      </c>
      <c r="H300" s="21">
        <v>66616031417</v>
      </c>
      <c r="I300" s="22">
        <v>360</v>
      </c>
      <c r="J300" s="23"/>
      <c r="K300" s="24">
        <v>40502</v>
      </c>
      <c r="L300" s="23">
        <f t="shared" si="29"/>
        <v>216</v>
      </c>
      <c r="M300" s="24">
        <v>5614</v>
      </c>
      <c r="N300" s="25">
        <f t="shared" si="30"/>
        <v>35</v>
      </c>
      <c r="O300" s="24">
        <v>34888</v>
      </c>
      <c r="P300" s="23">
        <f t="shared" si="31"/>
        <v>181</v>
      </c>
      <c r="Q300" s="26"/>
      <c r="R300" s="23">
        <f t="shared" si="32"/>
        <v>0</v>
      </c>
      <c r="S300" s="27" t="s">
        <v>18</v>
      </c>
      <c r="T300" s="19" t="s">
        <v>313</v>
      </c>
    </row>
    <row r="301" spans="1:20" ht="37.5" customHeight="1" x14ac:dyDescent="0.25">
      <c r="A301" s="19" t="s">
        <v>314</v>
      </c>
      <c r="B301">
        <f t="shared" si="33"/>
        <v>5190</v>
      </c>
      <c r="C301">
        <v>897</v>
      </c>
      <c r="D301">
        <v>4293</v>
      </c>
      <c r="F301">
        <f t="shared" si="28"/>
        <v>440</v>
      </c>
      <c r="G301" s="20">
        <f t="shared" si="34"/>
        <v>296</v>
      </c>
      <c r="H301" s="21">
        <v>66623030269</v>
      </c>
      <c r="I301" s="22">
        <v>361</v>
      </c>
      <c r="J301" s="23"/>
      <c r="K301" s="24">
        <v>4750</v>
      </c>
      <c r="L301" s="23">
        <f t="shared" si="29"/>
        <v>440</v>
      </c>
      <c r="M301" s="24">
        <v>827</v>
      </c>
      <c r="N301" s="25">
        <f t="shared" si="30"/>
        <v>70</v>
      </c>
      <c r="O301" s="24">
        <v>3923</v>
      </c>
      <c r="P301" s="23">
        <f t="shared" si="31"/>
        <v>370</v>
      </c>
      <c r="Q301" s="26"/>
      <c r="R301" s="23">
        <f t="shared" si="32"/>
        <v>0</v>
      </c>
      <c r="S301" s="27" t="s">
        <v>18</v>
      </c>
      <c r="T301" s="19" t="s">
        <v>314</v>
      </c>
    </row>
    <row r="302" spans="1:20" ht="37.5" customHeight="1" x14ac:dyDescent="0.25">
      <c r="A302" s="19" t="s">
        <v>315</v>
      </c>
      <c r="B302">
        <f t="shared" si="33"/>
        <v>39852</v>
      </c>
      <c r="C302">
        <v>6753</v>
      </c>
      <c r="D302">
        <v>33099</v>
      </c>
      <c r="F302">
        <f t="shared" si="28"/>
        <v>378</v>
      </c>
      <c r="G302" s="20">
        <f t="shared" si="34"/>
        <v>297</v>
      </c>
      <c r="H302" s="21">
        <v>66601102623</v>
      </c>
      <c r="I302" s="22">
        <v>362</v>
      </c>
      <c r="J302" s="23"/>
      <c r="K302" s="24">
        <v>39474</v>
      </c>
      <c r="L302" s="23">
        <f t="shared" si="29"/>
        <v>378</v>
      </c>
      <c r="M302" s="24">
        <v>6725</v>
      </c>
      <c r="N302" s="25">
        <f t="shared" si="30"/>
        <v>28</v>
      </c>
      <c r="O302" s="24">
        <v>32749</v>
      </c>
      <c r="P302" s="23">
        <f t="shared" si="31"/>
        <v>350</v>
      </c>
      <c r="Q302" s="26"/>
      <c r="R302" s="23">
        <f t="shared" si="32"/>
        <v>0</v>
      </c>
      <c r="S302" s="27" t="s">
        <v>18</v>
      </c>
      <c r="T302" s="19" t="s">
        <v>315</v>
      </c>
    </row>
    <row r="303" spans="1:20" ht="37.5" customHeight="1" x14ac:dyDescent="0.25">
      <c r="A303" s="19" t="s">
        <v>316</v>
      </c>
      <c r="B303">
        <f t="shared" si="33"/>
        <v>7781</v>
      </c>
      <c r="C303">
        <v>1519</v>
      </c>
      <c r="D303">
        <v>6262</v>
      </c>
      <c r="E303">
        <v>16059</v>
      </c>
      <c r="F303">
        <f t="shared" si="28"/>
        <v>174</v>
      </c>
      <c r="G303" s="20">
        <f t="shared" si="34"/>
        <v>298</v>
      </c>
      <c r="H303" s="21">
        <v>99722020005</v>
      </c>
      <c r="I303" s="22">
        <v>363</v>
      </c>
      <c r="J303" s="23"/>
      <c r="K303" s="24">
        <f>M303+O303</f>
        <v>7607</v>
      </c>
      <c r="L303" s="23">
        <f t="shared" si="29"/>
        <v>174</v>
      </c>
      <c r="M303" s="24">
        <v>1471</v>
      </c>
      <c r="N303" s="25">
        <f t="shared" si="30"/>
        <v>48</v>
      </c>
      <c r="O303" s="24">
        <v>6136</v>
      </c>
      <c r="P303" s="23">
        <f t="shared" si="31"/>
        <v>126</v>
      </c>
      <c r="Q303" s="26">
        <v>15249</v>
      </c>
      <c r="R303" s="23">
        <f t="shared" si="32"/>
        <v>810</v>
      </c>
      <c r="S303" s="27" t="s">
        <v>18</v>
      </c>
      <c r="T303" s="19" t="s">
        <v>316</v>
      </c>
    </row>
    <row r="304" spans="1:20" ht="37.5" customHeight="1" x14ac:dyDescent="0.25">
      <c r="A304" s="19" t="s">
        <v>317</v>
      </c>
      <c r="B304">
        <f t="shared" si="33"/>
        <v>16628</v>
      </c>
      <c r="C304">
        <v>3097</v>
      </c>
      <c r="D304">
        <v>13531</v>
      </c>
      <c r="F304">
        <f t="shared" si="28"/>
        <v>149</v>
      </c>
      <c r="G304" s="20">
        <f t="shared" si="34"/>
        <v>299</v>
      </c>
      <c r="H304" s="21">
        <v>66621030225</v>
      </c>
      <c r="I304" s="22">
        <v>366</v>
      </c>
      <c r="J304" s="23"/>
      <c r="K304" s="24">
        <v>16479</v>
      </c>
      <c r="L304" s="23">
        <f t="shared" si="29"/>
        <v>149</v>
      </c>
      <c r="M304" s="24">
        <v>3045</v>
      </c>
      <c r="N304" s="25">
        <f t="shared" si="30"/>
        <v>52</v>
      </c>
      <c r="O304" s="24">
        <v>13434</v>
      </c>
      <c r="P304" s="23">
        <f t="shared" si="31"/>
        <v>97</v>
      </c>
      <c r="Q304" s="26"/>
      <c r="R304" s="23">
        <f t="shared" si="32"/>
        <v>0</v>
      </c>
      <c r="S304" s="27" t="s">
        <v>18</v>
      </c>
      <c r="T304" s="19" t="s">
        <v>317</v>
      </c>
    </row>
    <row r="305" spans="1:20" ht="37.5" customHeight="1" x14ac:dyDescent="0.25">
      <c r="A305" s="19" t="s">
        <v>318</v>
      </c>
      <c r="B305">
        <f t="shared" si="33"/>
        <v>8327</v>
      </c>
      <c r="C305">
        <v>1048</v>
      </c>
      <c r="D305">
        <v>7279</v>
      </c>
      <c r="F305">
        <f t="shared" si="28"/>
        <v>301</v>
      </c>
      <c r="G305" s="20">
        <f t="shared" si="34"/>
        <v>300</v>
      </c>
      <c r="H305" s="21">
        <v>88820020261</v>
      </c>
      <c r="I305" s="22">
        <v>367</v>
      </c>
      <c r="J305" s="23"/>
      <c r="K305" s="24">
        <v>8026</v>
      </c>
      <c r="L305" s="23">
        <f t="shared" si="29"/>
        <v>301</v>
      </c>
      <c r="M305" s="24">
        <v>1008</v>
      </c>
      <c r="N305" s="25">
        <f t="shared" si="30"/>
        <v>40</v>
      </c>
      <c r="O305" s="24">
        <v>7018</v>
      </c>
      <c r="P305" s="23">
        <f t="shared" si="31"/>
        <v>261</v>
      </c>
      <c r="Q305" s="26"/>
      <c r="R305" s="23">
        <f t="shared" si="32"/>
        <v>0</v>
      </c>
      <c r="S305" s="27" t="s">
        <v>18</v>
      </c>
      <c r="T305" s="19" t="s">
        <v>318</v>
      </c>
    </row>
    <row r="306" spans="1:20" ht="37.5" customHeight="1" x14ac:dyDescent="0.25">
      <c r="A306" s="19" t="s">
        <v>319</v>
      </c>
      <c r="B306">
        <f t="shared" si="33"/>
        <v>12232</v>
      </c>
      <c r="C306">
        <v>1806</v>
      </c>
      <c r="D306">
        <v>10426</v>
      </c>
      <c r="F306">
        <f t="shared" si="28"/>
        <v>133</v>
      </c>
      <c r="G306" s="20">
        <f t="shared" si="34"/>
        <v>301</v>
      </c>
      <c r="H306" s="21">
        <v>66618010011</v>
      </c>
      <c r="I306" s="22">
        <v>368</v>
      </c>
      <c r="J306" s="23"/>
      <c r="K306" s="24">
        <v>12099</v>
      </c>
      <c r="L306" s="23">
        <f t="shared" si="29"/>
        <v>133</v>
      </c>
      <c r="M306" s="24">
        <v>1792</v>
      </c>
      <c r="N306" s="25">
        <f t="shared" si="30"/>
        <v>14</v>
      </c>
      <c r="O306" s="24">
        <v>10307</v>
      </c>
      <c r="P306" s="23">
        <f t="shared" si="31"/>
        <v>119</v>
      </c>
      <c r="Q306" s="26"/>
      <c r="R306" s="23">
        <f t="shared" si="32"/>
        <v>0</v>
      </c>
      <c r="S306" s="27" t="s">
        <v>18</v>
      </c>
      <c r="T306" s="19" t="s">
        <v>319</v>
      </c>
    </row>
    <row r="307" spans="1:20" ht="37.5" customHeight="1" x14ac:dyDescent="0.25">
      <c r="A307" s="19" t="s">
        <v>320</v>
      </c>
      <c r="B307">
        <f t="shared" si="33"/>
        <v>1873</v>
      </c>
      <c r="C307">
        <v>345</v>
      </c>
      <c r="D307">
        <v>1528</v>
      </c>
      <c r="F307">
        <f t="shared" si="28"/>
        <v>168</v>
      </c>
      <c r="G307" s="20">
        <f t="shared" si="34"/>
        <v>302</v>
      </c>
      <c r="H307" s="21">
        <v>66622050001</v>
      </c>
      <c r="I307" s="22">
        <v>370</v>
      </c>
      <c r="J307" s="23"/>
      <c r="K307" s="24">
        <v>1705</v>
      </c>
      <c r="L307" s="23">
        <f t="shared" si="29"/>
        <v>168</v>
      </c>
      <c r="M307" s="24">
        <v>318</v>
      </c>
      <c r="N307" s="25">
        <f t="shared" si="30"/>
        <v>27</v>
      </c>
      <c r="O307" s="24">
        <v>1387</v>
      </c>
      <c r="P307" s="23">
        <f t="shared" si="31"/>
        <v>141</v>
      </c>
      <c r="Q307" s="26"/>
      <c r="R307" s="23">
        <f t="shared" si="32"/>
        <v>0</v>
      </c>
      <c r="S307" s="27" t="s">
        <v>18</v>
      </c>
      <c r="T307" s="19" t="s">
        <v>320</v>
      </c>
    </row>
    <row r="308" spans="1:20" ht="37.5" customHeight="1" x14ac:dyDescent="0.25">
      <c r="A308" s="19" t="s">
        <v>321</v>
      </c>
      <c r="B308">
        <f t="shared" si="33"/>
        <v>16793</v>
      </c>
      <c r="C308">
        <v>2610</v>
      </c>
      <c r="D308">
        <v>14183</v>
      </c>
      <c r="F308">
        <f t="shared" si="28"/>
        <v>288</v>
      </c>
      <c r="G308" s="20">
        <f t="shared" si="34"/>
        <v>303</v>
      </c>
      <c r="H308" s="21">
        <v>88820020175</v>
      </c>
      <c r="I308" s="22">
        <v>371</v>
      </c>
      <c r="J308" s="23"/>
      <c r="K308" s="24">
        <v>16505</v>
      </c>
      <c r="L308" s="23">
        <f t="shared" si="29"/>
        <v>288</v>
      </c>
      <c r="M308" s="24">
        <v>2569</v>
      </c>
      <c r="N308" s="25">
        <f t="shared" si="30"/>
        <v>41</v>
      </c>
      <c r="O308" s="24">
        <v>13936</v>
      </c>
      <c r="P308" s="23">
        <f t="shared" si="31"/>
        <v>247</v>
      </c>
      <c r="Q308" s="26"/>
      <c r="R308" s="23">
        <f t="shared" si="32"/>
        <v>0</v>
      </c>
      <c r="S308" s="27" t="s">
        <v>18</v>
      </c>
      <c r="T308" s="19" t="s">
        <v>321</v>
      </c>
    </row>
    <row r="309" spans="1:20" ht="37.5" customHeight="1" x14ac:dyDescent="0.25">
      <c r="A309" s="19" t="s">
        <v>322</v>
      </c>
      <c r="B309">
        <f t="shared" si="33"/>
        <v>14976</v>
      </c>
      <c r="C309">
        <v>2580</v>
      </c>
      <c r="D309">
        <v>12396</v>
      </c>
      <c r="F309">
        <f t="shared" si="28"/>
        <v>306</v>
      </c>
      <c r="G309" s="20">
        <f t="shared" si="34"/>
        <v>304</v>
      </c>
      <c r="H309" s="21">
        <v>66621100092</v>
      </c>
      <c r="I309" s="22">
        <v>372</v>
      </c>
      <c r="J309" s="23"/>
      <c r="K309" s="24">
        <v>14670</v>
      </c>
      <c r="L309" s="23">
        <f t="shared" si="29"/>
        <v>306</v>
      </c>
      <c r="M309" s="24">
        <v>2522</v>
      </c>
      <c r="N309" s="25">
        <f t="shared" si="30"/>
        <v>58</v>
      </c>
      <c r="O309" s="24">
        <v>12148</v>
      </c>
      <c r="P309" s="23">
        <f t="shared" si="31"/>
        <v>248</v>
      </c>
      <c r="Q309" s="26"/>
      <c r="R309" s="23">
        <f t="shared" si="32"/>
        <v>0</v>
      </c>
      <c r="S309" s="27" t="s">
        <v>18</v>
      </c>
      <c r="T309" s="19" t="s">
        <v>322</v>
      </c>
    </row>
    <row r="310" spans="1:20" ht="37.5" customHeight="1" x14ac:dyDescent="0.25">
      <c r="A310" s="19" t="s">
        <v>323</v>
      </c>
      <c r="B310">
        <f t="shared" si="33"/>
        <v>37758</v>
      </c>
      <c r="C310">
        <v>5770</v>
      </c>
      <c r="D310">
        <v>31988</v>
      </c>
      <c r="F310">
        <f t="shared" si="28"/>
        <v>492</v>
      </c>
      <c r="G310" s="20">
        <f t="shared" si="34"/>
        <v>305</v>
      </c>
      <c r="H310" s="21">
        <v>88818020138</v>
      </c>
      <c r="I310" s="22">
        <v>373</v>
      </c>
      <c r="J310" s="23"/>
      <c r="K310" s="24">
        <v>37266</v>
      </c>
      <c r="L310" s="23">
        <f t="shared" si="29"/>
        <v>492</v>
      </c>
      <c r="M310" s="24">
        <v>5701</v>
      </c>
      <c r="N310" s="25">
        <f t="shared" si="30"/>
        <v>69</v>
      </c>
      <c r="O310" s="24">
        <v>31565</v>
      </c>
      <c r="P310" s="23">
        <f t="shared" si="31"/>
        <v>423</v>
      </c>
      <c r="Q310" s="26"/>
      <c r="R310" s="23">
        <f t="shared" si="32"/>
        <v>0</v>
      </c>
      <c r="S310" s="27" t="s">
        <v>18</v>
      </c>
      <c r="T310" s="19" t="s">
        <v>323</v>
      </c>
    </row>
    <row r="311" spans="1:20" ht="37.5" customHeight="1" x14ac:dyDescent="0.25">
      <c r="A311" s="19" t="s">
        <v>324</v>
      </c>
      <c r="B311">
        <f t="shared" si="33"/>
        <v>24897</v>
      </c>
      <c r="C311">
        <v>3561</v>
      </c>
      <c r="D311">
        <v>21336</v>
      </c>
      <c r="F311">
        <f t="shared" si="28"/>
        <v>66</v>
      </c>
      <c r="G311" s="20">
        <f t="shared" si="34"/>
        <v>306</v>
      </c>
      <c r="H311" s="21">
        <v>23015100655</v>
      </c>
      <c r="I311" s="22">
        <v>375</v>
      </c>
      <c r="J311" s="23"/>
      <c r="K311" s="24">
        <v>24831</v>
      </c>
      <c r="L311" s="23">
        <f t="shared" si="29"/>
        <v>66</v>
      </c>
      <c r="M311" s="24">
        <v>3549</v>
      </c>
      <c r="N311" s="25">
        <f t="shared" si="30"/>
        <v>12</v>
      </c>
      <c r="O311" s="24">
        <v>21282</v>
      </c>
      <c r="P311" s="23">
        <f t="shared" si="31"/>
        <v>54</v>
      </c>
      <c r="Q311" s="26"/>
      <c r="R311" s="23">
        <f t="shared" si="32"/>
        <v>0</v>
      </c>
      <c r="S311" s="27" t="s">
        <v>18</v>
      </c>
      <c r="T311" s="19" t="s">
        <v>324</v>
      </c>
    </row>
    <row r="312" spans="1:20" ht="37.5" customHeight="1" x14ac:dyDescent="0.25">
      <c r="A312" s="19" t="s">
        <v>325</v>
      </c>
      <c r="B312">
        <f t="shared" si="33"/>
        <v>14590</v>
      </c>
      <c r="C312">
        <v>2220</v>
      </c>
      <c r="D312">
        <v>12370</v>
      </c>
      <c r="F312">
        <f t="shared" si="28"/>
        <v>187</v>
      </c>
      <c r="G312" s="20">
        <f t="shared" si="34"/>
        <v>307</v>
      </c>
      <c r="H312" s="21">
        <v>66621050189</v>
      </c>
      <c r="I312" s="22">
        <v>376</v>
      </c>
      <c r="J312" s="23"/>
      <c r="K312" s="24">
        <v>14403</v>
      </c>
      <c r="L312" s="23">
        <f t="shared" si="29"/>
        <v>187</v>
      </c>
      <c r="M312" s="24">
        <v>2217</v>
      </c>
      <c r="N312" s="25">
        <f t="shared" si="30"/>
        <v>3</v>
      </c>
      <c r="O312" s="24">
        <v>12186</v>
      </c>
      <c r="P312" s="23">
        <f t="shared" si="31"/>
        <v>184</v>
      </c>
      <c r="Q312" s="26"/>
      <c r="R312" s="23">
        <f t="shared" si="32"/>
        <v>0</v>
      </c>
      <c r="S312" s="27" t="s">
        <v>18</v>
      </c>
      <c r="T312" s="19" t="s">
        <v>325</v>
      </c>
    </row>
    <row r="313" spans="1:20" ht="37.5" customHeight="1" x14ac:dyDescent="0.25">
      <c r="A313" s="19" t="s">
        <v>326</v>
      </c>
      <c r="B313">
        <f t="shared" si="33"/>
        <v>21863</v>
      </c>
      <c r="C313">
        <v>3973</v>
      </c>
      <c r="D313">
        <v>17890</v>
      </c>
      <c r="F313">
        <f t="shared" si="28"/>
        <v>130</v>
      </c>
      <c r="G313" s="20">
        <f t="shared" si="34"/>
        <v>308</v>
      </c>
      <c r="H313" s="21">
        <v>88820003103</v>
      </c>
      <c r="I313" s="22">
        <v>377</v>
      </c>
      <c r="J313" s="23"/>
      <c r="K313" s="24">
        <v>21733</v>
      </c>
      <c r="L313" s="23">
        <f t="shared" si="29"/>
        <v>130</v>
      </c>
      <c r="M313" s="24">
        <v>3946</v>
      </c>
      <c r="N313" s="25">
        <f t="shared" si="30"/>
        <v>27</v>
      </c>
      <c r="O313" s="24">
        <v>17787</v>
      </c>
      <c r="P313" s="23">
        <f t="shared" si="31"/>
        <v>103</v>
      </c>
      <c r="Q313" s="26"/>
      <c r="R313" s="23">
        <f t="shared" si="32"/>
        <v>0</v>
      </c>
      <c r="S313" s="27" t="s">
        <v>18</v>
      </c>
      <c r="T313" s="19" t="s">
        <v>326</v>
      </c>
    </row>
    <row r="314" spans="1:20" ht="37.5" customHeight="1" x14ac:dyDescent="0.25">
      <c r="A314" s="19" t="s">
        <v>327</v>
      </c>
      <c r="B314">
        <f t="shared" si="33"/>
        <v>13723</v>
      </c>
      <c r="C314">
        <v>2541</v>
      </c>
      <c r="D314">
        <v>11182</v>
      </c>
      <c r="F314">
        <f t="shared" si="28"/>
        <v>202</v>
      </c>
      <c r="G314" s="20">
        <f t="shared" si="34"/>
        <v>309</v>
      </c>
      <c r="H314" s="21">
        <v>66621060171</v>
      </c>
      <c r="I314" s="22">
        <v>378</v>
      </c>
      <c r="J314" s="23"/>
      <c r="K314" s="24">
        <v>13521</v>
      </c>
      <c r="L314" s="23">
        <f t="shared" si="29"/>
        <v>202</v>
      </c>
      <c r="M314" s="24">
        <v>2504</v>
      </c>
      <c r="N314" s="25">
        <f t="shared" si="30"/>
        <v>37</v>
      </c>
      <c r="O314" s="24">
        <v>11017</v>
      </c>
      <c r="P314" s="23">
        <f t="shared" si="31"/>
        <v>165</v>
      </c>
      <c r="Q314" s="26"/>
      <c r="R314" s="23">
        <f t="shared" si="32"/>
        <v>0</v>
      </c>
      <c r="S314" s="27" t="s">
        <v>18</v>
      </c>
      <c r="T314" s="19" t="s">
        <v>327</v>
      </c>
    </row>
    <row r="315" spans="1:20" ht="37.5" customHeight="1" x14ac:dyDescent="0.25">
      <c r="A315" s="19" t="s">
        <v>328</v>
      </c>
      <c r="B315">
        <f t="shared" si="33"/>
        <v>50292</v>
      </c>
      <c r="C315">
        <v>8987</v>
      </c>
      <c r="D315">
        <v>41305</v>
      </c>
      <c r="F315">
        <f t="shared" si="28"/>
        <v>311</v>
      </c>
      <c r="G315" s="20">
        <f t="shared" si="34"/>
        <v>310</v>
      </c>
      <c r="H315" s="21">
        <v>23014040113</v>
      </c>
      <c r="I315" s="22">
        <v>379</v>
      </c>
      <c r="J315" s="23"/>
      <c r="K315" s="24">
        <v>49981</v>
      </c>
      <c r="L315" s="23">
        <f t="shared" si="29"/>
        <v>311</v>
      </c>
      <c r="M315" s="24">
        <v>8937</v>
      </c>
      <c r="N315" s="25">
        <f t="shared" si="30"/>
        <v>50</v>
      </c>
      <c r="O315" s="24">
        <v>41044</v>
      </c>
      <c r="P315" s="23">
        <f t="shared" si="31"/>
        <v>261</v>
      </c>
      <c r="Q315" s="26"/>
      <c r="R315" s="23">
        <f t="shared" si="32"/>
        <v>0</v>
      </c>
      <c r="S315" s="27" t="s">
        <v>18</v>
      </c>
      <c r="T315" s="19" t="s">
        <v>328</v>
      </c>
    </row>
    <row r="316" spans="1:20" ht="37.5" customHeight="1" x14ac:dyDescent="0.25">
      <c r="A316" s="19" t="s">
        <v>329</v>
      </c>
      <c r="B316">
        <f t="shared" si="33"/>
        <v>32593</v>
      </c>
      <c r="C316">
        <v>5873</v>
      </c>
      <c r="D316">
        <v>26720</v>
      </c>
      <c r="F316">
        <f t="shared" si="28"/>
        <v>293</v>
      </c>
      <c r="G316" s="20">
        <f t="shared" si="34"/>
        <v>311</v>
      </c>
      <c r="H316" s="21">
        <v>23015010189</v>
      </c>
      <c r="I316" s="22">
        <v>380</v>
      </c>
      <c r="J316" s="23"/>
      <c r="K316" s="24">
        <v>32300</v>
      </c>
      <c r="L316" s="23">
        <f t="shared" si="29"/>
        <v>293</v>
      </c>
      <c r="M316" s="24">
        <v>5822</v>
      </c>
      <c r="N316" s="25">
        <f t="shared" si="30"/>
        <v>51</v>
      </c>
      <c r="O316" s="24">
        <v>26478</v>
      </c>
      <c r="P316" s="23">
        <f t="shared" si="31"/>
        <v>242</v>
      </c>
      <c r="Q316" s="26"/>
      <c r="R316" s="23">
        <f t="shared" si="32"/>
        <v>0</v>
      </c>
      <c r="S316" s="27" t="s">
        <v>18</v>
      </c>
      <c r="T316" s="19" t="s">
        <v>329</v>
      </c>
    </row>
    <row r="317" spans="1:20" ht="37.5" customHeight="1" x14ac:dyDescent="0.25">
      <c r="A317" s="19" t="s">
        <v>330</v>
      </c>
      <c r="B317">
        <f t="shared" si="33"/>
        <v>49618</v>
      </c>
      <c r="C317">
        <v>11456</v>
      </c>
      <c r="D317">
        <v>38162</v>
      </c>
      <c r="F317">
        <f t="shared" si="28"/>
        <v>233</v>
      </c>
      <c r="G317" s="20">
        <f t="shared" si="34"/>
        <v>312</v>
      </c>
      <c r="H317" s="21">
        <v>23010090139</v>
      </c>
      <c r="I317" s="22">
        <v>381</v>
      </c>
      <c r="J317" s="23"/>
      <c r="K317" s="24">
        <v>49385</v>
      </c>
      <c r="L317" s="23">
        <f t="shared" si="29"/>
        <v>233</v>
      </c>
      <c r="M317" s="24">
        <v>11414</v>
      </c>
      <c r="N317" s="25">
        <f t="shared" si="30"/>
        <v>42</v>
      </c>
      <c r="O317" s="24">
        <v>37971</v>
      </c>
      <c r="P317" s="23">
        <f t="shared" si="31"/>
        <v>191</v>
      </c>
      <c r="Q317" s="26"/>
      <c r="R317" s="23">
        <f t="shared" si="32"/>
        <v>0</v>
      </c>
      <c r="S317" s="27" t="s">
        <v>18</v>
      </c>
      <c r="T317" s="19" t="s">
        <v>330</v>
      </c>
    </row>
    <row r="318" spans="1:20" ht="37.5" customHeight="1" x14ac:dyDescent="0.25">
      <c r="A318" s="19" t="s">
        <v>331</v>
      </c>
      <c r="B318">
        <f t="shared" si="33"/>
        <v>58559</v>
      </c>
      <c r="C318">
        <v>9385</v>
      </c>
      <c r="D318">
        <v>49174</v>
      </c>
      <c r="F318">
        <f t="shared" si="28"/>
        <v>162</v>
      </c>
      <c r="G318" s="20">
        <f t="shared" si="34"/>
        <v>313</v>
      </c>
      <c r="H318" s="21">
        <v>23012040298</v>
      </c>
      <c r="I318" s="22">
        <v>382</v>
      </c>
      <c r="J318" s="23"/>
      <c r="K318" s="24">
        <v>58397</v>
      </c>
      <c r="L318" s="23">
        <f t="shared" si="29"/>
        <v>162</v>
      </c>
      <c r="M318" s="24">
        <v>9356</v>
      </c>
      <c r="N318" s="25">
        <f t="shared" si="30"/>
        <v>29</v>
      </c>
      <c r="O318" s="24">
        <v>49041</v>
      </c>
      <c r="P318" s="23">
        <f t="shared" si="31"/>
        <v>133</v>
      </c>
      <c r="Q318" s="26"/>
      <c r="R318" s="23">
        <f t="shared" si="32"/>
        <v>0</v>
      </c>
      <c r="S318" s="27" t="s">
        <v>18</v>
      </c>
      <c r="T318" s="19" t="s">
        <v>331</v>
      </c>
    </row>
    <row r="319" spans="1:20" ht="37.5" customHeight="1" x14ac:dyDescent="0.25">
      <c r="A319" s="19" t="s">
        <v>332</v>
      </c>
      <c r="B319">
        <f t="shared" si="33"/>
        <v>11266</v>
      </c>
      <c r="C319">
        <v>1723</v>
      </c>
      <c r="D319">
        <v>9543</v>
      </c>
      <c r="F319">
        <f t="shared" si="28"/>
        <v>581</v>
      </c>
      <c r="G319" s="20">
        <f t="shared" si="34"/>
        <v>314</v>
      </c>
      <c r="H319" s="21">
        <v>66622030492</v>
      </c>
      <c r="I319" s="22">
        <v>383</v>
      </c>
      <c r="J319" s="23"/>
      <c r="K319" s="24">
        <v>10685</v>
      </c>
      <c r="L319" s="23">
        <f t="shared" si="29"/>
        <v>581</v>
      </c>
      <c r="M319" s="24">
        <v>1630</v>
      </c>
      <c r="N319" s="25">
        <f t="shared" si="30"/>
        <v>93</v>
      </c>
      <c r="O319" s="24">
        <v>9055</v>
      </c>
      <c r="P319" s="23">
        <f t="shared" si="31"/>
        <v>488</v>
      </c>
      <c r="Q319" s="26"/>
      <c r="R319" s="23">
        <f t="shared" si="32"/>
        <v>0</v>
      </c>
      <c r="S319" s="27" t="s">
        <v>18</v>
      </c>
      <c r="T319" s="19" t="s">
        <v>332</v>
      </c>
    </row>
    <row r="320" spans="1:20" ht="37.5" customHeight="1" x14ac:dyDescent="0.25">
      <c r="A320" s="19" t="s">
        <v>333</v>
      </c>
      <c r="B320">
        <f t="shared" si="33"/>
        <v>38010</v>
      </c>
      <c r="C320">
        <v>6129</v>
      </c>
      <c r="D320">
        <v>31881</v>
      </c>
      <c r="F320">
        <f t="shared" si="28"/>
        <v>315</v>
      </c>
      <c r="G320" s="20">
        <f t="shared" si="34"/>
        <v>315</v>
      </c>
      <c r="H320" s="21">
        <v>66616031273</v>
      </c>
      <c r="I320" s="22">
        <v>384</v>
      </c>
      <c r="J320" s="23"/>
      <c r="K320" s="24">
        <v>37695</v>
      </c>
      <c r="L320" s="23">
        <f t="shared" si="29"/>
        <v>315</v>
      </c>
      <c r="M320" s="24">
        <v>6073</v>
      </c>
      <c r="N320" s="25">
        <f t="shared" si="30"/>
        <v>56</v>
      </c>
      <c r="O320" s="24">
        <v>31622</v>
      </c>
      <c r="P320" s="23">
        <f t="shared" si="31"/>
        <v>259</v>
      </c>
      <c r="Q320" s="26"/>
      <c r="R320" s="23">
        <f t="shared" si="32"/>
        <v>0</v>
      </c>
      <c r="S320" s="27" t="s">
        <v>18</v>
      </c>
      <c r="T320" s="19" t="s">
        <v>333</v>
      </c>
    </row>
    <row r="321" spans="1:20" ht="37.5" customHeight="1" x14ac:dyDescent="0.25">
      <c r="A321" s="19" t="s">
        <v>334</v>
      </c>
      <c r="B321">
        <f t="shared" si="33"/>
        <v>5958</v>
      </c>
      <c r="C321">
        <v>1163</v>
      </c>
      <c r="D321">
        <v>4795</v>
      </c>
      <c r="F321">
        <f t="shared" si="28"/>
        <v>388</v>
      </c>
      <c r="G321" s="20">
        <f t="shared" si="34"/>
        <v>316</v>
      </c>
      <c r="H321" s="21">
        <v>66623011243</v>
      </c>
      <c r="I321" s="22">
        <v>385</v>
      </c>
      <c r="J321" s="23"/>
      <c r="K321" s="24">
        <v>5570</v>
      </c>
      <c r="L321" s="23">
        <f t="shared" si="29"/>
        <v>388</v>
      </c>
      <c r="M321" s="24">
        <v>1078</v>
      </c>
      <c r="N321" s="25">
        <f t="shared" si="30"/>
        <v>85</v>
      </c>
      <c r="O321" s="24">
        <v>4492</v>
      </c>
      <c r="P321" s="23">
        <f t="shared" si="31"/>
        <v>303</v>
      </c>
      <c r="Q321" s="26"/>
      <c r="R321" s="23">
        <f t="shared" si="32"/>
        <v>0</v>
      </c>
      <c r="S321" s="27" t="s">
        <v>18</v>
      </c>
      <c r="T321" s="19" t="s">
        <v>334</v>
      </c>
    </row>
    <row r="322" spans="1:20" ht="37.5" customHeight="1" x14ac:dyDescent="0.25">
      <c r="A322" s="19" t="s">
        <v>335</v>
      </c>
      <c r="B322">
        <f t="shared" si="33"/>
        <v>17608</v>
      </c>
      <c r="C322">
        <v>3111</v>
      </c>
      <c r="D322">
        <v>14497</v>
      </c>
      <c r="F322">
        <f t="shared" si="28"/>
        <v>444</v>
      </c>
      <c r="G322" s="20">
        <f t="shared" si="34"/>
        <v>317</v>
      </c>
      <c r="H322" s="21">
        <v>88820060123</v>
      </c>
      <c r="I322" s="22">
        <v>387</v>
      </c>
      <c r="J322" s="23"/>
      <c r="K322" s="24">
        <v>17164</v>
      </c>
      <c r="L322" s="23">
        <f t="shared" si="29"/>
        <v>444</v>
      </c>
      <c r="M322" s="24">
        <v>3042</v>
      </c>
      <c r="N322" s="25">
        <f t="shared" si="30"/>
        <v>69</v>
      </c>
      <c r="O322" s="24">
        <v>14122</v>
      </c>
      <c r="P322" s="23">
        <f t="shared" si="31"/>
        <v>375</v>
      </c>
      <c r="Q322" s="26"/>
      <c r="R322" s="23">
        <f t="shared" si="32"/>
        <v>0</v>
      </c>
      <c r="S322" s="27" t="s">
        <v>18</v>
      </c>
      <c r="T322" s="19" t="s">
        <v>335</v>
      </c>
    </row>
    <row r="323" spans="1:20" ht="37.5" customHeight="1" x14ac:dyDescent="0.25">
      <c r="A323" s="19" t="s">
        <v>336</v>
      </c>
      <c r="B323">
        <f t="shared" si="33"/>
        <v>11150</v>
      </c>
      <c r="C323">
        <v>1763</v>
      </c>
      <c r="D323">
        <v>9387</v>
      </c>
      <c r="F323">
        <f t="shared" si="28"/>
        <v>243</v>
      </c>
      <c r="G323" s="20">
        <f t="shared" si="34"/>
        <v>318</v>
      </c>
      <c r="H323" s="21">
        <v>888190550284</v>
      </c>
      <c r="I323" s="22">
        <v>388</v>
      </c>
      <c r="J323" s="23"/>
      <c r="K323" s="24">
        <v>10907</v>
      </c>
      <c r="L323" s="23">
        <f t="shared" si="29"/>
        <v>243</v>
      </c>
      <c r="M323" s="24">
        <v>1723</v>
      </c>
      <c r="N323" s="25">
        <f t="shared" si="30"/>
        <v>40</v>
      </c>
      <c r="O323" s="24">
        <v>9184</v>
      </c>
      <c r="P323" s="23">
        <f t="shared" si="31"/>
        <v>203</v>
      </c>
      <c r="Q323" s="26"/>
      <c r="R323" s="23">
        <f t="shared" si="32"/>
        <v>0</v>
      </c>
      <c r="S323" s="27" t="s">
        <v>18</v>
      </c>
      <c r="T323" s="19" t="s">
        <v>336</v>
      </c>
    </row>
    <row r="324" spans="1:20" ht="37.5" customHeight="1" x14ac:dyDescent="0.25">
      <c r="A324" s="19" t="s">
        <v>337</v>
      </c>
      <c r="B324">
        <f t="shared" si="33"/>
        <v>25780</v>
      </c>
      <c r="C324">
        <v>5539</v>
      </c>
      <c r="D324">
        <v>20241</v>
      </c>
      <c r="F324">
        <f t="shared" si="28"/>
        <v>336</v>
      </c>
      <c r="G324" s="20">
        <f t="shared" si="34"/>
        <v>319</v>
      </c>
      <c r="H324" s="21">
        <v>88820040149</v>
      </c>
      <c r="I324" s="22">
        <v>389</v>
      </c>
      <c r="J324" s="23"/>
      <c r="K324" s="24">
        <v>25444</v>
      </c>
      <c r="L324" s="23">
        <f t="shared" si="29"/>
        <v>336</v>
      </c>
      <c r="M324" s="24">
        <v>5481</v>
      </c>
      <c r="N324" s="25">
        <f t="shared" si="30"/>
        <v>58</v>
      </c>
      <c r="O324" s="24">
        <v>19963</v>
      </c>
      <c r="P324" s="23">
        <f t="shared" si="31"/>
        <v>278</v>
      </c>
      <c r="Q324" s="26"/>
      <c r="R324" s="23">
        <f t="shared" si="32"/>
        <v>0</v>
      </c>
      <c r="S324" s="27" t="s">
        <v>18</v>
      </c>
      <c r="T324" s="19" t="s">
        <v>337</v>
      </c>
    </row>
    <row r="325" spans="1:20" ht="37.5" customHeight="1" x14ac:dyDescent="0.25">
      <c r="A325" s="19" t="s">
        <v>338</v>
      </c>
      <c r="B325">
        <f t="shared" si="33"/>
        <v>16378</v>
      </c>
      <c r="C325">
        <v>2284</v>
      </c>
      <c r="D325">
        <v>14094</v>
      </c>
      <c r="F325">
        <f t="shared" ref="F325:F388" si="35">L325</f>
        <v>572</v>
      </c>
      <c r="G325" s="20">
        <f t="shared" si="34"/>
        <v>320</v>
      </c>
      <c r="H325" s="21">
        <v>23014060801</v>
      </c>
      <c r="I325" s="22">
        <v>390</v>
      </c>
      <c r="J325" s="23"/>
      <c r="K325" s="24">
        <v>15806</v>
      </c>
      <c r="L325" s="23">
        <f t="shared" si="29"/>
        <v>572</v>
      </c>
      <c r="M325" s="24">
        <v>2199</v>
      </c>
      <c r="N325" s="25">
        <f t="shared" si="30"/>
        <v>85</v>
      </c>
      <c r="O325" s="24">
        <v>13607</v>
      </c>
      <c r="P325" s="23">
        <f t="shared" si="31"/>
        <v>487</v>
      </c>
      <c r="Q325" s="26"/>
      <c r="R325" s="23">
        <f t="shared" si="32"/>
        <v>0</v>
      </c>
      <c r="S325" s="27" t="s">
        <v>18</v>
      </c>
      <c r="T325" s="19" t="s">
        <v>338</v>
      </c>
    </row>
    <row r="326" spans="1:20" ht="37.5" customHeight="1" x14ac:dyDescent="0.25">
      <c r="A326" s="19" t="s">
        <v>339</v>
      </c>
      <c r="B326">
        <f t="shared" si="33"/>
        <v>3081</v>
      </c>
      <c r="C326">
        <v>505</v>
      </c>
      <c r="D326">
        <v>2576</v>
      </c>
      <c r="F326">
        <f t="shared" si="35"/>
        <v>245</v>
      </c>
      <c r="G326" s="20">
        <f t="shared" si="34"/>
        <v>321</v>
      </c>
      <c r="H326" s="21">
        <v>66619040137</v>
      </c>
      <c r="I326" s="22">
        <v>391</v>
      </c>
      <c r="J326" s="23"/>
      <c r="K326" s="24">
        <v>2836</v>
      </c>
      <c r="L326" s="23">
        <f t="shared" ref="L326:L389" si="36">B326-K326</f>
        <v>245</v>
      </c>
      <c r="M326" s="24">
        <v>466</v>
      </c>
      <c r="N326" s="25">
        <f t="shared" ref="N326:N389" si="37">C326-M326</f>
        <v>39</v>
      </c>
      <c r="O326" s="24">
        <v>2370</v>
      </c>
      <c r="P326" s="23">
        <f t="shared" ref="P326:P389" si="38">D326-O326</f>
        <v>206</v>
      </c>
      <c r="Q326" s="26"/>
      <c r="R326" s="23">
        <f t="shared" ref="R326:R389" si="39">E326-Q326</f>
        <v>0</v>
      </c>
      <c r="S326" s="27" t="s">
        <v>18</v>
      </c>
      <c r="T326" s="19" t="s">
        <v>339</v>
      </c>
    </row>
    <row r="327" spans="1:20" ht="37.5" customHeight="1" x14ac:dyDescent="0.25">
      <c r="A327" s="19" t="s">
        <v>340</v>
      </c>
      <c r="B327">
        <f t="shared" ref="B327:B390" si="40">C327+D327</f>
        <v>64288</v>
      </c>
      <c r="C327">
        <v>10031</v>
      </c>
      <c r="D327">
        <v>54257</v>
      </c>
      <c r="F327">
        <f t="shared" si="35"/>
        <v>550</v>
      </c>
      <c r="G327" s="20">
        <f t="shared" si="34"/>
        <v>322</v>
      </c>
      <c r="H327" s="21">
        <v>23013090231</v>
      </c>
      <c r="I327" s="22">
        <v>392</v>
      </c>
      <c r="J327" s="23"/>
      <c r="K327" s="24">
        <v>63738</v>
      </c>
      <c r="L327" s="23">
        <f t="shared" si="36"/>
        <v>550</v>
      </c>
      <c r="M327" s="24">
        <v>9944</v>
      </c>
      <c r="N327" s="25">
        <f t="shared" si="37"/>
        <v>87</v>
      </c>
      <c r="O327" s="24">
        <v>53794</v>
      </c>
      <c r="P327" s="23">
        <f t="shared" si="38"/>
        <v>463</v>
      </c>
      <c r="Q327" s="26"/>
      <c r="R327" s="23">
        <f t="shared" si="39"/>
        <v>0</v>
      </c>
      <c r="S327" s="27" t="s">
        <v>18</v>
      </c>
      <c r="T327" s="19" t="s">
        <v>340</v>
      </c>
    </row>
    <row r="328" spans="1:20" ht="37.5" customHeight="1" x14ac:dyDescent="0.25">
      <c r="A328" s="19" t="s">
        <v>341</v>
      </c>
      <c r="B328">
        <f t="shared" si="40"/>
        <v>40002</v>
      </c>
      <c r="C328">
        <v>7501</v>
      </c>
      <c r="D328">
        <v>32501</v>
      </c>
      <c r="F328">
        <f t="shared" si="35"/>
        <v>392</v>
      </c>
      <c r="G328" s="20">
        <f t="shared" ref="G328:G391" si="41">G327+1</f>
        <v>323</v>
      </c>
      <c r="H328" s="21">
        <v>23013010330</v>
      </c>
      <c r="I328" s="22">
        <v>393</v>
      </c>
      <c r="J328" s="23"/>
      <c r="K328" s="24">
        <v>39610</v>
      </c>
      <c r="L328" s="23">
        <f t="shared" si="36"/>
        <v>392</v>
      </c>
      <c r="M328" s="24">
        <v>7449</v>
      </c>
      <c r="N328" s="25">
        <f t="shared" si="37"/>
        <v>52</v>
      </c>
      <c r="O328" s="24">
        <v>32161</v>
      </c>
      <c r="P328" s="23">
        <f t="shared" si="38"/>
        <v>340</v>
      </c>
      <c r="Q328" s="26"/>
      <c r="R328" s="23">
        <f t="shared" si="39"/>
        <v>0</v>
      </c>
      <c r="S328" s="27" t="s">
        <v>18</v>
      </c>
      <c r="T328" s="19" t="s">
        <v>341</v>
      </c>
    </row>
    <row r="329" spans="1:20" ht="37.5" customHeight="1" x14ac:dyDescent="0.25">
      <c r="A329" s="19" t="s">
        <v>342</v>
      </c>
      <c r="B329">
        <f t="shared" si="40"/>
        <v>3801</v>
      </c>
      <c r="C329">
        <v>1059</v>
      </c>
      <c r="D329">
        <v>2742</v>
      </c>
      <c r="E329">
        <v>3879</v>
      </c>
      <c r="F329">
        <f t="shared" si="35"/>
        <v>301</v>
      </c>
      <c r="G329" s="20">
        <f t="shared" si="41"/>
        <v>324</v>
      </c>
      <c r="H329" s="21">
        <v>99624010275</v>
      </c>
      <c r="I329" s="22">
        <v>394</v>
      </c>
      <c r="J329" s="23"/>
      <c r="K329" s="24">
        <f>M329+O329</f>
        <v>3500</v>
      </c>
      <c r="L329" s="23">
        <f t="shared" si="36"/>
        <v>301</v>
      </c>
      <c r="M329" s="24">
        <v>965</v>
      </c>
      <c r="N329" s="25">
        <f t="shared" si="37"/>
        <v>94</v>
      </c>
      <c r="O329" s="24">
        <v>2535</v>
      </c>
      <c r="P329" s="23">
        <f t="shared" si="38"/>
        <v>207</v>
      </c>
      <c r="Q329" s="26">
        <v>3435</v>
      </c>
      <c r="R329" s="23">
        <f t="shared" si="39"/>
        <v>444</v>
      </c>
      <c r="S329" s="27" t="s">
        <v>18</v>
      </c>
      <c r="T329" s="19" t="s">
        <v>342</v>
      </c>
    </row>
    <row r="330" spans="1:20" ht="37.5" customHeight="1" x14ac:dyDescent="0.25">
      <c r="A330" s="19" t="s">
        <v>343</v>
      </c>
      <c r="B330">
        <f t="shared" si="40"/>
        <v>63723</v>
      </c>
      <c r="C330">
        <v>12934</v>
      </c>
      <c r="D330">
        <v>50789</v>
      </c>
      <c r="F330">
        <f t="shared" si="35"/>
        <v>134</v>
      </c>
      <c r="G330" s="20">
        <f t="shared" si="41"/>
        <v>325</v>
      </c>
      <c r="H330" s="21">
        <v>23010050047</v>
      </c>
      <c r="I330" s="22">
        <v>395</v>
      </c>
      <c r="J330" s="23"/>
      <c r="K330" s="24">
        <v>63589</v>
      </c>
      <c r="L330" s="23">
        <f t="shared" si="36"/>
        <v>134</v>
      </c>
      <c r="M330" s="24">
        <v>12909</v>
      </c>
      <c r="N330" s="25">
        <f t="shared" si="37"/>
        <v>25</v>
      </c>
      <c r="O330" s="24">
        <v>50680</v>
      </c>
      <c r="P330" s="23">
        <f t="shared" si="38"/>
        <v>109</v>
      </c>
      <c r="Q330" s="26"/>
      <c r="R330" s="23">
        <f t="shared" si="39"/>
        <v>0</v>
      </c>
      <c r="S330" s="27" t="s">
        <v>18</v>
      </c>
      <c r="T330" s="19" t="s">
        <v>343</v>
      </c>
    </row>
    <row r="331" spans="1:20" ht="37.5" customHeight="1" x14ac:dyDescent="0.25">
      <c r="A331" s="19" t="s">
        <v>344</v>
      </c>
      <c r="B331">
        <f t="shared" si="40"/>
        <v>46239</v>
      </c>
      <c r="C331">
        <v>7278</v>
      </c>
      <c r="D331">
        <v>38961</v>
      </c>
      <c r="F331">
        <f t="shared" si="35"/>
        <v>333</v>
      </c>
      <c r="G331" s="20">
        <f t="shared" si="41"/>
        <v>326</v>
      </c>
      <c r="H331" s="21">
        <v>23014010132</v>
      </c>
      <c r="I331" s="22">
        <v>396</v>
      </c>
      <c r="J331" s="23"/>
      <c r="K331" s="24">
        <v>45906</v>
      </c>
      <c r="L331" s="23">
        <f t="shared" si="36"/>
        <v>333</v>
      </c>
      <c r="M331" s="24">
        <v>7225</v>
      </c>
      <c r="N331" s="25">
        <f t="shared" si="37"/>
        <v>53</v>
      </c>
      <c r="O331" s="24">
        <v>38681</v>
      </c>
      <c r="P331" s="23">
        <f t="shared" si="38"/>
        <v>280</v>
      </c>
      <c r="Q331" s="26"/>
      <c r="R331" s="23">
        <f t="shared" si="39"/>
        <v>0</v>
      </c>
      <c r="S331" s="27" t="s">
        <v>18</v>
      </c>
      <c r="T331" s="19" t="s">
        <v>344</v>
      </c>
    </row>
    <row r="332" spans="1:20" ht="37.5" customHeight="1" x14ac:dyDescent="0.25">
      <c r="A332" s="19" t="s">
        <v>345</v>
      </c>
      <c r="B332">
        <f t="shared" si="40"/>
        <v>31105</v>
      </c>
      <c r="C332">
        <v>6026</v>
      </c>
      <c r="D332">
        <v>25079</v>
      </c>
      <c r="F332">
        <f t="shared" si="35"/>
        <v>407</v>
      </c>
      <c r="G332" s="20">
        <f t="shared" si="41"/>
        <v>327</v>
      </c>
      <c r="H332" s="21">
        <v>23014060674</v>
      </c>
      <c r="I332" s="22">
        <v>397</v>
      </c>
      <c r="J332" s="23"/>
      <c r="K332" s="24">
        <v>30698</v>
      </c>
      <c r="L332" s="23">
        <f t="shared" si="36"/>
        <v>407</v>
      </c>
      <c r="M332" s="24">
        <v>5950</v>
      </c>
      <c r="N332" s="25">
        <f t="shared" si="37"/>
        <v>76</v>
      </c>
      <c r="O332" s="24">
        <v>24748</v>
      </c>
      <c r="P332" s="23">
        <f t="shared" si="38"/>
        <v>331</v>
      </c>
      <c r="Q332" s="26"/>
      <c r="R332" s="23">
        <f t="shared" si="39"/>
        <v>0</v>
      </c>
      <c r="S332" s="27" t="s">
        <v>18</v>
      </c>
      <c r="T332" s="19" t="s">
        <v>345</v>
      </c>
    </row>
    <row r="333" spans="1:20" ht="37.5" customHeight="1" x14ac:dyDescent="0.25">
      <c r="A333" s="19" t="s">
        <v>346</v>
      </c>
      <c r="B333">
        <f t="shared" si="40"/>
        <v>65026</v>
      </c>
      <c r="C333">
        <v>11256</v>
      </c>
      <c r="D333">
        <v>53770</v>
      </c>
      <c r="F333">
        <f t="shared" si="35"/>
        <v>186</v>
      </c>
      <c r="G333" s="20">
        <f t="shared" si="41"/>
        <v>328</v>
      </c>
      <c r="H333" s="21">
        <v>23011010049</v>
      </c>
      <c r="I333" s="22">
        <v>398</v>
      </c>
      <c r="J333" s="23"/>
      <c r="K333" s="24">
        <v>64840</v>
      </c>
      <c r="L333" s="23">
        <f t="shared" si="36"/>
        <v>186</v>
      </c>
      <c r="M333" s="24">
        <v>11203</v>
      </c>
      <c r="N333" s="25">
        <f t="shared" si="37"/>
        <v>53</v>
      </c>
      <c r="O333" s="24">
        <v>53637</v>
      </c>
      <c r="P333" s="23">
        <f t="shared" si="38"/>
        <v>133</v>
      </c>
      <c r="Q333" s="26"/>
      <c r="R333" s="23">
        <f t="shared" si="39"/>
        <v>0</v>
      </c>
      <c r="S333" s="27" t="s">
        <v>18</v>
      </c>
      <c r="T333" s="19" t="s">
        <v>346</v>
      </c>
    </row>
    <row r="334" spans="1:20" ht="37.5" customHeight="1" x14ac:dyDescent="0.25">
      <c r="A334" s="19" t="s">
        <v>347</v>
      </c>
      <c r="B334">
        <f t="shared" si="40"/>
        <v>60668</v>
      </c>
      <c r="C334">
        <v>13142</v>
      </c>
      <c r="D334">
        <v>47526</v>
      </c>
      <c r="F334">
        <f t="shared" si="35"/>
        <v>410</v>
      </c>
      <c r="G334" s="20">
        <f t="shared" si="41"/>
        <v>329</v>
      </c>
      <c r="H334" s="21">
        <v>23011120053</v>
      </c>
      <c r="I334" s="22">
        <v>400</v>
      </c>
      <c r="J334" s="23"/>
      <c r="K334" s="24">
        <v>60258</v>
      </c>
      <c r="L334" s="23">
        <f t="shared" si="36"/>
        <v>410</v>
      </c>
      <c r="M334" s="24">
        <v>13065</v>
      </c>
      <c r="N334" s="25">
        <f t="shared" si="37"/>
        <v>77</v>
      </c>
      <c r="O334" s="24">
        <v>47193</v>
      </c>
      <c r="P334" s="23">
        <f t="shared" si="38"/>
        <v>333</v>
      </c>
      <c r="Q334" s="26"/>
      <c r="R334" s="23">
        <f t="shared" si="39"/>
        <v>0</v>
      </c>
      <c r="S334" s="27" t="s">
        <v>18</v>
      </c>
      <c r="T334" s="19" t="s">
        <v>347</v>
      </c>
    </row>
    <row r="335" spans="1:20" ht="37.5" customHeight="1" x14ac:dyDescent="0.25">
      <c r="A335" s="19" t="s">
        <v>348</v>
      </c>
      <c r="B335">
        <f t="shared" si="40"/>
        <v>63814</v>
      </c>
      <c r="C335">
        <v>11659</v>
      </c>
      <c r="D335">
        <v>52155</v>
      </c>
      <c r="F335">
        <f t="shared" si="35"/>
        <v>345</v>
      </c>
      <c r="G335" s="20">
        <f t="shared" si="41"/>
        <v>330</v>
      </c>
      <c r="H335" s="21">
        <v>23010090234</v>
      </c>
      <c r="I335" s="22">
        <v>401</v>
      </c>
      <c r="J335" s="23"/>
      <c r="K335" s="24">
        <v>63469</v>
      </c>
      <c r="L335" s="23">
        <f t="shared" si="36"/>
        <v>345</v>
      </c>
      <c r="M335" s="24">
        <v>11587</v>
      </c>
      <c r="N335" s="25">
        <f t="shared" si="37"/>
        <v>72</v>
      </c>
      <c r="O335" s="24">
        <v>51882</v>
      </c>
      <c r="P335" s="23">
        <f t="shared" si="38"/>
        <v>273</v>
      </c>
      <c r="Q335" s="26"/>
      <c r="R335" s="23">
        <f t="shared" si="39"/>
        <v>0</v>
      </c>
      <c r="S335" s="27" t="s">
        <v>18</v>
      </c>
      <c r="T335" s="19" t="s">
        <v>348</v>
      </c>
    </row>
    <row r="336" spans="1:20" ht="37.5" customHeight="1" x14ac:dyDescent="0.25">
      <c r="A336" s="19" t="s">
        <v>349</v>
      </c>
      <c r="B336">
        <f t="shared" si="40"/>
        <v>39058</v>
      </c>
      <c r="C336">
        <v>6562</v>
      </c>
      <c r="D336">
        <v>32496</v>
      </c>
      <c r="F336">
        <f t="shared" si="35"/>
        <v>160</v>
      </c>
      <c r="G336" s="20">
        <f t="shared" si="41"/>
        <v>331</v>
      </c>
      <c r="H336" s="21">
        <v>23014010052</v>
      </c>
      <c r="I336" s="22">
        <v>402</v>
      </c>
      <c r="J336" s="23"/>
      <c r="K336" s="24">
        <v>38898</v>
      </c>
      <c r="L336" s="23">
        <f t="shared" si="36"/>
        <v>160</v>
      </c>
      <c r="M336" s="24">
        <v>6536</v>
      </c>
      <c r="N336" s="25">
        <f t="shared" si="37"/>
        <v>26</v>
      </c>
      <c r="O336" s="24">
        <v>32362</v>
      </c>
      <c r="P336" s="23">
        <f t="shared" si="38"/>
        <v>134</v>
      </c>
      <c r="Q336" s="26"/>
      <c r="R336" s="23">
        <f t="shared" si="39"/>
        <v>0</v>
      </c>
      <c r="S336" s="27" t="s">
        <v>18</v>
      </c>
      <c r="T336" s="19" t="s">
        <v>349</v>
      </c>
    </row>
    <row r="337" spans="1:20" ht="37.5" customHeight="1" x14ac:dyDescent="0.25">
      <c r="A337" s="19" t="s">
        <v>350</v>
      </c>
      <c r="B337">
        <f t="shared" si="40"/>
        <v>42704</v>
      </c>
      <c r="C337">
        <v>7359</v>
      </c>
      <c r="D337">
        <v>35345</v>
      </c>
      <c r="F337">
        <f t="shared" si="35"/>
        <v>420</v>
      </c>
      <c r="G337" s="20">
        <f t="shared" si="41"/>
        <v>332</v>
      </c>
      <c r="H337" s="21">
        <v>66616031128</v>
      </c>
      <c r="I337" s="22">
        <v>403</v>
      </c>
      <c r="J337" s="23"/>
      <c r="K337" s="24">
        <v>42284</v>
      </c>
      <c r="L337" s="23">
        <f t="shared" si="36"/>
        <v>420</v>
      </c>
      <c r="M337" s="24">
        <v>7277</v>
      </c>
      <c r="N337" s="25">
        <f t="shared" si="37"/>
        <v>82</v>
      </c>
      <c r="O337" s="24">
        <v>35007</v>
      </c>
      <c r="P337" s="23">
        <f t="shared" si="38"/>
        <v>338</v>
      </c>
      <c r="Q337" s="26"/>
      <c r="R337" s="23">
        <f t="shared" si="39"/>
        <v>0</v>
      </c>
      <c r="S337" s="27" t="s">
        <v>18</v>
      </c>
      <c r="T337" s="19" t="s">
        <v>350</v>
      </c>
    </row>
    <row r="338" spans="1:20" ht="37.5" customHeight="1" x14ac:dyDescent="0.25">
      <c r="A338" s="19" t="s">
        <v>351</v>
      </c>
      <c r="B338">
        <f t="shared" si="40"/>
        <v>22338</v>
      </c>
      <c r="C338">
        <v>3644</v>
      </c>
      <c r="D338">
        <v>18694</v>
      </c>
      <c r="F338">
        <f t="shared" si="35"/>
        <v>320</v>
      </c>
      <c r="G338" s="20">
        <f t="shared" si="41"/>
        <v>333</v>
      </c>
      <c r="H338" s="21">
        <v>88818010032</v>
      </c>
      <c r="I338" s="22">
        <v>404</v>
      </c>
      <c r="J338" s="23"/>
      <c r="K338" s="24">
        <v>22018</v>
      </c>
      <c r="L338" s="23">
        <f t="shared" si="36"/>
        <v>320</v>
      </c>
      <c r="M338" s="24">
        <v>3574</v>
      </c>
      <c r="N338" s="25">
        <f t="shared" si="37"/>
        <v>70</v>
      </c>
      <c r="O338" s="24">
        <v>18444</v>
      </c>
      <c r="P338" s="23">
        <f t="shared" si="38"/>
        <v>250</v>
      </c>
      <c r="Q338" s="26"/>
      <c r="R338" s="23">
        <f t="shared" si="39"/>
        <v>0</v>
      </c>
      <c r="S338" s="27" t="s">
        <v>18</v>
      </c>
      <c r="T338" s="19" t="s">
        <v>351</v>
      </c>
    </row>
    <row r="339" spans="1:20" ht="37.5" customHeight="1" x14ac:dyDescent="0.25">
      <c r="A339" s="19" t="s">
        <v>352</v>
      </c>
      <c r="B339">
        <f t="shared" si="40"/>
        <v>8366</v>
      </c>
      <c r="C339">
        <v>1540</v>
      </c>
      <c r="D339">
        <v>6826</v>
      </c>
      <c r="F339">
        <f t="shared" si="35"/>
        <v>274</v>
      </c>
      <c r="G339" s="20">
        <f t="shared" si="41"/>
        <v>334</v>
      </c>
      <c r="H339" s="21">
        <v>88821080158</v>
      </c>
      <c r="I339" s="22">
        <v>405</v>
      </c>
      <c r="J339" s="23"/>
      <c r="K339" s="24">
        <v>8092</v>
      </c>
      <c r="L339" s="23">
        <f t="shared" si="36"/>
        <v>274</v>
      </c>
      <c r="M339" s="24">
        <v>1484</v>
      </c>
      <c r="N339" s="25">
        <f t="shared" si="37"/>
        <v>56</v>
      </c>
      <c r="O339" s="24">
        <v>6608</v>
      </c>
      <c r="P339" s="23">
        <f t="shared" si="38"/>
        <v>218</v>
      </c>
      <c r="Q339" s="26"/>
      <c r="R339" s="23">
        <f t="shared" si="39"/>
        <v>0</v>
      </c>
      <c r="S339" s="27" t="s">
        <v>18</v>
      </c>
      <c r="T339" s="19" t="s">
        <v>352</v>
      </c>
    </row>
    <row r="340" spans="1:20" ht="37.5" customHeight="1" x14ac:dyDescent="0.25">
      <c r="A340" s="19" t="s">
        <v>353</v>
      </c>
      <c r="B340">
        <f t="shared" si="40"/>
        <v>39434</v>
      </c>
      <c r="C340">
        <v>8010</v>
      </c>
      <c r="D340">
        <v>31424</v>
      </c>
      <c r="F340">
        <f t="shared" si="35"/>
        <v>1137</v>
      </c>
      <c r="G340" s="20">
        <f t="shared" si="41"/>
        <v>335</v>
      </c>
      <c r="H340" s="21">
        <v>88819010101</v>
      </c>
      <c r="I340" s="22">
        <v>408</v>
      </c>
      <c r="J340" s="23"/>
      <c r="K340" s="24">
        <v>38297</v>
      </c>
      <c r="L340" s="23">
        <f t="shared" si="36"/>
        <v>1137</v>
      </c>
      <c r="M340" s="24">
        <v>7813</v>
      </c>
      <c r="N340" s="25">
        <f t="shared" si="37"/>
        <v>197</v>
      </c>
      <c r="O340" s="24">
        <v>30484</v>
      </c>
      <c r="P340" s="23">
        <f t="shared" si="38"/>
        <v>940</v>
      </c>
      <c r="Q340" s="26"/>
      <c r="R340" s="23">
        <f t="shared" si="39"/>
        <v>0</v>
      </c>
      <c r="S340" s="27" t="s">
        <v>18</v>
      </c>
      <c r="T340" s="19" t="s">
        <v>353</v>
      </c>
    </row>
    <row r="341" spans="1:20" ht="37.5" customHeight="1" x14ac:dyDescent="0.25">
      <c r="A341" s="19" t="s">
        <v>354</v>
      </c>
      <c r="B341">
        <f t="shared" si="40"/>
        <v>120615</v>
      </c>
      <c r="C341">
        <v>21156</v>
      </c>
      <c r="D341">
        <v>99459</v>
      </c>
      <c r="F341">
        <f t="shared" si="35"/>
        <v>211</v>
      </c>
      <c r="G341" s="20">
        <f t="shared" si="41"/>
        <v>336</v>
      </c>
      <c r="H341" s="21">
        <v>23010020182</v>
      </c>
      <c r="I341" s="22">
        <v>411</v>
      </c>
      <c r="J341" s="23"/>
      <c r="K341" s="24">
        <v>120404</v>
      </c>
      <c r="L341" s="23">
        <f t="shared" si="36"/>
        <v>211</v>
      </c>
      <c r="M341" s="24">
        <v>21120</v>
      </c>
      <c r="N341" s="25">
        <f t="shared" si="37"/>
        <v>36</v>
      </c>
      <c r="O341" s="24">
        <v>99284</v>
      </c>
      <c r="P341" s="23">
        <f t="shared" si="38"/>
        <v>175</v>
      </c>
      <c r="Q341" s="26"/>
      <c r="R341" s="23">
        <f t="shared" si="39"/>
        <v>0</v>
      </c>
      <c r="S341" s="27" t="s">
        <v>18</v>
      </c>
      <c r="T341" s="19" t="s">
        <v>354</v>
      </c>
    </row>
    <row r="342" spans="1:20" ht="37.5" customHeight="1" x14ac:dyDescent="0.25">
      <c r="A342" s="19" t="s">
        <v>355</v>
      </c>
      <c r="B342">
        <f t="shared" si="40"/>
        <v>45903</v>
      </c>
      <c r="C342">
        <v>6904</v>
      </c>
      <c r="D342">
        <v>38999</v>
      </c>
      <c r="F342">
        <f t="shared" si="35"/>
        <v>191</v>
      </c>
      <c r="G342" s="20">
        <f t="shared" si="41"/>
        <v>337</v>
      </c>
      <c r="H342" s="21">
        <v>88818020462</v>
      </c>
      <c r="I342" s="22">
        <v>412</v>
      </c>
      <c r="J342" s="23"/>
      <c r="K342" s="24">
        <v>45712</v>
      </c>
      <c r="L342" s="23">
        <f t="shared" si="36"/>
        <v>191</v>
      </c>
      <c r="M342" s="24">
        <v>6871</v>
      </c>
      <c r="N342" s="25">
        <f t="shared" si="37"/>
        <v>33</v>
      </c>
      <c r="O342" s="24">
        <v>38841</v>
      </c>
      <c r="P342" s="23">
        <f t="shared" si="38"/>
        <v>158</v>
      </c>
      <c r="Q342" s="26"/>
      <c r="R342" s="23">
        <f t="shared" si="39"/>
        <v>0</v>
      </c>
      <c r="S342" s="27" t="s">
        <v>18</v>
      </c>
      <c r="T342" s="19" t="s">
        <v>355</v>
      </c>
    </row>
    <row r="343" spans="1:20" ht="37.5" customHeight="1" x14ac:dyDescent="0.25">
      <c r="A343" s="19" t="s">
        <v>356</v>
      </c>
      <c r="B343">
        <f t="shared" si="40"/>
        <v>6037</v>
      </c>
      <c r="C343">
        <v>1250</v>
      </c>
      <c r="D343">
        <v>4787</v>
      </c>
      <c r="F343">
        <f t="shared" si="35"/>
        <v>205</v>
      </c>
      <c r="G343" s="20">
        <f t="shared" si="41"/>
        <v>338</v>
      </c>
      <c r="H343" s="21">
        <v>66623010154</v>
      </c>
      <c r="I343" s="22">
        <v>415</v>
      </c>
      <c r="J343" s="23"/>
      <c r="K343" s="24">
        <v>5832</v>
      </c>
      <c r="L343" s="23">
        <f t="shared" si="36"/>
        <v>205</v>
      </c>
      <c r="M343" s="24">
        <v>1212</v>
      </c>
      <c r="N343" s="25">
        <f t="shared" si="37"/>
        <v>38</v>
      </c>
      <c r="O343" s="24">
        <v>4620</v>
      </c>
      <c r="P343" s="23">
        <f t="shared" si="38"/>
        <v>167</v>
      </c>
      <c r="Q343" s="26"/>
      <c r="R343" s="23">
        <f t="shared" si="39"/>
        <v>0</v>
      </c>
      <c r="S343" s="27" t="s">
        <v>18</v>
      </c>
      <c r="T343" s="19" t="s">
        <v>356</v>
      </c>
    </row>
    <row r="344" spans="1:20" ht="37.5" customHeight="1" x14ac:dyDescent="0.25">
      <c r="A344" s="19" t="s">
        <v>357</v>
      </c>
      <c r="B344">
        <f t="shared" si="40"/>
        <v>36019</v>
      </c>
      <c r="C344">
        <v>7295</v>
      </c>
      <c r="D344">
        <v>28724</v>
      </c>
      <c r="F344">
        <f t="shared" si="35"/>
        <v>0</v>
      </c>
      <c r="G344" s="20">
        <f t="shared" si="41"/>
        <v>339</v>
      </c>
      <c r="H344" s="21">
        <v>23008110002</v>
      </c>
      <c r="I344" s="22">
        <v>424</v>
      </c>
      <c r="J344" s="23"/>
      <c r="K344" s="24">
        <v>36019</v>
      </c>
      <c r="L344" s="23">
        <f t="shared" si="36"/>
        <v>0</v>
      </c>
      <c r="M344" s="24">
        <v>7295</v>
      </c>
      <c r="N344" s="25">
        <f t="shared" si="37"/>
        <v>0</v>
      </c>
      <c r="O344" s="24">
        <v>28724</v>
      </c>
      <c r="P344" s="23">
        <f t="shared" si="38"/>
        <v>0</v>
      </c>
      <c r="Q344" s="26"/>
      <c r="R344" s="23">
        <f t="shared" si="39"/>
        <v>0</v>
      </c>
      <c r="S344" s="27" t="s">
        <v>18</v>
      </c>
      <c r="T344" s="19" t="s">
        <v>357</v>
      </c>
    </row>
    <row r="345" spans="1:20" ht="37.5" customHeight="1" x14ac:dyDescent="0.25">
      <c r="A345" s="19" t="s">
        <v>358</v>
      </c>
      <c r="B345">
        <f t="shared" si="40"/>
        <v>49262</v>
      </c>
      <c r="C345">
        <v>8991</v>
      </c>
      <c r="D345">
        <v>40271</v>
      </c>
      <c r="F345">
        <f t="shared" si="35"/>
        <v>585</v>
      </c>
      <c r="G345" s="20">
        <f t="shared" si="41"/>
        <v>340</v>
      </c>
      <c r="H345" s="21">
        <v>66616020140</v>
      </c>
      <c r="I345" s="22">
        <v>425</v>
      </c>
      <c r="J345" s="23"/>
      <c r="K345" s="24">
        <v>48677</v>
      </c>
      <c r="L345" s="23">
        <f t="shared" si="36"/>
        <v>585</v>
      </c>
      <c r="M345" s="24">
        <v>8880</v>
      </c>
      <c r="N345" s="25">
        <f t="shared" si="37"/>
        <v>111</v>
      </c>
      <c r="O345" s="24">
        <v>39797</v>
      </c>
      <c r="P345" s="23">
        <f t="shared" si="38"/>
        <v>474</v>
      </c>
      <c r="Q345" s="26"/>
      <c r="R345" s="23">
        <f t="shared" si="39"/>
        <v>0</v>
      </c>
      <c r="S345" s="27" t="s">
        <v>18</v>
      </c>
      <c r="T345" s="19" t="s">
        <v>358</v>
      </c>
    </row>
    <row r="346" spans="1:20" ht="37.5" customHeight="1" x14ac:dyDescent="0.25">
      <c r="A346" s="19" t="s">
        <v>359</v>
      </c>
      <c r="B346">
        <f t="shared" si="40"/>
        <v>83358</v>
      </c>
      <c r="C346">
        <v>13286</v>
      </c>
      <c r="D346">
        <v>70072</v>
      </c>
      <c r="F346">
        <f t="shared" si="35"/>
        <v>830</v>
      </c>
      <c r="G346" s="20">
        <f t="shared" si="41"/>
        <v>341</v>
      </c>
      <c r="H346" s="21">
        <v>23014040271</v>
      </c>
      <c r="I346" s="22">
        <v>426</v>
      </c>
      <c r="J346" s="23"/>
      <c r="K346" s="24">
        <v>82528</v>
      </c>
      <c r="L346" s="23">
        <f t="shared" si="36"/>
        <v>830</v>
      </c>
      <c r="M346" s="24">
        <v>13185</v>
      </c>
      <c r="N346" s="25">
        <f t="shared" si="37"/>
        <v>101</v>
      </c>
      <c r="O346" s="24">
        <v>69343</v>
      </c>
      <c r="P346" s="23">
        <f t="shared" si="38"/>
        <v>729</v>
      </c>
      <c r="Q346" s="26"/>
      <c r="R346" s="23">
        <f t="shared" si="39"/>
        <v>0</v>
      </c>
      <c r="S346" s="27" t="s">
        <v>18</v>
      </c>
      <c r="T346" s="19" t="s">
        <v>359</v>
      </c>
    </row>
    <row r="347" spans="1:20" ht="37.5" customHeight="1" x14ac:dyDescent="0.25">
      <c r="A347" s="19" t="s">
        <v>360</v>
      </c>
      <c r="B347">
        <f t="shared" si="40"/>
        <v>21633</v>
      </c>
      <c r="C347">
        <v>4546</v>
      </c>
      <c r="D347">
        <v>17087</v>
      </c>
      <c r="F347">
        <f t="shared" si="35"/>
        <v>208</v>
      </c>
      <c r="G347" s="20">
        <f t="shared" si="41"/>
        <v>342</v>
      </c>
      <c r="H347" s="21">
        <v>23014040403</v>
      </c>
      <c r="I347" s="22">
        <v>427</v>
      </c>
      <c r="J347" s="23"/>
      <c r="K347" s="24">
        <v>21425</v>
      </c>
      <c r="L347" s="23">
        <f t="shared" si="36"/>
        <v>208</v>
      </c>
      <c r="M347" s="24">
        <v>4505</v>
      </c>
      <c r="N347" s="25">
        <f t="shared" si="37"/>
        <v>41</v>
      </c>
      <c r="O347" s="24">
        <v>16920</v>
      </c>
      <c r="P347" s="23">
        <f t="shared" si="38"/>
        <v>167</v>
      </c>
      <c r="Q347" s="26"/>
      <c r="R347" s="23">
        <f t="shared" si="39"/>
        <v>0</v>
      </c>
      <c r="S347" s="27" t="s">
        <v>18</v>
      </c>
      <c r="T347" s="19" t="s">
        <v>360</v>
      </c>
    </row>
    <row r="348" spans="1:20" ht="37.5" customHeight="1" x14ac:dyDescent="0.25">
      <c r="A348" s="19" t="s">
        <v>361</v>
      </c>
      <c r="B348">
        <f t="shared" si="40"/>
        <v>4152</v>
      </c>
      <c r="C348">
        <v>623</v>
      </c>
      <c r="D348">
        <v>3529</v>
      </c>
      <c r="F348">
        <f t="shared" si="35"/>
        <v>183</v>
      </c>
      <c r="G348" s="20">
        <f t="shared" si="41"/>
        <v>343</v>
      </c>
      <c r="H348" s="21">
        <v>66621090200</v>
      </c>
      <c r="I348" s="22">
        <v>428</v>
      </c>
      <c r="J348" s="23"/>
      <c r="K348" s="24">
        <v>3969</v>
      </c>
      <c r="L348" s="23">
        <f t="shared" si="36"/>
        <v>183</v>
      </c>
      <c r="M348" s="24">
        <v>594</v>
      </c>
      <c r="N348" s="25">
        <f t="shared" si="37"/>
        <v>29</v>
      </c>
      <c r="O348" s="24">
        <v>3375</v>
      </c>
      <c r="P348" s="23">
        <f t="shared" si="38"/>
        <v>154</v>
      </c>
      <c r="Q348" s="26"/>
      <c r="R348" s="23">
        <f t="shared" si="39"/>
        <v>0</v>
      </c>
      <c r="S348" s="27" t="s">
        <v>18</v>
      </c>
      <c r="T348" s="19" t="s">
        <v>361</v>
      </c>
    </row>
    <row r="349" spans="1:20" ht="37.5" customHeight="1" x14ac:dyDescent="0.25">
      <c r="A349" s="19" t="s">
        <v>362</v>
      </c>
      <c r="B349">
        <f t="shared" si="40"/>
        <v>47048</v>
      </c>
      <c r="C349">
        <v>8741</v>
      </c>
      <c r="D349">
        <v>38307</v>
      </c>
      <c r="F349">
        <f t="shared" si="35"/>
        <v>484</v>
      </c>
      <c r="G349" s="20">
        <f t="shared" si="41"/>
        <v>344</v>
      </c>
      <c r="H349" s="21">
        <v>23015100532</v>
      </c>
      <c r="I349" s="22">
        <v>429</v>
      </c>
      <c r="J349" s="23"/>
      <c r="K349" s="24">
        <v>46564</v>
      </c>
      <c r="L349" s="23">
        <f t="shared" si="36"/>
        <v>484</v>
      </c>
      <c r="M349" s="24">
        <v>8665</v>
      </c>
      <c r="N349" s="25">
        <f t="shared" si="37"/>
        <v>76</v>
      </c>
      <c r="O349" s="24">
        <v>37899</v>
      </c>
      <c r="P349" s="23">
        <f t="shared" si="38"/>
        <v>408</v>
      </c>
      <c r="Q349" s="26"/>
      <c r="R349" s="23">
        <f t="shared" si="39"/>
        <v>0</v>
      </c>
      <c r="S349" s="27" t="s">
        <v>18</v>
      </c>
      <c r="T349" s="19" t="s">
        <v>362</v>
      </c>
    </row>
    <row r="350" spans="1:20" ht="37.5" customHeight="1" x14ac:dyDescent="0.25">
      <c r="A350" s="19" t="s">
        <v>363</v>
      </c>
      <c r="B350">
        <f t="shared" si="40"/>
        <v>19594</v>
      </c>
      <c r="C350">
        <v>3567</v>
      </c>
      <c r="D350">
        <v>16027</v>
      </c>
      <c r="F350">
        <f t="shared" si="35"/>
        <v>365</v>
      </c>
      <c r="G350" s="20">
        <f t="shared" si="41"/>
        <v>345</v>
      </c>
      <c r="H350" s="21">
        <v>66621070373</v>
      </c>
      <c r="I350" s="22">
        <v>430</v>
      </c>
      <c r="J350" s="23"/>
      <c r="K350" s="24">
        <v>19229</v>
      </c>
      <c r="L350" s="23">
        <f t="shared" si="36"/>
        <v>365</v>
      </c>
      <c r="M350" s="24">
        <v>3497</v>
      </c>
      <c r="N350" s="25">
        <f t="shared" si="37"/>
        <v>70</v>
      </c>
      <c r="O350" s="24">
        <v>15732</v>
      </c>
      <c r="P350" s="23">
        <f t="shared" si="38"/>
        <v>295</v>
      </c>
      <c r="Q350" s="26"/>
      <c r="R350" s="23">
        <f t="shared" si="39"/>
        <v>0</v>
      </c>
      <c r="S350" s="27" t="s">
        <v>18</v>
      </c>
      <c r="T350" s="19" t="s">
        <v>363</v>
      </c>
    </row>
    <row r="351" spans="1:20" ht="37.5" customHeight="1" x14ac:dyDescent="0.25">
      <c r="A351" s="19" t="s">
        <v>364</v>
      </c>
      <c r="B351">
        <f t="shared" si="40"/>
        <v>74441</v>
      </c>
      <c r="C351">
        <v>13301</v>
      </c>
      <c r="D351">
        <v>61140</v>
      </c>
      <c r="F351">
        <f t="shared" si="35"/>
        <v>192</v>
      </c>
      <c r="G351" s="20">
        <f t="shared" si="41"/>
        <v>346</v>
      </c>
      <c r="H351" s="21">
        <v>23012110096</v>
      </c>
      <c r="I351" s="22">
        <v>431</v>
      </c>
      <c r="J351" s="23"/>
      <c r="K351" s="24">
        <v>74249</v>
      </c>
      <c r="L351" s="23">
        <f t="shared" si="36"/>
        <v>192</v>
      </c>
      <c r="M351" s="24">
        <v>13230</v>
      </c>
      <c r="N351" s="25">
        <f t="shared" si="37"/>
        <v>71</v>
      </c>
      <c r="O351" s="24">
        <v>61019</v>
      </c>
      <c r="P351" s="23">
        <f t="shared" si="38"/>
        <v>121</v>
      </c>
      <c r="Q351" s="26"/>
      <c r="R351" s="23">
        <f t="shared" si="39"/>
        <v>0</v>
      </c>
      <c r="S351" s="27" t="s">
        <v>18</v>
      </c>
      <c r="T351" s="19" t="s">
        <v>364</v>
      </c>
    </row>
    <row r="352" spans="1:20" ht="37.5" customHeight="1" x14ac:dyDescent="0.25">
      <c r="A352" s="19" t="s">
        <v>365</v>
      </c>
      <c r="B352">
        <f t="shared" si="40"/>
        <v>58242</v>
      </c>
      <c r="C352">
        <v>11671</v>
      </c>
      <c r="D352">
        <v>46571</v>
      </c>
      <c r="F352">
        <f t="shared" si="35"/>
        <v>627</v>
      </c>
      <c r="G352" s="20">
        <f t="shared" si="41"/>
        <v>347</v>
      </c>
      <c r="H352" s="21">
        <v>66619040276</v>
      </c>
      <c r="I352" s="22">
        <v>433</v>
      </c>
      <c r="J352" s="23"/>
      <c r="K352" s="24">
        <v>57615</v>
      </c>
      <c r="L352" s="23">
        <f t="shared" si="36"/>
        <v>627</v>
      </c>
      <c r="M352" s="24">
        <v>11517</v>
      </c>
      <c r="N352" s="25">
        <f t="shared" si="37"/>
        <v>154</v>
      </c>
      <c r="O352" s="24">
        <v>46098</v>
      </c>
      <c r="P352" s="23">
        <f t="shared" si="38"/>
        <v>473</v>
      </c>
      <c r="Q352" s="26"/>
      <c r="R352" s="23">
        <f t="shared" si="39"/>
        <v>0</v>
      </c>
      <c r="S352" s="27" t="s">
        <v>18</v>
      </c>
      <c r="T352" s="19" t="s">
        <v>365</v>
      </c>
    </row>
    <row r="353" spans="1:20" ht="37.5" customHeight="1" x14ac:dyDescent="0.25">
      <c r="A353" s="19" t="s">
        <v>366</v>
      </c>
      <c r="B353">
        <f t="shared" si="40"/>
        <v>5644</v>
      </c>
      <c r="C353">
        <v>1610</v>
      </c>
      <c r="D353">
        <v>4034</v>
      </c>
      <c r="E353">
        <v>15499</v>
      </c>
      <c r="F353">
        <f t="shared" si="35"/>
        <v>165</v>
      </c>
      <c r="G353" s="20">
        <f t="shared" si="41"/>
        <v>348</v>
      </c>
      <c r="H353" s="21">
        <v>99723050020</v>
      </c>
      <c r="I353" s="22">
        <v>437</v>
      </c>
      <c r="J353" s="23"/>
      <c r="K353" s="24">
        <f>M353+O353</f>
        <v>5479</v>
      </c>
      <c r="L353" s="23">
        <f t="shared" si="36"/>
        <v>165</v>
      </c>
      <c r="M353" s="24">
        <v>1551</v>
      </c>
      <c r="N353" s="25">
        <f t="shared" si="37"/>
        <v>59</v>
      </c>
      <c r="O353" s="24">
        <v>3928</v>
      </c>
      <c r="P353" s="23">
        <f t="shared" si="38"/>
        <v>106</v>
      </c>
      <c r="Q353" s="26">
        <v>14446</v>
      </c>
      <c r="R353" s="23">
        <f t="shared" si="39"/>
        <v>1053</v>
      </c>
      <c r="S353" s="27" t="s">
        <v>18</v>
      </c>
      <c r="T353" s="19" t="s">
        <v>366</v>
      </c>
    </row>
    <row r="354" spans="1:20" ht="37.5" customHeight="1" x14ac:dyDescent="0.25">
      <c r="A354" s="19" t="s">
        <v>367</v>
      </c>
      <c r="B354">
        <f t="shared" si="40"/>
        <v>56961</v>
      </c>
      <c r="C354">
        <v>8395</v>
      </c>
      <c r="D354">
        <v>48566</v>
      </c>
      <c r="F354">
        <f t="shared" si="35"/>
        <v>322</v>
      </c>
      <c r="G354" s="20">
        <f t="shared" si="41"/>
        <v>349</v>
      </c>
      <c r="H354" s="21">
        <v>23014060271</v>
      </c>
      <c r="I354" s="22">
        <v>438</v>
      </c>
      <c r="J354" s="23"/>
      <c r="K354" s="24">
        <v>56639</v>
      </c>
      <c r="L354" s="23">
        <f t="shared" si="36"/>
        <v>322</v>
      </c>
      <c r="M354" s="24">
        <v>8341</v>
      </c>
      <c r="N354" s="25">
        <f t="shared" si="37"/>
        <v>54</v>
      </c>
      <c r="O354" s="24">
        <v>48298</v>
      </c>
      <c r="P354" s="23">
        <f t="shared" si="38"/>
        <v>268</v>
      </c>
      <c r="Q354" s="26"/>
      <c r="R354" s="23">
        <f t="shared" si="39"/>
        <v>0</v>
      </c>
      <c r="S354" s="27" t="s">
        <v>18</v>
      </c>
      <c r="T354" s="19" t="s">
        <v>367</v>
      </c>
    </row>
    <row r="355" spans="1:20" ht="37.5" customHeight="1" x14ac:dyDescent="0.25">
      <c r="A355" s="19" t="s">
        <v>368</v>
      </c>
      <c r="B355">
        <f t="shared" si="40"/>
        <v>3867</v>
      </c>
      <c r="C355">
        <v>1090</v>
      </c>
      <c r="D355">
        <v>2777</v>
      </c>
      <c r="E355">
        <v>5354</v>
      </c>
      <c r="F355">
        <f t="shared" si="35"/>
        <v>307</v>
      </c>
      <c r="G355" s="20">
        <f t="shared" si="41"/>
        <v>350</v>
      </c>
      <c r="H355" s="21">
        <v>99624010174</v>
      </c>
      <c r="I355" s="22">
        <v>439</v>
      </c>
      <c r="J355" s="23"/>
      <c r="K355" s="24">
        <f>M355+O355</f>
        <v>3560</v>
      </c>
      <c r="L355" s="23">
        <f t="shared" si="36"/>
        <v>307</v>
      </c>
      <c r="M355" s="24">
        <v>1003</v>
      </c>
      <c r="N355" s="25">
        <f t="shared" si="37"/>
        <v>87</v>
      </c>
      <c r="O355" s="24">
        <v>2557</v>
      </c>
      <c r="P355" s="23">
        <f t="shared" si="38"/>
        <v>220</v>
      </c>
      <c r="Q355" s="26">
        <v>4680</v>
      </c>
      <c r="R355" s="23">
        <f t="shared" si="39"/>
        <v>674</v>
      </c>
      <c r="S355" s="27" t="s">
        <v>18</v>
      </c>
      <c r="T355" s="19" t="s">
        <v>368</v>
      </c>
    </row>
    <row r="356" spans="1:20" ht="37.5" customHeight="1" x14ac:dyDescent="0.25">
      <c r="A356" s="19" t="s">
        <v>369</v>
      </c>
      <c r="B356">
        <f t="shared" si="40"/>
        <v>1466</v>
      </c>
      <c r="C356">
        <v>238</v>
      </c>
      <c r="D356">
        <v>1228</v>
      </c>
      <c r="F356">
        <f t="shared" si="35"/>
        <v>717</v>
      </c>
      <c r="G356" s="20">
        <f t="shared" si="41"/>
        <v>351</v>
      </c>
      <c r="H356" s="21">
        <v>66623030387</v>
      </c>
      <c r="I356" s="22">
        <v>440</v>
      </c>
      <c r="J356" s="23"/>
      <c r="K356" s="24">
        <v>749</v>
      </c>
      <c r="L356" s="23">
        <f t="shared" si="36"/>
        <v>717</v>
      </c>
      <c r="M356" s="24">
        <v>112</v>
      </c>
      <c r="N356" s="25">
        <f t="shared" si="37"/>
        <v>126</v>
      </c>
      <c r="O356" s="24">
        <v>637</v>
      </c>
      <c r="P356" s="23">
        <f t="shared" si="38"/>
        <v>591</v>
      </c>
      <c r="Q356" s="26"/>
      <c r="R356" s="23">
        <f t="shared" si="39"/>
        <v>0</v>
      </c>
      <c r="S356" s="27" t="s">
        <v>18</v>
      </c>
      <c r="T356" s="19" t="s">
        <v>369</v>
      </c>
    </row>
    <row r="357" spans="1:20" ht="37.5" customHeight="1" x14ac:dyDescent="0.25">
      <c r="A357" s="19" t="s">
        <v>370</v>
      </c>
      <c r="B357">
        <f t="shared" si="40"/>
        <v>5774</v>
      </c>
      <c r="C357">
        <v>1137</v>
      </c>
      <c r="D357">
        <v>4637</v>
      </c>
      <c r="F357">
        <f t="shared" si="35"/>
        <v>253</v>
      </c>
      <c r="G357" s="20">
        <f t="shared" si="41"/>
        <v>352</v>
      </c>
      <c r="H357" s="21">
        <v>66621100441</v>
      </c>
      <c r="I357" s="22">
        <v>441</v>
      </c>
      <c r="J357" s="23"/>
      <c r="K357" s="24">
        <v>5521</v>
      </c>
      <c r="L357" s="23">
        <f t="shared" si="36"/>
        <v>253</v>
      </c>
      <c r="M357" s="24">
        <v>1094</v>
      </c>
      <c r="N357" s="25">
        <f t="shared" si="37"/>
        <v>43</v>
      </c>
      <c r="O357" s="24">
        <v>4427</v>
      </c>
      <c r="P357" s="23">
        <f t="shared" si="38"/>
        <v>210</v>
      </c>
      <c r="Q357" s="26"/>
      <c r="R357" s="23">
        <f t="shared" si="39"/>
        <v>0</v>
      </c>
      <c r="S357" s="27" t="s">
        <v>18</v>
      </c>
      <c r="T357" s="19" t="s">
        <v>370</v>
      </c>
    </row>
    <row r="358" spans="1:20" ht="37.5" customHeight="1" x14ac:dyDescent="0.25">
      <c r="A358" s="19" t="s">
        <v>371</v>
      </c>
      <c r="B358">
        <f t="shared" si="40"/>
        <v>23771</v>
      </c>
      <c r="C358">
        <v>3915</v>
      </c>
      <c r="D358">
        <v>19856</v>
      </c>
      <c r="F358">
        <f t="shared" si="35"/>
        <v>390</v>
      </c>
      <c r="G358" s="20">
        <f t="shared" si="41"/>
        <v>353</v>
      </c>
      <c r="H358" s="21">
        <v>23012110104</v>
      </c>
      <c r="I358" s="22">
        <v>442</v>
      </c>
      <c r="J358" s="23"/>
      <c r="K358" s="24">
        <v>23381</v>
      </c>
      <c r="L358" s="23">
        <f t="shared" si="36"/>
        <v>390</v>
      </c>
      <c r="M358" s="24">
        <v>3856</v>
      </c>
      <c r="N358" s="25">
        <f t="shared" si="37"/>
        <v>59</v>
      </c>
      <c r="O358" s="24">
        <v>19525</v>
      </c>
      <c r="P358" s="23">
        <f t="shared" si="38"/>
        <v>331</v>
      </c>
      <c r="Q358" s="26"/>
      <c r="R358" s="23">
        <f t="shared" si="39"/>
        <v>0</v>
      </c>
      <c r="S358" s="27" t="s">
        <v>18</v>
      </c>
      <c r="T358" s="19" t="s">
        <v>371</v>
      </c>
    </row>
    <row r="359" spans="1:20" ht="37.5" customHeight="1" x14ac:dyDescent="0.25">
      <c r="A359" s="19" t="s">
        <v>372</v>
      </c>
      <c r="B359">
        <f t="shared" si="40"/>
        <v>4294</v>
      </c>
      <c r="C359">
        <v>803</v>
      </c>
      <c r="D359">
        <v>3491</v>
      </c>
      <c r="E359">
        <v>7135</v>
      </c>
      <c r="F359">
        <f t="shared" si="35"/>
        <v>294</v>
      </c>
      <c r="G359" s="20">
        <f t="shared" si="41"/>
        <v>354</v>
      </c>
      <c r="H359" s="21">
        <v>99624020240</v>
      </c>
      <c r="I359" s="22">
        <v>443</v>
      </c>
      <c r="J359" s="23"/>
      <c r="K359" s="24">
        <f>M359+O359</f>
        <v>4000</v>
      </c>
      <c r="L359" s="23">
        <f t="shared" si="36"/>
        <v>294</v>
      </c>
      <c r="M359" s="24">
        <v>722</v>
      </c>
      <c r="N359" s="25">
        <f t="shared" si="37"/>
        <v>81</v>
      </c>
      <c r="O359" s="24">
        <v>3278</v>
      </c>
      <c r="P359" s="23">
        <f t="shared" si="38"/>
        <v>213</v>
      </c>
      <c r="Q359" s="26">
        <v>6201</v>
      </c>
      <c r="R359" s="23">
        <f t="shared" si="39"/>
        <v>934</v>
      </c>
      <c r="S359" s="27" t="s">
        <v>18</v>
      </c>
      <c r="T359" s="19" t="s">
        <v>372</v>
      </c>
    </row>
    <row r="360" spans="1:20" ht="37.5" customHeight="1" x14ac:dyDescent="0.25">
      <c r="A360" s="19" t="s">
        <v>373</v>
      </c>
      <c r="B360">
        <f t="shared" si="40"/>
        <v>8297</v>
      </c>
      <c r="C360">
        <v>1817</v>
      </c>
      <c r="D360">
        <v>6480</v>
      </c>
      <c r="F360">
        <f t="shared" si="35"/>
        <v>336</v>
      </c>
      <c r="G360" s="20">
        <f t="shared" si="41"/>
        <v>355</v>
      </c>
      <c r="H360" s="21">
        <v>66622050010</v>
      </c>
      <c r="I360" s="22">
        <v>444</v>
      </c>
      <c r="J360" s="23"/>
      <c r="K360" s="24">
        <v>7961</v>
      </c>
      <c r="L360" s="23">
        <f t="shared" si="36"/>
        <v>336</v>
      </c>
      <c r="M360" s="24">
        <v>1727</v>
      </c>
      <c r="N360" s="25">
        <f t="shared" si="37"/>
        <v>90</v>
      </c>
      <c r="O360" s="24">
        <v>6234</v>
      </c>
      <c r="P360" s="23">
        <f t="shared" si="38"/>
        <v>246</v>
      </c>
      <c r="Q360" s="26"/>
      <c r="R360" s="23">
        <f t="shared" si="39"/>
        <v>0</v>
      </c>
      <c r="S360" s="27" t="s">
        <v>18</v>
      </c>
      <c r="T360" s="19" t="s">
        <v>373</v>
      </c>
    </row>
    <row r="361" spans="1:20" ht="37.5" customHeight="1" x14ac:dyDescent="0.25">
      <c r="A361" s="19" t="s">
        <v>374</v>
      </c>
      <c r="B361">
        <f t="shared" si="40"/>
        <v>96217</v>
      </c>
      <c r="C361">
        <v>17998</v>
      </c>
      <c r="D361">
        <v>78219</v>
      </c>
      <c r="F361">
        <f t="shared" si="35"/>
        <v>362</v>
      </c>
      <c r="G361" s="20">
        <f t="shared" si="41"/>
        <v>356</v>
      </c>
      <c r="H361" s="21">
        <v>23012070012</v>
      </c>
      <c r="I361" s="22">
        <v>445</v>
      </c>
      <c r="J361" s="23"/>
      <c r="K361" s="24">
        <v>95855</v>
      </c>
      <c r="L361" s="23">
        <f t="shared" si="36"/>
        <v>362</v>
      </c>
      <c r="M361" s="24">
        <v>17940</v>
      </c>
      <c r="N361" s="25">
        <f t="shared" si="37"/>
        <v>58</v>
      </c>
      <c r="O361" s="24">
        <v>77915</v>
      </c>
      <c r="P361" s="23">
        <f t="shared" si="38"/>
        <v>304</v>
      </c>
      <c r="Q361" s="26"/>
      <c r="R361" s="23">
        <f t="shared" si="39"/>
        <v>0</v>
      </c>
      <c r="S361" s="27" t="s">
        <v>18</v>
      </c>
      <c r="T361" s="19" t="s">
        <v>374</v>
      </c>
    </row>
    <row r="362" spans="1:20" ht="37.5" customHeight="1" x14ac:dyDescent="0.25">
      <c r="A362" s="19" t="s">
        <v>375</v>
      </c>
      <c r="B362">
        <f t="shared" si="40"/>
        <v>43554</v>
      </c>
      <c r="C362">
        <v>7905</v>
      </c>
      <c r="D362">
        <v>35649</v>
      </c>
      <c r="F362">
        <f t="shared" si="35"/>
        <v>306</v>
      </c>
      <c r="G362" s="20">
        <f t="shared" si="41"/>
        <v>357</v>
      </c>
      <c r="H362" s="21">
        <v>66617010314</v>
      </c>
      <c r="I362" s="22">
        <v>446</v>
      </c>
      <c r="J362" s="23"/>
      <c r="K362" s="24">
        <v>43248</v>
      </c>
      <c r="L362" s="23">
        <f t="shared" si="36"/>
        <v>306</v>
      </c>
      <c r="M362" s="24">
        <v>7843</v>
      </c>
      <c r="N362" s="25">
        <f t="shared" si="37"/>
        <v>62</v>
      </c>
      <c r="O362" s="24">
        <v>35405</v>
      </c>
      <c r="P362" s="23">
        <f t="shared" si="38"/>
        <v>244</v>
      </c>
      <c r="Q362" s="26"/>
      <c r="R362" s="23">
        <f t="shared" si="39"/>
        <v>0</v>
      </c>
      <c r="S362" s="27" t="s">
        <v>18</v>
      </c>
      <c r="T362" s="19" t="s">
        <v>375</v>
      </c>
    </row>
    <row r="363" spans="1:20" ht="37.5" customHeight="1" x14ac:dyDescent="0.25">
      <c r="A363" s="19" t="s">
        <v>376</v>
      </c>
      <c r="B363">
        <f t="shared" si="40"/>
        <v>89519</v>
      </c>
      <c r="C363">
        <v>15605</v>
      </c>
      <c r="D363">
        <v>73914</v>
      </c>
      <c r="F363">
        <f t="shared" si="35"/>
        <v>437</v>
      </c>
      <c r="G363" s="20">
        <f t="shared" si="41"/>
        <v>358</v>
      </c>
      <c r="H363" s="21">
        <v>23014010272</v>
      </c>
      <c r="I363" s="22">
        <v>447</v>
      </c>
      <c r="J363" s="23"/>
      <c r="K363" s="24">
        <v>89082</v>
      </c>
      <c r="L363" s="23">
        <f t="shared" si="36"/>
        <v>437</v>
      </c>
      <c r="M363" s="24">
        <v>15523</v>
      </c>
      <c r="N363" s="25">
        <f t="shared" si="37"/>
        <v>82</v>
      </c>
      <c r="O363" s="24">
        <v>73559</v>
      </c>
      <c r="P363" s="23">
        <f t="shared" si="38"/>
        <v>355</v>
      </c>
      <c r="Q363" s="26"/>
      <c r="R363" s="23">
        <f t="shared" si="39"/>
        <v>0</v>
      </c>
      <c r="S363" s="27" t="s">
        <v>18</v>
      </c>
      <c r="T363" s="19" t="s">
        <v>376</v>
      </c>
    </row>
    <row r="364" spans="1:20" ht="37.5" customHeight="1" x14ac:dyDescent="0.25">
      <c r="A364" s="19" t="s">
        <v>377</v>
      </c>
      <c r="B364">
        <f t="shared" si="40"/>
        <v>27498</v>
      </c>
      <c r="C364">
        <v>4007</v>
      </c>
      <c r="D364">
        <v>23491</v>
      </c>
      <c r="F364">
        <f t="shared" si="35"/>
        <v>521</v>
      </c>
      <c r="G364" s="20">
        <f t="shared" si="41"/>
        <v>359</v>
      </c>
      <c r="H364" s="21">
        <v>88820060200</v>
      </c>
      <c r="I364" s="22">
        <v>448</v>
      </c>
      <c r="J364" s="23"/>
      <c r="K364" s="24">
        <v>26977</v>
      </c>
      <c r="L364" s="23">
        <f t="shared" si="36"/>
        <v>521</v>
      </c>
      <c r="M364" s="24">
        <v>3919</v>
      </c>
      <c r="N364" s="25">
        <f t="shared" si="37"/>
        <v>88</v>
      </c>
      <c r="O364" s="24">
        <v>23058</v>
      </c>
      <c r="P364" s="23">
        <f t="shared" si="38"/>
        <v>433</v>
      </c>
      <c r="Q364" s="26"/>
      <c r="R364" s="23">
        <f t="shared" si="39"/>
        <v>0</v>
      </c>
      <c r="S364" s="27" t="s">
        <v>18</v>
      </c>
      <c r="T364" s="19" t="s">
        <v>377</v>
      </c>
    </row>
    <row r="365" spans="1:20" ht="37.5" customHeight="1" x14ac:dyDescent="0.25">
      <c r="A365" s="19" t="s">
        <v>378</v>
      </c>
      <c r="B365">
        <f t="shared" si="40"/>
        <v>60857</v>
      </c>
      <c r="C365">
        <v>10165</v>
      </c>
      <c r="D365">
        <v>50692</v>
      </c>
      <c r="F365">
        <f t="shared" si="35"/>
        <v>321</v>
      </c>
      <c r="G365" s="20">
        <f t="shared" si="41"/>
        <v>360</v>
      </c>
      <c r="H365" s="21">
        <v>23014060132</v>
      </c>
      <c r="I365" s="22">
        <v>449</v>
      </c>
      <c r="J365" s="23"/>
      <c r="K365" s="24">
        <v>60536</v>
      </c>
      <c r="L365" s="23">
        <f t="shared" si="36"/>
        <v>321</v>
      </c>
      <c r="M365" s="24">
        <v>10107</v>
      </c>
      <c r="N365" s="25">
        <f t="shared" si="37"/>
        <v>58</v>
      </c>
      <c r="O365" s="24">
        <v>50429</v>
      </c>
      <c r="P365" s="23">
        <f t="shared" si="38"/>
        <v>263</v>
      </c>
      <c r="Q365" s="26"/>
      <c r="R365" s="23">
        <f t="shared" si="39"/>
        <v>0</v>
      </c>
      <c r="S365" s="27" t="s">
        <v>18</v>
      </c>
      <c r="T365" s="19" t="s">
        <v>378</v>
      </c>
    </row>
    <row r="366" spans="1:20" ht="37.5" customHeight="1" x14ac:dyDescent="0.25">
      <c r="A366" s="19" t="s">
        <v>379</v>
      </c>
      <c r="B366">
        <f t="shared" si="40"/>
        <v>6351</v>
      </c>
      <c r="C366">
        <v>1331</v>
      </c>
      <c r="D366">
        <v>5020</v>
      </c>
      <c r="E366">
        <v>6502</v>
      </c>
      <c r="F366">
        <f t="shared" si="35"/>
        <v>273</v>
      </c>
      <c r="G366" s="20">
        <f t="shared" si="41"/>
        <v>361</v>
      </c>
      <c r="H366" s="21">
        <v>99624010205</v>
      </c>
      <c r="I366" s="22">
        <v>450</v>
      </c>
      <c r="J366" s="23"/>
      <c r="K366" s="24">
        <f>M366+O366</f>
        <v>6078</v>
      </c>
      <c r="L366" s="23">
        <f t="shared" si="36"/>
        <v>273</v>
      </c>
      <c r="M366" s="24">
        <v>1237</v>
      </c>
      <c r="N366" s="25">
        <f t="shared" si="37"/>
        <v>94</v>
      </c>
      <c r="O366" s="24">
        <v>4841</v>
      </c>
      <c r="P366" s="23">
        <f t="shared" si="38"/>
        <v>179</v>
      </c>
      <c r="Q366" s="26">
        <v>5534</v>
      </c>
      <c r="R366" s="23">
        <f t="shared" si="39"/>
        <v>968</v>
      </c>
      <c r="S366" s="27" t="s">
        <v>18</v>
      </c>
      <c r="T366" s="19" t="s">
        <v>379</v>
      </c>
    </row>
    <row r="367" spans="1:20" ht="37.5" customHeight="1" x14ac:dyDescent="0.25">
      <c r="A367" s="19" t="s">
        <v>380</v>
      </c>
      <c r="B367">
        <f t="shared" si="40"/>
        <v>15790</v>
      </c>
      <c r="C367">
        <v>3145</v>
      </c>
      <c r="D367">
        <v>12645</v>
      </c>
      <c r="E367">
        <v>11383</v>
      </c>
      <c r="F367">
        <f t="shared" si="35"/>
        <v>508</v>
      </c>
      <c r="G367" s="20">
        <f t="shared" si="41"/>
        <v>362</v>
      </c>
      <c r="H367" s="21">
        <v>99723040042</v>
      </c>
      <c r="I367" s="22">
        <v>451</v>
      </c>
      <c r="J367" s="23"/>
      <c r="K367" s="24">
        <f>M367+O367</f>
        <v>15282</v>
      </c>
      <c r="L367" s="23">
        <f t="shared" si="36"/>
        <v>508</v>
      </c>
      <c r="M367" s="24">
        <v>3053</v>
      </c>
      <c r="N367" s="25">
        <f t="shared" si="37"/>
        <v>92</v>
      </c>
      <c r="O367" s="24">
        <v>12229</v>
      </c>
      <c r="P367" s="23">
        <f t="shared" si="38"/>
        <v>416</v>
      </c>
      <c r="Q367" s="26">
        <v>10609</v>
      </c>
      <c r="R367" s="23">
        <f t="shared" si="39"/>
        <v>774</v>
      </c>
      <c r="S367" s="27" t="s">
        <v>18</v>
      </c>
      <c r="T367" s="19" t="s">
        <v>380</v>
      </c>
    </row>
    <row r="368" spans="1:20" ht="37.5" customHeight="1" x14ac:dyDescent="0.25">
      <c r="A368" s="19" t="s">
        <v>381</v>
      </c>
      <c r="B368">
        <f t="shared" si="40"/>
        <v>303</v>
      </c>
      <c r="C368">
        <v>78</v>
      </c>
      <c r="D368">
        <v>225</v>
      </c>
      <c r="E368">
        <v>1305</v>
      </c>
      <c r="F368">
        <f t="shared" si="35"/>
        <v>244</v>
      </c>
      <c r="G368" s="20">
        <f t="shared" si="41"/>
        <v>363</v>
      </c>
      <c r="H368" s="21">
        <v>99625010149</v>
      </c>
      <c r="I368" s="22">
        <v>452</v>
      </c>
      <c r="J368" s="23"/>
      <c r="K368" s="24">
        <f>M368+O368</f>
        <v>59</v>
      </c>
      <c r="L368" s="23">
        <f t="shared" si="36"/>
        <v>244</v>
      </c>
      <c r="M368" s="24">
        <v>17</v>
      </c>
      <c r="N368" s="25">
        <f t="shared" si="37"/>
        <v>61</v>
      </c>
      <c r="O368" s="24">
        <v>42</v>
      </c>
      <c r="P368" s="23">
        <f t="shared" si="38"/>
        <v>183</v>
      </c>
      <c r="Q368" s="26">
        <v>313</v>
      </c>
      <c r="R368" s="23">
        <f t="shared" si="39"/>
        <v>992</v>
      </c>
      <c r="S368" s="27" t="s">
        <v>18</v>
      </c>
      <c r="T368" s="19" t="s">
        <v>381</v>
      </c>
    </row>
    <row r="369" spans="1:20" ht="37.5" customHeight="1" x14ac:dyDescent="0.25">
      <c r="A369" s="19" t="s">
        <v>382</v>
      </c>
      <c r="B369">
        <f t="shared" si="40"/>
        <v>42273</v>
      </c>
      <c r="C369">
        <v>7783</v>
      </c>
      <c r="D369">
        <v>34490</v>
      </c>
      <c r="F369">
        <f t="shared" si="35"/>
        <v>267</v>
      </c>
      <c r="G369" s="20">
        <f t="shared" si="41"/>
        <v>364</v>
      </c>
      <c r="H369" s="21">
        <v>88819030045</v>
      </c>
      <c r="I369" s="22">
        <v>453</v>
      </c>
      <c r="J369" s="23"/>
      <c r="K369" s="24">
        <v>42006</v>
      </c>
      <c r="L369" s="23">
        <f t="shared" si="36"/>
        <v>267</v>
      </c>
      <c r="M369" s="24">
        <v>7746</v>
      </c>
      <c r="N369" s="25">
        <f t="shared" si="37"/>
        <v>37</v>
      </c>
      <c r="O369" s="24">
        <v>34260</v>
      </c>
      <c r="P369" s="23">
        <f t="shared" si="38"/>
        <v>230</v>
      </c>
      <c r="Q369" s="26"/>
      <c r="R369" s="23">
        <f t="shared" si="39"/>
        <v>0</v>
      </c>
      <c r="S369" s="27" t="s">
        <v>18</v>
      </c>
      <c r="T369" s="19" t="s">
        <v>382</v>
      </c>
    </row>
    <row r="370" spans="1:20" ht="37.5" customHeight="1" x14ac:dyDescent="0.25">
      <c r="A370" s="19" t="s">
        <v>383</v>
      </c>
      <c r="B370">
        <f t="shared" si="40"/>
        <v>71354</v>
      </c>
      <c r="C370">
        <v>9957</v>
      </c>
      <c r="D370">
        <v>61397</v>
      </c>
      <c r="F370">
        <f t="shared" si="35"/>
        <v>852</v>
      </c>
      <c r="G370" s="20">
        <f t="shared" si="41"/>
        <v>365</v>
      </c>
      <c r="H370" s="21">
        <v>23015100267</v>
      </c>
      <c r="I370" s="22">
        <v>454</v>
      </c>
      <c r="J370" s="23"/>
      <c r="K370" s="24">
        <v>70502</v>
      </c>
      <c r="L370" s="23">
        <f t="shared" si="36"/>
        <v>852</v>
      </c>
      <c r="M370" s="24">
        <v>9804</v>
      </c>
      <c r="N370" s="25">
        <f t="shared" si="37"/>
        <v>153</v>
      </c>
      <c r="O370" s="24">
        <v>60698</v>
      </c>
      <c r="P370" s="23">
        <f t="shared" si="38"/>
        <v>699</v>
      </c>
      <c r="Q370" s="26"/>
      <c r="R370" s="23">
        <f t="shared" si="39"/>
        <v>0</v>
      </c>
      <c r="S370" s="27" t="s">
        <v>18</v>
      </c>
      <c r="T370" s="19" t="s">
        <v>383</v>
      </c>
    </row>
    <row r="371" spans="1:20" ht="37.5" customHeight="1" x14ac:dyDescent="0.25">
      <c r="A371" s="19" t="s">
        <v>384</v>
      </c>
      <c r="B371">
        <f t="shared" si="40"/>
        <v>3535</v>
      </c>
      <c r="C371">
        <v>831</v>
      </c>
      <c r="D371">
        <v>2704</v>
      </c>
      <c r="E371">
        <v>5525</v>
      </c>
      <c r="F371">
        <f t="shared" si="35"/>
        <v>273</v>
      </c>
      <c r="G371" s="20">
        <f t="shared" si="41"/>
        <v>366</v>
      </c>
      <c r="H371" s="21">
        <v>99624020125</v>
      </c>
      <c r="I371" s="22">
        <v>455</v>
      </c>
      <c r="J371" s="23"/>
      <c r="K371" s="24">
        <f>M371+O371</f>
        <v>3262</v>
      </c>
      <c r="L371" s="23">
        <f t="shared" si="36"/>
        <v>273</v>
      </c>
      <c r="M371" s="24">
        <v>760</v>
      </c>
      <c r="N371" s="25">
        <f t="shared" si="37"/>
        <v>71</v>
      </c>
      <c r="O371" s="24">
        <v>2502</v>
      </c>
      <c r="P371" s="23">
        <f t="shared" si="38"/>
        <v>202</v>
      </c>
      <c r="Q371" s="26">
        <v>4763</v>
      </c>
      <c r="R371" s="23">
        <f t="shared" si="39"/>
        <v>762</v>
      </c>
      <c r="S371" s="27" t="s">
        <v>18</v>
      </c>
      <c r="T371" s="19" t="s">
        <v>384</v>
      </c>
    </row>
    <row r="372" spans="1:20" ht="37.5" customHeight="1" x14ac:dyDescent="0.25">
      <c r="A372" s="19" t="s">
        <v>385</v>
      </c>
      <c r="B372">
        <f t="shared" si="40"/>
        <v>68577</v>
      </c>
      <c r="C372">
        <v>12149</v>
      </c>
      <c r="D372">
        <v>56428</v>
      </c>
      <c r="F372">
        <f t="shared" si="35"/>
        <v>250</v>
      </c>
      <c r="G372" s="20">
        <f t="shared" si="41"/>
        <v>367</v>
      </c>
      <c r="H372" s="21">
        <v>23012010172</v>
      </c>
      <c r="I372" s="22">
        <v>457</v>
      </c>
      <c r="J372" s="23"/>
      <c r="K372" s="24">
        <v>68327</v>
      </c>
      <c r="L372" s="23">
        <f t="shared" si="36"/>
        <v>250</v>
      </c>
      <c r="M372" s="24">
        <v>12100</v>
      </c>
      <c r="N372" s="25">
        <f t="shared" si="37"/>
        <v>49</v>
      </c>
      <c r="O372" s="24">
        <v>56227</v>
      </c>
      <c r="P372" s="23">
        <f t="shared" si="38"/>
        <v>201</v>
      </c>
      <c r="Q372" s="26"/>
      <c r="R372" s="23">
        <f t="shared" si="39"/>
        <v>0</v>
      </c>
      <c r="S372" s="27" t="s">
        <v>18</v>
      </c>
      <c r="T372" s="19" t="s">
        <v>385</v>
      </c>
    </row>
    <row r="373" spans="1:20" ht="37.5" customHeight="1" x14ac:dyDescent="0.25">
      <c r="A373" s="19" t="s">
        <v>386</v>
      </c>
      <c r="B373">
        <f t="shared" si="40"/>
        <v>24081</v>
      </c>
      <c r="C373">
        <v>4570</v>
      </c>
      <c r="D373">
        <v>19511</v>
      </c>
      <c r="F373">
        <f t="shared" si="35"/>
        <v>166</v>
      </c>
      <c r="G373" s="20">
        <f t="shared" si="41"/>
        <v>368</v>
      </c>
      <c r="H373" s="21">
        <v>88819020469</v>
      </c>
      <c r="I373" s="22">
        <v>458</v>
      </c>
      <c r="J373" s="23"/>
      <c r="K373" s="24">
        <v>23915</v>
      </c>
      <c r="L373" s="23">
        <f t="shared" si="36"/>
        <v>166</v>
      </c>
      <c r="M373" s="24">
        <v>4541</v>
      </c>
      <c r="N373" s="25">
        <f t="shared" si="37"/>
        <v>29</v>
      </c>
      <c r="O373" s="24">
        <v>19374</v>
      </c>
      <c r="P373" s="23">
        <f t="shared" si="38"/>
        <v>137</v>
      </c>
      <c r="Q373" s="26"/>
      <c r="R373" s="23">
        <f t="shared" si="39"/>
        <v>0</v>
      </c>
      <c r="S373" s="27" t="s">
        <v>18</v>
      </c>
      <c r="T373" s="19" t="s">
        <v>386</v>
      </c>
    </row>
    <row r="374" spans="1:20" ht="37.5" customHeight="1" x14ac:dyDescent="0.25">
      <c r="A374" s="19" t="s">
        <v>387</v>
      </c>
      <c r="B374">
        <f t="shared" si="40"/>
        <v>765</v>
      </c>
      <c r="C374">
        <v>76</v>
      </c>
      <c r="D374">
        <v>689</v>
      </c>
      <c r="F374">
        <f t="shared" si="35"/>
        <v>0</v>
      </c>
      <c r="G374" s="20">
        <f t="shared" si="41"/>
        <v>369</v>
      </c>
      <c r="H374" s="21">
        <v>88818030020</v>
      </c>
      <c r="I374" s="22">
        <v>459</v>
      </c>
      <c r="J374" s="23"/>
      <c r="K374" s="24">
        <v>765</v>
      </c>
      <c r="L374" s="23">
        <f t="shared" si="36"/>
        <v>0</v>
      </c>
      <c r="M374" s="24">
        <v>76</v>
      </c>
      <c r="N374" s="25">
        <f t="shared" si="37"/>
        <v>0</v>
      </c>
      <c r="O374" s="24">
        <v>689</v>
      </c>
      <c r="P374" s="23">
        <f t="shared" si="38"/>
        <v>0</v>
      </c>
      <c r="Q374" s="26"/>
      <c r="R374" s="23">
        <f t="shared" si="39"/>
        <v>0</v>
      </c>
      <c r="S374" s="27" t="s">
        <v>18</v>
      </c>
      <c r="T374" s="19" t="s">
        <v>387</v>
      </c>
    </row>
    <row r="375" spans="1:20" ht="37.5" customHeight="1" x14ac:dyDescent="0.25">
      <c r="A375" s="19" t="s">
        <v>388</v>
      </c>
      <c r="B375">
        <f t="shared" si="40"/>
        <v>65419</v>
      </c>
      <c r="C375">
        <v>10742</v>
      </c>
      <c r="D375">
        <v>54677</v>
      </c>
      <c r="F375">
        <f t="shared" si="35"/>
        <v>310</v>
      </c>
      <c r="G375" s="20">
        <f t="shared" si="41"/>
        <v>370</v>
      </c>
      <c r="H375" s="21">
        <v>23013090368</v>
      </c>
      <c r="I375" s="22">
        <v>460</v>
      </c>
      <c r="J375" s="23"/>
      <c r="K375" s="24">
        <v>65109</v>
      </c>
      <c r="L375" s="23">
        <f t="shared" si="36"/>
        <v>310</v>
      </c>
      <c r="M375" s="24">
        <v>10686</v>
      </c>
      <c r="N375" s="25">
        <f t="shared" si="37"/>
        <v>56</v>
      </c>
      <c r="O375" s="24">
        <v>54423</v>
      </c>
      <c r="P375" s="23">
        <f t="shared" si="38"/>
        <v>254</v>
      </c>
      <c r="Q375" s="26"/>
      <c r="R375" s="23">
        <f t="shared" si="39"/>
        <v>0</v>
      </c>
      <c r="S375" s="27" t="s">
        <v>18</v>
      </c>
      <c r="T375" s="19" t="s">
        <v>388</v>
      </c>
    </row>
    <row r="376" spans="1:20" ht="37.5" customHeight="1" x14ac:dyDescent="0.25">
      <c r="A376" s="19" t="s">
        <v>389</v>
      </c>
      <c r="B376">
        <f t="shared" si="40"/>
        <v>19291</v>
      </c>
      <c r="C376">
        <v>3528</v>
      </c>
      <c r="D376">
        <v>15763</v>
      </c>
      <c r="F376">
        <f t="shared" si="35"/>
        <v>328</v>
      </c>
      <c r="G376" s="20">
        <f t="shared" si="41"/>
        <v>371</v>
      </c>
      <c r="H376" s="21">
        <v>88820040320</v>
      </c>
      <c r="I376" s="22">
        <v>461</v>
      </c>
      <c r="J376" s="23"/>
      <c r="K376" s="24">
        <v>18963</v>
      </c>
      <c r="L376" s="23">
        <f t="shared" si="36"/>
        <v>328</v>
      </c>
      <c r="M376" s="24">
        <v>3475</v>
      </c>
      <c r="N376" s="25">
        <f t="shared" si="37"/>
        <v>53</v>
      </c>
      <c r="O376" s="24">
        <v>15488</v>
      </c>
      <c r="P376" s="23">
        <f t="shared" si="38"/>
        <v>275</v>
      </c>
      <c r="Q376" s="26"/>
      <c r="R376" s="23">
        <f t="shared" si="39"/>
        <v>0</v>
      </c>
      <c r="S376" s="27" t="s">
        <v>18</v>
      </c>
      <c r="T376" s="19" t="s">
        <v>389</v>
      </c>
    </row>
    <row r="377" spans="1:20" ht="37.5" customHeight="1" x14ac:dyDescent="0.25">
      <c r="A377" s="19" t="s">
        <v>390</v>
      </c>
      <c r="B377">
        <f t="shared" si="40"/>
        <v>5418</v>
      </c>
      <c r="C377">
        <v>1094</v>
      </c>
      <c r="D377">
        <v>4324</v>
      </c>
      <c r="E377">
        <v>4631</v>
      </c>
      <c r="F377">
        <f t="shared" si="35"/>
        <v>275</v>
      </c>
      <c r="G377" s="20">
        <f t="shared" si="41"/>
        <v>372</v>
      </c>
      <c r="H377" s="21">
        <v>99624020210</v>
      </c>
      <c r="I377" s="22">
        <v>462</v>
      </c>
      <c r="J377" s="23"/>
      <c r="K377" s="24">
        <f>M377+O377</f>
        <v>5143</v>
      </c>
      <c r="L377" s="23">
        <f t="shared" si="36"/>
        <v>275</v>
      </c>
      <c r="M377" s="24">
        <v>1025</v>
      </c>
      <c r="N377" s="25">
        <f t="shared" si="37"/>
        <v>69</v>
      </c>
      <c r="O377" s="24">
        <v>4118</v>
      </c>
      <c r="P377" s="23">
        <f t="shared" si="38"/>
        <v>206</v>
      </c>
      <c r="Q377" s="26">
        <v>3952</v>
      </c>
      <c r="R377" s="23">
        <f t="shared" si="39"/>
        <v>679</v>
      </c>
      <c r="S377" s="27" t="s">
        <v>18</v>
      </c>
      <c r="T377" s="19" t="s">
        <v>390</v>
      </c>
    </row>
    <row r="378" spans="1:20" ht="37.5" customHeight="1" x14ac:dyDescent="0.25">
      <c r="A378" s="19" t="s">
        <v>391</v>
      </c>
      <c r="B378">
        <f t="shared" si="40"/>
        <v>21368</v>
      </c>
      <c r="C378">
        <v>3732</v>
      </c>
      <c r="D378">
        <v>17636</v>
      </c>
      <c r="F378">
        <f t="shared" si="35"/>
        <v>335</v>
      </c>
      <c r="G378" s="20">
        <f t="shared" si="41"/>
        <v>373</v>
      </c>
      <c r="H378" s="21">
        <v>88820040374</v>
      </c>
      <c r="I378" s="22">
        <v>463</v>
      </c>
      <c r="J378" s="23"/>
      <c r="K378" s="24">
        <v>21033</v>
      </c>
      <c r="L378" s="23">
        <f t="shared" si="36"/>
        <v>335</v>
      </c>
      <c r="M378" s="24">
        <v>3676</v>
      </c>
      <c r="N378" s="25">
        <f t="shared" si="37"/>
        <v>56</v>
      </c>
      <c r="O378" s="24">
        <v>17357</v>
      </c>
      <c r="P378" s="23">
        <f t="shared" si="38"/>
        <v>279</v>
      </c>
      <c r="Q378" s="26"/>
      <c r="R378" s="23">
        <f t="shared" si="39"/>
        <v>0</v>
      </c>
      <c r="S378" s="27" t="s">
        <v>18</v>
      </c>
      <c r="T378" s="19" t="s">
        <v>391</v>
      </c>
    </row>
    <row r="379" spans="1:20" ht="37.5" customHeight="1" x14ac:dyDescent="0.25">
      <c r="A379" s="19" t="s">
        <v>392</v>
      </c>
      <c r="B379">
        <f t="shared" si="40"/>
        <v>26384</v>
      </c>
      <c r="C379">
        <v>4961</v>
      </c>
      <c r="D379">
        <v>21423</v>
      </c>
      <c r="F379">
        <f t="shared" si="35"/>
        <v>285</v>
      </c>
      <c r="G379" s="20">
        <f t="shared" si="41"/>
        <v>374</v>
      </c>
      <c r="H379" s="21">
        <v>66621100176</v>
      </c>
      <c r="I379" s="22">
        <v>465</v>
      </c>
      <c r="J379" s="23"/>
      <c r="K379" s="24">
        <v>26099</v>
      </c>
      <c r="L379" s="23">
        <f t="shared" si="36"/>
        <v>285</v>
      </c>
      <c r="M379" s="24">
        <v>4907</v>
      </c>
      <c r="N379" s="25">
        <f t="shared" si="37"/>
        <v>54</v>
      </c>
      <c r="O379" s="24">
        <v>21192</v>
      </c>
      <c r="P379" s="23">
        <f t="shared" si="38"/>
        <v>231</v>
      </c>
      <c r="Q379" s="26"/>
      <c r="R379" s="23">
        <f t="shared" si="39"/>
        <v>0</v>
      </c>
      <c r="S379" s="27" t="s">
        <v>18</v>
      </c>
      <c r="T379" s="19" t="s">
        <v>392</v>
      </c>
    </row>
    <row r="380" spans="1:20" ht="37.5" customHeight="1" x14ac:dyDescent="0.25">
      <c r="A380" s="19" t="s">
        <v>393</v>
      </c>
      <c r="B380">
        <f t="shared" si="40"/>
        <v>46034</v>
      </c>
      <c r="C380">
        <v>7714</v>
      </c>
      <c r="D380">
        <v>38320</v>
      </c>
      <c r="F380">
        <f t="shared" si="35"/>
        <v>205</v>
      </c>
      <c r="G380" s="20">
        <f t="shared" si="41"/>
        <v>375</v>
      </c>
      <c r="H380" s="21">
        <v>66616031274</v>
      </c>
      <c r="I380" s="22">
        <v>467</v>
      </c>
      <c r="J380" s="23"/>
      <c r="K380" s="24">
        <v>45829</v>
      </c>
      <c r="L380" s="23">
        <f t="shared" si="36"/>
        <v>205</v>
      </c>
      <c r="M380" s="24">
        <v>7673</v>
      </c>
      <c r="N380" s="25">
        <f t="shared" si="37"/>
        <v>41</v>
      </c>
      <c r="O380" s="24">
        <v>38156</v>
      </c>
      <c r="P380" s="23">
        <f t="shared" si="38"/>
        <v>164</v>
      </c>
      <c r="Q380" s="26"/>
      <c r="R380" s="23">
        <f t="shared" si="39"/>
        <v>0</v>
      </c>
      <c r="S380" s="27" t="s">
        <v>18</v>
      </c>
      <c r="T380" s="19" t="s">
        <v>393</v>
      </c>
    </row>
    <row r="381" spans="1:20" ht="37.5" customHeight="1" x14ac:dyDescent="0.25">
      <c r="A381" s="19" t="s">
        <v>394</v>
      </c>
      <c r="B381">
        <f t="shared" si="40"/>
        <v>46242</v>
      </c>
      <c r="C381">
        <v>7459</v>
      </c>
      <c r="D381">
        <v>38783</v>
      </c>
      <c r="F381">
        <f t="shared" si="35"/>
        <v>394</v>
      </c>
      <c r="G381" s="20">
        <f t="shared" si="41"/>
        <v>376</v>
      </c>
      <c r="H381" s="21">
        <v>23015101102</v>
      </c>
      <c r="I381" s="22">
        <v>469</v>
      </c>
      <c r="J381" s="23"/>
      <c r="K381" s="24">
        <v>45848</v>
      </c>
      <c r="L381" s="23">
        <f t="shared" si="36"/>
        <v>394</v>
      </c>
      <c r="M381" s="24">
        <v>7401</v>
      </c>
      <c r="N381" s="25">
        <f t="shared" si="37"/>
        <v>58</v>
      </c>
      <c r="O381" s="24">
        <v>38447</v>
      </c>
      <c r="P381" s="23">
        <f t="shared" si="38"/>
        <v>336</v>
      </c>
      <c r="Q381" s="26"/>
      <c r="R381" s="23">
        <f t="shared" si="39"/>
        <v>0</v>
      </c>
      <c r="S381" s="27" t="s">
        <v>18</v>
      </c>
      <c r="T381" s="19" t="s">
        <v>394</v>
      </c>
    </row>
    <row r="382" spans="1:20" ht="37.5" customHeight="1" x14ac:dyDescent="0.25">
      <c r="A382" s="19" t="s">
        <v>395</v>
      </c>
      <c r="B382">
        <f t="shared" si="40"/>
        <v>45387</v>
      </c>
      <c r="C382">
        <v>8729</v>
      </c>
      <c r="D382">
        <v>36658</v>
      </c>
      <c r="F382">
        <f t="shared" si="35"/>
        <v>356</v>
      </c>
      <c r="G382" s="20">
        <f t="shared" si="41"/>
        <v>377</v>
      </c>
      <c r="H382" s="21">
        <v>23014060425</v>
      </c>
      <c r="I382" s="22">
        <v>470</v>
      </c>
      <c r="J382" s="23"/>
      <c r="K382" s="24">
        <v>45031</v>
      </c>
      <c r="L382" s="23">
        <f t="shared" si="36"/>
        <v>356</v>
      </c>
      <c r="M382" s="24">
        <v>8666</v>
      </c>
      <c r="N382" s="25">
        <f t="shared" si="37"/>
        <v>63</v>
      </c>
      <c r="O382" s="24">
        <v>36365</v>
      </c>
      <c r="P382" s="23">
        <f t="shared" si="38"/>
        <v>293</v>
      </c>
      <c r="Q382" s="26"/>
      <c r="R382" s="23">
        <f t="shared" si="39"/>
        <v>0</v>
      </c>
      <c r="S382" s="27" t="s">
        <v>18</v>
      </c>
      <c r="T382" s="19" t="s">
        <v>395</v>
      </c>
    </row>
    <row r="383" spans="1:20" ht="37.5" customHeight="1" x14ac:dyDescent="0.25">
      <c r="A383" s="19" t="s">
        <v>396</v>
      </c>
      <c r="B383">
        <f t="shared" si="40"/>
        <v>123335</v>
      </c>
      <c r="C383">
        <v>25419</v>
      </c>
      <c r="D383">
        <v>97916</v>
      </c>
      <c r="F383">
        <f t="shared" si="35"/>
        <v>391</v>
      </c>
      <c r="G383" s="20">
        <f t="shared" si="41"/>
        <v>378</v>
      </c>
      <c r="H383" s="21">
        <v>23010090056</v>
      </c>
      <c r="I383" s="22">
        <v>471</v>
      </c>
      <c r="J383" s="23"/>
      <c r="K383" s="24">
        <v>122944</v>
      </c>
      <c r="L383" s="23">
        <f t="shared" si="36"/>
        <v>391</v>
      </c>
      <c r="M383" s="24">
        <v>25346</v>
      </c>
      <c r="N383" s="25">
        <f t="shared" si="37"/>
        <v>73</v>
      </c>
      <c r="O383" s="24">
        <v>97598</v>
      </c>
      <c r="P383" s="23">
        <f t="shared" si="38"/>
        <v>318</v>
      </c>
      <c r="Q383" s="26"/>
      <c r="R383" s="23">
        <f t="shared" si="39"/>
        <v>0</v>
      </c>
      <c r="S383" s="27" t="s">
        <v>18</v>
      </c>
      <c r="T383" s="19" t="s">
        <v>396</v>
      </c>
    </row>
    <row r="384" spans="1:20" ht="37.5" customHeight="1" x14ac:dyDescent="0.25">
      <c r="A384" s="19" t="s">
        <v>397</v>
      </c>
      <c r="B384">
        <f t="shared" si="40"/>
        <v>6530</v>
      </c>
      <c r="C384">
        <v>1249</v>
      </c>
      <c r="D384">
        <v>5281</v>
      </c>
      <c r="F384">
        <f t="shared" si="35"/>
        <v>354</v>
      </c>
      <c r="G384" s="20">
        <f t="shared" si="41"/>
        <v>379</v>
      </c>
      <c r="H384" s="21">
        <v>88820003121</v>
      </c>
      <c r="I384" s="22">
        <v>472</v>
      </c>
      <c r="J384" s="23"/>
      <c r="K384" s="24">
        <v>6176</v>
      </c>
      <c r="L384" s="23">
        <f t="shared" si="36"/>
        <v>354</v>
      </c>
      <c r="M384" s="24">
        <v>1167</v>
      </c>
      <c r="N384" s="25">
        <f t="shared" si="37"/>
        <v>82</v>
      </c>
      <c r="O384" s="24">
        <v>5009</v>
      </c>
      <c r="P384" s="23">
        <f t="shared" si="38"/>
        <v>272</v>
      </c>
      <c r="Q384" s="26"/>
      <c r="R384" s="23">
        <f t="shared" si="39"/>
        <v>0</v>
      </c>
      <c r="S384" s="27" t="s">
        <v>18</v>
      </c>
      <c r="T384" s="19" t="s">
        <v>397</v>
      </c>
    </row>
    <row r="385" spans="1:20" ht="37.5" customHeight="1" x14ac:dyDescent="0.25">
      <c r="A385" s="19" t="s">
        <v>398</v>
      </c>
      <c r="B385">
        <f t="shared" si="40"/>
        <v>52684</v>
      </c>
      <c r="C385">
        <v>9572</v>
      </c>
      <c r="D385">
        <v>43112</v>
      </c>
      <c r="F385">
        <f t="shared" si="35"/>
        <v>252</v>
      </c>
      <c r="G385" s="20">
        <f t="shared" si="41"/>
        <v>380</v>
      </c>
      <c r="H385" s="21">
        <v>23014090496</v>
      </c>
      <c r="I385" s="22">
        <v>473</v>
      </c>
      <c r="J385" s="23"/>
      <c r="K385" s="24">
        <v>52432</v>
      </c>
      <c r="L385" s="23">
        <f t="shared" si="36"/>
        <v>252</v>
      </c>
      <c r="M385" s="24">
        <v>9521</v>
      </c>
      <c r="N385" s="25">
        <f t="shared" si="37"/>
        <v>51</v>
      </c>
      <c r="O385" s="24">
        <v>42911</v>
      </c>
      <c r="P385" s="23">
        <f t="shared" si="38"/>
        <v>201</v>
      </c>
      <c r="Q385" s="26"/>
      <c r="R385" s="23">
        <f t="shared" si="39"/>
        <v>0</v>
      </c>
      <c r="S385" s="27" t="s">
        <v>18</v>
      </c>
      <c r="T385" s="19" t="s">
        <v>398</v>
      </c>
    </row>
    <row r="386" spans="1:20" ht="37.5" customHeight="1" x14ac:dyDescent="0.25">
      <c r="A386" s="19" t="s">
        <v>399</v>
      </c>
      <c r="B386">
        <f t="shared" si="40"/>
        <v>36817</v>
      </c>
      <c r="C386">
        <v>6508</v>
      </c>
      <c r="D386">
        <v>30309</v>
      </c>
      <c r="F386">
        <f t="shared" si="35"/>
        <v>259</v>
      </c>
      <c r="G386" s="20">
        <f t="shared" si="41"/>
        <v>381</v>
      </c>
      <c r="H386" s="21">
        <v>88819030432</v>
      </c>
      <c r="I386" s="22">
        <v>475</v>
      </c>
      <c r="J386" s="23"/>
      <c r="K386" s="24">
        <v>36558</v>
      </c>
      <c r="L386" s="23">
        <f t="shared" si="36"/>
        <v>259</v>
      </c>
      <c r="M386" s="24">
        <v>6460</v>
      </c>
      <c r="N386" s="25">
        <f t="shared" si="37"/>
        <v>48</v>
      </c>
      <c r="O386" s="24">
        <v>30098</v>
      </c>
      <c r="P386" s="23">
        <f t="shared" si="38"/>
        <v>211</v>
      </c>
      <c r="Q386" s="26"/>
      <c r="R386" s="23">
        <f t="shared" si="39"/>
        <v>0</v>
      </c>
      <c r="S386" s="27" t="s">
        <v>18</v>
      </c>
      <c r="T386" s="19" t="s">
        <v>399</v>
      </c>
    </row>
    <row r="387" spans="1:20" ht="37.5" customHeight="1" x14ac:dyDescent="0.25">
      <c r="A387" s="19" t="s">
        <v>400</v>
      </c>
      <c r="B387">
        <f t="shared" si="40"/>
        <v>90873</v>
      </c>
      <c r="C387">
        <v>17942</v>
      </c>
      <c r="D387">
        <v>72931</v>
      </c>
      <c r="F387">
        <f t="shared" si="35"/>
        <v>402</v>
      </c>
      <c r="G387" s="20">
        <f t="shared" si="41"/>
        <v>382</v>
      </c>
      <c r="H387" s="21">
        <v>7120080</v>
      </c>
      <c r="I387" s="22">
        <v>476</v>
      </c>
      <c r="J387" s="23"/>
      <c r="K387" s="24">
        <v>90471</v>
      </c>
      <c r="L387" s="23">
        <f t="shared" si="36"/>
        <v>402</v>
      </c>
      <c r="M387" s="24">
        <v>17882</v>
      </c>
      <c r="N387" s="25">
        <f t="shared" si="37"/>
        <v>60</v>
      </c>
      <c r="O387" s="24">
        <v>72589</v>
      </c>
      <c r="P387" s="23">
        <f t="shared" si="38"/>
        <v>342</v>
      </c>
      <c r="Q387" s="26"/>
      <c r="R387" s="23">
        <f t="shared" si="39"/>
        <v>0</v>
      </c>
      <c r="S387" s="27" t="s">
        <v>18</v>
      </c>
      <c r="T387" s="19" t="s">
        <v>400</v>
      </c>
    </row>
    <row r="388" spans="1:20" ht="37.5" customHeight="1" x14ac:dyDescent="0.25">
      <c r="A388" s="19" t="s">
        <v>401</v>
      </c>
      <c r="B388">
        <v>1210</v>
      </c>
      <c r="F388">
        <f t="shared" si="35"/>
        <v>0</v>
      </c>
      <c r="G388" s="20">
        <f t="shared" si="41"/>
        <v>383</v>
      </c>
      <c r="H388" s="21">
        <v>88820010101</v>
      </c>
      <c r="I388" s="22">
        <v>477</v>
      </c>
      <c r="J388" s="23"/>
      <c r="K388" s="24">
        <v>1210</v>
      </c>
      <c r="L388" s="23">
        <f t="shared" si="36"/>
        <v>0</v>
      </c>
      <c r="M388" s="24">
        <v>175</v>
      </c>
      <c r="N388" s="25">
        <f t="shared" si="37"/>
        <v>-175</v>
      </c>
      <c r="O388" s="24">
        <v>1035</v>
      </c>
      <c r="P388" s="23">
        <f t="shared" si="38"/>
        <v>-1035</v>
      </c>
      <c r="Q388" s="26"/>
      <c r="R388" s="23">
        <f t="shared" si="39"/>
        <v>0</v>
      </c>
      <c r="S388" s="27" t="s">
        <v>18</v>
      </c>
      <c r="T388" s="19" t="s">
        <v>401</v>
      </c>
    </row>
    <row r="389" spans="1:20" ht="37.5" customHeight="1" x14ac:dyDescent="0.25">
      <c r="A389" s="19" t="s">
        <v>402</v>
      </c>
      <c r="B389">
        <f t="shared" si="40"/>
        <v>17475</v>
      </c>
      <c r="C389">
        <v>3110</v>
      </c>
      <c r="D389">
        <v>14365</v>
      </c>
      <c r="F389">
        <f t="shared" ref="F389:F452" si="42">L389</f>
        <v>177</v>
      </c>
      <c r="G389" s="20">
        <f t="shared" si="41"/>
        <v>384</v>
      </c>
      <c r="H389" s="21">
        <v>23015100693</v>
      </c>
      <c r="I389" s="22">
        <v>478</v>
      </c>
      <c r="J389" s="23"/>
      <c r="K389" s="24">
        <v>17298</v>
      </c>
      <c r="L389" s="23">
        <f t="shared" si="36"/>
        <v>177</v>
      </c>
      <c r="M389" s="24">
        <v>3077</v>
      </c>
      <c r="N389" s="25">
        <f t="shared" si="37"/>
        <v>33</v>
      </c>
      <c r="O389" s="24">
        <v>14221</v>
      </c>
      <c r="P389" s="23">
        <f t="shared" si="38"/>
        <v>144</v>
      </c>
      <c r="Q389" s="26"/>
      <c r="R389" s="23">
        <f t="shared" si="39"/>
        <v>0</v>
      </c>
      <c r="S389" s="27" t="s">
        <v>18</v>
      </c>
      <c r="T389" s="19" t="s">
        <v>402</v>
      </c>
    </row>
    <row r="390" spans="1:20" ht="37.5" customHeight="1" x14ac:dyDescent="0.25">
      <c r="A390" s="19" t="s">
        <v>403</v>
      </c>
      <c r="B390">
        <f t="shared" si="40"/>
        <v>79994</v>
      </c>
      <c r="C390">
        <v>14826</v>
      </c>
      <c r="D390">
        <v>65168</v>
      </c>
      <c r="F390">
        <f t="shared" si="42"/>
        <v>433</v>
      </c>
      <c r="G390" s="20">
        <f t="shared" si="41"/>
        <v>385</v>
      </c>
      <c r="H390" s="21">
        <v>23014060170</v>
      </c>
      <c r="I390" s="22">
        <v>479</v>
      </c>
      <c r="J390" s="23"/>
      <c r="K390" s="24">
        <v>79561</v>
      </c>
      <c r="L390" s="23">
        <f t="shared" ref="L390:L453" si="43">B390-K390</f>
        <v>433</v>
      </c>
      <c r="M390" s="24">
        <v>14753</v>
      </c>
      <c r="N390" s="25">
        <f t="shared" ref="N390:N453" si="44">C390-M390</f>
        <v>73</v>
      </c>
      <c r="O390" s="24">
        <v>64808</v>
      </c>
      <c r="P390" s="23">
        <f t="shared" ref="P390:P453" si="45">D390-O390</f>
        <v>360</v>
      </c>
      <c r="Q390" s="26"/>
      <c r="R390" s="23">
        <f t="shared" ref="R390:R453" si="46">E390-Q390</f>
        <v>0</v>
      </c>
      <c r="S390" s="27" t="s">
        <v>18</v>
      </c>
      <c r="T390" s="19" t="s">
        <v>403</v>
      </c>
    </row>
    <row r="391" spans="1:20" ht="37.5" customHeight="1" x14ac:dyDescent="0.25">
      <c r="A391" s="19" t="s">
        <v>404</v>
      </c>
      <c r="B391">
        <f t="shared" ref="B391:B454" si="47">C391+D391</f>
        <v>85623</v>
      </c>
      <c r="C391">
        <v>14986</v>
      </c>
      <c r="D391">
        <v>70637</v>
      </c>
      <c r="F391">
        <f t="shared" si="42"/>
        <v>987</v>
      </c>
      <c r="G391" s="20">
        <f t="shared" si="41"/>
        <v>386</v>
      </c>
      <c r="H391" s="21">
        <v>23015010349</v>
      </c>
      <c r="I391" s="22">
        <v>480</v>
      </c>
      <c r="J391" s="23"/>
      <c r="K391" s="24">
        <v>84636</v>
      </c>
      <c r="L391" s="23">
        <f t="shared" si="43"/>
        <v>987</v>
      </c>
      <c r="M391" s="24">
        <v>14823</v>
      </c>
      <c r="N391" s="25">
        <f t="shared" si="44"/>
        <v>163</v>
      </c>
      <c r="O391" s="24">
        <v>69813</v>
      </c>
      <c r="P391" s="23">
        <f t="shared" si="45"/>
        <v>824</v>
      </c>
      <c r="Q391" s="26"/>
      <c r="R391" s="23">
        <f t="shared" si="46"/>
        <v>0</v>
      </c>
      <c r="S391" s="27" t="s">
        <v>18</v>
      </c>
      <c r="T391" s="19" t="s">
        <v>404</v>
      </c>
    </row>
    <row r="392" spans="1:20" ht="37.5" customHeight="1" x14ac:dyDescent="0.25">
      <c r="A392" s="19" t="s">
        <v>405</v>
      </c>
      <c r="B392">
        <f t="shared" si="47"/>
        <v>51333</v>
      </c>
      <c r="C392">
        <v>9722</v>
      </c>
      <c r="D392">
        <v>41611</v>
      </c>
      <c r="F392">
        <f t="shared" si="42"/>
        <v>105</v>
      </c>
      <c r="G392" s="20">
        <f t="shared" ref="G392:G455" si="48">G391+1</f>
        <v>387</v>
      </c>
      <c r="H392" s="21">
        <v>23012010106</v>
      </c>
      <c r="I392" s="22">
        <v>481</v>
      </c>
      <c r="J392" s="23"/>
      <c r="K392" s="24">
        <v>51228</v>
      </c>
      <c r="L392" s="23">
        <f t="shared" si="43"/>
        <v>105</v>
      </c>
      <c r="M392" s="24">
        <v>9710</v>
      </c>
      <c r="N392" s="25">
        <f t="shared" si="44"/>
        <v>12</v>
      </c>
      <c r="O392" s="24">
        <v>41518</v>
      </c>
      <c r="P392" s="23">
        <f t="shared" si="45"/>
        <v>93</v>
      </c>
      <c r="Q392" s="26"/>
      <c r="R392" s="23">
        <f t="shared" si="46"/>
        <v>0</v>
      </c>
      <c r="S392" s="27" t="s">
        <v>18</v>
      </c>
      <c r="T392" s="19" t="s">
        <v>405</v>
      </c>
    </row>
    <row r="393" spans="1:20" ht="37.5" customHeight="1" x14ac:dyDescent="0.25">
      <c r="A393" s="19" t="s">
        <v>406</v>
      </c>
      <c r="B393">
        <f t="shared" si="47"/>
        <v>12847</v>
      </c>
      <c r="C393">
        <v>2086</v>
      </c>
      <c r="D393">
        <v>10761</v>
      </c>
      <c r="F393">
        <f t="shared" si="42"/>
        <v>204</v>
      </c>
      <c r="G393" s="20">
        <f t="shared" si="48"/>
        <v>388</v>
      </c>
      <c r="H393" s="21">
        <v>88819050374</v>
      </c>
      <c r="I393" s="22">
        <v>482</v>
      </c>
      <c r="J393" s="23"/>
      <c r="K393" s="24">
        <v>12643</v>
      </c>
      <c r="L393" s="23">
        <f t="shared" si="43"/>
        <v>204</v>
      </c>
      <c r="M393" s="24">
        <v>2053</v>
      </c>
      <c r="N393" s="25">
        <f t="shared" si="44"/>
        <v>33</v>
      </c>
      <c r="O393" s="24">
        <v>10590</v>
      </c>
      <c r="P393" s="23">
        <f t="shared" si="45"/>
        <v>171</v>
      </c>
      <c r="Q393" s="26"/>
      <c r="R393" s="23">
        <f t="shared" si="46"/>
        <v>0</v>
      </c>
      <c r="S393" s="27" t="s">
        <v>18</v>
      </c>
      <c r="T393" s="19" t="s">
        <v>406</v>
      </c>
    </row>
    <row r="394" spans="1:20" ht="37.5" customHeight="1" x14ac:dyDescent="0.25">
      <c r="A394" s="19" t="s">
        <v>407</v>
      </c>
      <c r="B394">
        <f t="shared" si="47"/>
        <v>27765</v>
      </c>
      <c r="C394">
        <v>4710</v>
      </c>
      <c r="D394">
        <v>23055</v>
      </c>
      <c r="F394">
        <f t="shared" si="42"/>
        <v>296</v>
      </c>
      <c r="G394" s="20">
        <f t="shared" si="48"/>
        <v>389</v>
      </c>
      <c r="H394" s="21">
        <v>23013040463</v>
      </c>
      <c r="I394" s="22">
        <v>483</v>
      </c>
      <c r="J394" s="23"/>
      <c r="K394" s="24">
        <v>27469</v>
      </c>
      <c r="L394" s="23">
        <f t="shared" si="43"/>
        <v>296</v>
      </c>
      <c r="M394" s="24">
        <v>4648</v>
      </c>
      <c r="N394" s="25">
        <f t="shared" si="44"/>
        <v>62</v>
      </c>
      <c r="O394" s="24">
        <v>22821</v>
      </c>
      <c r="P394" s="23">
        <f t="shared" si="45"/>
        <v>234</v>
      </c>
      <c r="Q394" s="26"/>
      <c r="R394" s="23">
        <f t="shared" si="46"/>
        <v>0</v>
      </c>
      <c r="S394" s="27" t="s">
        <v>18</v>
      </c>
      <c r="T394" s="19" t="s">
        <v>407</v>
      </c>
    </row>
    <row r="395" spans="1:20" ht="37.5" customHeight="1" x14ac:dyDescent="0.25">
      <c r="A395" s="19" t="s">
        <v>408</v>
      </c>
      <c r="B395">
        <f t="shared" si="47"/>
        <v>82496</v>
      </c>
      <c r="C395">
        <v>14318</v>
      </c>
      <c r="D395">
        <v>68178</v>
      </c>
      <c r="F395">
        <f t="shared" si="42"/>
        <v>644</v>
      </c>
      <c r="G395" s="20">
        <f t="shared" si="48"/>
        <v>390</v>
      </c>
      <c r="H395" s="21">
        <v>2301201009</v>
      </c>
      <c r="I395" s="22">
        <v>484</v>
      </c>
      <c r="J395" s="23"/>
      <c r="K395" s="24">
        <v>81852</v>
      </c>
      <c r="L395" s="23">
        <f t="shared" si="43"/>
        <v>644</v>
      </c>
      <c r="M395" s="24">
        <v>14214</v>
      </c>
      <c r="N395" s="25">
        <f t="shared" si="44"/>
        <v>104</v>
      </c>
      <c r="O395" s="24">
        <v>67638</v>
      </c>
      <c r="P395" s="23">
        <f t="shared" si="45"/>
        <v>540</v>
      </c>
      <c r="Q395" s="26"/>
      <c r="R395" s="23">
        <f t="shared" si="46"/>
        <v>0</v>
      </c>
      <c r="S395" s="27" t="s">
        <v>18</v>
      </c>
      <c r="T395" s="19" t="s">
        <v>408</v>
      </c>
    </row>
    <row r="396" spans="1:20" ht="37.5" customHeight="1" x14ac:dyDescent="0.25">
      <c r="A396" s="19" t="s">
        <v>409</v>
      </c>
      <c r="B396">
        <f t="shared" si="47"/>
        <v>957</v>
      </c>
      <c r="C396">
        <v>265</v>
      </c>
      <c r="D396">
        <v>692</v>
      </c>
      <c r="E396">
        <v>1743</v>
      </c>
      <c r="F396">
        <f t="shared" si="42"/>
        <v>658</v>
      </c>
      <c r="G396" s="20">
        <f t="shared" si="48"/>
        <v>391</v>
      </c>
      <c r="H396" s="21">
        <v>99625010090</v>
      </c>
      <c r="I396" s="22">
        <v>485</v>
      </c>
      <c r="J396" s="23"/>
      <c r="K396" s="24">
        <f>M396+O396</f>
        <v>299</v>
      </c>
      <c r="L396" s="23">
        <f t="shared" si="43"/>
        <v>658</v>
      </c>
      <c r="M396" s="24">
        <v>93</v>
      </c>
      <c r="N396" s="25">
        <f t="shared" si="44"/>
        <v>172</v>
      </c>
      <c r="O396" s="24">
        <v>206</v>
      </c>
      <c r="P396" s="23">
        <f t="shared" si="45"/>
        <v>486</v>
      </c>
      <c r="Q396" s="26">
        <v>833</v>
      </c>
      <c r="R396" s="23">
        <f t="shared" si="46"/>
        <v>910</v>
      </c>
      <c r="S396" s="27" t="s">
        <v>18</v>
      </c>
      <c r="T396" s="19" t="s">
        <v>409</v>
      </c>
    </row>
    <row r="397" spans="1:20" ht="37.5" customHeight="1" x14ac:dyDescent="0.25">
      <c r="A397" s="19" t="s">
        <v>410</v>
      </c>
      <c r="B397">
        <f t="shared" si="47"/>
        <v>33706</v>
      </c>
      <c r="C397">
        <v>7037</v>
      </c>
      <c r="D397">
        <v>26669</v>
      </c>
      <c r="F397">
        <f t="shared" si="42"/>
        <v>204</v>
      </c>
      <c r="G397" s="20">
        <f t="shared" si="48"/>
        <v>392</v>
      </c>
      <c r="H397" s="21">
        <v>88818020102</v>
      </c>
      <c r="I397" s="22">
        <v>486</v>
      </c>
      <c r="J397" s="23"/>
      <c r="K397" s="24">
        <v>33502</v>
      </c>
      <c r="L397" s="23">
        <f t="shared" si="43"/>
        <v>204</v>
      </c>
      <c r="M397" s="24">
        <v>7000</v>
      </c>
      <c r="N397" s="25">
        <f t="shared" si="44"/>
        <v>37</v>
      </c>
      <c r="O397" s="24">
        <v>26502</v>
      </c>
      <c r="P397" s="23">
        <f t="shared" si="45"/>
        <v>167</v>
      </c>
      <c r="Q397" s="26"/>
      <c r="R397" s="23">
        <f t="shared" si="46"/>
        <v>0</v>
      </c>
      <c r="S397" s="27" t="s">
        <v>18</v>
      </c>
      <c r="T397" s="19" t="s">
        <v>410</v>
      </c>
    </row>
    <row r="398" spans="1:20" ht="37.5" customHeight="1" x14ac:dyDescent="0.25">
      <c r="A398" s="19" t="s">
        <v>411</v>
      </c>
      <c r="B398">
        <f t="shared" si="47"/>
        <v>8651</v>
      </c>
      <c r="C398">
        <v>2066</v>
      </c>
      <c r="D398">
        <v>6585</v>
      </c>
      <c r="E398">
        <v>7980</v>
      </c>
      <c r="F398">
        <f t="shared" si="42"/>
        <v>429</v>
      </c>
      <c r="G398" s="20">
        <f t="shared" si="48"/>
        <v>393</v>
      </c>
      <c r="H398" s="21">
        <v>99623080161</v>
      </c>
      <c r="I398" s="22">
        <v>488</v>
      </c>
      <c r="J398" s="23"/>
      <c r="K398" s="24">
        <f>M398+O398</f>
        <v>8222</v>
      </c>
      <c r="L398" s="23">
        <f t="shared" si="43"/>
        <v>429</v>
      </c>
      <c r="M398" s="24">
        <v>1965</v>
      </c>
      <c r="N398" s="25">
        <f t="shared" si="44"/>
        <v>101</v>
      </c>
      <c r="O398" s="24">
        <v>6257</v>
      </c>
      <c r="P398" s="23">
        <f t="shared" si="45"/>
        <v>328</v>
      </c>
      <c r="Q398" s="26">
        <v>7578</v>
      </c>
      <c r="R398" s="23">
        <f t="shared" si="46"/>
        <v>402</v>
      </c>
      <c r="S398" s="27" t="s">
        <v>18</v>
      </c>
      <c r="T398" s="19" t="s">
        <v>411</v>
      </c>
    </row>
    <row r="399" spans="1:20" ht="37.5" customHeight="1" x14ac:dyDescent="0.25">
      <c r="A399" s="19" t="s">
        <v>412</v>
      </c>
      <c r="B399">
        <f t="shared" si="47"/>
        <v>13579</v>
      </c>
      <c r="C399">
        <v>2572</v>
      </c>
      <c r="D399">
        <v>11007</v>
      </c>
      <c r="F399">
        <f t="shared" si="42"/>
        <v>153</v>
      </c>
      <c r="G399" s="20">
        <f t="shared" si="48"/>
        <v>394</v>
      </c>
      <c r="H399" s="21">
        <v>66617020288</v>
      </c>
      <c r="I399" s="22">
        <v>489</v>
      </c>
      <c r="J399" s="23"/>
      <c r="K399" s="24">
        <v>13426</v>
      </c>
      <c r="L399" s="23">
        <f t="shared" si="43"/>
        <v>153</v>
      </c>
      <c r="M399" s="24">
        <v>2539</v>
      </c>
      <c r="N399" s="25">
        <f t="shared" si="44"/>
        <v>33</v>
      </c>
      <c r="O399" s="24">
        <v>10887</v>
      </c>
      <c r="P399" s="23">
        <f t="shared" si="45"/>
        <v>120</v>
      </c>
      <c r="Q399" s="26"/>
      <c r="R399" s="23">
        <f t="shared" si="46"/>
        <v>0</v>
      </c>
      <c r="S399" s="27" t="s">
        <v>18</v>
      </c>
      <c r="T399" s="19" t="s">
        <v>412</v>
      </c>
    </row>
    <row r="400" spans="1:20" ht="37.5" customHeight="1" x14ac:dyDescent="0.25">
      <c r="A400" s="19" t="s">
        <v>413</v>
      </c>
      <c r="B400">
        <f t="shared" si="47"/>
        <v>41739</v>
      </c>
      <c r="C400">
        <v>6407</v>
      </c>
      <c r="D400">
        <v>35332</v>
      </c>
      <c r="F400">
        <f t="shared" si="42"/>
        <v>477</v>
      </c>
      <c r="G400" s="20">
        <f t="shared" si="48"/>
        <v>395</v>
      </c>
      <c r="H400" s="21">
        <v>66617010150</v>
      </c>
      <c r="I400" s="22">
        <v>490</v>
      </c>
      <c r="J400" s="23"/>
      <c r="K400" s="24">
        <v>41262</v>
      </c>
      <c r="L400" s="23">
        <f t="shared" si="43"/>
        <v>477</v>
      </c>
      <c r="M400" s="24">
        <v>6313</v>
      </c>
      <c r="N400" s="25">
        <f t="shared" si="44"/>
        <v>94</v>
      </c>
      <c r="O400" s="24">
        <v>34949</v>
      </c>
      <c r="P400" s="23">
        <f t="shared" si="45"/>
        <v>383</v>
      </c>
      <c r="Q400" s="26"/>
      <c r="R400" s="23">
        <f t="shared" si="46"/>
        <v>0</v>
      </c>
      <c r="S400" s="27" t="s">
        <v>18</v>
      </c>
      <c r="T400" s="19" t="s">
        <v>413</v>
      </c>
    </row>
    <row r="401" spans="1:20" ht="37.5" customHeight="1" x14ac:dyDescent="0.25">
      <c r="A401" s="19" t="s">
        <v>414</v>
      </c>
      <c r="B401">
        <f t="shared" si="47"/>
        <v>51997</v>
      </c>
      <c r="C401">
        <v>10312</v>
      </c>
      <c r="D401">
        <v>41685</v>
      </c>
      <c r="F401">
        <f t="shared" si="42"/>
        <v>475</v>
      </c>
      <c r="G401" s="20">
        <f t="shared" si="48"/>
        <v>396</v>
      </c>
      <c r="H401" s="21">
        <v>23014060673</v>
      </c>
      <c r="I401" s="22">
        <v>491</v>
      </c>
      <c r="J401" s="23"/>
      <c r="K401" s="24">
        <v>51522</v>
      </c>
      <c r="L401" s="23">
        <f t="shared" si="43"/>
        <v>475</v>
      </c>
      <c r="M401" s="24">
        <v>10226</v>
      </c>
      <c r="N401" s="25">
        <f t="shared" si="44"/>
        <v>86</v>
      </c>
      <c r="O401" s="24">
        <v>41296</v>
      </c>
      <c r="P401" s="23">
        <f t="shared" si="45"/>
        <v>389</v>
      </c>
      <c r="Q401" s="26"/>
      <c r="R401" s="23">
        <f t="shared" si="46"/>
        <v>0</v>
      </c>
      <c r="S401" s="27" t="s">
        <v>18</v>
      </c>
      <c r="T401" s="19" t="s">
        <v>414</v>
      </c>
    </row>
    <row r="402" spans="1:20" ht="37.5" customHeight="1" x14ac:dyDescent="0.25">
      <c r="A402" s="19" t="s">
        <v>415</v>
      </c>
      <c r="B402">
        <f t="shared" si="47"/>
        <v>51639</v>
      </c>
      <c r="C402">
        <v>8550</v>
      </c>
      <c r="D402">
        <v>43089</v>
      </c>
      <c r="F402">
        <f t="shared" si="42"/>
        <v>589</v>
      </c>
      <c r="G402" s="20">
        <f t="shared" si="48"/>
        <v>397</v>
      </c>
      <c r="H402" s="21">
        <v>23015100364</v>
      </c>
      <c r="I402" s="22">
        <v>494</v>
      </c>
      <c r="J402" s="23"/>
      <c r="K402" s="24">
        <v>51050</v>
      </c>
      <c r="L402" s="23">
        <f t="shared" si="43"/>
        <v>589</v>
      </c>
      <c r="M402" s="24">
        <v>8457</v>
      </c>
      <c r="N402" s="25">
        <f t="shared" si="44"/>
        <v>93</v>
      </c>
      <c r="O402" s="24">
        <v>42593</v>
      </c>
      <c r="P402" s="23">
        <f t="shared" si="45"/>
        <v>496</v>
      </c>
      <c r="Q402" s="26"/>
      <c r="R402" s="23">
        <f t="shared" si="46"/>
        <v>0</v>
      </c>
      <c r="S402" s="27" t="s">
        <v>18</v>
      </c>
      <c r="T402" s="19" t="s">
        <v>415</v>
      </c>
    </row>
    <row r="403" spans="1:20" ht="37.5" customHeight="1" x14ac:dyDescent="0.25">
      <c r="A403" s="19" t="s">
        <v>416</v>
      </c>
      <c r="B403">
        <f t="shared" si="47"/>
        <v>3315</v>
      </c>
      <c r="C403">
        <v>875</v>
      </c>
      <c r="D403">
        <v>2440</v>
      </c>
      <c r="E403">
        <v>7030</v>
      </c>
      <c r="F403">
        <f t="shared" si="42"/>
        <v>336</v>
      </c>
      <c r="G403" s="20">
        <f t="shared" si="48"/>
        <v>398</v>
      </c>
      <c r="H403" s="21">
        <v>9962403009</v>
      </c>
      <c r="I403" s="22">
        <v>496</v>
      </c>
      <c r="J403" s="23"/>
      <c r="K403" s="24">
        <f>M403+O403</f>
        <v>2979</v>
      </c>
      <c r="L403" s="23">
        <f t="shared" si="43"/>
        <v>336</v>
      </c>
      <c r="M403" s="24">
        <v>779</v>
      </c>
      <c r="N403" s="25">
        <f t="shared" si="44"/>
        <v>96</v>
      </c>
      <c r="O403" s="24">
        <v>2200</v>
      </c>
      <c r="P403" s="23">
        <f t="shared" si="45"/>
        <v>240</v>
      </c>
      <c r="Q403" s="26">
        <v>6076</v>
      </c>
      <c r="R403" s="23">
        <f t="shared" si="46"/>
        <v>954</v>
      </c>
      <c r="S403" s="27" t="s">
        <v>18</v>
      </c>
      <c r="T403" s="19" t="s">
        <v>416</v>
      </c>
    </row>
    <row r="404" spans="1:20" ht="37.5" customHeight="1" x14ac:dyDescent="0.25">
      <c r="A404" s="19" t="s">
        <v>417</v>
      </c>
      <c r="B404">
        <f t="shared" si="47"/>
        <v>31566</v>
      </c>
      <c r="C404">
        <v>4920</v>
      </c>
      <c r="D404">
        <v>26646</v>
      </c>
      <c r="F404">
        <f t="shared" si="42"/>
        <v>389</v>
      </c>
      <c r="G404" s="20">
        <f t="shared" si="48"/>
        <v>399</v>
      </c>
      <c r="H404" s="21">
        <v>66621010140</v>
      </c>
      <c r="I404" s="22">
        <v>497</v>
      </c>
      <c r="J404" s="23"/>
      <c r="K404" s="24">
        <v>31177</v>
      </c>
      <c r="L404" s="23">
        <f t="shared" si="43"/>
        <v>389</v>
      </c>
      <c r="M404" s="24">
        <v>4847</v>
      </c>
      <c r="N404" s="25">
        <f t="shared" si="44"/>
        <v>73</v>
      </c>
      <c r="O404" s="24">
        <v>26330</v>
      </c>
      <c r="P404" s="23">
        <f t="shared" si="45"/>
        <v>316</v>
      </c>
      <c r="Q404" s="26"/>
      <c r="R404" s="23">
        <f t="shared" si="46"/>
        <v>0</v>
      </c>
      <c r="S404" s="27" t="s">
        <v>18</v>
      </c>
      <c r="T404" s="19" t="s">
        <v>417</v>
      </c>
    </row>
    <row r="405" spans="1:20" ht="37.5" customHeight="1" x14ac:dyDescent="0.25">
      <c r="A405" s="19" t="s">
        <v>418</v>
      </c>
      <c r="B405">
        <f t="shared" si="47"/>
        <v>70055</v>
      </c>
      <c r="C405">
        <v>14958</v>
      </c>
      <c r="D405">
        <v>55097</v>
      </c>
      <c r="F405">
        <f t="shared" si="42"/>
        <v>528</v>
      </c>
      <c r="G405" s="20">
        <f t="shared" si="48"/>
        <v>400</v>
      </c>
      <c r="H405" s="21">
        <v>23013040203</v>
      </c>
      <c r="I405" s="22">
        <v>498</v>
      </c>
      <c r="J405" s="23"/>
      <c r="K405" s="24">
        <v>69527</v>
      </c>
      <c r="L405" s="23">
        <f t="shared" si="43"/>
        <v>528</v>
      </c>
      <c r="M405" s="24">
        <v>14858</v>
      </c>
      <c r="N405" s="25">
        <f t="shared" si="44"/>
        <v>100</v>
      </c>
      <c r="O405" s="24">
        <v>54669</v>
      </c>
      <c r="P405" s="23">
        <f t="shared" si="45"/>
        <v>428</v>
      </c>
      <c r="Q405" s="26"/>
      <c r="R405" s="23">
        <f t="shared" si="46"/>
        <v>0</v>
      </c>
      <c r="S405" s="27" t="s">
        <v>18</v>
      </c>
      <c r="T405" s="19" t="s">
        <v>418</v>
      </c>
    </row>
    <row r="406" spans="1:20" ht="37.5" customHeight="1" x14ac:dyDescent="0.25">
      <c r="A406" s="19" t="s">
        <v>419</v>
      </c>
      <c r="B406">
        <f t="shared" si="47"/>
        <v>14791</v>
      </c>
      <c r="C406">
        <v>2772</v>
      </c>
      <c r="D406">
        <v>12019</v>
      </c>
      <c r="F406">
        <f t="shared" si="42"/>
        <v>437</v>
      </c>
      <c r="G406" s="20">
        <f t="shared" si="48"/>
        <v>401</v>
      </c>
      <c r="H406" s="21">
        <v>23015100810</v>
      </c>
      <c r="I406" s="22">
        <v>500</v>
      </c>
      <c r="J406" s="23"/>
      <c r="K406" s="24">
        <v>14354</v>
      </c>
      <c r="L406" s="23">
        <f t="shared" si="43"/>
        <v>437</v>
      </c>
      <c r="M406" s="24">
        <v>2689</v>
      </c>
      <c r="N406" s="25">
        <f t="shared" si="44"/>
        <v>83</v>
      </c>
      <c r="O406" s="24">
        <v>11665</v>
      </c>
      <c r="P406" s="23">
        <f t="shared" si="45"/>
        <v>354</v>
      </c>
      <c r="Q406" s="26"/>
      <c r="R406" s="23">
        <f t="shared" si="46"/>
        <v>0</v>
      </c>
      <c r="S406" s="27" t="s">
        <v>18</v>
      </c>
      <c r="T406" s="19" t="s">
        <v>419</v>
      </c>
    </row>
    <row r="407" spans="1:20" ht="37.5" customHeight="1" x14ac:dyDescent="0.25">
      <c r="A407" s="19" t="s">
        <v>420</v>
      </c>
      <c r="B407">
        <f t="shared" si="47"/>
        <v>66842</v>
      </c>
      <c r="C407">
        <v>10744</v>
      </c>
      <c r="D407">
        <v>56098</v>
      </c>
      <c r="F407">
        <f t="shared" si="42"/>
        <v>506</v>
      </c>
      <c r="G407" s="20">
        <f t="shared" si="48"/>
        <v>402</v>
      </c>
      <c r="H407" s="21">
        <v>23015101093</v>
      </c>
      <c r="I407" s="22">
        <v>501</v>
      </c>
      <c r="J407" s="23"/>
      <c r="K407" s="24">
        <v>66336</v>
      </c>
      <c r="L407" s="23">
        <f t="shared" si="43"/>
        <v>506</v>
      </c>
      <c r="M407" s="24">
        <v>10656</v>
      </c>
      <c r="N407" s="25">
        <f t="shared" si="44"/>
        <v>88</v>
      </c>
      <c r="O407" s="24">
        <v>55680</v>
      </c>
      <c r="P407" s="23">
        <f t="shared" si="45"/>
        <v>418</v>
      </c>
      <c r="Q407" s="26"/>
      <c r="R407" s="23">
        <f t="shared" si="46"/>
        <v>0</v>
      </c>
      <c r="S407" s="27" t="s">
        <v>18</v>
      </c>
      <c r="T407" s="19" t="s">
        <v>420</v>
      </c>
    </row>
    <row r="408" spans="1:20" ht="37.5" customHeight="1" x14ac:dyDescent="0.25">
      <c r="A408" s="19" t="s">
        <v>421</v>
      </c>
      <c r="B408">
        <f t="shared" si="47"/>
        <v>924</v>
      </c>
      <c r="C408">
        <v>273</v>
      </c>
      <c r="D408">
        <v>651</v>
      </c>
      <c r="E408">
        <v>4045</v>
      </c>
      <c r="F408">
        <f t="shared" si="42"/>
        <v>342</v>
      </c>
      <c r="G408" s="20">
        <f t="shared" si="48"/>
        <v>403</v>
      </c>
      <c r="H408" s="21">
        <v>99624050095</v>
      </c>
      <c r="I408" s="22">
        <v>502</v>
      </c>
      <c r="J408" s="23"/>
      <c r="K408" s="24">
        <f>M408+O408</f>
        <v>582</v>
      </c>
      <c r="L408" s="23">
        <f t="shared" si="43"/>
        <v>342</v>
      </c>
      <c r="M408" s="24">
        <v>176</v>
      </c>
      <c r="N408" s="25">
        <f t="shared" si="44"/>
        <v>97</v>
      </c>
      <c r="O408" s="24">
        <v>406</v>
      </c>
      <c r="P408" s="23">
        <f t="shared" si="45"/>
        <v>245</v>
      </c>
      <c r="Q408" s="26">
        <v>2667</v>
      </c>
      <c r="R408" s="23">
        <f t="shared" si="46"/>
        <v>1378</v>
      </c>
      <c r="S408" s="27" t="s">
        <v>18</v>
      </c>
      <c r="T408" s="19" t="s">
        <v>421</v>
      </c>
    </row>
    <row r="409" spans="1:20" ht="37.5" customHeight="1" x14ac:dyDescent="0.25">
      <c r="A409" s="19" t="s">
        <v>422</v>
      </c>
      <c r="B409">
        <f t="shared" si="47"/>
        <v>6703</v>
      </c>
      <c r="C409">
        <v>1247</v>
      </c>
      <c r="D409">
        <v>5456</v>
      </c>
      <c r="F409">
        <f t="shared" si="42"/>
        <v>161</v>
      </c>
      <c r="G409" s="20">
        <f t="shared" si="48"/>
        <v>404</v>
      </c>
      <c r="H409" s="21">
        <v>23014010015</v>
      </c>
      <c r="I409" s="22">
        <v>503</v>
      </c>
      <c r="J409" s="23"/>
      <c r="K409" s="24">
        <v>6542</v>
      </c>
      <c r="L409" s="23">
        <f t="shared" si="43"/>
        <v>161</v>
      </c>
      <c r="M409" s="24">
        <v>1210</v>
      </c>
      <c r="N409" s="25">
        <f t="shared" si="44"/>
        <v>37</v>
      </c>
      <c r="O409" s="24">
        <v>5332</v>
      </c>
      <c r="P409" s="23">
        <f t="shared" si="45"/>
        <v>124</v>
      </c>
      <c r="Q409" s="26"/>
      <c r="R409" s="23">
        <f t="shared" si="46"/>
        <v>0</v>
      </c>
      <c r="S409" s="27" t="s">
        <v>18</v>
      </c>
      <c r="T409" s="19" t="s">
        <v>422</v>
      </c>
    </row>
    <row r="410" spans="1:20" ht="37.5" customHeight="1" x14ac:dyDescent="0.25">
      <c r="A410" s="19" t="s">
        <v>423</v>
      </c>
      <c r="B410">
        <f t="shared" si="47"/>
        <v>18410</v>
      </c>
      <c r="C410">
        <v>3400</v>
      </c>
      <c r="D410">
        <v>15010</v>
      </c>
      <c r="F410">
        <f t="shared" si="42"/>
        <v>524</v>
      </c>
      <c r="G410" s="20">
        <f t="shared" si="48"/>
        <v>405</v>
      </c>
      <c r="H410" s="21">
        <v>66621090095</v>
      </c>
      <c r="I410" s="22">
        <v>504</v>
      </c>
      <c r="J410" s="23"/>
      <c r="K410" s="24">
        <v>17886</v>
      </c>
      <c r="L410" s="23">
        <f t="shared" si="43"/>
        <v>524</v>
      </c>
      <c r="M410" s="24">
        <v>3318</v>
      </c>
      <c r="N410" s="25">
        <f t="shared" si="44"/>
        <v>82</v>
      </c>
      <c r="O410" s="24">
        <v>14568</v>
      </c>
      <c r="P410" s="23">
        <f t="shared" si="45"/>
        <v>442</v>
      </c>
      <c r="Q410" s="26"/>
      <c r="R410" s="23">
        <f t="shared" si="46"/>
        <v>0</v>
      </c>
      <c r="S410" s="27" t="s">
        <v>18</v>
      </c>
      <c r="T410" s="19" t="s">
        <v>423</v>
      </c>
    </row>
    <row r="411" spans="1:20" ht="37.5" customHeight="1" x14ac:dyDescent="0.25">
      <c r="A411" s="19" t="s">
        <v>424</v>
      </c>
      <c r="B411">
        <f t="shared" si="47"/>
        <v>61861</v>
      </c>
      <c r="C411">
        <v>11709</v>
      </c>
      <c r="D411">
        <v>50152</v>
      </c>
      <c r="F411">
        <f t="shared" si="42"/>
        <v>168</v>
      </c>
      <c r="G411" s="20">
        <f t="shared" si="48"/>
        <v>406</v>
      </c>
      <c r="H411" s="21">
        <v>23013040124</v>
      </c>
      <c r="I411" s="22">
        <v>505</v>
      </c>
      <c r="J411" s="23"/>
      <c r="K411" s="24">
        <v>61693</v>
      </c>
      <c r="L411" s="23">
        <f t="shared" si="43"/>
        <v>168</v>
      </c>
      <c r="M411" s="24">
        <v>11685</v>
      </c>
      <c r="N411" s="25">
        <f t="shared" si="44"/>
        <v>24</v>
      </c>
      <c r="O411" s="24">
        <v>50008</v>
      </c>
      <c r="P411" s="23">
        <f t="shared" si="45"/>
        <v>144</v>
      </c>
      <c r="Q411" s="26"/>
      <c r="R411" s="23">
        <f t="shared" si="46"/>
        <v>0</v>
      </c>
      <c r="S411" s="27" t="s">
        <v>18</v>
      </c>
      <c r="T411" s="19" t="s">
        <v>424</v>
      </c>
    </row>
    <row r="412" spans="1:20" ht="37.5" customHeight="1" x14ac:dyDescent="0.25">
      <c r="A412" s="19" t="s">
        <v>425</v>
      </c>
      <c r="B412">
        <f t="shared" si="47"/>
        <v>1284</v>
      </c>
      <c r="C412">
        <v>327</v>
      </c>
      <c r="D412">
        <v>957</v>
      </c>
      <c r="E412">
        <v>3072</v>
      </c>
      <c r="F412">
        <f t="shared" si="42"/>
        <v>239</v>
      </c>
      <c r="G412" s="20">
        <f t="shared" si="48"/>
        <v>407</v>
      </c>
      <c r="H412" s="21">
        <v>99624040361</v>
      </c>
      <c r="I412" s="22">
        <v>506</v>
      </c>
      <c r="J412" s="23"/>
      <c r="K412" s="24">
        <f>M412+O412</f>
        <v>1045</v>
      </c>
      <c r="L412" s="23">
        <f t="shared" si="43"/>
        <v>239</v>
      </c>
      <c r="M412" s="24">
        <v>264</v>
      </c>
      <c r="N412" s="25">
        <f t="shared" si="44"/>
        <v>63</v>
      </c>
      <c r="O412" s="24">
        <v>781</v>
      </c>
      <c r="P412" s="23">
        <f t="shared" si="45"/>
        <v>176</v>
      </c>
      <c r="Q412" s="26">
        <v>2374</v>
      </c>
      <c r="R412" s="23">
        <f t="shared" si="46"/>
        <v>698</v>
      </c>
      <c r="S412" s="27" t="s">
        <v>18</v>
      </c>
      <c r="T412" s="19" t="s">
        <v>425</v>
      </c>
    </row>
    <row r="413" spans="1:20" ht="37.5" customHeight="1" x14ac:dyDescent="0.25">
      <c r="A413" s="19" t="s">
        <v>426</v>
      </c>
      <c r="B413">
        <f t="shared" si="47"/>
        <v>30416</v>
      </c>
      <c r="C413">
        <v>5285</v>
      </c>
      <c r="D413">
        <v>25131</v>
      </c>
      <c r="F413">
        <f t="shared" si="42"/>
        <v>303</v>
      </c>
      <c r="G413" s="20">
        <f t="shared" si="48"/>
        <v>408</v>
      </c>
      <c r="H413" s="21">
        <v>23015100718</v>
      </c>
      <c r="I413" s="22">
        <v>507</v>
      </c>
      <c r="J413" s="23"/>
      <c r="K413" s="24">
        <v>30113</v>
      </c>
      <c r="L413" s="23">
        <f t="shared" si="43"/>
        <v>303</v>
      </c>
      <c r="M413" s="24">
        <v>5238</v>
      </c>
      <c r="N413" s="25">
        <f t="shared" si="44"/>
        <v>47</v>
      </c>
      <c r="O413" s="24">
        <v>24875</v>
      </c>
      <c r="P413" s="23">
        <f t="shared" si="45"/>
        <v>256</v>
      </c>
      <c r="Q413" s="26"/>
      <c r="R413" s="23">
        <f t="shared" si="46"/>
        <v>0</v>
      </c>
      <c r="S413" s="27" t="s">
        <v>18</v>
      </c>
      <c r="T413" s="19" t="s">
        <v>426</v>
      </c>
    </row>
    <row r="414" spans="1:20" ht="37.5" customHeight="1" x14ac:dyDescent="0.25">
      <c r="A414" s="19" t="s">
        <v>427</v>
      </c>
      <c r="B414">
        <f t="shared" si="47"/>
        <v>102339</v>
      </c>
      <c r="C414">
        <v>17074</v>
      </c>
      <c r="D414">
        <v>85265</v>
      </c>
      <c r="F414">
        <f t="shared" si="42"/>
        <v>816</v>
      </c>
      <c r="G414" s="20">
        <f t="shared" si="48"/>
        <v>409</v>
      </c>
      <c r="H414" s="21">
        <v>23012070013</v>
      </c>
      <c r="I414" s="22">
        <v>508</v>
      </c>
      <c r="J414" s="23"/>
      <c r="K414" s="24">
        <v>101523</v>
      </c>
      <c r="L414" s="23">
        <f t="shared" si="43"/>
        <v>816</v>
      </c>
      <c r="M414" s="24">
        <v>16939</v>
      </c>
      <c r="N414" s="25">
        <f t="shared" si="44"/>
        <v>135</v>
      </c>
      <c r="O414" s="24">
        <v>84584</v>
      </c>
      <c r="P414" s="23">
        <f t="shared" si="45"/>
        <v>681</v>
      </c>
      <c r="Q414" s="26"/>
      <c r="R414" s="23">
        <f t="shared" si="46"/>
        <v>0</v>
      </c>
      <c r="S414" s="27" t="s">
        <v>18</v>
      </c>
      <c r="T414" s="19" t="s">
        <v>427</v>
      </c>
    </row>
    <row r="415" spans="1:20" ht="37.5" customHeight="1" x14ac:dyDescent="0.25">
      <c r="A415" s="19" t="s">
        <v>428</v>
      </c>
      <c r="B415">
        <f t="shared" si="47"/>
        <v>7230</v>
      </c>
      <c r="C415">
        <v>1375</v>
      </c>
      <c r="D415">
        <v>5855</v>
      </c>
      <c r="F415">
        <f t="shared" si="42"/>
        <v>186</v>
      </c>
      <c r="G415" s="20">
        <f t="shared" si="48"/>
        <v>410</v>
      </c>
      <c r="H415" s="21">
        <v>66622040009</v>
      </c>
      <c r="I415" s="22">
        <v>509</v>
      </c>
      <c r="J415" s="23"/>
      <c r="K415" s="24">
        <v>7044</v>
      </c>
      <c r="L415" s="23">
        <f t="shared" si="43"/>
        <v>186</v>
      </c>
      <c r="M415" s="24">
        <v>1335</v>
      </c>
      <c r="N415" s="25">
        <f t="shared" si="44"/>
        <v>40</v>
      </c>
      <c r="O415" s="24">
        <v>5709</v>
      </c>
      <c r="P415" s="23">
        <f t="shared" si="45"/>
        <v>146</v>
      </c>
      <c r="Q415" s="26"/>
      <c r="R415" s="23">
        <f t="shared" si="46"/>
        <v>0</v>
      </c>
      <c r="S415" s="27" t="s">
        <v>18</v>
      </c>
      <c r="T415" s="19" t="s">
        <v>428</v>
      </c>
    </row>
    <row r="416" spans="1:20" ht="37.5" customHeight="1" x14ac:dyDescent="0.25">
      <c r="A416" s="19" t="s">
        <v>429</v>
      </c>
      <c r="B416">
        <f t="shared" si="47"/>
        <v>70573</v>
      </c>
      <c r="C416">
        <v>20781</v>
      </c>
      <c r="D416">
        <v>49792</v>
      </c>
      <c r="F416">
        <f t="shared" si="42"/>
        <v>229</v>
      </c>
      <c r="G416" s="20">
        <f t="shared" si="48"/>
        <v>411</v>
      </c>
      <c r="H416" s="21">
        <v>23010090148</v>
      </c>
      <c r="I416" s="22">
        <v>510</v>
      </c>
      <c r="J416" s="23"/>
      <c r="K416" s="24">
        <v>70344</v>
      </c>
      <c r="L416" s="23">
        <f t="shared" si="43"/>
        <v>229</v>
      </c>
      <c r="M416" s="24">
        <v>20738</v>
      </c>
      <c r="N416" s="25">
        <f t="shared" si="44"/>
        <v>43</v>
      </c>
      <c r="O416" s="24">
        <v>49606</v>
      </c>
      <c r="P416" s="23">
        <f t="shared" si="45"/>
        <v>186</v>
      </c>
      <c r="Q416" s="26"/>
      <c r="R416" s="23">
        <f t="shared" si="46"/>
        <v>0</v>
      </c>
      <c r="S416" s="27" t="s">
        <v>18</v>
      </c>
      <c r="T416" s="19" t="s">
        <v>429</v>
      </c>
    </row>
    <row r="417" spans="1:20" ht="37.5" customHeight="1" x14ac:dyDescent="0.25">
      <c r="A417" s="19" t="s">
        <v>430</v>
      </c>
      <c r="B417">
        <f t="shared" si="47"/>
        <v>74563</v>
      </c>
      <c r="C417">
        <v>19677</v>
      </c>
      <c r="D417">
        <v>54886</v>
      </c>
      <c r="F417">
        <f t="shared" si="42"/>
        <v>327</v>
      </c>
      <c r="G417" s="20">
        <f t="shared" si="48"/>
        <v>412</v>
      </c>
      <c r="H417" s="21">
        <v>23010050091</v>
      </c>
      <c r="I417" s="22">
        <v>511</v>
      </c>
      <c r="J417" s="23"/>
      <c r="K417" s="24">
        <v>74236</v>
      </c>
      <c r="L417" s="23">
        <f t="shared" si="43"/>
        <v>327</v>
      </c>
      <c r="M417" s="24">
        <v>19626</v>
      </c>
      <c r="N417" s="25">
        <f t="shared" si="44"/>
        <v>51</v>
      </c>
      <c r="O417" s="24">
        <v>54610</v>
      </c>
      <c r="P417" s="23">
        <f t="shared" si="45"/>
        <v>276</v>
      </c>
      <c r="Q417" s="26"/>
      <c r="R417" s="23">
        <f t="shared" si="46"/>
        <v>0</v>
      </c>
      <c r="S417" s="27" t="s">
        <v>18</v>
      </c>
      <c r="T417" s="19" t="s">
        <v>430</v>
      </c>
    </row>
    <row r="418" spans="1:20" ht="37.5" customHeight="1" x14ac:dyDescent="0.25">
      <c r="A418" s="19" t="s">
        <v>431</v>
      </c>
      <c r="B418">
        <f t="shared" si="47"/>
        <v>8107</v>
      </c>
      <c r="C418">
        <v>1330</v>
      </c>
      <c r="D418">
        <v>6777</v>
      </c>
      <c r="F418">
        <f t="shared" si="42"/>
        <v>255</v>
      </c>
      <c r="G418" s="20">
        <f t="shared" si="48"/>
        <v>413</v>
      </c>
      <c r="H418" s="21">
        <v>66622020352</v>
      </c>
      <c r="I418" s="22">
        <v>512</v>
      </c>
      <c r="J418" s="23"/>
      <c r="K418" s="24">
        <v>7852</v>
      </c>
      <c r="L418" s="23">
        <f t="shared" si="43"/>
        <v>255</v>
      </c>
      <c r="M418" s="24">
        <v>1289</v>
      </c>
      <c r="N418" s="25">
        <f t="shared" si="44"/>
        <v>41</v>
      </c>
      <c r="O418" s="24">
        <v>6563</v>
      </c>
      <c r="P418" s="23">
        <f t="shared" si="45"/>
        <v>214</v>
      </c>
      <c r="Q418" s="26"/>
      <c r="R418" s="23">
        <f t="shared" si="46"/>
        <v>0</v>
      </c>
      <c r="S418" s="27" t="s">
        <v>18</v>
      </c>
      <c r="T418" s="19" t="s">
        <v>431</v>
      </c>
    </row>
    <row r="419" spans="1:20" ht="37.5" customHeight="1" x14ac:dyDescent="0.25">
      <c r="A419" s="19" t="s">
        <v>432</v>
      </c>
      <c r="B419">
        <f t="shared" si="47"/>
        <v>22714</v>
      </c>
      <c r="C419">
        <v>3928</v>
      </c>
      <c r="D419">
        <v>18786</v>
      </c>
      <c r="F419">
        <f t="shared" si="42"/>
        <v>329</v>
      </c>
      <c r="G419" s="20">
        <f t="shared" si="48"/>
        <v>414</v>
      </c>
      <c r="H419" s="21">
        <v>88820030090</v>
      </c>
      <c r="I419" s="22">
        <v>513</v>
      </c>
      <c r="J419" s="23"/>
      <c r="K419" s="24">
        <v>22385</v>
      </c>
      <c r="L419" s="23">
        <f t="shared" si="43"/>
        <v>329</v>
      </c>
      <c r="M419" s="24">
        <v>3870</v>
      </c>
      <c r="N419" s="25">
        <f t="shared" si="44"/>
        <v>58</v>
      </c>
      <c r="O419" s="24">
        <v>18515</v>
      </c>
      <c r="P419" s="23">
        <f t="shared" si="45"/>
        <v>271</v>
      </c>
      <c r="Q419" s="26"/>
      <c r="R419" s="23">
        <f t="shared" si="46"/>
        <v>0</v>
      </c>
      <c r="S419" s="27" t="s">
        <v>18</v>
      </c>
      <c r="T419" s="19" t="s">
        <v>432</v>
      </c>
    </row>
    <row r="420" spans="1:20" ht="37.5" customHeight="1" x14ac:dyDescent="0.25">
      <c r="A420" s="19" t="s">
        <v>433</v>
      </c>
      <c r="B420">
        <f t="shared" si="47"/>
        <v>50286</v>
      </c>
      <c r="C420">
        <v>12347</v>
      </c>
      <c r="D420">
        <v>37939</v>
      </c>
      <c r="F420">
        <f t="shared" si="42"/>
        <v>303</v>
      </c>
      <c r="G420" s="20">
        <f t="shared" si="48"/>
        <v>415</v>
      </c>
      <c r="H420" s="21">
        <v>23011020045</v>
      </c>
      <c r="I420" s="22">
        <v>514</v>
      </c>
      <c r="J420" s="23"/>
      <c r="K420" s="24">
        <v>49983</v>
      </c>
      <c r="L420" s="23">
        <f t="shared" si="43"/>
        <v>303</v>
      </c>
      <c r="M420" s="24">
        <v>12297</v>
      </c>
      <c r="N420" s="25">
        <f t="shared" si="44"/>
        <v>50</v>
      </c>
      <c r="O420" s="24">
        <v>37686</v>
      </c>
      <c r="P420" s="23">
        <f t="shared" si="45"/>
        <v>253</v>
      </c>
      <c r="Q420" s="26"/>
      <c r="R420" s="23">
        <f t="shared" si="46"/>
        <v>0</v>
      </c>
      <c r="S420" s="27" t="s">
        <v>18</v>
      </c>
      <c r="T420" s="19" t="s">
        <v>433</v>
      </c>
    </row>
    <row r="421" spans="1:20" ht="37.5" customHeight="1" x14ac:dyDescent="0.25">
      <c r="A421" s="19" t="s">
        <v>434</v>
      </c>
      <c r="B421">
        <f t="shared" si="47"/>
        <v>27569</v>
      </c>
      <c r="C421">
        <v>5914</v>
      </c>
      <c r="D421">
        <v>21655</v>
      </c>
      <c r="F421">
        <f t="shared" si="42"/>
        <v>243</v>
      </c>
      <c r="G421" s="20">
        <f t="shared" si="48"/>
        <v>416</v>
      </c>
      <c r="H421" s="21">
        <v>23014090867</v>
      </c>
      <c r="I421" s="22">
        <v>515</v>
      </c>
      <c r="J421" s="23"/>
      <c r="K421" s="24">
        <v>27326</v>
      </c>
      <c r="L421" s="23">
        <f t="shared" si="43"/>
        <v>243</v>
      </c>
      <c r="M421" s="24">
        <v>5856</v>
      </c>
      <c r="N421" s="25">
        <f t="shared" si="44"/>
        <v>58</v>
      </c>
      <c r="O421" s="24">
        <v>21470</v>
      </c>
      <c r="P421" s="23">
        <f t="shared" si="45"/>
        <v>185</v>
      </c>
      <c r="Q421" s="26"/>
      <c r="R421" s="23">
        <f t="shared" si="46"/>
        <v>0</v>
      </c>
      <c r="S421" s="27" t="s">
        <v>18</v>
      </c>
      <c r="T421" s="19" t="s">
        <v>434</v>
      </c>
    </row>
    <row r="422" spans="1:20" ht="37.5" customHeight="1" x14ac:dyDescent="0.25">
      <c r="A422" s="19" t="s">
        <v>435</v>
      </c>
      <c r="B422">
        <f t="shared" si="47"/>
        <v>14856</v>
      </c>
      <c r="C422">
        <v>2745</v>
      </c>
      <c r="D422">
        <v>12111</v>
      </c>
      <c r="F422">
        <f t="shared" si="42"/>
        <v>0</v>
      </c>
      <c r="G422" s="20">
        <f t="shared" si="48"/>
        <v>417</v>
      </c>
      <c r="H422" s="21">
        <v>23012010198</v>
      </c>
      <c r="I422" s="22">
        <v>516</v>
      </c>
      <c r="J422" s="23"/>
      <c r="K422" s="24">
        <v>14856</v>
      </c>
      <c r="L422" s="23">
        <f t="shared" si="43"/>
        <v>0</v>
      </c>
      <c r="M422" s="24">
        <v>2745</v>
      </c>
      <c r="N422" s="25">
        <f t="shared" si="44"/>
        <v>0</v>
      </c>
      <c r="O422" s="24">
        <v>12111</v>
      </c>
      <c r="P422" s="23">
        <f t="shared" si="45"/>
        <v>0</v>
      </c>
      <c r="Q422" s="26"/>
      <c r="R422" s="23">
        <f t="shared" si="46"/>
        <v>0</v>
      </c>
      <c r="S422" s="27" t="s">
        <v>18</v>
      </c>
      <c r="T422" s="19" t="s">
        <v>435</v>
      </c>
    </row>
    <row r="423" spans="1:20" ht="37.5" customHeight="1" x14ac:dyDescent="0.25">
      <c r="A423" s="19" t="s">
        <v>436</v>
      </c>
      <c r="B423">
        <f t="shared" si="47"/>
        <v>40225</v>
      </c>
      <c r="C423">
        <v>7174</v>
      </c>
      <c r="D423">
        <v>33051</v>
      </c>
      <c r="F423">
        <f t="shared" si="42"/>
        <v>24</v>
      </c>
      <c r="G423" s="20">
        <f t="shared" si="48"/>
        <v>418</v>
      </c>
      <c r="H423" s="21">
        <v>23011050074</v>
      </c>
      <c r="I423" s="22">
        <v>517</v>
      </c>
      <c r="J423" s="23"/>
      <c r="K423" s="24">
        <v>40201</v>
      </c>
      <c r="L423" s="23">
        <f t="shared" si="43"/>
        <v>24</v>
      </c>
      <c r="M423" s="24">
        <v>7171</v>
      </c>
      <c r="N423" s="25">
        <f t="shared" si="44"/>
        <v>3</v>
      </c>
      <c r="O423" s="24">
        <v>33030</v>
      </c>
      <c r="P423" s="23">
        <f t="shared" si="45"/>
        <v>21</v>
      </c>
      <c r="Q423" s="26"/>
      <c r="R423" s="23">
        <f t="shared" si="46"/>
        <v>0</v>
      </c>
      <c r="S423" s="27" t="s">
        <v>18</v>
      </c>
      <c r="T423" s="19" t="s">
        <v>436</v>
      </c>
    </row>
    <row r="424" spans="1:20" ht="37.5" customHeight="1" x14ac:dyDescent="0.25">
      <c r="A424" s="19" t="s">
        <v>437</v>
      </c>
      <c r="B424">
        <f t="shared" si="47"/>
        <v>5741</v>
      </c>
      <c r="C424">
        <v>1214</v>
      </c>
      <c r="D424">
        <v>4527</v>
      </c>
      <c r="E424">
        <v>3571</v>
      </c>
      <c r="F424">
        <f t="shared" si="42"/>
        <v>541</v>
      </c>
      <c r="G424" s="20">
        <f t="shared" si="48"/>
        <v>419</v>
      </c>
      <c r="H424" s="21">
        <v>99624030025</v>
      </c>
      <c r="I424" s="22">
        <v>518</v>
      </c>
      <c r="J424" s="23"/>
      <c r="K424" s="24">
        <f>M424+O424</f>
        <v>5200</v>
      </c>
      <c r="L424" s="23">
        <f t="shared" si="43"/>
        <v>541</v>
      </c>
      <c r="M424" s="24">
        <v>1076</v>
      </c>
      <c r="N424" s="25">
        <f t="shared" si="44"/>
        <v>138</v>
      </c>
      <c r="O424" s="24">
        <v>4124</v>
      </c>
      <c r="P424" s="23">
        <f t="shared" si="45"/>
        <v>403</v>
      </c>
      <c r="Q424" s="26">
        <v>2926</v>
      </c>
      <c r="R424" s="23">
        <f t="shared" si="46"/>
        <v>645</v>
      </c>
      <c r="S424" s="27" t="s">
        <v>18</v>
      </c>
      <c r="T424" s="19" t="s">
        <v>437</v>
      </c>
    </row>
    <row r="425" spans="1:20" ht="37.5" customHeight="1" x14ac:dyDescent="0.25">
      <c r="A425" s="19" t="s">
        <v>438</v>
      </c>
      <c r="B425">
        <f t="shared" si="47"/>
        <v>50779</v>
      </c>
      <c r="C425">
        <v>10951</v>
      </c>
      <c r="D425">
        <v>39828</v>
      </c>
      <c r="F425">
        <f t="shared" si="42"/>
        <v>207</v>
      </c>
      <c r="G425" s="20">
        <f t="shared" si="48"/>
        <v>420</v>
      </c>
      <c r="H425" s="21">
        <v>23011120052</v>
      </c>
      <c r="I425" s="22">
        <v>519</v>
      </c>
      <c r="J425" s="23"/>
      <c r="K425" s="24">
        <v>50572</v>
      </c>
      <c r="L425" s="23">
        <f t="shared" si="43"/>
        <v>207</v>
      </c>
      <c r="M425" s="24">
        <v>10891</v>
      </c>
      <c r="N425" s="25">
        <f t="shared" si="44"/>
        <v>60</v>
      </c>
      <c r="O425" s="24">
        <v>39681</v>
      </c>
      <c r="P425" s="23">
        <f t="shared" si="45"/>
        <v>147</v>
      </c>
      <c r="Q425" s="26"/>
      <c r="R425" s="23">
        <f t="shared" si="46"/>
        <v>0</v>
      </c>
      <c r="S425" s="27" t="s">
        <v>18</v>
      </c>
      <c r="T425" s="19" t="s">
        <v>438</v>
      </c>
    </row>
    <row r="426" spans="1:20" ht="37.5" customHeight="1" x14ac:dyDescent="0.25">
      <c r="A426" s="19" t="s">
        <v>439</v>
      </c>
      <c r="B426">
        <f t="shared" si="47"/>
        <v>39068</v>
      </c>
      <c r="C426">
        <v>6017</v>
      </c>
      <c r="D426">
        <v>33051</v>
      </c>
      <c r="F426">
        <f t="shared" si="42"/>
        <v>440</v>
      </c>
      <c r="G426" s="20">
        <f t="shared" si="48"/>
        <v>421</v>
      </c>
      <c r="H426" s="21">
        <v>66618010073</v>
      </c>
      <c r="I426" s="22">
        <v>521</v>
      </c>
      <c r="J426" s="23"/>
      <c r="K426" s="24">
        <v>38628</v>
      </c>
      <c r="L426" s="23">
        <f t="shared" si="43"/>
        <v>440</v>
      </c>
      <c r="M426" s="24">
        <v>5956</v>
      </c>
      <c r="N426" s="25">
        <f t="shared" si="44"/>
        <v>61</v>
      </c>
      <c r="O426" s="24">
        <v>32672</v>
      </c>
      <c r="P426" s="23">
        <f t="shared" si="45"/>
        <v>379</v>
      </c>
      <c r="Q426" s="26"/>
      <c r="R426" s="23">
        <f t="shared" si="46"/>
        <v>0</v>
      </c>
      <c r="S426" s="27" t="s">
        <v>18</v>
      </c>
      <c r="T426" s="19" t="s">
        <v>439</v>
      </c>
    </row>
    <row r="427" spans="1:20" ht="37.5" customHeight="1" x14ac:dyDescent="0.25">
      <c r="A427" s="19" t="s">
        <v>440</v>
      </c>
      <c r="B427">
        <f t="shared" si="47"/>
        <v>13396</v>
      </c>
      <c r="C427">
        <v>2158</v>
      </c>
      <c r="D427">
        <v>11238</v>
      </c>
      <c r="F427">
        <f t="shared" si="42"/>
        <v>497</v>
      </c>
      <c r="G427" s="20">
        <f t="shared" si="48"/>
        <v>422</v>
      </c>
      <c r="H427" s="21">
        <v>88820010382</v>
      </c>
      <c r="I427" s="22">
        <v>534</v>
      </c>
      <c r="J427" s="23"/>
      <c r="K427" s="24">
        <v>12899</v>
      </c>
      <c r="L427" s="23">
        <f t="shared" si="43"/>
        <v>497</v>
      </c>
      <c r="M427" s="24">
        <v>2087</v>
      </c>
      <c r="N427" s="25">
        <f t="shared" si="44"/>
        <v>71</v>
      </c>
      <c r="O427" s="24">
        <v>10812</v>
      </c>
      <c r="P427" s="23">
        <f t="shared" si="45"/>
        <v>426</v>
      </c>
      <c r="Q427" s="26"/>
      <c r="R427" s="23">
        <f t="shared" si="46"/>
        <v>0</v>
      </c>
      <c r="S427" s="27" t="s">
        <v>18</v>
      </c>
      <c r="T427" s="19" t="s">
        <v>440</v>
      </c>
    </row>
    <row r="428" spans="1:20" ht="37.5" customHeight="1" x14ac:dyDescent="0.25">
      <c r="A428" s="19" t="s">
        <v>441</v>
      </c>
      <c r="B428">
        <f t="shared" si="47"/>
        <v>592</v>
      </c>
      <c r="C428">
        <v>87</v>
      </c>
      <c r="D428">
        <v>505</v>
      </c>
      <c r="F428">
        <f t="shared" si="42"/>
        <v>2</v>
      </c>
      <c r="G428" s="20">
        <f t="shared" si="48"/>
        <v>423</v>
      </c>
      <c r="H428" s="21">
        <v>88823020111</v>
      </c>
      <c r="I428" s="22">
        <v>535</v>
      </c>
      <c r="J428" s="23"/>
      <c r="K428" s="24">
        <v>590</v>
      </c>
      <c r="L428" s="23">
        <f t="shared" si="43"/>
        <v>2</v>
      </c>
      <c r="M428" s="24">
        <v>87</v>
      </c>
      <c r="N428" s="25">
        <f t="shared" si="44"/>
        <v>0</v>
      </c>
      <c r="O428" s="24">
        <v>503</v>
      </c>
      <c r="P428" s="23">
        <f t="shared" si="45"/>
        <v>2</v>
      </c>
      <c r="Q428" s="26"/>
      <c r="R428" s="23">
        <f t="shared" si="46"/>
        <v>0</v>
      </c>
      <c r="S428" s="27" t="s">
        <v>18</v>
      </c>
      <c r="T428" s="19" t="s">
        <v>441</v>
      </c>
    </row>
    <row r="429" spans="1:20" ht="37.5" customHeight="1" x14ac:dyDescent="0.25">
      <c r="A429" s="19" t="s">
        <v>442</v>
      </c>
      <c r="B429">
        <f t="shared" si="47"/>
        <v>21691</v>
      </c>
      <c r="C429">
        <v>3359</v>
      </c>
      <c r="D429">
        <v>18332</v>
      </c>
      <c r="F429">
        <f t="shared" si="42"/>
        <v>1716</v>
      </c>
      <c r="G429" s="20">
        <f t="shared" si="48"/>
        <v>424</v>
      </c>
      <c r="H429" s="21">
        <v>66622040570</v>
      </c>
      <c r="I429" s="22">
        <v>536</v>
      </c>
      <c r="J429" s="23"/>
      <c r="K429" s="24">
        <v>19975</v>
      </c>
      <c r="L429" s="23">
        <f t="shared" si="43"/>
        <v>1716</v>
      </c>
      <c r="M429" s="24">
        <v>3117</v>
      </c>
      <c r="N429" s="25">
        <f t="shared" si="44"/>
        <v>242</v>
      </c>
      <c r="O429" s="24">
        <v>16858</v>
      </c>
      <c r="P429" s="23">
        <f t="shared" si="45"/>
        <v>1474</v>
      </c>
      <c r="Q429" s="26"/>
      <c r="R429" s="23">
        <f t="shared" si="46"/>
        <v>0</v>
      </c>
      <c r="S429" s="27" t="s">
        <v>18</v>
      </c>
      <c r="T429" s="19" t="s">
        <v>442</v>
      </c>
    </row>
    <row r="430" spans="1:20" ht="37.5" customHeight="1" x14ac:dyDescent="0.25">
      <c r="A430" s="19" t="s">
        <v>443</v>
      </c>
      <c r="B430">
        <f t="shared" si="47"/>
        <v>78557</v>
      </c>
      <c r="C430">
        <v>14064</v>
      </c>
      <c r="D430">
        <v>64493</v>
      </c>
      <c r="F430">
        <f t="shared" si="42"/>
        <v>1262</v>
      </c>
      <c r="G430" s="20">
        <f t="shared" si="48"/>
        <v>425</v>
      </c>
      <c r="H430" s="21">
        <v>23014060572</v>
      </c>
      <c r="I430" s="22">
        <v>537</v>
      </c>
      <c r="J430" s="23"/>
      <c r="K430" s="24">
        <v>77295</v>
      </c>
      <c r="L430" s="23">
        <f t="shared" si="43"/>
        <v>1262</v>
      </c>
      <c r="M430" s="24">
        <v>13868</v>
      </c>
      <c r="N430" s="25">
        <f t="shared" si="44"/>
        <v>196</v>
      </c>
      <c r="O430" s="24">
        <v>63427</v>
      </c>
      <c r="P430" s="23">
        <f t="shared" si="45"/>
        <v>1066</v>
      </c>
      <c r="Q430" s="26"/>
      <c r="R430" s="23">
        <f t="shared" si="46"/>
        <v>0</v>
      </c>
      <c r="S430" s="27" t="s">
        <v>18</v>
      </c>
      <c r="T430" s="19" t="s">
        <v>443</v>
      </c>
    </row>
    <row r="431" spans="1:20" ht="37.5" customHeight="1" x14ac:dyDescent="0.25">
      <c r="A431" s="19" t="s">
        <v>444</v>
      </c>
      <c r="B431">
        <f t="shared" si="47"/>
        <v>43994</v>
      </c>
      <c r="C431">
        <v>8001</v>
      </c>
      <c r="D431">
        <v>35993</v>
      </c>
      <c r="F431">
        <f t="shared" si="42"/>
        <v>1</v>
      </c>
      <c r="G431" s="20">
        <f t="shared" si="48"/>
        <v>426</v>
      </c>
      <c r="H431" s="21">
        <v>23015100197</v>
      </c>
      <c r="I431" s="22">
        <v>538</v>
      </c>
      <c r="J431" s="23"/>
      <c r="K431" s="24">
        <v>43993</v>
      </c>
      <c r="L431" s="23">
        <f t="shared" si="43"/>
        <v>1</v>
      </c>
      <c r="M431" s="24">
        <v>8001</v>
      </c>
      <c r="N431" s="25">
        <f t="shared" si="44"/>
        <v>0</v>
      </c>
      <c r="O431" s="24">
        <v>35992</v>
      </c>
      <c r="P431" s="23">
        <f t="shared" si="45"/>
        <v>1</v>
      </c>
      <c r="Q431" s="26"/>
      <c r="R431" s="23">
        <f t="shared" si="46"/>
        <v>0</v>
      </c>
      <c r="S431" s="27" t="s">
        <v>18</v>
      </c>
      <c r="T431" s="19" t="s">
        <v>444</v>
      </c>
    </row>
    <row r="432" spans="1:20" ht="37.5" customHeight="1" x14ac:dyDescent="0.25">
      <c r="A432" s="19" t="s">
        <v>445</v>
      </c>
      <c r="B432">
        <f t="shared" si="47"/>
        <v>491</v>
      </c>
      <c r="C432">
        <v>150</v>
      </c>
      <c r="D432">
        <v>341</v>
      </c>
      <c r="E432">
        <v>2610</v>
      </c>
      <c r="F432">
        <f t="shared" si="42"/>
        <v>111</v>
      </c>
      <c r="G432" s="20">
        <f t="shared" si="48"/>
        <v>427</v>
      </c>
      <c r="H432" s="21">
        <v>99624050184</v>
      </c>
      <c r="I432" s="22">
        <v>539</v>
      </c>
      <c r="J432" s="23"/>
      <c r="K432" s="24">
        <f>M432+O432</f>
        <v>380</v>
      </c>
      <c r="L432" s="23">
        <f t="shared" si="43"/>
        <v>111</v>
      </c>
      <c r="M432" s="24">
        <v>122</v>
      </c>
      <c r="N432" s="25">
        <f t="shared" si="44"/>
        <v>28</v>
      </c>
      <c r="O432" s="24">
        <v>258</v>
      </c>
      <c r="P432" s="23">
        <f t="shared" si="45"/>
        <v>83</v>
      </c>
      <c r="Q432" s="26">
        <v>1755</v>
      </c>
      <c r="R432" s="23">
        <f t="shared" si="46"/>
        <v>855</v>
      </c>
      <c r="S432" s="27" t="s">
        <v>18</v>
      </c>
      <c r="T432" s="19" t="s">
        <v>445</v>
      </c>
    </row>
    <row r="433" spans="1:20" ht="37.5" customHeight="1" x14ac:dyDescent="0.25">
      <c r="A433" s="19" t="s">
        <v>446</v>
      </c>
      <c r="B433">
        <f t="shared" si="47"/>
        <v>21289</v>
      </c>
      <c r="C433">
        <v>2833</v>
      </c>
      <c r="D433">
        <v>18456</v>
      </c>
      <c r="F433">
        <f t="shared" si="42"/>
        <v>594</v>
      </c>
      <c r="G433" s="20">
        <f t="shared" si="48"/>
        <v>428</v>
      </c>
      <c r="H433" s="21">
        <v>66622040401</v>
      </c>
      <c r="I433" s="22">
        <v>540</v>
      </c>
      <c r="J433" s="23"/>
      <c r="K433" s="24">
        <v>20695</v>
      </c>
      <c r="L433" s="23">
        <f t="shared" si="43"/>
        <v>594</v>
      </c>
      <c r="M433" s="24">
        <v>2734</v>
      </c>
      <c r="N433" s="25">
        <f t="shared" si="44"/>
        <v>99</v>
      </c>
      <c r="O433" s="24">
        <v>17961</v>
      </c>
      <c r="P433" s="23">
        <f t="shared" si="45"/>
        <v>495</v>
      </c>
      <c r="Q433" s="26"/>
      <c r="R433" s="23">
        <f t="shared" si="46"/>
        <v>0</v>
      </c>
      <c r="S433" s="27" t="s">
        <v>18</v>
      </c>
      <c r="T433" s="19" t="s">
        <v>446</v>
      </c>
    </row>
    <row r="434" spans="1:20" ht="37.5" customHeight="1" x14ac:dyDescent="0.25">
      <c r="A434" s="19" t="s">
        <v>447</v>
      </c>
      <c r="B434">
        <f t="shared" si="47"/>
        <v>19975</v>
      </c>
      <c r="C434">
        <v>3376</v>
      </c>
      <c r="D434">
        <v>16599</v>
      </c>
      <c r="F434">
        <f t="shared" si="42"/>
        <v>749</v>
      </c>
      <c r="G434" s="20">
        <f t="shared" si="48"/>
        <v>429</v>
      </c>
      <c r="H434" s="21">
        <v>66622040385</v>
      </c>
      <c r="I434" s="22">
        <v>541</v>
      </c>
      <c r="J434" s="23"/>
      <c r="K434" s="24">
        <v>19226</v>
      </c>
      <c r="L434" s="23">
        <f t="shared" si="43"/>
        <v>749</v>
      </c>
      <c r="M434" s="24">
        <v>3207</v>
      </c>
      <c r="N434" s="25">
        <f t="shared" si="44"/>
        <v>169</v>
      </c>
      <c r="O434" s="24">
        <v>16019</v>
      </c>
      <c r="P434" s="23">
        <f t="shared" si="45"/>
        <v>580</v>
      </c>
      <c r="Q434" s="26"/>
      <c r="R434" s="23">
        <f t="shared" si="46"/>
        <v>0</v>
      </c>
      <c r="S434" s="27" t="s">
        <v>18</v>
      </c>
      <c r="T434" s="19" t="s">
        <v>447</v>
      </c>
    </row>
    <row r="435" spans="1:20" ht="37.5" customHeight="1" x14ac:dyDescent="0.25">
      <c r="A435" s="19" t="s">
        <v>448</v>
      </c>
      <c r="B435">
        <f t="shared" si="47"/>
        <v>98956</v>
      </c>
      <c r="C435">
        <v>17893</v>
      </c>
      <c r="D435">
        <v>81063</v>
      </c>
      <c r="F435">
        <f t="shared" si="42"/>
        <v>890</v>
      </c>
      <c r="G435" s="20">
        <f t="shared" si="48"/>
        <v>430</v>
      </c>
      <c r="H435" s="21">
        <v>23012040003</v>
      </c>
      <c r="I435" s="22">
        <v>543</v>
      </c>
      <c r="J435" s="23"/>
      <c r="K435" s="24">
        <v>98066</v>
      </c>
      <c r="L435" s="23">
        <f t="shared" si="43"/>
        <v>890</v>
      </c>
      <c r="M435" s="24">
        <v>17761</v>
      </c>
      <c r="N435" s="25">
        <f t="shared" si="44"/>
        <v>132</v>
      </c>
      <c r="O435" s="24">
        <v>80305</v>
      </c>
      <c r="P435" s="23">
        <f t="shared" si="45"/>
        <v>758</v>
      </c>
      <c r="Q435" s="26"/>
      <c r="R435" s="23">
        <f t="shared" si="46"/>
        <v>0</v>
      </c>
      <c r="S435" s="27" t="s">
        <v>18</v>
      </c>
      <c r="T435" s="19" t="s">
        <v>448</v>
      </c>
    </row>
    <row r="436" spans="1:20" ht="37.5" customHeight="1" x14ac:dyDescent="0.25">
      <c r="A436" s="19" t="s">
        <v>449</v>
      </c>
      <c r="B436">
        <f t="shared" si="47"/>
        <v>15834</v>
      </c>
      <c r="C436">
        <v>2628</v>
      </c>
      <c r="D436">
        <v>13206</v>
      </c>
      <c r="F436">
        <f t="shared" si="42"/>
        <v>389</v>
      </c>
      <c r="G436" s="20">
        <f t="shared" si="48"/>
        <v>431</v>
      </c>
      <c r="H436" s="21">
        <v>66621070285</v>
      </c>
      <c r="I436" s="22">
        <v>546</v>
      </c>
      <c r="J436" s="23"/>
      <c r="K436" s="24">
        <v>15445</v>
      </c>
      <c r="L436" s="23">
        <f t="shared" si="43"/>
        <v>389</v>
      </c>
      <c r="M436" s="24">
        <v>2565</v>
      </c>
      <c r="N436" s="25">
        <f t="shared" si="44"/>
        <v>63</v>
      </c>
      <c r="O436" s="24">
        <v>12880</v>
      </c>
      <c r="P436" s="23">
        <f t="shared" si="45"/>
        <v>326</v>
      </c>
      <c r="Q436" s="26"/>
      <c r="R436" s="23">
        <f t="shared" si="46"/>
        <v>0</v>
      </c>
      <c r="S436" s="27" t="s">
        <v>18</v>
      </c>
      <c r="T436" s="19" t="s">
        <v>449</v>
      </c>
    </row>
    <row r="437" spans="1:20" ht="37.5" customHeight="1" x14ac:dyDescent="0.25">
      <c r="A437" s="19" t="s">
        <v>450</v>
      </c>
      <c r="B437">
        <f t="shared" si="47"/>
        <v>4882</v>
      </c>
      <c r="C437">
        <v>944</v>
      </c>
      <c r="D437">
        <v>3938</v>
      </c>
      <c r="E437">
        <v>4477</v>
      </c>
      <c r="F437">
        <f t="shared" si="42"/>
        <v>176</v>
      </c>
      <c r="G437" s="20">
        <f t="shared" si="48"/>
        <v>432</v>
      </c>
      <c r="H437" s="21">
        <v>99624020102</v>
      </c>
      <c r="I437" s="22">
        <v>548</v>
      </c>
      <c r="J437" s="23"/>
      <c r="K437" s="24">
        <f>M437+O437</f>
        <v>4706</v>
      </c>
      <c r="L437" s="23">
        <f t="shared" si="43"/>
        <v>176</v>
      </c>
      <c r="M437" s="24">
        <v>887</v>
      </c>
      <c r="N437" s="25">
        <f t="shared" si="44"/>
        <v>57</v>
      </c>
      <c r="O437" s="24">
        <v>3819</v>
      </c>
      <c r="P437" s="23">
        <f t="shared" si="45"/>
        <v>119</v>
      </c>
      <c r="Q437" s="26">
        <v>3836</v>
      </c>
      <c r="R437" s="23">
        <f t="shared" si="46"/>
        <v>641</v>
      </c>
      <c r="S437" s="27" t="s">
        <v>18</v>
      </c>
      <c r="T437" s="19" t="s">
        <v>450</v>
      </c>
    </row>
    <row r="438" spans="1:20" ht="37.5" customHeight="1" x14ac:dyDescent="0.25">
      <c r="A438" s="19" t="s">
        <v>451</v>
      </c>
      <c r="B438">
        <f t="shared" si="47"/>
        <v>38238</v>
      </c>
      <c r="C438">
        <v>6468</v>
      </c>
      <c r="D438">
        <v>31770</v>
      </c>
      <c r="F438">
        <f t="shared" si="42"/>
        <v>161</v>
      </c>
      <c r="G438" s="20">
        <f t="shared" si="48"/>
        <v>433</v>
      </c>
      <c r="H438" s="21">
        <v>23013010257</v>
      </c>
      <c r="I438" s="22">
        <v>549</v>
      </c>
      <c r="J438" s="23"/>
      <c r="K438" s="24">
        <v>38077</v>
      </c>
      <c r="L438" s="23">
        <f t="shared" si="43"/>
        <v>161</v>
      </c>
      <c r="M438" s="24">
        <v>6444</v>
      </c>
      <c r="N438" s="25">
        <f t="shared" si="44"/>
        <v>24</v>
      </c>
      <c r="O438" s="24">
        <v>31633</v>
      </c>
      <c r="P438" s="23">
        <f t="shared" si="45"/>
        <v>137</v>
      </c>
      <c r="Q438" s="26"/>
      <c r="R438" s="23">
        <f t="shared" si="46"/>
        <v>0</v>
      </c>
      <c r="S438" s="27" t="s">
        <v>18</v>
      </c>
      <c r="T438" s="19" t="s">
        <v>451</v>
      </c>
    </row>
    <row r="439" spans="1:20" ht="37.5" customHeight="1" x14ac:dyDescent="0.25">
      <c r="A439" s="19" t="s">
        <v>452</v>
      </c>
      <c r="B439">
        <f t="shared" si="47"/>
        <v>37507</v>
      </c>
      <c r="C439">
        <v>6896</v>
      </c>
      <c r="D439">
        <v>30611</v>
      </c>
      <c r="F439">
        <f t="shared" si="42"/>
        <v>267</v>
      </c>
      <c r="G439" s="20">
        <f t="shared" si="48"/>
        <v>434</v>
      </c>
      <c r="H439" s="21">
        <v>23014040320</v>
      </c>
      <c r="I439" s="22">
        <v>550</v>
      </c>
      <c r="J439" s="23"/>
      <c r="K439" s="24">
        <v>37240</v>
      </c>
      <c r="L439" s="23">
        <f t="shared" si="43"/>
        <v>267</v>
      </c>
      <c r="M439" s="24">
        <v>6842</v>
      </c>
      <c r="N439" s="25">
        <f t="shared" si="44"/>
        <v>54</v>
      </c>
      <c r="O439" s="24">
        <v>30398</v>
      </c>
      <c r="P439" s="23">
        <f t="shared" si="45"/>
        <v>213</v>
      </c>
      <c r="Q439" s="26"/>
      <c r="R439" s="23">
        <f t="shared" si="46"/>
        <v>0</v>
      </c>
      <c r="S439" s="27" t="s">
        <v>18</v>
      </c>
      <c r="T439" s="19" t="s">
        <v>452</v>
      </c>
    </row>
    <row r="440" spans="1:20" ht="37.5" customHeight="1" x14ac:dyDescent="0.25">
      <c r="A440" s="19" t="s">
        <v>453</v>
      </c>
      <c r="B440">
        <f t="shared" si="47"/>
        <v>15368</v>
      </c>
      <c r="C440">
        <v>2189</v>
      </c>
      <c r="D440">
        <v>13179</v>
      </c>
      <c r="F440">
        <f t="shared" si="42"/>
        <v>76</v>
      </c>
      <c r="G440" s="20">
        <f t="shared" si="48"/>
        <v>435</v>
      </c>
      <c r="H440" s="21">
        <v>66621060133</v>
      </c>
      <c r="I440" s="22">
        <v>551</v>
      </c>
      <c r="J440" s="23"/>
      <c r="K440" s="24">
        <v>15292</v>
      </c>
      <c r="L440" s="23">
        <f t="shared" si="43"/>
        <v>76</v>
      </c>
      <c r="M440" s="24">
        <v>2177</v>
      </c>
      <c r="N440" s="25">
        <f t="shared" si="44"/>
        <v>12</v>
      </c>
      <c r="O440" s="24">
        <v>13115</v>
      </c>
      <c r="P440" s="23">
        <f t="shared" si="45"/>
        <v>64</v>
      </c>
      <c r="Q440" s="26"/>
      <c r="R440" s="23">
        <f t="shared" si="46"/>
        <v>0</v>
      </c>
      <c r="S440" s="27" t="s">
        <v>18</v>
      </c>
      <c r="T440" s="19" t="s">
        <v>453</v>
      </c>
    </row>
    <row r="441" spans="1:20" ht="37.5" customHeight="1" x14ac:dyDescent="0.25">
      <c r="A441" s="19" t="s">
        <v>454</v>
      </c>
      <c r="B441">
        <f t="shared" si="47"/>
        <v>7465</v>
      </c>
      <c r="C441">
        <v>1393</v>
      </c>
      <c r="D441">
        <v>6072</v>
      </c>
      <c r="F441">
        <f t="shared" si="42"/>
        <v>488</v>
      </c>
      <c r="G441" s="20">
        <f t="shared" si="48"/>
        <v>436</v>
      </c>
      <c r="H441" s="21">
        <v>66621050406</v>
      </c>
      <c r="I441" s="22">
        <v>552</v>
      </c>
      <c r="J441" s="23"/>
      <c r="K441" s="24">
        <v>6977</v>
      </c>
      <c r="L441" s="23">
        <f t="shared" si="43"/>
        <v>488</v>
      </c>
      <c r="M441" s="24">
        <v>1287</v>
      </c>
      <c r="N441" s="25">
        <f t="shared" si="44"/>
        <v>106</v>
      </c>
      <c r="O441" s="24">
        <v>5690</v>
      </c>
      <c r="P441" s="23">
        <f t="shared" si="45"/>
        <v>382</v>
      </c>
      <c r="Q441" s="26"/>
      <c r="R441" s="23">
        <f t="shared" si="46"/>
        <v>0</v>
      </c>
      <c r="S441" s="27" t="s">
        <v>18</v>
      </c>
      <c r="T441" s="19" t="s">
        <v>454</v>
      </c>
    </row>
    <row r="442" spans="1:20" ht="37.5" customHeight="1" x14ac:dyDescent="0.25">
      <c r="A442" s="19" t="s">
        <v>455</v>
      </c>
      <c r="B442">
        <f t="shared" si="47"/>
        <v>77264</v>
      </c>
      <c r="C442">
        <v>13556</v>
      </c>
      <c r="D442">
        <v>63708</v>
      </c>
      <c r="F442">
        <f t="shared" si="42"/>
        <v>80</v>
      </c>
      <c r="G442" s="20">
        <f t="shared" si="48"/>
        <v>437</v>
      </c>
      <c r="H442" s="21">
        <v>23015100290</v>
      </c>
      <c r="I442" s="22">
        <v>553</v>
      </c>
      <c r="J442" s="23"/>
      <c r="K442" s="24">
        <v>77184</v>
      </c>
      <c r="L442" s="23">
        <f t="shared" si="43"/>
        <v>80</v>
      </c>
      <c r="M442" s="24">
        <v>13543</v>
      </c>
      <c r="N442" s="25">
        <f t="shared" si="44"/>
        <v>13</v>
      </c>
      <c r="O442" s="24">
        <v>63641</v>
      </c>
      <c r="P442" s="23">
        <f t="shared" si="45"/>
        <v>67</v>
      </c>
      <c r="Q442" s="26"/>
      <c r="R442" s="23">
        <f t="shared" si="46"/>
        <v>0</v>
      </c>
      <c r="S442" s="27" t="s">
        <v>18</v>
      </c>
      <c r="T442" s="19" t="s">
        <v>455</v>
      </c>
    </row>
    <row r="443" spans="1:20" ht="37.5" customHeight="1" x14ac:dyDescent="0.25">
      <c r="A443" s="19" t="s">
        <v>456</v>
      </c>
      <c r="B443">
        <f t="shared" si="47"/>
        <v>490</v>
      </c>
      <c r="C443">
        <v>96</v>
      </c>
      <c r="D443">
        <v>394</v>
      </c>
      <c r="F443">
        <f t="shared" si="42"/>
        <v>6</v>
      </c>
      <c r="G443" s="20">
        <f t="shared" si="48"/>
        <v>438</v>
      </c>
      <c r="H443" s="21">
        <v>88823020127</v>
      </c>
      <c r="I443" s="22">
        <v>554</v>
      </c>
      <c r="J443" s="23"/>
      <c r="K443" s="24">
        <v>484</v>
      </c>
      <c r="L443" s="23">
        <f t="shared" si="43"/>
        <v>6</v>
      </c>
      <c r="M443" s="24">
        <v>96</v>
      </c>
      <c r="N443" s="25">
        <f t="shared" si="44"/>
        <v>0</v>
      </c>
      <c r="O443" s="24">
        <v>388</v>
      </c>
      <c r="P443" s="23">
        <f t="shared" si="45"/>
        <v>6</v>
      </c>
      <c r="Q443" s="26"/>
      <c r="R443" s="23">
        <f t="shared" si="46"/>
        <v>0</v>
      </c>
      <c r="S443" s="27" t="s">
        <v>18</v>
      </c>
      <c r="T443" s="19" t="s">
        <v>456</v>
      </c>
    </row>
    <row r="444" spans="1:20" ht="37.5" customHeight="1" x14ac:dyDescent="0.25">
      <c r="A444" s="19" t="s">
        <v>457</v>
      </c>
      <c r="B444">
        <v>28</v>
      </c>
      <c r="F444">
        <f t="shared" si="42"/>
        <v>0</v>
      </c>
      <c r="G444" s="20">
        <f t="shared" si="48"/>
        <v>439</v>
      </c>
      <c r="H444" s="21">
        <v>23013040126</v>
      </c>
      <c r="I444" s="22">
        <v>555</v>
      </c>
      <c r="J444" s="23"/>
      <c r="K444" s="24">
        <v>28</v>
      </c>
      <c r="L444" s="23">
        <f t="shared" si="43"/>
        <v>0</v>
      </c>
      <c r="M444" s="24"/>
      <c r="N444" s="25">
        <f t="shared" si="44"/>
        <v>0</v>
      </c>
      <c r="O444" s="24"/>
      <c r="P444" s="23">
        <f t="shared" si="45"/>
        <v>0</v>
      </c>
      <c r="Q444" s="26"/>
      <c r="R444" s="23">
        <f t="shared" si="46"/>
        <v>0</v>
      </c>
      <c r="S444" s="27" t="s">
        <v>18</v>
      </c>
      <c r="T444" s="19" t="s">
        <v>457</v>
      </c>
    </row>
    <row r="445" spans="1:20" ht="37.5" customHeight="1" x14ac:dyDescent="0.25">
      <c r="A445" s="19" t="s">
        <v>458</v>
      </c>
      <c r="B445">
        <f t="shared" si="47"/>
        <v>28610</v>
      </c>
      <c r="C445">
        <v>5746</v>
      </c>
      <c r="D445">
        <v>22864</v>
      </c>
      <c r="F445">
        <f t="shared" si="42"/>
        <v>823</v>
      </c>
      <c r="G445" s="20">
        <f t="shared" si="48"/>
        <v>440</v>
      </c>
      <c r="H445" s="21">
        <v>66621090117</v>
      </c>
      <c r="I445" s="22">
        <v>556</v>
      </c>
      <c r="J445" s="23"/>
      <c r="K445" s="24">
        <v>27787</v>
      </c>
      <c r="L445" s="23">
        <f t="shared" si="43"/>
        <v>823</v>
      </c>
      <c r="M445" s="24">
        <v>5606</v>
      </c>
      <c r="N445" s="25">
        <f t="shared" si="44"/>
        <v>140</v>
      </c>
      <c r="O445" s="24">
        <v>22181</v>
      </c>
      <c r="P445" s="23">
        <f t="shared" si="45"/>
        <v>683</v>
      </c>
      <c r="Q445" s="26"/>
      <c r="R445" s="23">
        <f t="shared" si="46"/>
        <v>0</v>
      </c>
      <c r="S445" s="27" t="s">
        <v>18</v>
      </c>
      <c r="T445" s="19" t="s">
        <v>458</v>
      </c>
    </row>
    <row r="446" spans="1:20" ht="37.5" customHeight="1" x14ac:dyDescent="0.25">
      <c r="A446" s="19" t="s">
        <v>459</v>
      </c>
      <c r="B446">
        <f t="shared" si="47"/>
        <v>4562</v>
      </c>
      <c r="C446">
        <v>651</v>
      </c>
      <c r="D446">
        <v>3911</v>
      </c>
      <c r="F446">
        <f t="shared" si="42"/>
        <v>299</v>
      </c>
      <c r="G446" s="20">
        <f t="shared" si="48"/>
        <v>441</v>
      </c>
      <c r="H446" s="21">
        <v>66622040636</v>
      </c>
      <c r="I446" s="22">
        <v>557</v>
      </c>
      <c r="J446" s="23"/>
      <c r="K446" s="24">
        <v>4263</v>
      </c>
      <c r="L446" s="23">
        <f t="shared" si="43"/>
        <v>299</v>
      </c>
      <c r="M446" s="24">
        <v>600</v>
      </c>
      <c r="N446" s="25">
        <f t="shared" si="44"/>
        <v>51</v>
      </c>
      <c r="O446" s="24">
        <v>3663</v>
      </c>
      <c r="P446" s="23">
        <f t="shared" si="45"/>
        <v>248</v>
      </c>
      <c r="Q446" s="26"/>
      <c r="R446" s="23">
        <f t="shared" si="46"/>
        <v>0</v>
      </c>
      <c r="S446" s="27" t="s">
        <v>18</v>
      </c>
      <c r="T446" s="19" t="s">
        <v>459</v>
      </c>
    </row>
    <row r="447" spans="1:20" ht="37.5" customHeight="1" x14ac:dyDescent="0.25">
      <c r="A447" s="19" t="s">
        <v>460</v>
      </c>
      <c r="B447">
        <f t="shared" si="47"/>
        <v>5091</v>
      </c>
      <c r="C447">
        <v>795</v>
      </c>
      <c r="D447">
        <v>4296</v>
      </c>
      <c r="F447">
        <f t="shared" si="42"/>
        <v>502</v>
      </c>
      <c r="G447" s="20">
        <f t="shared" si="48"/>
        <v>442</v>
      </c>
      <c r="H447" s="21">
        <v>88820020117</v>
      </c>
      <c r="I447" s="22">
        <v>559</v>
      </c>
      <c r="J447" s="23"/>
      <c r="K447" s="24">
        <v>4589</v>
      </c>
      <c r="L447" s="23">
        <f t="shared" si="43"/>
        <v>502</v>
      </c>
      <c r="M447" s="24">
        <v>707</v>
      </c>
      <c r="N447" s="25">
        <f t="shared" si="44"/>
        <v>88</v>
      </c>
      <c r="O447" s="24">
        <v>3882</v>
      </c>
      <c r="P447" s="23">
        <f t="shared" si="45"/>
        <v>414</v>
      </c>
      <c r="Q447" s="26"/>
      <c r="R447" s="23">
        <f t="shared" si="46"/>
        <v>0</v>
      </c>
      <c r="S447" s="27" t="s">
        <v>18</v>
      </c>
      <c r="T447" s="19" t="s">
        <v>460</v>
      </c>
    </row>
    <row r="448" spans="1:20" ht="37.5" customHeight="1" x14ac:dyDescent="0.25">
      <c r="A448" s="19" t="s">
        <v>461</v>
      </c>
      <c r="B448">
        <f t="shared" si="47"/>
        <v>4511</v>
      </c>
      <c r="C448">
        <v>1202</v>
      </c>
      <c r="D448">
        <v>3309</v>
      </c>
      <c r="E448">
        <v>7299</v>
      </c>
      <c r="F448">
        <f t="shared" si="42"/>
        <v>234</v>
      </c>
      <c r="G448" s="20">
        <f t="shared" si="48"/>
        <v>443</v>
      </c>
      <c r="H448" s="21">
        <v>99624020068</v>
      </c>
      <c r="I448" s="22">
        <v>560</v>
      </c>
      <c r="J448" s="23"/>
      <c r="K448" s="24">
        <f>M448+O448</f>
        <v>4277</v>
      </c>
      <c r="L448" s="23">
        <f t="shared" si="43"/>
        <v>234</v>
      </c>
      <c r="M448" s="24">
        <v>1123</v>
      </c>
      <c r="N448" s="25">
        <f t="shared" si="44"/>
        <v>79</v>
      </c>
      <c r="O448" s="24">
        <v>3154</v>
      </c>
      <c r="P448" s="23">
        <f t="shared" si="45"/>
        <v>155</v>
      </c>
      <c r="Q448" s="26">
        <v>6375</v>
      </c>
      <c r="R448" s="23">
        <f t="shared" si="46"/>
        <v>924</v>
      </c>
      <c r="S448" s="27" t="s">
        <v>18</v>
      </c>
      <c r="T448" s="19" t="s">
        <v>461</v>
      </c>
    </row>
    <row r="449" spans="1:20" ht="37.5" customHeight="1" x14ac:dyDescent="0.25">
      <c r="A449" s="19" t="s">
        <v>462</v>
      </c>
      <c r="B449">
        <f t="shared" si="47"/>
        <v>12951</v>
      </c>
      <c r="C449">
        <v>1994</v>
      </c>
      <c r="D449">
        <v>10957</v>
      </c>
      <c r="F449">
        <f t="shared" si="42"/>
        <v>173</v>
      </c>
      <c r="G449" s="20">
        <f t="shared" si="48"/>
        <v>444</v>
      </c>
      <c r="H449" s="21">
        <v>66617020284</v>
      </c>
      <c r="I449" s="22">
        <v>562</v>
      </c>
      <c r="J449" s="23"/>
      <c r="K449" s="24">
        <v>12778</v>
      </c>
      <c r="L449" s="23">
        <f t="shared" si="43"/>
        <v>173</v>
      </c>
      <c r="M449" s="24">
        <v>1993</v>
      </c>
      <c r="N449" s="25">
        <f t="shared" si="44"/>
        <v>1</v>
      </c>
      <c r="O449" s="24">
        <v>10785</v>
      </c>
      <c r="P449" s="23">
        <f t="shared" si="45"/>
        <v>172</v>
      </c>
      <c r="Q449" s="26"/>
      <c r="R449" s="23">
        <f t="shared" si="46"/>
        <v>0</v>
      </c>
      <c r="S449" s="27" t="s">
        <v>18</v>
      </c>
      <c r="T449" s="19" t="s">
        <v>462</v>
      </c>
    </row>
    <row r="450" spans="1:20" ht="37.5" customHeight="1" x14ac:dyDescent="0.25">
      <c r="A450" s="19" t="s">
        <v>463</v>
      </c>
      <c r="B450">
        <f t="shared" si="47"/>
        <v>56581</v>
      </c>
      <c r="C450">
        <v>10067</v>
      </c>
      <c r="D450">
        <v>46514</v>
      </c>
      <c r="F450">
        <f t="shared" si="42"/>
        <v>225</v>
      </c>
      <c r="G450" s="20">
        <f t="shared" si="48"/>
        <v>445</v>
      </c>
      <c r="H450" s="21">
        <v>23012070115</v>
      </c>
      <c r="I450" s="22">
        <v>563</v>
      </c>
      <c r="J450" s="23"/>
      <c r="K450" s="24">
        <v>56356</v>
      </c>
      <c r="L450" s="23">
        <f t="shared" si="43"/>
        <v>225</v>
      </c>
      <c r="M450" s="24">
        <v>10025</v>
      </c>
      <c r="N450" s="25">
        <f t="shared" si="44"/>
        <v>42</v>
      </c>
      <c r="O450" s="24">
        <v>46331</v>
      </c>
      <c r="P450" s="23">
        <f t="shared" si="45"/>
        <v>183</v>
      </c>
      <c r="Q450" s="26"/>
      <c r="R450" s="23">
        <f t="shared" si="46"/>
        <v>0</v>
      </c>
      <c r="S450" s="27" t="s">
        <v>18</v>
      </c>
      <c r="T450" s="19" t="s">
        <v>463</v>
      </c>
    </row>
    <row r="451" spans="1:20" ht="37.5" customHeight="1" x14ac:dyDescent="0.25">
      <c r="A451" s="19" t="s">
        <v>464</v>
      </c>
      <c r="B451">
        <f>595+95694</f>
        <v>96289</v>
      </c>
      <c r="F451">
        <f t="shared" si="42"/>
        <v>595</v>
      </c>
      <c r="G451" s="20">
        <f t="shared" si="48"/>
        <v>446</v>
      </c>
      <c r="H451" s="21">
        <v>23011070071</v>
      </c>
      <c r="I451" s="22">
        <v>565</v>
      </c>
      <c r="J451" s="23"/>
      <c r="K451" s="24">
        <v>95694</v>
      </c>
      <c r="L451" s="23">
        <f t="shared" si="43"/>
        <v>595</v>
      </c>
      <c r="M451" s="24">
        <v>16763</v>
      </c>
      <c r="N451" s="25">
        <f t="shared" si="44"/>
        <v>-16763</v>
      </c>
      <c r="O451" s="24">
        <v>78931</v>
      </c>
      <c r="P451" s="23">
        <f t="shared" si="45"/>
        <v>-78931</v>
      </c>
      <c r="Q451" s="26"/>
      <c r="R451" s="23">
        <f t="shared" si="46"/>
        <v>0</v>
      </c>
      <c r="S451" s="27" t="s">
        <v>18</v>
      </c>
      <c r="T451" s="19" t="s">
        <v>464</v>
      </c>
    </row>
    <row r="452" spans="1:20" ht="37.5" customHeight="1" x14ac:dyDescent="0.25">
      <c r="A452" s="19" t="s">
        <v>465</v>
      </c>
      <c r="B452">
        <f t="shared" si="47"/>
        <v>2710</v>
      </c>
      <c r="C452">
        <v>597</v>
      </c>
      <c r="D452">
        <v>2113</v>
      </c>
      <c r="F452">
        <f t="shared" si="42"/>
        <v>0</v>
      </c>
      <c r="G452" s="20">
        <f t="shared" si="48"/>
        <v>447</v>
      </c>
      <c r="H452" s="21">
        <v>23013040434</v>
      </c>
      <c r="I452" s="22">
        <v>566</v>
      </c>
      <c r="J452" s="23"/>
      <c r="K452" s="24">
        <v>2710</v>
      </c>
      <c r="L452" s="23">
        <f t="shared" si="43"/>
        <v>0</v>
      </c>
      <c r="M452" s="24">
        <v>597</v>
      </c>
      <c r="N452" s="25">
        <f t="shared" si="44"/>
        <v>0</v>
      </c>
      <c r="O452" s="24">
        <v>2113</v>
      </c>
      <c r="P452" s="23">
        <f t="shared" si="45"/>
        <v>0</v>
      </c>
      <c r="Q452" s="26"/>
      <c r="R452" s="23">
        <f t="shared" si="46"/>
        <v>0</v>
      </c>
      <c r="S452" s="27" t="s">
        <v>18</v>
      </c>
      <c r="T452" s="19" t="s">
        <v>465</v>
      </c>
    </row>
    <row r="453" spans="1:20" ht="37.5" customHeight="1" x14ac:dyDescent="0.25">
      <c r="A453" s="19" t="s">
        <v>466</v>
      </c>
      <c r="B453">
        <f t="shared" si="47"/>
        <v>5472</v>
      </c>
      <c r="C453">
        <v>829</v>
      </c>
      <c r="D453">
        <v>4643</v>
      </c>
      <c r="F453">
        <f t="shared" ref="F453:F516" si="49">L453</f>
        <v>4</v>
      </c>
      <c r="G453" s="20">
        <f t="shared" si="48"/>
        <v>448</v>
      </c>
      <c r="H453" s="21">
        <v>88821080333</v>
      </c>
      <c r="I453" s="22">
        <v>567</v>
      </c>
      <c r="J453" s="23"/>
      <c r="K453" s="24">
        <v>5468</v>
      </c>
      <c r="L453" s="23">
        <f t="shared" si="43"/>
        <v>4</v>
      </c>
      <c r="M453" s="24">
        <v>829</v>
      </c>
      <c r="N453" s="25">
        <f t="shared" si="44"/>
        <v>0</v>
      </c>
      <c r="O453" s="24">
        <v>4639</v>
      </c>
      <c r="P453" s="23">
        <f t="shared" si="45"/>
        <v>4</v>
      </c>
      <c r="Q453" s="26"/>
      <c r="R453" s="23">
        <f t="shared" si="46"/>
        <v>0</v>
      </c>
      <c r="S453" s="27" t="s">
        <v>18</v>
      </c>
      <c r="T453" s="19" t="s">
        <v>466</v>
      </c>
    </row>
    <row r="454" spans="1:20" ht="37.5" customHeight="1" x14ac:dyDescent="0.25">
      <c r="A454" s="19" t="s">
        <v>467</v>
      </c>
      <c r="B454">
        <f t="shared" si="47"/>
        <v>18119</v>
      </c>
      <c r="C454">
        <v>2937</v>
      </c>
      <c r="D454">
        <v>15182</v>
      </c>
      <c r="F454">
        <f t="shared" si="49"/>
        <v>623</v>
      </c>
      <c r="G454" s="20">
        <f t="shared" si="48"/>
        <v>449</v>
      </c>
      <c r="H454" s="21">
        <v>66622040355</v>
      </c>
      <c r="I454" s="22">
        <v>568</v>
      </c>
      <c r="J454" s="23"/>
      <c r="K454" s="24">
        <v>17496</v>
      </c>
      <c r="L454" s="23">
        <f t="shared" ref="L454:L517" si="50">B454-K454</f>
        <v>623</v>
      </c>
      <c r="M454" s="24">
        <v>2822</v>
      </c>
      <c r="N454" s="25">
        <f t="shared" ref="N454:N517" si="51">C454-M454</f>
        <v>115</v>
      </c>
      <c r="O454" s="24">
        <v>14674</v>
      </c>
      <c r="P454" s="23">
        <f t="shared" ref="P454:P517" si="52">D454-O454</f>
        <v>508</v>
      </c>
      <c r="Q454" s="26"/>
      <c r="R454" s="23">
        <f t="shared" ref="R454:R517" si="53">E454-Q454</f>
        <v>0</v>
      </c>
      <c r="S454" s="27" t="s">
        <v>18</v>
      </c>
      <c r="T454" s="19" t="s">
        <v>467</v>
      </c>
    </row>
    <row r="455" spans="1:20" ht="37.5" customHeight="1" x14ac:dyDescent="0.25">
      <c r="A455" s="19" t="s">
        <v>468</v>
      </c>
      <c r="B455">
        <f t="shared" ref="B455:B518" si="54">C455+D455</f>
        <v>75800</v>
      </c>
      <c r="C455">
        <v>12357</v>
      </c>
      <c r="D455">
        <v>63443</v>
      </c>
      <c r="F455">
        <f t="shared" si="49"/>
        <v>411</v>
      </c>
      <c r="G455" s="20">
        <f t="shared" si="48"/>
        <v>450</v>
      </c>
      <c r="H455" s="21">
        <v>23014090028</v>
      </c>
      <c r="I455" s="22">
        <v>570</v>
      </c>
      <c r="J455" s="23"/>
      <c r="K455" s="24">
        <v>75389</v>
      </c>
      <c r="L455" s="23">
        <f t="shared" si="50"/>
        <v>411</v>
      </c>
      <c r="M455" s="24">
        <v>12277</v>
      </c>
      <c r="N455" s="25">
        <f t="shared" si="51"/>
        <v>80</v>
      </c>
      <c r="O455" s="24">
        <v>63112</v>
      </c>
      <c r="P455" s="23">
        <f t="shared" si="52"/>
        <v>331</v>
      </c>
      <c r="Q455" s="26"/>
      <c r="R455" s="23">
        <f t="shared" si="53"/>
        <v>0</v>
      </c>
      <c r="S455" s="27" t="s">
        <v>18</v>
      </c>
      <c r="T455" s="19" t="s">
        <v>468</v>
      </c>
    </row>
    <row r="456" spans="1:20" ht="37.5" customHeight="1" x14ac:dyDescent="0.25">
      <c r="A456" s="19" t="s">
        <v>469</v>
      </c>
      <c r="B456">
        <f t="shared" si="54"/>
        <v>47582</v>
      </c>
      <c r="C456">
        <v>8155</v>
      </c>
      <c r="D456">
        <v>39427</v>
      </c>
      <c r="F456">
        <f t="shared" si="49"/>
        <v>284</v>
      </c>
      <c r="G456" s="20">
        <f t="shared" ref="G456:G519" si="55">G455+1</f>
        <v>451</v>
      </c>
      <c r="H456" s="21">
        <v>23014040272</v>
      </c>
      <c r="I456" s="22">
        <v>571</v>
      </c>
      <c r="J456" s="23"/>
      <c r="K456" s="24">
        <v>47298</v>
      </c>
      <c r="L456" s="23">
        <f t="shared" si="50"/>
        <v>284</v>
      </c>
      <c r="M456" s="24">
        <v>8105</v>
      </c>
      <c r="N456" s="25">
        <f t="shared" si="51"/>
        <v>50</v>
      </c>
      <c r="O456" s="24">
        <v>39193</v>
      </c>
      <c r="P456" s="23">
        <f t="shared" si="52"/>
        <v>234</v>
      </c>
      <c r="Q456" s="26"/>
      <c r="R456" s="23">
        <f t="shared" si="53"/>
        <v>0</v>
      </c>
      <c r="S456" s="27" t="s">
        <v>18</v>
      </c>
      <c r="T456" s="19" t="s">
        <v>469</v>
      </c>
    </row>
    <row r="457" spans="1:20" ht="37.5" customHeight="1" x14ac:dyDescent="0.25">
      <c r="A457" s="19" t="s">
        <v>470</v>
      </c>
      <c r="B457">
        <f t="shared" si="54"/>
        <v>53501</v>
      </c>
      <c r="C457">
        <v>10767</v>
      </c>
      <c r="D457">
        <v>42734</v>
      </c>
      <c r="F457">
        <f t="shared" si="49"/>
        <v>206</v>
      </c>
      <c r="G457" s="20">
        <f t="shared" si="55"/>
        <v>452</v>
      </c>
      <c r="H457" s="21">
        <v>23011090031</v>
      </c>
      <c r="I457" s="22">
        <v>572</v>
      </c>
      <c r="J457" s="23"/>
      <c r="K457" s="24">
        <v>53295</v>
      </c>
      <c r="L457" s="23">
        <f t="shared" si="50"/>
        <v>206</v>
      </c>
      <c r="M457" s="24">
        <v>10707</v>
      </c>
      <c r="N457" s="25">
        <f t="shared" si="51"/>
        <v>60</v>
      </c>
      <c r="O457" s="24">
        <v>42588</v>
      </c>
      <c r="P457" s="23">
        <f t="shared" si="52"/>
        <v>146</v>
      </c>
      <c r="Q457" s="26"/>
      <c r="R457" s="23">
        <f t="shared" si="53"/>
        <v>0</v>
      </c>
      <c r="S457" s="27" t="s">
        <v>18</v>
      </c>
      <c r="T457" s="19" t="s">
        <v>470</v>
      </c>
    </row>
    <row r="458" spans="1:20" ht="37.5" customHeight="1" x14ac:dyDescent="0.25">
      <c r="A458" s="19" t="s">
        <v>471</v>
      </c>
      <c r="B458">
        <f t="shared" si="54"/>
        <v>24569</v>
      </c>
      <c r="C458">
        <v>4946</v>
      </c>
      <c r="D458">
        <v>19623</v>
      </c>
      <c r="F458">
        <f t="shared" si="49"/>
        <v>220</v>
      </c>
      <c r="G458" s="20">
        <f t="shared" si="55"/>
        <v>453</v>
      </c>
      <c r="H458" s="21">
        <v>88819010231</v>
      </c>
      <c r="I458" s="22">
        <v>574</v>
      </c>
      <c r="J458" s="23"/>
      <c r="K458" s="24">
        <v>24349</v>
      </c>
      <c r="L458" s="23">
        <f t="shared" si="50"/>
        <v>220</v>
      </c>
      <c r="M458" s="24">
        <v>4907</v>
      </c>
      <c r="N458" s="25">
        <f t="shared" si="51"/>
        <v>39</v>
      </c>
      <c r="O458" s="24">
        <v>19442</v>
      </c>
      <c r="P458" s="23">
        <f t="shared" si="52"/>
        <v>181</v>
      </c>
      <c r="Q458" s="26"/>
      <c r="R458" s="23">
        <f t="shared" si="53"/>
        <v>0</v>
      </c>
      <c r="S458" s="27" t="s">
        <v>18</v>
      </c>
      <c r="T458" s="19" t="s">
        <v>471</v>
      </c>
    </row>
    <row r="459" spans="1:20" ht="37.5" customHeight="1" x14ac:dyDescent="0.25">
      <c r="A459" s="19" t="s">
        <v>472</v>
      </c>
      <c r="B459">
        <f t="shared" si="54"/>
        <v>195</v>
      </c>
      <c r="C459">
        <v>18</v>
      </c>
      <c r="D459">
        <v>177</v>
      </c>
      <c r="F459">
        <f t="shared" si="49"/>
        <v>72</v>
      </c>
      <c r="G459" s="20">
        <f t="shared" si="55"/>
        <v>454</v>
      </c>
      <c r="H459" s="21">
        <v>66624030132</v>
      </c>
      <c r="I459" s="22">
        <v>575</v>
      </c>
      <c r="J459" s="23"/>
      <c r="K459" s="24">
        <v>123</v>
      </c>
      <c r="L459" s="23">
        <f t="shared" si="50"/>
        <v>72</v>
      </c>
      <c r="M459" s="24">
        <v>11</v>
      </c>
      <c r="N459" s="25">
        <f t="shared" si="51"/>
        <v>7</v>
      </c>
      <c r="O459" s="24">
        <v>112</v>
      </c>
      <c r="P459" s="23">
        <f t="shared" si="52"/>
        <v>65</v>
      </c>
      <c r="Q459" s="26"/>
      <c r="R459" s="23">
        <f t="shared" si="53"/>
        <v>0</v>
      </c>
      <c r="S459" s="27" t="s">
        <v>18</v>
      </c>
      <c r="T459" s="19" t="s">
        <v>472</v>
      </c>
    </row>
    <row r="460" spans="1:20" ht="37.5" customHeight="1" x14ac:dyDescent="0.25">
      <c r="A460" s="19" t="s">
        <v>473</v>
      </c>
      <c r="B460">
        <f t="shared" si="54"/>
        <v>3882</v>
      </c>
      <c r="C460">
        <v>939</v>
      </c>
      <c r="D460">
        <v>2943</v>
      </c>
      <c r="E460">
        <v>5430</v>
      </c>
      <c r="F460">
        <f t="shared" si="49"/>
        <v>581</v>
      </c>
      <c r="G460" s="20">
        <f t="shared" si="55"/>
        <v>455</v>
      </c>
      <c r="H460" s="21">
        <v>99624040180</v>
      </c>
      <c r="I460" s="22">
        <v>576</v>
      </c>
      <c r="J460" s="23"/>
      <c r="K460" s="24">
        <f>M460+O460</f>
        <v>3301</v>
      </c>
      <c r="L460" s="23">
        <f t="shared" si="50"/>
        <v>581</v>
      </c>
      <c r="M460" s="24">
        <v>774</v>
      </c>
      <c r="N460" s="25">
        <f t="shared" si="51"/>
        <v>165</v>
      </c>
      <c r="O460" s="24">
        <v>2527</v>
      </c>
      <c r="P460" s="23">
        <f t="shared" si="52"/>
        <v>416</v>
      </c>
      <c r="Q460" s="26">
        <v>4548</v>
      </c>
      <c r="R460" s="23">
        <f t="shared" si="53"/>
        <v>882</v>
      </c>
      <c r="S460" s="27" t="s">
        <v>18</v>
      </c>
      <c r="T460" s="19" t="s">
        <v>473</v>
      </c>
    </row>
    <row r="461" spans="1:20" ht="37.5" customHeight="1" x14ac:dyDescent="0.25">
      <c r="A461" s="19" t="s">
        <v>474</v>
      </c>
      <c r="B461">
        <f t="shared" si="54"/>
        <v>88517</v>
      </c>
      <c r="C461">
        <v>14761</v>
      </c>
      <c r="D461">
        <v>73756</v>
      </c>
      <c r="F461">
        <f t="shared" si="49"/>
        <v>682</v>
      </c>
      <c r="G461" s="20">
        <f t="shared" si="55"/>
        <v>456</v>
      </c>
      <c r="H461" s="21">
        <v>23012060182</v>
      </c>
      <c r="I461" s="22">
        <v>577</v>
      </c>
      <c r="J461" s="23"/>
      <c r="K461" s="24">
        <v>87835</v>
      </c>
      <c r="L461" s="23">
        <f t="shared" si="50"/>
        <v>682</v>
      </c>
      <c r="M461" s="24">
        <v>14650</v>
      </c>
      <c r="N461" s="25">
        <f t="shared" si="51"/>
        <v>111</v>
      </c>
      <c r="O461" s="24">
        <v>73185</v>
      </c>
      <c r="P461" s="23">
        <f t="shared" si="52"/>
        <v>571</v>
      </c>
      <c r="Q461" s="26"/>
      <c r="R461" s="23">
        <f t="shared" si="53"/>
        <v>0</v>
      </c>
      <c r="S461" s="27" t="s">
        <v>18</v>
      </c>
      <c r="T461" s="19" t="s">
        <v>474</v>
      </c>
    </row>
    <row r="462" spans="1:20" ht="37.5" customHeight="1" x14ac:dyDescent="0.25">
      <c r="A462" s="19" t="s">
        <v>475</v>
      </c>
      <c r="B462">
        <f t="shared" si="54"/>
        <v>17679</v>
      </c>
      <c r="C462">
        <v>3157</v>
      </c>
      <c r="D462">
        <v>14522</v>
      </c>
      <c r="F462">
        <f t="shared" si="49"/>
        <v>1001</v>
      </c>
      <c r="G462" s="20">
        <f t="shared" si="55"/>
        <v>457</v>
      </c>
      <c r="H462" s="21">
        <v>66621060103</v>
      </c>
      <c r="I462" s="22">
        <v>578</v>
      </c>
      <c r="J462" s="23"/>
      <c r="K462" s="24">
        <v>16678</v>
      </c>
      <c r="L462" s="23">
        <f t="shared" si="50"/>
        <v>1001</v>
      </c>
      <c r="M462" s="24">
        <v>2982</v>
      </c>
      <c r="N462" s="25">
        <f t="shared" si="51"/>
        <v>175</v>
      </c>
      <c r="O462" s="24">
        <v>13696</v>
      </c>
      <c r="P462" s="23">
        <f t="shared" si="52"/>
        <v>826</v>
      </c>
      <c r="Q462" s="26"/>
      <c r="R462" s="23">
        <f t="shared" si="53"/>
        <v>0</v>
      </c>
      <c r="S462" s="27" t="s">
        <v>18</v>
      </c>
      <c r="T462" s="19" t="s">
        <v>475</v>
      </c>
    </row>
    <row r="463" spans="1:20" ht="37.5" customHeight="1" x14ac:dyDescent="0.25">
      <c r="A463" s="19" t="s">
        <v>476</v>
      </c>
      <c r="B463">
        <f t="shared" si="54"/>
        <v>2051</v>
      </c>
      <c r="C463">
        <v>376</v>
      </c>
      <c r="D463">
        <v>1675</v>
      </c>
      <c r="F463">
        <f t="shared" si="49"/>
        <v>53</v>
      </c>
      <c r="G463" s="20">
        <f t="shared" si="55"/>
        <v>458</v>
      </c>
      <c r="H463" s="21">
        <v>66621050358</v>
      </c>
      <c r="I463" s="22">
        <v>579</v>
      </c>
      <c r="J463" s="23"/>
      <c r="K463" s="24">
        <v>1998</v>
      </c>
      <c r="L463" s="23">
        <f t="shared" si="50"/>
        <v>53</v>
      </c>
      <c r="M463" s="24">
        <v>361</v>
      </c>
      <c r="N463" s="25">
        <f t="shared" si="51"/>
        <v>15</v>
      </c>
      <c r="O463" s="24">
        <v>1637</v>
      </c>
      <c r="P463" s="23">
        <f t="shared" si="52"/>
        <v>38</v>
      </c>
      <c r="Q463" s="26"/>
      <c r="R463" s="23">
        <f t="shared" si="53"/>
        <v>0</v>
      </c>
      <c r="S463" s="27" t="s">
        <v>18</v>
      </c>
      <c r="T463" s="19" t="s">
        <v>476</v>
      </c>
    </row>
    <row r="464" spans="1:20" ht="37.5" customHeight="1" x14ac:dyDescent="0.25">
      <c r="A464" s="19" t="s">
        <v>477</v>
      </c>
      <c r="B464">
        <f t="shared" si="54"/>
        <v>42311</v>
      </c>
      <c r="C464">
        <v>7985</v>
      </c>
      <c r="D464">
        <v>34326</v>
      </c>
      <c r="F464">
        <f t="shared" si="49"/>
        <v>56</v>
      </c>
      <c r="G464" s="20">
        <f t="shared" si="55"/>
        <v>459</v>
      </c>
      <c r="H464" s="21">
        <v>66617010060</v>
      </c>
      <c r="I464" s="22">
        <v>580</v>
      </c>
      <c r="J464" s="23"/>
      <c r="K464" s="24">
        <v>42255</v>
      </c>
      <c r="L464" s="23">
        <f t="shared" si="50"/>
        <v>56</v>
      </c>
      <c r="M464" s="24">
        <v>7980</v>
      </c>
      <c r="N464" s="25">
        <f t="shared" si="51"/>
        <v>5</v>
      </c>
      <c r="O464" s="24">
        <v>34275</v>
      </c>
      <c r="P464" s="23">
        <f t="shared" si="52"/>
        <v>51</v>
      </c>
      <c r="Q464" s="26"/>
      <c r="R464" s="23">
        <f t="shared" si="53"/>
        <v>0</v>
      </c>
      <c r="S464" s="27" t="s">
        <v>18</v>
      </c>
      <c r="T464" s="19" t="s">
        <v>477</v>
      </c>
    </row>
    <row r="465" spans="1:20" ht="37.5" customHeight="1" x14ac:dyDescent="0.25">
      <c r="A465" s="19" t="s">
        <v>478</v>
      </c>
      <c r="B465">
        <f t="shared" si="54"/>
        <v>31557</v>
      </c>
      <c r="C465">
        <v>6341</v>
      </c>
      <c r="D465">
        <v>25216</v>
      </c>
      <c r="F465">
        <f t="shared" si="49"/>
        <v>318</v>
      </c>
      <c r="G465" s="20">
        <f t="shared" si="55"/>
        <v>460</v>
      </c>
      <c r="H465" s="21">
        <v>66617010236</v>
      </c>
      <c r="I465" s="22">
        <v>581</v>
      </c>
      <c r="J465" s="23"/>
      <c r="K465" s="24">
        <v>31239</v>
      </c>
      <c r="L465" s="23">
        <f t="shared" si="50"/>
        <v>318</v>
      </c>
      <c r="M465" s="24">
        <v>6281</v>
      </c>
      <c r="N465" s="25">
        <f t="shared" si="51"/>
        <v>60</v>
      </c>
      <c r="O465" s="24">
        <v>24958</v>
      </c>
      <c r="P465" s="23">
        <f t="shared" si="52"/>
        <v>258</v>
      </c>
      <c r="Q465" s="26"/>
      <c r="R465" s="23">
        <f t="shared" si="53"/>
        <v>0</v>
      </c>
      <c r="S465" s="27" t="s">
        <v>18</v>
      </c>
      <c r="T465" s="19" t="s">
        <v>478</v>
      </c>
    </row>
    <row r="466" spans="1:20" ht="37.5" customHeight="1" x14ac:dyDescent="0.25">
      <c r="A466" s="19" t="s">
        <v>479</v>
      </c>
      <c r="B466">
        <f t="shared" si="54"/>
        <v>25691</v>
      </c>
      <c r="C466">
        <v>4624</v>
      </c>
      <c r="D466">
        <v>21067</v>
      </c>
      <c r="F466">
        <f t="shared" si="49"/>
        <v>52</v>
      </c>
      <c r="G466" s="20">
        <f t="shared" si="55"/>
        <v>461</v>
      </c>
      <c r="H466" s="21">
        <v>66621040433</v>
      </c>
      <c r="I466" s="22">
        <v>582</v>
      </c>
      <c r="J466" s="23"/>
      <c r="K466" s="24">
        <v>25639</v>
      </c>
      <c r="L466" s="23">
        <f t="shared" si="50"/>
        <v>52</v>
      </c>
      <c r="M466" s="24">
        <v>4615</v>
      </c>
      <c r="N466" s="25">
        <f t="shared" si="51"/>
        <v>9</v>
      </c>
      <c r="O466" s="24">
        <v>21024</v>
      </c>
      <c r="P466" s="23">
        <f t="shared" si="52"/>
        <v>43</v>
      </c>
      <c r="Q466" s="26"/>
      <c r="R466" s="23">
        <f t="shared" si="53"/>
        <v>0</v>
      </c>
      <c r="S466" s="27" t="s">
        <v>18</v>
      </c>
      <c r="T466" s="19" t="s">
        <v>479</v>
      </c>
    </row>
    <row r="467" spans="1:20" ht="37.5" customHeight="1" x14ac:dyDescent="0.25">
      <c r="A467" s="19" t="s">
        <v>480</v>
      </c>
      <c r="B467">
        <f t="shared" si="54"/>
        <v>96270</v>
      </c>
      <c r="C467">
        <v>16545</v>
      </c>
      <c r="D467">
        <v>79725</v>
      </c>
      <c r="F467">
        <f t="shared" si="49"/>
        <v>27</v>
      </c>
      <c r="G467" s="20">
        <f t="shared" si="55"/>
        <v>462</v>
      </c>
      <c r="H467" s="21">
        <v>23013010187</v>
      </c>
      <c r="I467" s="22">
        <v>583</v>
      </c>
      <c r="J467" s="23"/>
      <c r="K467" s="24">
        <v>96243</v>
      </c>
      <c r="L467" s="23">
        <f t="shared" si="50"/>
        <v>27</v>
      </c>
      <c r="M467" s="24">
        <v>16541</v>
      </c>
      <c r="N467" s="25">
        <f t="shared" si="51"/>
        <v>4</v>
      </c>
      <c r="O467" s="24">
        <v>79702</v>
      </c>
      <c r="P467" s="23">
        <f t="shared" si="52"/>
        <v>23</v>
      </c>
      <c r="Q467" s="26"/>
      <c r="R467" s="23">
        <f t="shared" si="53"/>
        <v>0</v>
      </c>
      <c r="S467" s="27" t="s">
        <v>18</v>
      </c>
      <c r="T467" s="19" t="s">
        <v>480</v>
      </c>
    </row>
    <row r="468" spans="1:20" ht="37.5" customHeight="1" x14ac:dyDescent="0.25">
      <c r="A468" s="19" t="s">
        <v>481</v>
      </c>
      <c r="B468">
        <f t="shared" si="54"/>
        <v>10795</v>
      </c>
      <c r="C468">
        <v>1468</v>
      </c>
      <c r="D468">
        <v>9327</v>
      </c>
      <c r="F468">
        <f t="shared" si="49"/>
        <v>383</v>
      </c>
      <c r="G468" s="20">
        <f t="shared" si="55"/>
        <v>463</v>
      </c>
      <c r="H468" s="21">
        <v>66619040387</v>
      </c>
      <c r="I468" s="22">
        <v>584</v>
      </c>
      <c r="J468" s="23"/>
      <c r="K468" s="24">
        <v>10412</v>
      </c>
      <c r="L468" s="23">
        <f t="shared" si="50"/>
        <v>383</v>
      </c>
      <c r="M468" s="24">
        <v>1415</v>
      </c>
      <c r="N468" s="25">
        <f t="shared" si="51"/>
        <v>53</v>
      </c>
      <c r="O468" s="24">
        <v>8997</v>
      </c>
      <c r="P468" s="23">
        <f t="shared" si="52"/>
        <v>330</v>
      </c>
      <c r="Q468" s="26"/>
      <c r="R468" s="23">
        <f t="shared" si="53"/>
        <v>0</v>
      </c>
      <c r="S468" s="27" t="s">
        <v>18</v>
      </c>
      <c r="T468" s="19" t="s">
        <v>481</v>
      </c>
    </row>
    <row r="469" spans="1:20" ht="37.5" customHeight="1" x14ac:dyDescent="0.25">
      <c r="A469" s="19" t="s">
        <v>482</v>
      </c>
      <c r="B469">
        <f t="shared" si="54"/>
        <v>44617</v>
      </c>
      <c r="C469">
        <v>7779</v>
      </c>
      <c r="D469">
        <v>36838</v>
      </c>
      <c r="F469">
        <f t="shared" si="49"/>
        <v>693</v>
      </c>
      <c r="G469" s="20">
        <f t="shared" si="55"/>
        <v>464</v>
      </c>
      <c r="H469" s="21">
        <v>88819030042</v>
      </c>
      <c r="I469" s="22">
        <v>586</v>
      </c>
      <c r="J469" s="23"/>
      <c r="K469" s="24">
        <v>43924</v>
      </c>
      <c r="L469" s="23">
        <f t="shared" si="50"/>
        <v>693</v>
      </c>
      <c r="M469" s="24">
        <v>7686</v>
      </c>
      <c r="N469" s="25">
        <f t="shared" si="51"/>
        <v>93</v>
      </c>
      <c r="O469" s="24">
        <v>36238</v>
      </c>
      <c r="P469" s="23">
        <f t="shared" si="52"/>
        <v>600</v>
      </c>
      <c r="Q469" s="26"/>
      <c r="R469" s="23">
        <f t="shared" si="53"/>
        <v>0</v>
      </c>
      <c r="S469" s="27" t="s">
        <v>18</v>
      </c>
      <c r="T469" s="19" t="s">
        <v>482</v>
      </c>
    </row>
    <row r="470" spans="1:20" ht="37.5" customHeight="1" x14ac:dyDescent="0.25">
      <c r="A470" s="19" t="s">
        <v>483</v>
      </c>
      <c r="B470">
        <f t="shared" si="54"/>
        <v>51328</v>
      </c>
      <c r="C470">
        <v>9029</v>
      </c>
      <c r="D470">
        <v>42299</v>
      </c>
      <c r="F470">
        <f t="shared" si="49"/>
        <v>426</v>
      </c>
      <c r="G470" s="20">
        <f t="shared" si="55"/>
        <v>465</v>
      </c>
      <c r="H470" s="21">
        <v>23014060299</v>
      </c>
      <c r="I470" s="22">
        <v>587</v>
      </c>
      <c r="J470" s="23"/>
      <c r="K470" s="24">
        <v>50902</v>
      </c>
      <c r="L470" s="23">
        <f t="shared" si="50"/>
        <v>426</v>
      </c>
      <c r="M470" s="24">
        <v>8954</v>
      </c>
      <c r="N470" s="25">
        <f t="shared" si="51"/>
        <v>75</v>
      </c>
      <c r="O470" s="24">
        <v>41948</v>
      </c>
      <c r="P470" s="23">
        <f t="shared" si="52"/>
        <v>351</v>
      </c>
      <c r="Q470" s="26"/>
      <c r="R470" s="23">
        <f t="shared" si="53"/>
        <v>0</v>
      </c>
      <c r="S470" s="27" t="s">
        <v>18</v>
      </c>
      <c r="T470" s="19" t="s">
        <v>483</v>
      </c>
    </row>
    <row r="471" spans="1:20" ht="37.5" customHeight="1" x14ac:dyDescent="0.25">
      <c r="A471" s="19" t="s">
        <v>484</v>
      </c>
      <c r="B471">
        <f t="shared" si="54"/>
        <v>10068</v>
      </c>
      <c r="C471">
        <v>1508</v>
      </c>
      <c r="D471">
        <v>8560</v>
      </c>
      <c r="F471">
        <f t="shared" si="49"/>
        <v>162</v>
      </c>
      <c r="G471" s="20">
        <f t="shared" si="55"/>
        <v>466</v>
      </c>
      <c r="H471" s="21">
        <v>88818020191</v>
      </c>
      <c r="I471" s="22">
        <v>588</v>
      </c>
      <c r="J471" s="23"/>
      <c r="K471" s="24">
        <v>9906</v>
      </c>
      <c r="L471" s="23">
        <f t="shared" si="50"/>
        <v>162</v>
      </c>
      <c r="M471" s="24">
        <v>1480</v>
      </c>
      <c r="N471" s="25">
        <f t="shared" si="51"/>
        <v>28</v>
      </c>
      <c r="O471" s="24">
        <v>8426</v>
      </c>
      <c r="P471" s="23">
        <f t="shared" si="52"/>
        <v>134</v>
      </c>
      <c r="Q471" s="26"/>
      <c r="R471" s="23">
        <f t="shared" si="53"/>
        <v>0</v>
      </c>
      <c r="S471" s="27" t="s">
        <v>18</v>
      </c>
      <c r="T471" s="19" t="s">
        <v>484</v>
      </c>
    </row>
    <row r="472" spans="1:20" ht="37.5" customHeight="1" x14ac:dyDescent="0.25">
      <c r="A472" s="19" t="s">
        <v>485</v>
      </c>
      <c r="B472">
        <f t="shared" si="54"/>
        <v>45336</v>
      </c>
      <c r="C472">
        <v>7988</v>
      </c>
      <c r="D472">
        <v>37348</v>
      </c>
      <c r="F472">
        <f t="shared" si="49"/>
        <v>723</v>
      </c>
      <c r="G472" s="20">
        <f t="shared" si="55"/>
        <v>467</v>
      </c>
      <c r="H472" s="21">
        <v>66617010327</v>
      </c>
      <c r="I472" s="22">
        <v>589</v>
      </c>
      <c r="J472" s="23"/>
      <c r="K472" s="24">
        <v>44613</v>
      </c>
      <c r="L472" s="23">
        <f t="shared" si="50"/>
        <v>723</v>
      </c>
      <c r="M472" s="24">
        <v>7868</v>
      </c>
      <c r="N472" s="25">
        <f t="shared" si="51"/>
        <v>120</v>
      </c>
      <c r="O472" s="24">
        <v>36745</v>
      </c>
      <c r="P472" s="23">
        <f t="shared" si="52"/>
        <v>603</v>
      </c>
      <c r="Q472" s="26"/>
      <c r="R472" s="23">
        <f t="shared" si="53"/>
        <v>0</v>
      </c>
      <c r="S472" s="27" t="s">
        <v>18</v>
      </c>
      <c r="T472" s="19" t="s">
        <v>485</v>
      </c>
    </row>
    <row r="473" spans="1:20" ht="37.5" customHeight="1" x14ac:dyDescent="0.25">
      <c r="A473" s="19" t="s">
        <v>486</v>
      </c>
      <c r="B473">
        <f t="shared" si="54"/>
        <v>55067</v>
      </c>
      <c r="C473">
        <v>10190</v>
      </c>
      <c r="D473">
        <v>44877</v>
      </c>
      <c r="F473">
        <f t="shared" si="49"/>
        <v>244</v>
      </c>
      <c r="G473" s="20">
        <f t="shared" si="55"/>
        <v>468</v>
      </c>
      <c r="H473" s="21">
        <v>66616031023</v>
      </c>
      <c r="I473" s="22">
        <v>590</v>
      </c>
      <c r="J473" s="23"/>
      <c r="K473" s="24">
        <v>54823</v>
      </c>
      <c r="L473" s="23">
        <f t="shared" si="50"/>
        <v>244</v>
      </c>
      <c r="M473" s="24">
        <v>10148</v>
      </c>
      <c r="N473" s="25">
        <f t="shared" si="51"/>
        <v>42</v>
      </c>
      <c r="O473" s="24">
        <v>44675</v>
      </c>
      <c r="P473" s="23">
        <f t="shared" si="52"/>
        <v>202</v>
      </c>
      <c r="Q473" s="26"/>
      <c r="R473" s="23">
        <f t="shared" si="53"/>
        <v>0</v>
      </c>
      <c r="S473" s="27" t="s">
        <v>18</v>
      </c>
      <c r="T473" s="19" t="s">
        <v>486</v>
      </c>
    </row>
    <row r="474" spans="1:20" ht="37.5" customHeight="1" x14ac:dyDescent="0.25">
      <c r="A474" s="19" t="s">
        <v>487</v>
      </c>
      <c r="B474">
        <f t="shared" si="54"/>
        <v>48041</v>
      </c>
      <c r="C474">
        <v>8531</v>
      </c>
      <c r="D474">
        <v>39510</v>
      </c>
      <c r="F474">
        <f t="shared" si="49"/>
        <v>1151</v>
      </c>
      <c r="G474" s="20">
        <f t="shared" si="55"/>
        <v>469</v>
      </c>
      <c r="H474" s="21">
        <v>88819020025</v>
      </c>
      <c r="I474" s="22">
        <v>591</v>
      </c>
      <c r="J474" s="23"/>
      <c r="K474" s="24">
        <v>46890</v>
      </c>
      <c r="L474" s="23">
        <f t="shared" si="50"/>
        <v>1151</v>
      </c>
      <c r="M474" s="24">
        <v>8395</v>
      </c>
      <c r="N474" s="25">
        <f t="shared" si="51"/>
        <v>136</v>
      </c>
      <c r="O474" s="24">
        <v>38495</v>
      </c>
      <c r="P474" s="23">
        <f t="shared" si="52"/>
        <v>1015</v>
      </c>
      <c r="Q474" s="26"/>
      <c r="R474" s="23">
        <f t="shared" si="53"/>
        <v>0</v>
      </c>
      <c r="S474" s="27" t="s">
        <v>18</v>
      </c>
      <c r="T474" s="19" t="s">
        <v>487</v>
      </c>
    </row>
    <row r="475" spans="1:20" ht="37.5" customHeight="1" x14ac:dyDescent="0.25">
      <c r="A475" s="19" t="s">
        <v>488</v>
      </c>
      <c r="B475">
        <f t="shared" si="54"/>
        <v>52334</v>
      </c>
      <c r="C475">
        <v>8835</v>
      </c>
      <c r="D475">
        <v>43499</v>
      </c>
      <c r="F475">
        <f t="shared" si="49"/>
        <v>426</v>
      </c>
      <c r="G475" s="20">
        <f t="shared" si="55"/>
        <v>470</v>
      </c>
      <c r="H475" s="21">
        <v>88818010066</v>
      </c>
      <c r="I475" s="22">
        <v>592</v>
      </c>
      <c r="J475" s="23"/>
      <c r="K475" s="24">
        <v>51908</v>
      </c>
      <c r="L475" s="23">
        <f t="shared" si="50"/>
        <v>426</v>
      </c>
      <c r="M475" s="24">
        <v>8764</v>
      </c>
      <c r="N475" s="25">
        <f t="shared" si="51"/>
        <v>71</v>
      </c>
      <c r="O475" s="24">
        <v>43144</v>
      </c>
      <c r="P475" s="23">
        <f t="shared" si="52"/>
        <v>355</v>
      </c>
      <c r="Q475" s="26"/>
      <c r="R475" s="23">
        <f t="shared" si="53"/>
        <v>0</v>
      </c>
      <c r="S475" s="27" t="s">
        <v>18</v>
      </c>
      <c r="T475" s="19" t="s">
        <v>488</v>
      </c>
    </row>
    <row r="476" spans="1:20" ht="37.5" customHeight="1" x14ac:dyDescent="0.25">
      <c r="A476" s="19" t="s">
        <v>489</v>
      </c>
      <c r="B476">
        <f t="shared" si="54"/>
        <v>34716</v>
      </c>
      <c r="C476">
        <v>5071</v>
      </c>
      <c r="D476">
        <v>29645</v>
      </c>
      <c r="F476">
        <f t="shared" si="49"/>
        <v>291</v>
      </c>
      <c r="G476" s="20">
        <f t="shared" si="55"/>
        <v>471</v>
      </c>
      <c r="H476" s="21">
        <v>88818020246</v>
      </c>
      <c r="I476" s="22">
        <v>593</v>
      </c>
      <c r="J476" s="23"/>
      <c r="K476" s="24">
        <v>34425</v>
      </c>
      <c r="L476" s="23">
        <f t="shared" si="50"/>
        <v>291</v>
      </c>
      <c r="M476" s="24">
        <v>4999</v>
      </c>
      <c r="N476" s="25">
        <f t="shared" si="51"/>
        <v>72</v>
      </c>
      <c r="O476" s="24">
        <v>29426</v>
      </c>
      <c r="P476" s="23">
        <f t="shared" si="52"/>
        <v>219</v>
      </c>
      <c r="Q476" s="26"/>
      <c r="R476" s="23">
        <f t="shared" si="53"/>
        <v>0</v>
      </c>
      <c r="S476" s="27" t="s">
        <v>18</v>
      </c>
      <c r="T476" s="19" t="s">
        <v>489</v>
      </c>
    </row>
    <row r="477" spans="1:20" ht="37.5" customHeight="1" x14ac:dyDescent="0.25">
      <c r="A477" s="19" t="s">
        <v>490</v>
      </c>
      <c r="B477">
        <f t="shared" si="54"/>
        <v>12970</v>
      </c>
      <c r="C477">
        <v>2254</v>
      </c>
      <c r="D477">
        <v>10716</v>
      </c>
      <c r="F477">
        <f t="shared" si="49"/>
        <v>538</v>
      </c>
      <c r="G477" s="20">
        <f t="shared" si="55"/>
        <v>472</v>
      </c>
      <c r="H477" s="21">
        <v>66622040479</v>
      </c>
      <c r="I477" s="22">
        <v>594</v>
      </c>
      <c r="J477" s="23"/>
      <c r="K477" s="24">
        <v>12432</v>
      </c>
      <c r="L477" s="23">
        <f t="shared" si="50"/>
        <v>538</v>
      </c>
      <c r="M477" s="24">
        <v>2160</v>
      </c>
      <c r="N477" s="25">
        <f t="shared" si="51"/>
        <v>94</v>
      </c>
      <c r="O477" s="24">
        <v>10272</v>
      </c>
      <c r="P477" s="23">
        <f t="shared" si="52"/>
        <v>444</v>
      </c>
      <c r="Q477" s="26"/>
      <c r="R477" s="23">
        <f t="shared" si="53"/>
        <v>0</v>
      </c>
      <c r="S477" s="27" t="s">
        <v>18</v>
      </c>
      <c r="T477" s="19" t="s">
        <v>490</v>
      </c>
    </row>
    <row r="478" spans="1:20" ht="37.5" customHeight="1" x14ac:dyDescent="0.25">
      <c r="A478" s="19" t="s">
        <v>491</v>
      </c>
      <c r="B478">
        <f t="shared" si="54"/>
        <v>52681</v>
      </c>
      <c r="C478">
        <v>8439</v>
      </c>
      <c r="D478">
        <v>44242</v>
      </c>
      <c r="F478">
        <f t="shared" si="49"/>
        <v>339</v>
      </c>
      <c r="G478" s="20">
        <f t="shared" si="55"/>
        <v>473</v>
      </c>
      <c r="H478" s="21">
        <v>23013010439</v>
      </c>
      <c r="I478" s="22">
        <v>599</v>
      </c>
      <c r="J478" s="23"/>
      <c r="K478" s="24">
        <v>52342</v>
      </c>
      <c r="L478" s="23">
        <f t="shared" si="50"/>
        <v>339</v>
      </c>
      <c r="M478" s="24">
        <v>8379</v>
      </c>
      <c r="N478" s="25">
        <f t="shared" si="51"/>
        <v>60</v>
      </c>
      <c r="O478" s="24">
        <v>43963</v>
      </c>
      <c r="P478" s="23">
        <f t="shared" si="52"/>
        <v>279</v>
      </c>
      <c r="Q478" s="26"/>
      <c r="R478" s="23">
        <f t="shared" si="53"/>
        <v>0</v>
      </c>
      <c r="S478" s="27" t="s">
        <v>18</v>
      </c>
      <c r="T478" s="19" t="s">
        <v>491</v>
      </c>
    </row>
    <row r="479" spans="1:20" ht="37.5" customHeight="1" x14ac:dyDescent="0.25">
      <c r="A479" s="19" t="s">
        <v>492</v>
      </c>
      <c r="B479">
        <f t="shared" si="54"/>
        <v>9165</v>
      </c>
      <c r="C479">
        <v>2276</v>
      </c>
      <c r="D479">
        <v>6889</v>
      </c>
      <c r="E479">
        <v>11199</v>
      </c>
      <c r="F479">
        <f t="shared" si="49"/>
        <v>476</v>
      </c>
      <c r="G479" s="20">
        <f t="shared" si="55"/>
        <v>474</v>
      </c>
      <c r="H479" s="21">
        <v>99623080274</v>
      </c>
      <c r="I479" s="22">
        <v>600</v>
      </c>
      <c r="J479" s="23"/>
      <c r="K479" s="24">
        <f>M479+O479</f>
        <v>8689</v>
      </c>
      <c r="L479" s="23">
        <f t="shared" si="50"/>
        <v>476</v>
      </c>
      <c r="M479" s="24">
        <v>2139</v>
      </c>
      <c r="N479" s="25">
        <f t="shared" si="51"/>
        <v>137</v>
      </c>
      <c r="O479" s="24">
        <v>6550</v>
      </c>
      <c r="P479" s="23">
        <f t="shared" si="52"/>
        <v>339</v>
      </c>
      <c r="Q479" s="26">
        <v>10806</v>
      </c>
      <c r="R479" s="23">
        <f t="shared" si="53"/>
        <v>393</v>
      </c>
      <c r="S479" s="27" t="s">
        <v>18</v>
      </c>
      <c r="T479" s="19" t="s">
        <v>492</v>
      </c>
    </row>
    <row r="480" spans="1:20" ht="37.5" customHeight="1" x14ac:dyDescent="0.25">
      <c r="A480" s="19" t="s">
        <v>493</v>
      </c>
      <c r="B480">
        <f t="shared" si="54"/>
        <v>8004</v>
      </c>
      <c r="C480">
        <v>1986</v>
      </c>
      <c r="D480">
        <v>6018</v>
      </c>
      <c r="E480">
        <v>10925</v>
      </c>
      <c r="F480">
        <f t="shared" si="49"/>
        <v>251</v>
      </c>
      <c r="G480" s="20">
        <f t="shared" si="55"/>
        <v>475</v>
      </c>
      <c r="H480" s="21">
        <v>99723050037</v>
      </c>
      <c r="I480" s="22">
        <v>602</v>
      </c>
      <c r="J480" s="23"/>
      <c r="K480" s="24">
        <f>M480+O480</f>
        <v>7753</v>
      </c>
      <c r="L480" s="23">
        <f t="shared" si="50"/>
        <v>251</v>
      </c>
      <c r="M480" s="24">
        <v>1911</v>
      </c>
      <c r="N480" s="25">
        <f t="shared" si="51"/>
        <v>75</v>
      </c>
      <c r="O480" s="24">
        <v>5842</v>
      </c>
      <c r="P480" s="23">
        <f t="shared" si="52"/>
        <v>176</v>
      </c>
      <c r="Q480" s="26">
        <v>10157</v>
      </c>
      <c r="R480" s="23">
        <f t="shared" si="53"/>
        <v>768</v>
      </c>
      <c r="S480" s="27" t="s">
        <v>18</v>
      </c>
      <c r="T480" s="19" t="s">
        <v>493</v>
      </c>
    </row>
    <row r="481" spans="1:20" ht="37.5" customHeight="1" x14ac:dyDescent="0.25">
      <c r="A481" s="19" t="s">
        <v>494</v>
      </c>
      <c r="B481">
        <f t="shared" si="54"/>
        <v>9301</v>
      </c>
      <c r="C481">
        <v>1700</v>
      </c>
      <c r="D481">
        <v>7601</v>
      </c>
      <c r="F481">
        <f t="shared" si="49"/>
        <v>33</v>
      </c>
      <c r="G481" s="20">
        <f t="shared" si="55"/>
        <v>476</v>
      </c>
      <c r="H481" s="21">
        <v>66621010030</v>
      </c>
      <c r="I481" s="22">
        <v>603</v>
      </c>
      <c r="J481" s="23"/>
      <c r="K481" s="24">
        <v>9268</v>
      </c>
      <c r="L481" s="23">
        <f t="shared" si="50"/>
        <v>33</v>
      </c>
      <c r="M481" s="24">
        <v>1694</v>
      </c>
      <c r="N481" s="25">
        <f t="shared" si="51"/>
        <v>6</v>
      </c>
      <c r="O481" s="24">
        <v>7574</v>
      </c>
      <c r="P481" s="23">
        <f t="shared" si="52"/>
        <v>27</v>
      </c>
      <c r="Q481" s="26"/>
      <c r="R481" s="23">
        <f t="shared" si="53"/>
        <v>0</v>
      </c>
      <c r="S481" s="27" t="s">
        <v>18</v>
      </c>
      <c r="T481" s="19" t="s">
        <v>494</v>
      </c>
    </row>
    <row r="482" spans="1:20" ht="37.5" customHeight="1" x14ac:dyDescent="0.25">
      <c r="A482" s="19" t="s">
        <v>495</v>
      </c>
      <c r="B482">
        <f t="shared" si="54"/>
        <v>28800</v>
      </c>
      <c r="C482">
        <v>5633</v>
      </c>
      <c r="D482">
        <v>23167</v>
      </c>
      <c r="F482">
        <f t="shared" si="49"/>
        <v>402</v>
      </c>
      <c r="G482" s="20">
        <f t="shared" si="55"/>
        <v>477</v>
      </c>
      <c r="H482" s="21">
        <v>23015010837</v>
      </c>
      <c r="I482" s="22">
        <v>604</v>
      </c>
      <c r="J482" s="23"/>
      <c r="K482" s="24">
        <v>28398</v>
      </c>
      <c r="L482" s="23">
        <f t="shared" si="50"/>
        <v>402</v>
      </c>
      <c r="M482" s="24">
        <v>5556</v>
      </c>
      <c r="N482" s="25">
        <f t="shared" si="51"/>
        <v>77</v>
      </c>
      <c r="O482" s="24">
        <v>22842</v>
      </c>
      <c r="P482" s="23">
        <f t="shared" si="52"/>
        <v>325</v>
      </c>
      <c r="Q482" s="26"/>
      <c r="R482" s="23">
        <f t="shared" si="53"/>
        <v>0</v>
      </c>
      <c r="S482" s="27" t="s">
        <v>18</v>
      </c>
      <c r="T482" s="19" t="s">
        <v>495</v>
      </c>
    </row>
    <row r="483" spans="1:20" ht="37.5" customHeight="1" x14ac:dyDescent="0.25">
      <c r="A483" s="19" t="s">
        <v>496</v>
      </c>
      <c r="B483">
        <f t="shared" si="54"/>
        <v>78475</v>
      </c>
      <c r="C483">
        <v>16220</v>
      </c>
      <c r="D483">
        <v>62255</v>
      </c>
      <c r="F483">
        <f t="shared" si="49"/>
        <v>602</v>
      </c>
      <c r="G483" s="20">
        <f t="shared" si="55"/>
        <v>478</v>
      </c>
      <c r="H483" s="21">
        <v>23011100038</v>
      </c>
      <c r="I483" s="22">
        <v>605</v>
      </c>
      <c r="J483" s="23"/>
      <c r="K483" s="24">
        <v>77873</v>
      </c>
      <c r="L483" s="23">
        <f t="shared" si="50"/>
        <v>602</v>
      </c>
      <c r="M483" s="24">
        <v>16097</v>
      </c>
      <c r="N483" s="25">
        <f t="shared" si="51"/>
        <v>123</v>
      </c>
      <c r="O483" s="24">
        <v>61776</v>
      </c>
      <c r="P483" s="23">
        <f t="shared" si="52"/>
        <v>479</v>
      </c>
      <c r="Q483" s="26"/>
      <c r="R483" s="23">
        <f t="shared" si="53"/>
        <v>0</v>
      </c>
      <c r="S483" s="27" t="s">
        <v>18</v>
      </c>
      <c r="T483" s="19" t="s">
        <v>496</v>
      </c>
    </row>
    <row r="484" spans="1:20" ht="37.5" customHeight="1" x14ac:dyDescent="0.25">
      <c r="A484" s="19" t="s">
        <v>497</v>
      </c>
      <c r="B484">
        <f t="shared" si="54"/>
        <v>5360</v>
      </c>
      <c r="C484">
        <v>936</v>
      </c>
      <c r="D484">
        <v>4424</v>
      </c>
      <c r="E484">
        <v>9315</v>
      </c>
      <c r="F484">
        <f t="shared" si="49"/>
        <v>279</v>
      </c>
      <c r="G484" s="20">
        <f t="shared" si="55"/>
        <v>479</v>
      </c>
      <c r="H484" s="21">
        <v>99623080218</v>
      </c>
      <c r="I484" s="22">
        <v>606</v>
      </c>
      <c r="J484" s="23"/>
      <c r="K484" s="24">
        <f>M484+O484</f>
        <v>5081</v>
      </c>
      <c r="L484" s="23">
        <f t="shared" si="50"/>
        <v>279</v>
      </c>
      <c r="M484" s="24">
        <v>877</v>
      </c>
      <c r="N484" s="25">
        <f t="shared" si="51"/>
        <v>59</v>
      </c>
      <c r="O484" s="24">
        <v>4204</v>
      </c>
      <c r="P484" s="23">
        <f t="shared" si="52"/>
        <v>220</v>
      </c>
      <c r="Q484" s="26">
        <v>8608</v>
      </c>
      <c r="R484" s="23">
        <f t="shared" si="53"/>
        <v>707</v>
      </c>
      <c r="S484" s="27" t="s">
        <v>18</v>
      </c>
      <c r="T484" s="19" t="s">
        <v>497</v>
      </c>
    </row>
    <row r="485" spans="1:20" ht="37.5" customHeight="1" x14ac:dyDescent="0.25">
      <c r="A485" s="19" t="s">
        <v>498</v>
      </c>
      <c r="B485">
        <f t="shared" si="54"/>
        <v>20291</v>
      </c>
      <c r="C485">
        <v>3565</v>
      </c>
      <c r="D485">
        <v>16726</v>
      </c>
      <c r="F485">
        <f t="shared" si="49"/>
        <v>288</v>
      </c>
      <c r="G485" s="20">
        <f t="shared" si="55"/>
        <v>480</v>
      </c>
      <c r="H485" s="21">
        <v>66621060458</v>
      </c>
      <c r="I485" s="22">
        <v>607</v>
      </c>
      <c r="J485" s="23"/>
      <c r="K485" s="24">
        <v>20003</v>
      </c>
      <c r="L485" s="23">
        <f t="shared" si="50"/>
        <v>288</v>
      </c>
      <c r="M485" s="24">
        <v>3509</v>
      </c>
      <c r="N485" s="25">
        <f t="shared" si="51"/>
        <v>56</v>
      </c>
      <c r="O485" s="24">
        <v>16494</v>
      </c>
      <c r="P485" s="23">
        <f t="shared" si="52"/>
        <v>232</v>
      </c>
      <c r="Q485" s="26"/>
      <c r="R485" s="23">
        <f t="shared" si="53"/>
        <v>0</v>
      </c>
      <c r="S485" s="27" t="s">
        <v>18</v>
      </c>
      <c r="T485" s="19" t="s">
        <v>498</v>
      </c>
    </row>
    <row r="486" spans="1:20" ht="37.5" customHeight="1" x14ac:dyDescent="0.25">
      <c r="A486" s="19" t="s">
        <v>499</v>
      </c>
      <c r="B486">
        <f t="shared" si="54"/>
        <v>327</v>
      </c>
      <c r="C486">
        <v>93</v>
      </c>
      <c r="D486">
        <v>234</v>
      </c>
      <c r="E486">
        <v>1064</v>
      </c>
      <c r="F486">
        <f t="shared" si="49"/>
        <v>245</v>
      </c>
      <c r="G486" s="20">
        <f t="shared" si="55"/>
        <v>481</v>
      </c>
      <c r="H486" s="21">
        <v>99625010089</v>
      </c>
      <c r="I486" s="22">
        <v>608</v>
      </c>
      <c r="J486" s="23"/>
      <c r="K486" s="24">
        <f>M486+O486</f>
        <v>82</v>
      </c>
      <c r="L486" s="23">
        <f t="shared" si="50"/>
        <v>245</v>
      </c>
      <c r="M486" s="24">
        <v>23</v>
      </c>
      <c r="N486" s="25">
        <f t="shared" si="51"/>
        <v>70</v>
      </c>
      <c r="O486" s="24">
        <v>59</v>
      </c>
      <c r="P486" s="23">
        <f t="shared" si="52"/>
        <v>175</v>
      </c>
      <c r="Q486" s="26">
        <v>468</v>
      </c>
      <c r="R486" s="23">
        <f t="shared" si="53"/>
        <v>596</v>
      </c>
      <c r="S486" s="27" t="s">
        <v>18</v>
      </c>
      <c r="T486" s="19" t="s">
        <v>499</v>
      </c>
    </row>
    <row r="487" spans="1:20" ht="37.5" customHeight="1" x14ac:dyDescent="0.25">
      <c r="A487" s="19" t="s">
        <v>500</v>
      </c>
      <c r="B487">
        <f t="shared" si="54"/>
        <v>92971</v>
      </c>
      <c r="C487">
        <v>17865</v>
      </c>
      <c r="D487">
        <v>75106</v>
      </c>
      <c r="F487">
        <f t="shared" si="49"/>
        <v>464</v>
      </c>
      <c r="G487" s="20">
        <f t="shared" si="55"/>
        <v>482</v>
      </c>
      <c r="H487" s="21">
        <v>23011100032</v>
      </c>
      <c r="I487" s="22">
        <v>609</v>
      </c>
      <c r="J487" s="23"/>
      <c r="K487" s="24">
        <v>92507</v>
      </c>
      <c r="L487" s="23">
        <f t="shared" si="50"/>
        <v>464</v>
      </c>
      <c r="M487" s="24">
        <v>17792</v>
      </c>
      <c r="N487" s="25">
        <f t="shared" si="51"/>
        <v>73</v>
      </c>
      <c r="O487" s="24">
        <v>74715</v>
      </c>
      <c r="P487" s="23">
        <f t="shared" si="52"/>
        <v>391</v>
      </c>
      <c r="Q487" s="26"/>
      <c r="R487" s="23">
        <f t="shared" si="53"/>
        <v>0</v>
      </c>
      <c r="S487" s="27" t="s">
        <v>18</v>
      </c>
      <c r="T487" s="19" t="s">
        <v>500</v>
      </c>
    </row>
    <row r="488" spans="1:20" ht="37.5" customHeight="1" x14ac:dyDescent="0.25">
      <c r="A488" s="19" t="s">
        <v>501</v>
      </c>
      <c r="B488">
        <f t="shared" si="54"/>
        <v>518</v>
      </c>
      <c r="C488">
        <v>93</v>
      </c>
      <c r="D488">
        <v>425</v>
      </c>
      <c r="F488">
        <f t="shared" si="49"/>
        <v>0</v>
      </c>
      <c r="G488" s="20">
        <f t="shared" si="55"/>
        <v>483</v>
      </c>
      <c r="H488" s="21">
        <v>88819010257</v>
      </c>
      <c r="I488" s="22">
        <v>610</v>
      </c>
      <c r="J488" s="23"/>
      <c r="K488" s="24">
        <v>518</v>
      </c>
      <c r="L488" s="23">
        <f t="shared" si="50"/>
        <v>0</v>
      </c>
      <c r="M488" s="24">
        <v>93</v>
      </c>
      <c r="N488" s="25">
        <f t="shared" si="51"/>
        <v>0</v>
      </c>
      <c r="O488" s="24">
        <v>425</v>
      </c>
      <c r="P488" s="23">
        <f t="shared" si="52"/>
        <v>0</v>
      </c>
      <c r="Q488" s="26"/>
      <c r="R488" s="23">
        <f t="shared" si="53"/>
        <v>0</v>
      </c>
      <c r="S488" s="27" t="s">
        <v>18</v>
      </c>
      <c r="T488" s="19" t="s">
        <v>501</v>
      </c>
    </row>
    <row r="489" spans="1:20" ht="37.5" customHeight="1" x14ac:dyDescent="0.25">
      <c r="A489" s="19" t="s">
        <v>502</v>
      </c>
      <c r="B489">
        <f t="shared" si="54"/>
        <v>1253</v>
      </c>
      <c r="C489">
        <v>142</v>
      </c>
      <c r="D489">
        <v>1111</v>
      </c>
      <c r="F489">
        <f t="shared" si="49"/>
        <v>45</v>
      </c>
      <c r="G489" s="20">
        <f t="shared" si="55"/>
        <v>484</v>
      </c>
      <c r="H489" s="21">
        <v>66623030570</v>
      </c>
      <c r="I489" s="22">
        <v>611</v>
      </c>
      <c r="J489" s="23"/>
      <c r="K489" s="24">
        <v>1208</v>
      </c>
      <c r="L489" s="23">
        <f t="shared" si="50"/>
        <v>45</v>
      </c>
      <c r="M489" s="24">
        <v>132</v>
      </c>
      <c r="N489" s="25">
        <f t="shared" si="51"/>
        <v>10</v>
      </c>
      <c r="O489" s="24">
        <v>1076</v>
      </c>
      <c r="P489" s="23">
        <f t="shared" si="52"/>
        <v>35</v>
      </c>
      <c r="Q489" s="26"/>
      <c r="R489" s="23">
        <f t="shared" si="53"/>
        <v>0</v>
      </c>
      <c r="S489" s="27" t="s">
        <v>18</v>
      </c>
      <c r="T489" s="19" t="s">
        <v>502</v>
      </c>
    </row>
    <row r="490" spans="1:20" ht="37.5" customHeight="1" x14ac:dyDescent="0.25">
      <c r="A490" s="19" t="s">
        <v>503</v>
      </c>
      <c r="B490">
        <f t="shared" si="54"/>
        <v>17430</v>
      </c>
      <c r="C490">
        <v>2785</v>
      </c>
      <c r="D490">
        <v>14645</v>
      </c>
      <c r="F490">
        <f t="shared" si="49"/>
        <v>305</v>
      </c>
      <c r="G490" s="20">
        <f t="shared" si="55"/>
        <v>485</v>
      </c>
      <c r="H490" s="21">
        <v>88820050233</v>
      </c>
      <c r="I490" s="22">
        <v>612</v>
      </c>
      <c r="J490" s="23"/>
      <c r="K490" s="24">
        <v>17125</v>
      </c>
      <c r="L490" s="23">
        <f t="shared" si="50"/>
        <v>305</v>
      </c>
      <c r="M490" s="24">
        <v>2723</v>
      </c>
      <c r="N490" s="25">
        <f t="shared" si="51"/>
        <v>62</v>
      </c>
      <c r="O490" s="24">
        <v>14402</v>
      </c>
      <c r="P490" s="23">
        <f t="shared" si="52"/>
        <v>243</v>
      </c>
      <c r="Q490" s="26"/>
      <c r="R490" s="23">
        <f t="shared" si="53"/>
        <v>0</v>
      </c>
      <c r="S490" s="27" t="s">
        <v>18</v>
      </c>
      <c r="T490" s="19" t="s">
        <v>503</v>
      </c>
    </row>
    <row r="491" spans="1:20" ht="37.5" customHeight="1" x14ac:dyDescent="0.25">
      <c r="A491" s="19" t="s">
        <v>504</v>
      </c>
      <c r="B491">
        <f t="shared" si="54"/>
        <v>10300</v>
      </c>
      <c r="C491">
        <v>2348</v>
      </c>
      <c r="D491">
        <v>7952</v>
      </c>
      <c r="E491">
        <v>16321</v>
      </c>
      <c r="F491">
        <f t="shared" si="49"/>
        <v>288</v>
      </c>
      <c r="G491" s="20">
        <f t="shared" si="55"/>
        <v>486</v>
      </c>
      <c r="H491" s="21">
        <v>99622050019</v>
      </c>
      <c r="I491" s="22">
        <v>613</v>
      </c>
      <c r="J491" s="23"/>
      <c r="K491" s="24">
        <f>M491+O491</f>
        <v>10012</v>
      </c>
      <c r="L491" s="23">
        <f t="shared" si="50"/>
        <v>288</v>
      </c>
      <c r="M491" s="24">
        <v>2270</v>
      </c>
      <c r="N491" s="25">
        <f t="shared" si="51"/>
        <v>78</v>
      </c>
      <c r="O491" s="24">
        <v>7742</v>
      </c>
      <c r="P491" s="23">
        <f t="shared" si="52"/>
        <v>210</v>
      </c>
      <c r="Q491" s="26">
        <v>15665</v>
      </c>
      <c r="R491" s="23">
        <f t="shared" si="53"/>
        <v>656</v>
      </c>
      <c r="S491" s="27" t="s">
        <v>18</v>
      </c>
      <c r="T491" s="19" t="s">
        <v>504</v>
      </c>
    </row>
    <row r="492" spans="1:20" ht="37.5" customHeight="1" x14ac:dyDescent="0.25">
      <c r="A492" s="19" t="s">
        <v>505</v>
      </c>
      <c r="B492">
        <f t="shared" si="54"/>
        <v>1563</v>
      </c>
      <c r="C492">
        <v>563</v>
      </c>
      <c r="D492">
        <v>1000</v>
      </c>
      <c r="E492">
        <v>2845</v>
      </c>
      <c r="F492">
        <f t="shared" si="49"/>
        <v>371</v>
      </c>
      <c r="G492" s="20">
        <f t="shared" si="55"/>
        <v>487</v>
      </c>
      <c r="H492" s="21">
        <v>99624050017</v>
      </c>
      <c r="I492" s="22">
        <v>615</v>
      </c>
      <c r="J492" s="23"/>
      <c r="K492" s="24">
        <f>M492+O492</f>
        <v>1192</v>
      </c>
      <c r="L492" s="23">
        <f t="shared" si="50"/>
        <v>371</v>
      </c>
      <c r="M492" s="24">
        <v>434</v>
      </c>
      <c r="N492" s="25">
        <f t="shared" si="51"/>
        <v>129</v>
      </c>
      <c r="O492" s="24">
        <v>758</v>
      </c>
      <c r="P492" s="23">
        <f t="shared" si="52"/>
        <v>242</v>
      </c>
      <c r="Q492" s="26">
        <v>1982</v>
      </c>
      <c r="R492" s="23">
        <f t="shared" si="53"/>
        <v>863</v>
      </c>
      <c r="S492" s="27" t="s">
        <v>18</v>
      </c>
      <c r="T492" s="19" t="s">
        <v>505</v>
      </c>
    </row>
    <row r="493" spans="1:20" ht="37.5" customHeight="1" x14ac:dyDescent="0.25">
      <c r="A493" s="19" t="s">
        <v>506</v>
      </c>
      <c r="B493">
        <f t="shared" si="54"/>
        <v>17384</v>
      </c>
      <c r="C493">
        <v>2901</v>
      </c>
      <c r="D493">
        <v>14483</v>
      </c>
      <c r="F493">
        <f t="shared" si="49"/>
        <v>7</v>
      </c>
      <c r="G493" s="20">
        <f t="shared" si="55"/>
        <v>488</v>
      </c>
      <c r="H493" s="21">
        <v>66621070163</v>
      </c>
      <c r="I493" s="22">
        <v>616</v>
      </c>
      <c r="J493" s="23"/>
      <c r="K493" s="24">
        <v>17377</v>
      </c>
      <c r="L493" s="23">
        <f t="shared" si="50"/>
        <v>7</v>
      </c>
      <c r="M493" s="24">
        <v>2899</v>
      </c>
      <c r="N493" s="25">
        <f t="shared" si="51"/>
        <v>2</v>
      </c>
      <c r="O493" s="24">
        <v>14478</v>
      </c>
      <c r="P493" s="23">
        <f t="shared" si="52"/>
        <v>5</v>
      </c>
      <c r="Q493" s="26"/>
      <c r="R493" s="23">
        <f t="shared" si="53"/>
        <v>0</v>
      </c>
      <c r="S493" s="27" t="s">
        <v>18</v>
      </c>
      <c r="T493" s="19" t="s">
        <v>506</v>
      </c>
    </row>
    <row r="494" spans="1:20" ht="37.5" customHeight="1" x14ac:dyDescent="0.25">
      <c r="A494" s="19" t="s">
        <v>507</v>
      </c>
      <c r="B494">
        <f t="shared" si="54"/>
        <v>58036</v>
      </c>
      <c r="C494">
        <v>10634</v>
      </c>
      <c r="D494">
        <v>47402</v>
      </c>
      <c r="F494">
        <f t="shared" si="49"/>
        <v>436</v>
      </c>
      <c r="G494" s="20">
        <f t="shared" si="55"/>
        <v>489</v>
      </c>
      <c r="H494" s="21">
        <v>23014090151</v>
      </c>
      <c r="I494" s="22">
        <v>617</v>
      </c>
      <c r="J494" s="23"/>
      <c r="K494" s="24">
        <v>57600</v>
      </c>
      <c r="L494" s="23">
        <f t="shared" si="50"/>
        <v>436</v>
      </c>
      <c r="M494" s="24">
        <v>10550</v>
      </c>
      <c r="N494" s="25">
        <f t="shared" si="51"/>
        <v>84</v>
      </c>
      <c r="O494" s="24">
        <v>47050</v>
      </c>
      <c r="P494" s="23">
        <f t="shared" si="52"/>
        <v>352</v>
      </c>
      <c r="Q494" s="26"/>
      <c r="R494" s="23">
        <f t="shared" si="53"/>
        <v>0</v>
      </c>
      <c r="S494" s="27" t="s">
        <v>18</v>
      </c>
      <c r="T494" s="19" t="s">
        <v>507</v>
      </c>
    </row>
    <row r="495" spans="1:20" ht="37.5" customHeight="1" x14ac:dyDescent="0.25">
      <c r="A495" s="19" t="s">
        <v>508</v>
      </c>
      <c r="B495">
        <f t="shared" si="54"/>
        <v>43549</v>
      </c>
      <c r="C495">
        <v>6984</v>
      </c>
      <c r="D495">
        <v>36565</v>
      </c>
      <c r="F495">
        <f t="shared" si="49"/>
        <v>72</v>
      </c>
      <c r="G495" s="20">
        <f t="shared" si="55"/>
        <v>490</v>
      </c>
      <c r="H495" s="21">
        <v>88818020010</v>
      </c>
      <c r="I495" s="22">
        <v>618</v>
      </c>
      <c r="J495" s="23"/>
      <c r="K495" s="24">
        <v>43477</v>
      </c>
      <c r="L495" s="23">
        <f t="shared" si="50"/>
        <v>72</v>
      </c>
      <c r="M495" s="24">
        <v>6965</v>
      </c>
      <c r="N495" s="25">
        <f t="shared" si="51"/>
        <v>19</v>
      </c>
      <c r="O495" s="24">
        <v>36512</v>
      </c>
      <c r="P495" s="23">
        <f t="shared" si="52"/>
        <v>53</v>
      </c>
      <c r="Q495" s="26"/>
      <c r="R495" s="23">
        <f t="shared" si="53"/>
        <v>0</v>
      </c>
      <c r="S495" s="27" t="s">
        <v>18</v>
      </c>
      <c r="T495" s="19" t="s">
        <v>508</v>
      </c>
    </row>
    <row r="496" spans="1:20" ht="37.5" customHeight="1" x14ac:dyDescent="0.25">
      <c r="A496" s="19" t="s">
        <v>509</v>
      </c>
      <c r="B496">
        <f t="shared" si="54"/>
        <v>43397</v>
      </c>
      <c r="C496">
        <v>8203</v>
      </c>
      <c r="D496">
        <v>35194</v>
      </c>
      <c r="F496">
        <f t="shared" si="49"/>
        <v>214</v>
      </c>
      <c r="G496" s="20">
        <f t="shared" si="55"/>
        <v>491</v>
      </c>
      <c r="H496" s="21">
        <v>23014010255</v>
      </c>
      <c r="I496" s="22">
        <v>619</v>
      </c>
      <c r="J496" s="23"/>
      <c r="K496" s="24">
        <v>43183</v>
      </c>
      <c r="L496" s="23">
        <f t="shared" si="50"/>
        <v>214</v>
      </c>
      <c r="M496" s="24">
        <v>8167</v>
      </c>
      <c r="N496" s="25">
        <f t="shared" si="51"/>
        <v>36</v>
      </c>
      <c r="O496" s="24">
        <v>35016</v>
      </c>
      <c r="P496" s="23">
        <f t="shared" si="52"/>
        <v>178</v>
      </c>
      <c r="Q496" s="26"/>
      <c r="R496" s="23">
        <f t="shared" si="53"/>
        <v>0</v>
      </c>
      <c r="S496" s="27" t="s">
        <v>18</v>
      </c>
      <c r="T496" s="19" t="s">
        <v>509</v>
      </c>
    </row>
    <row r="497" spans="1:20" ht="37.5" customHeight="1" x14ac:dyDescent="0.25">
      <c r="A497" s="19" t="s">
        <v>510</v>
      </c>
      <c r="B497">
        <f t="shared" si="54"/>
        <v>56165</v>
      </c>
      <c r="C497">
        <v>11590</v>
      </c>
      <c r="D497">
        <v>44575</v>
      </c>
      <c r="F497">
        <f t="shared" si="49"/>
        <v>403</v>
      </c>
      <c r="G497" s="20">
        <f t="shared" si="55"/>
        <v>492</v>
      </c>
      <c r="H497" s="21">
        <v>66617010135</v>
      </c>
      <c r="I497" s="22">
        <v>620</v>
      </c>
      <c r="J497" s="23"/>
      <c r="K497" s="24">
        <v>55762</v>
      </c>
      <c r="L497" s="23">
        <f t="shared" si="50"/>
        <v>403</v>
      </c>
      <c r="M497" s="24">
        <v>11518</v>
      </c>
      <c r="N497" s="25">
        <f t="shared" si="51"/>
        <v>72</v>
      </c>
      <c r="O497" s="24">
        <v>44244</v>
      </c>
      <c r="P497" s="23">
        <f t="shared" si="52"/>
        <v>331</v>
      </c>
      <c r="Q497" s="26"/>
      <c r="R497" s="23">
        <f t="shared" si="53"/>
        <v>0</v>
      </c>
      <c r="S497" s="27" t="s">
        <v>18</v>
      </c>
      <c r="T497" s="19" t="s">
        <v>510</v>
      </c>
    </row>
    <row r="498" spans="1:20" ht="37.5" customHeight="1" x14ac:dyDescent="0.25">
      <c r="A498" s="19" t="s">
        <v>511</v>
      </c>
      <c r="B498">
        <f t="shared" si="54"/>
        <v>23119</v>
      </c>
      <c r="C498">
        <v>4246</v>
      </c>
      <c r="D498">
        <v>18873</v>
      </c>
      <c r="F498">
        <f t="shared" si="49"/>
        <v>110</v>
      </c>
      <c r="G498" s="20">
        <f t="shared" si="55"/>
        <v>493</v>
      </c>
      <c r="H498" s="21">
        <v>23013010300</v>
      </c>
      <c r="I498" s="22">
        <v>621</v>
      </c>
      <c r="J498" s="23"/>
      <c r="K498" s="24">
        <v>23009</v>
      </c>
      <c r="L498" s="23">
        <f t="shared" si="50"/>
        <v>110</v>
      </c>
      <c r="M498" s="24">
        <v>4225</v>
      </c>
      <c r="N498" s="25">
        <f t="shared" si="51"/>
        <v>21</v>
      </c>
      <c r="O498" s="24">
        <v>18784</v>
      </c>
      <c r="P498" s="23">
        <f t="shared" si="52"/>
        <v>89</v>
      </c>
      <c r="Q498" s="26"/>
      <c r="R498" s="23">
        <f t="shared" si="53"/>
        <v>0</v>
      </c>
      <c r="S498" s="27" t="s">
        <v>18</v>
      </c>
      <c r="T498" s="19" t="s">
        <v>511</v>
      </c>
    </row>
    <row r="499" spans="1:20" ht="37.5" customHeight="1" x14ac:dyDescent="0.25">
      <c r="A499" s="19" t="s">
        <v>512</v>
      </c>
      <c r="B499">
        <f t="shared" si="54"/>
        <v>2977</v>
      </c>
      <c r="C499">
        <v>410</v>
      </c>
      <c r="D499">
        <v>2567</v>
      </c>
      <c r="E499">
        <v>4652</v>
      </c>
      <c r="F499">
        <f t="shared" si="49"/>
        <v>281</v>
      </c>
      <c r="G499" s="20">
        <f t="shared" si="55"/>
        <v>494</v>
      </c>
      <c r="H499" s="21">
        <v>99624030096</v>
      </c>
      <c r="I499" s="22">
        <v>622</v>
      </c>
      <c r="J499" s="23"/>
      <c r="K499" s="24">
        <f>M499+O499</f>
        <v>2696</v>
      </c>
      <c r="L499" s="23">
        <f t="shared" si="50"/>
        <v>281</v>
      </c>
      <c r="M499" s="24">
        <v>361</v>
      </c>
      <c r="N499" s="25">
        <f t="shared" si="51"/>
        <v>49</v>
      </c>
      <c r="O499" s="24">
        <v>2335</v>
      </c>
      <c r="P499" s="23">
        <f t="shared" si="52"/>
        <v>232</v>
      </c>
      <c r="Q499" s="26">
        <v>3991</v>
      </c>
      <c r="R499" s="23">
        <f t="shared" si="53"/>
        <v>661</v>
      </c>
      <c r="S499" s="27" t="s">
        <v>18</v>
      </c>
      <c r="T499" s="19" t="s">
        <v>512</v>
      </c>
    </row>
    <row r="500" spans="1:20" ht="37.5" customHeight="1" x14ac:dyDescent="0.25">
      <c r="A500" s="19" t="s">
        <v>513</v>
      </c>
      <c r="B500">
        <f t="shared" si="54"/>
        <v>880</v>
      </c>
      <c r="C500">
        <v>205</v>
      </c>
      <c r="D500">
        <v>675</v>
      </c>
      <c r="E500">
        <v>3772</v>
      </c>
      <c r="F500">
        <f t="shared" si="49"/>
        <v>181</v>
      </c>
      <c r="G500" s="20">
        <f t="shared" si="55"/>
        <v>495</v>
      </c>
      <c r="H500" s="21">
        <v>99622010042</v>
      </c>
      <c r="I500" s="22">
        <v>623</v>
      </c>
      <c r="J500" s="23"/>
      <c r="K500" s="24">
        <f>M500+O500</f>
        <v>699</v>
      </c>
      <c r="L500" s="23">
        <f t="shared" si="50"/>
        <v>181</v>
      </c>
      <c r="M500" s="24">
        <v>162</v>
      </c>
      <c r="N500" s="25">
        <f t="shared" si="51"/>
        <v>43</v>
      </c>
      <c r="O500" s="24">
        <v>537</v>
      </c>
      <c r="P500" s="23">
        <f t="shared" si="52"/>
        <v>138</v>
      </c>
      <c r="Q500" s="26">
        <v>2741</v>
      </c>
      <c r="R500" s="23">
        <f t="shared" si="53"/>
        <v>1031</v>
      </c>
      <c r="S500" s="27" t="s">
        <v>18</v>
      </c>
      <c r="T500" s="19" t="s">
        <v>513</v>
      </c>
    </row>
    <row r="501" spans="1:20" ht="37.5" customHeight="1" x14ac:dyDescent="0.25">
      <c r="A501" s="19" t="s">
        <v>514</v>
      </c>
      <c r="B501">
        <f t="shared" si="54"/>
        <v>16286</v>
      </c>
      <c r="C501">
        <v>2843</v>
      </c>
      <c r="D501">
        <v>13443</v>
      </c>
      <c r="F501">
        <f t="shared" si="49"/>
        <v>274</v>
      </c>
      <c r="G501" s="20">
        <f t="shared" si="55"/>
        <v>496</v>
      </c>
      <c r="H501" s="21">
        <v>66621090053</v>
      </c>
      <c r="I501" s="22">
        <v>624</v>
      </c>
      <c r="J501" s="23"/>
      <c r="K501" s="24">
        <v>16012</v>
      </c>
      <c r="L501" s="23">
        <f t="shared" si="50"/>
        <v>274</v>
      </c>
      <c r="M501" s="24">
        <v>2796</v>
      </c>
      <c r="N501" s="25">
        <f t="shared" si="51"/>
        <v>47</v>
      </c>
      <c r="O501" s="24">
        <v>13216</v>
      </c>
      <c r="P501" s="23">
        <f t="shared" si="52"/>
        <v>227</v>
      </c>
      <c r="Q501" s="26"/>
      <c r="R501" s="23">
        <f t="shared" si="53"/>
        <v>0</v>
      </c>
      <c r="S501" s="27" t="s">
        <v>18</v>
      </c>
      <c r="T501" s="19" t="s">
        <v>514</v>
      </c>
    </row>
    <row r="502" spans="1:20" ht="37.5" customHeight="1" x14ac:dyDescent="0.25">
      <c r="A502" s="19" t="s">
        <v>515</v>
      </c>
      <c r="B502">
        <f t="shared" si="54"/>
        <v>1079</v>
      </c>
      <c r="C502">
        <v>304</v>
      </c>
      <c r="D502">
        <v>775</v>
      </c>
      <c r="E502">
        <v>2564</v>
      </c>
      <c r="F502">
        <f t="shared" si="49"/>
        <v>170</v>
      </c>
      <c r="G502" s="20">
        <f t="shared" si="55"/>
        <v>497</v>
      </c>
      <c r="H502" s="21">
        <v>99624040097</v>
      </c>
      <c r="I502" s="22">
        <v>625</v>
      </c>
      <c r="J502" s="23"/>
      <c r="K502" s="24">
        <f>M502+O502</f>
        <v>909</v>
      </c>
      <c r="L502" s="23">
        <f t="shared" si="50"/>
        <v>170</v>
      </c>
      <c r="M502" s="24">
        <v>268</v>
      </c>
      <c r="N502" s="25">
        <f t="shared" si="51"/>
        <v>36</v>
      </c>
      <c r="O502" s="24">
        <v>641</v>
      </c>
      <c r="P502" s="23">
        <f t="shared" si="52"/>
        <v>134</v>
      </c>
      <c r="Q502" s="26">
        <v>2339</v>
      </c>
      <c r="R502" s="23">
        <f t="shared" si="53"/>
        <v>225</v>
      </c>
      <c r="S502" s="27" t="s">
        <v>18</v>
      </c>
      <c r="T502" s="19" t="s">
        <v>515</v>
      </c>
    </row>
    <row r="503" spans="1:20" ht="37.5" customHeight="1" x14ac:dyDescent="0.25">
      <c r="A503" s="19" t="s">
        <v>516</v>
      </c>
      <c r="B503">
        <f t="shared" si="54"/>
        <v>28866</v>
      </c>
      <c r="C503">
        <v>4103</v>
      </c>
      <c r="D503">
        <v>24763</v>
      </c>
      <c r="F503">
        <f t="shared" si="49"/>
        <v>29</v>
      </c>
      <c r="G503" s="20">
        <f t="shared" si="55"/>
        <v>498</v>
      </c>
      <c r="H503" s="21">
        <v>88820010454</v>
      </c>
      <c r="I503" s="22">
        <v>627</v>
      </c>
      <c r="J503" s="23"/>
      <c r="K503" s="24">
        <v>28837</v>
      </c>
      <c r="L503" s="23">
        <f t="shared" si="50"/>
        <v>29</v>
      </c>
      <c r="M503" s="24">
        <v>4100</v>
      </c>
      <c r="N503" s="25">
        <f t="shared" si="51"/>
        <v>3</v>
      </c>
      <c r="O503" s="24">
        <v>24737</v>
      </c>
      <c r="P503" s="23">
        <f t="shared" si="52"/>
        <v>26</v>
      </c>
      <c r="Q503" s="26"/>
      <c r="R503" s="23">
        <f t="shared" si="53"/>
        <v>0</v>
      </c>
      <c r="S503" s="27" t="s">
        <v>18</v>
      </c>
      <c r="T503" s="19" t="s">
        <v>516</v>
      </c>
    </row>
    <row r="504" spans="1:20" ht="37.5" customHeight="1" x14ac:dyDescent="0.25">
      <c r="A504" s="19" t="s">
        <v>517</v>
      </c>
      <c r="B504">
        <f t="shared" si="54"/>
        <v>28035</v>
      </c>
      <c r="C504">
        <v>5972</v>
      </c>
      <c r="D504">
        <v>22063</v>
      </c>
      <c r="F504">
        <f t="shared" si="49"/>
        <v>554</v>
      </c>
      <c r="G504" s="20">
        <f t="shared" si="55"/>
        <v>499</v>
      </c>
      <c r="H504" s="21">
        <v>88820050210</v>
      </c>
      <c r="I504" s="22">
        <v>628</v>
      </c>
      <c r="J504" s="23"/>
      <c r="K504" s="24">
        <v>27481</v>
      </c>
      <c r="L504" s="23">
        <f t="shared" si="50"/>
        <v>554</v>
      </c>
      <c r="M504" s="24">
        <v>5831</v>
      </c>
      <c r="N504" s="25">
        <f t="shared" si="51"/>
        <v>141</v>
      </c>
      <c r="O504" s="24">
        <v>21650</v>
      </c>
      <c r="P504" s="23">
        <f t="shared" si="52"/>
        <v>413</v>
      </c>
      <c r="Q504" s="26"/>
      <c r="R504" s="23">
        <f t="shared" si="53"/>
        <v>0</v>
      </c>
      <c r="S504" s="27" t="s">
        <v>18</v>
      </c>
      <c r="T504" s="19" t="s">
        <v>517</v>
      </c>
    </row>
    <row r="505" spans="1:20" ht="37.5" customHeight="1" x14ac:dyDescent="0.25">
      <c r="A505" s="19" t="s">
        <v>518</v>
      </c>
      <c r="B505">
        <f t="shared" si="54"/>
        <v>11645</v>
      </c>
      <c r="C505">
        <v>1865</v>
      </c>
      <c r="D505">
        <v>9780</v>
      </c>
      <c r="F505">
        <f t="shared" si="49"/>
        <v>291</v>
      </c>
      <c r="G505" s="20">
        <f t="shared" si="55"/>
        <v>500</v>
      </c>
      <c r="H505" s="21">
        <v>88821080363</v>
      </c>
      <c r="I505" s="22">
        <v>629</v>
      </c>
      <c r="J505" s="23"/>
      <c r="K505" s="24">
        <v>11354</v>
      </c>
      <c r="L505" s="23">
        <f t="shared" si="50"/>
        <v>291</v>
      </c>
      <c r="M505" s="24">
        <v>1823</v>
      </c>
      <c r="N505" s="25">
        <f t="shared" si="51"/>
        <v>42</v>
      </c>
      <c r="O505" s="24">
        <v>9531</v>
      </c>
      <c r="P505" s="23">
        <f t="shared" si="52"/>
        <v>249</v>
      </c>
      <c r="Q505" s="26"/>
      <c r="R505" s="23">
        <f t="shared" si="53"/>
        <v>0</v>
      </c>
      <c r="S505" s="27" t="s">
        <v>18</v>
      </c>
      <c r="T505" s="19" t="s">
        <v>518</v>
      </c>
    </row>
    <row r="506" spans="1:20" ht="37.5" customHeight="1" x14ac:dyDescent="0.25">
      <c r="A506" s="19" t="s">
        <v>519</v>
      </c>
      <c r="B506">
        <f t="shared" si="54"/>
        <v>32188</v>
      </c>
      <c r="C506">
        <v>5640</v>
      </c>
      <c r="D506">
        <v>26548</v>
      </c>
      <c r="F506">
        <f t="shared" si="49"/>
        <v>0</v>
      </c>
      <c r="G506" s="20">
        <f t="shared" si="55"/>
        <v>501</v>
      </c>
      <c r="H506" s="21">
        <v>23015100546</v>
      </c>
      <c r="I506" s="22">
        <v>630</v>
      </c>
      <c r="J506" s="23"/>
      <c r="K506" s="24">
        <v>32188</v>
      </c>
      <c r="L506" s="23">
        <f t="shared" si="50"/>
        <v>0</v>
      </c>
      <c r="M506" s="24">
        <v>5640</v>
      </c>
      <c r="N506" s="25">
        <f t="shared" si="51"/>
        <v>0</v>
      </c>
      <c r="O506" s="24">
        <v>26548</v>
      </c>
      <c r="P506" s="23">
        <f t="shared" si="52"/>
        <v>0</v>
      </c>
      <c r="Q506" s="26"/>
      <c r="R506" s="23">
        <f t="shared" si="53"/>
        <v>0</v>
      </c>
      <c r="S506" s="27" t="s">
        <v>18</v>
      </c>
      <c r="T506" s="19" t="s">
        <v>519</v>
      </c>
    </row>
    <row r="507" spans="1:20" ht="37.5" customHeight="1" x14ac:dyDescent="0.25">
      <c r="A507" s="19" t="s">
        <v>520</v>
      </c>
      <c r="B507">
        <f t="shared" si="54"/>
        <v>2161</v>
      </c>
      <c r="C507">
        <v>452</v>
      </c>
      <c r="D507">
        <v>1709</v>
      </c>
      <c r="E507">
        <v>4284</v>
      </c>
      <c r="F507">
        <f t="shared" si="49"/>
        <v>222</v>
      </c>
      <c r="G507" s="20">
        <f t="shared" si="55"/>
        <v>502</v>
      </c>
      <c r="H507" s="21">
        <v>99624040111</v>
      </c>
      <c r="I507" s="22">
        <v>631</v>
      </c>
      <c r="J507" s="23"/>
      <c r="K507" s="24">
        <f>M507+O507</f>
        <v>1939</v>
      </c>
      <c r="L507" s="23">
        <f t="shared" si="50"/>
        <v>222</v>
      </c>
      <c r="M507" s="24">
        <v>396</v>
      </c>
      <c r="N507" s="25">
        <f t="shared" si="51"/>
        <v>56</v>
      </c>
      <c r="O507" s="24">
        <v>1543</v>
      </c>
      <c r="P507" s="23">
        <f t="shared" si="52"/>
        <v>166</v>
      </c>
      <c r="Q507" s="26">
        <v>3357</v>
      </c>
      <c r="R507" s="23">
        <f t="shared" si="53"/>
        <v>927</v>
      </c>
      <c r="S507" s="27" t="s">
        <v>18</v>
      </c>
      <c r="T507" s="19" t="s">
        <v>520</v>
      </c>
    </row>
    <row r="508" spans="1:20" ht="37.5" customHeight="1" x14ac:dyDescent="0.25">
      <c r="A508" s="19" t="s">
        <v>521</v>
      </c>
      <c r="B508">
        <f t="shared" si="54"/>
        <v>2641</v>
      </c>
      <c r="C508">
        <v>490</v>
      </c>
      <c r="D508">
        <v>2151</v>
      </c>
      <c r="F508">
        <f t="shared" si="49"/>
        <v>147</v>
      </c>
      <c r="G508" s="20">
        <f t="shared" si="55"/>
        <v>503</v>
      </c>
      <c r="H508" s="21">
        <v>66617010419</v>
      </c>
      <c r="I508" s="22">
        <v>632</v>
      </c>
      <c r="J508" s="23"/>
      <c r="K508" s="24">
        <v>2494</v>
      </c>
      <c r="L508" s="23">
        <f t="shared" si="50"/>
        <v>147</v>
      </c>
      <c r="M508" s="24">
        <v>460</v>
      </c>
      <c r="N508" s="25">
        <f t="shared" si="51"/>
        <v>30</v>
      </c>
      <c r="O508" s="24">
        <v>2034</v>
      </c>
      <c r="P508" s="23">
        <f t="shared" si="52"/>
        <v>117</v>
      </c>
      <c r="Q508" s="26"/>
      <c r="R508" s="23">
        <f t="shared" si="53"/>
        <v>0</v>
      </c>
      <c r="S508" s="27" t="s">
        <v>18</v>
      </c>
      <c r="T508" s="19" t="s">
        <v>521</v>
      </c>
    </row>
    <row r="509" spans="1:20" ht="37.5" customHeight="1" x14ac:dyDescent="0.25">
      <c r="A509" s="19" t="s">
        <v>522</v>
      </c>
      <c r="B509">
        <f t="shared" si="54"/>
        <v>23064</v>
      </c>
      <c r="C509">
        <v>4223</v>
      </c>
      <c r="D509">
        <v>18841</v>
      </c>
      <c r="F509">
        <f t="shared" si="49"/>
        <v>536</v>
      </c>
      <c r="G509" s="20">
        <f t="shared" si="55"/>
        <v>504</v>
      </c>
      <c r="H509" s="21">
        <v>66621100089</v>
      </c>
      <c r="I509" s="22">
        <v>633</v>
      </c>
      <c r="J509" s="23"/>
      <c r="K509" s="24">
        <v>22528</v>
      </c>
      <c r="L509" s="23">
        <f t="shared" si="50"/>
        <v>536</v>
      </c>
      <c r="M509" s="24">
        <v>4128</v>
      </c>
      <c r="N509" s="25">
        <f t="shared" si="51"/>
        <v>95</v>
      </c>
      <c r="O509" s="24">
        <v>18400</v>
      </c>
      <c r="P509" s="23">
        <f t="shared" si="52"/>
        <v>441</v>
      </c>
      <c r="Q509" s="26"/>
      <c r="R509" s="23">
        <f t="shared" si="53"/>
        <v>0</v>
      </c>
      <c r="S509" s="27" t="s">
        <v>18</v>
      </c>
      <c r="T509" s="19" t="s">
        <v>522</v>
      </c>
    </row>
    <row r="510" spans="1:20" ht="37.5" customHeight="1" x14ac:dyDescent="0.25">
      <c r="A510" s="19" t="s">
        <v>523</v>
      </c>
      <c r="B510">
        <f t="shared" si="54"/>
        <v>48172</v>
      </c>
      <c r="C510">
        <v>9630</v>
      </c>
      <c r="D510">
        <v>38542</v>
      </c>
      <c r="F510">
        <f t="shared" si="49"/>
        <v>67</v>
      </c>
      <c r="G510" s="20">
        <f t="shared" si="55"/>
        <v>505</v>
      </c>
      <c r="H510" s="21">
        <v>23014090207</v>
      </c>
      <c r="I510" s="22">
        <v>635</v>
      </c>
      <c r="J510" s="23"/>
      <c r="K510" s="24">
        <v>48105</v>
      </c>
      <c r="L510" s="23">
        <f t="shared" si="50"/>
        <v>67</v>
      </c>
      <c r="M510" s="24">
        <v>9619</v>
      </c>
      <c r="N510" s="25">
        <f t="shared" si="51"/>
        <v>11</v>
      </c>
      <c r="O510" s="24">
        <v>38486</v>
      </c>
      <c r="P510" s="23">
        <f t="shared" si="52"/>
        <v>56</v>
      </c>
      <c r="Q510" s="26"/>
      <c r="R510" s="23">
        <f t="shared" si="53"/>
        <v>0</v>
      </c>
      <c r="S510" s="27" t="s">
        <v>18</v>
      </c>
      <c r="T510" s="19" t="s">
        <v>523</v>
      </c>
    </row>
    <row r="511" spans="1:20" ht="37.5" customHeight="1" x14ac:dyDescent="0.25">
      <c r="A511" s="19" t="s">
        <v>524</v>
      </c>
      <c r="B511">
        <f t="shared" si="54"/>
        <v>52505</v>
      </c>
      <c r="C511">
        <v>9178</v>
      </c>
      <c r="D511">
        <v>43327</v>
      </c>
      <c r="F511">
        <f t="shared" si="49"/>
        <v>728</v>
      </c>
      <c r="G511" s="20">
        <f t="shared" si="55"/>
        <v>506</v>
      </c>
      <c r="H511" s="21">
        <v>66616031224</v>
      </c>
      <c r="I511" s="22">
        <v>636</v>
      </c>
      <c r="J511" s="23"/>
      <c r="K511" s="24">
        <v>51777</v>
      </c>
      <c r="L511" s="23">
        <f t="shared" si="50"/>
        <v>728</v>
      </c>
      <c r="M511" s="24">
        <v>9031</v>
      </c>
      <c r="N511" s="25">
        <f t="shared" si="51"/>
        <v>147</v>
      </c>
      <c r="O511" s="24">
        <v>42746</v>
      </c>
      <c r="P511" s="23">
        <f t="shared" si="52"/>
        <v>581</v>
      </c>
      <c r="Q511" s="26"/>
      <c r="R511" s="23">
        <f t="shared" si="53"/>
        <v>0</v>
      </c>
      <c r="S511" s="27" t="s">
        <v>18</v>
      </c>
      <c r="T511" s="19" t="s">
        <v>524</v>
      </c>
    </row>
    <row r="512" spans="1:20" ht="37.5" customHeight="1" x14ac:dyDescent="0.25">
      <c r="A512" s="19" t="s">
        <v>525</v>
      </c>
      <c r="B512">
        <f t="shared" si="54"/>
        <v>53886</v>
      </c>
      <c r="C512">
        <v>13441</v>
      </c>
      <c r="D512">
        <v>40445</v>
      </c>
      <c r="F512">
        <f t="shared" si="49"/>
        <v>582</v>
      </c>
      <c r="G512" s="20">
        <f t="shared" si="55"/>
        <v>507</v>
      </c>
      <c r="H512" s="21">
        <v>23011010048</v>
      </c>
      <c r="I512" s="22">
        <v>637</v>
      </c>
      <c r="J512" s="23"/>
      <c r="K512" s="24">
        <v>53304</v>
      </c>
      <c r="L512" s="23">
        <f t="shared" si="50"/>
        <v>582</v>
      </c>
      <c r="M512" s="24">
        <v>13330</v>
      </c>
      <c r="N512" s="25">
        <f t="shared" si="51"/>
        <v>111</v>
      </c>
      <c r="O512" s="24">
        <v>39974</v>
      </c>
      <c r="P512" s="23">
        <f t="shared" si="52"/>
        <v>471</v>
      </c>
      <c r="Q512" s="26"/>
      <c r="R512" s="23">
        <f t="shared" si="53"/>
        <v>0</v>
      </c>
      <c r="S512" s="27" t="s">
        <v>18</v>
      </c>
      <c r="T512" s="19" t="s">
        <v>525</v>
      </c>
    </row>
    <row r="513" spans="1:20" ht="37.5" customHeight="1" x14ac:dyDescent="0.25">
      <c r="A513" s="19" t="s">
        <v>526</v>
      </c>
      <c r="B513">
        <f t="shared" si="54"/>
        <v>9974</v>
      </c>
      <c r="C513">
        <v>2266</v>
      </c>
      <c r="D513">
        <v>7708</v>
      </c>
      <c r="E513">
        <v>9220</v>
      </c>
      <c r="F513">
        <f t="shared" si="49"/>
        <v>523</v>
      </c>
      <c r="G513" s="20">
        <f t="shared" si="55"/>
        <v>508</v>
      </c>
      <c r="H513" s="21">
        <v>99723070015</v>
      </c>
      <c r="I513" s="22">
        <v>639</v>
      </c>
      <c r="J513" s="23"/>
      <c r="K513" s="24">
        <f>M513+O513</f>
        <v>9451</v>
      </c>
      <c r="L513" s="23">
        <f t="shared" si="50"/>
        <v>523</v>
      </c>
      <c r="M513" s="24">
        <v>2141</v>
      </c>
      <c r="N513" s="25">
        <f t="shared" si="51"/>
        <v>125</v>
      </c>
      <c r="O513" s="24">
        <v>7310</v>
      </c>
      <c r="P513" s="23">
        <f t="shared" si="52"/>
        <v>398</v>
      </c>
      <c r="Q513" s="26">
        <v>8586</v>
      </c>
      <c r="R513" s="23">
        <f t="shared" si="53"/>
        <v>634</v>
      </c>
      <c r="S513" s="27" t="s">
        <v>18</v>
      </c>
      <c r="T513" s="19" t="s">
        <v>526</v>
      </c>
    </row>
    <row r="514" spans="1:20" ht="37.5" customHeight="1" x14ac:dyDescent="0.25">
      <c r="A514" s="19" t="s">
        <v>527</v>
      </c>
      <c r="B514">
        <f t="shared" si="54"/>
        <v>28775</v>
      </c>
      <c r="C514">
        <v>5208</v>
      </c>
      <c r="D514">
        <v>23567</v>
      </c>
      <c r="F514">
        <f t="shared" si="49"/>
        <v>542</v>
      </c>
      <c r="G514" s="20">
        <f t="shared" si="55"/>
        <v>509</v>
      </c>
      <c r="H514" s="21">
        <v>88819020009</v>
      </c>
      <c r="I514" s="22">
        <v>640</v>
      </c>
      <c r="J514" s="23"/>
      <c r="K514" s="24">
        <v>28233</v>
      </c>
      <c r="L514" s="23">
        <f t="shared" si="50"/>
        <v>542</v>
      </c>
      <c r="M514" s="24">
        <v>5101</v>
      </c>
      <c r="N514" s="25">
        <f t="shared" si="51"/>
        <v>107</v>
      </c>
      <c r="O514" s="24">
        <v>23132</v>
      </c>
      <c r="P514" s="23">
        <f t="shared" si="52"/>
        <v>435</v>
      </c>
      <c r="Q514" s="26"/>
      <c r="R514" s="23">
        <f t="shared" si="53"/>
        <v>0</v>
      </c>
      <c r="S514" s="27" t="s">
        <v>18</v>
      </c>
      <c r="T514" s="19" t="s">
        <v>527</v>
      </c>
    </row>
    <row r="515" spans="1:20" ht="37.5" customHeight="1" x14ac:dyDescent="0.25">
      <c r="A515" s="19" t="s">
        <v>528</v>
      </c>
      <c r="B515">
        <f t="shared" si="54"/>
        <v>47855</v>
      </c>
      <c r="C515">
        <v>7888</v>
      </c>
      <c r="D515">
        <v>39967</v>
      </c>
      <c r="F515">
        <f t="shared" si="49"/>
        <v>30</v>
      </c>
      <c r="G515" s="20">
        <f t="shared" si="55"/>
        <v>510</v>
      </c>
      <c r="H515" s="21">
        <v>88818020432</v>
      </c>
      <c r="I515" s="22">
        <v>642</v>
      </c>
      <c r="J515" s="23"/>
      <c r="K515" s="24">
        <v>47825</v>
      </c>
      <c r="L515" s="23">
        <f t="shared" si="50"/>
        <v>30</v>
      </c>
      <c r="M515" s="24">
        <v>7887</v>
      </c>
      <c r="N515" s="25">
        <f t="shared" si="51"/>
        <v>1</v>
      </c>
      <c r="O515" s="24">
        <v>39938</v>
      </c>
      <c r="P515" s="23">
        <f t="shared" si="52"/>
        <v>29</v>
      </c>
      <c r="Q515" s="26"/>
      <c r="R515" s="23">
        <f t="shared" si="53"/>
        <v>0</v>
      </c>
      <c r="S515" s="27" t="s">
        <v>18</v>
      </c>
      <c r="T515" s="19" t="s">
        <v>528</v>
      </c>
    </row>
    <row r="516" spans="1:20" ht="37.5" customHeight="1" x14ac:dyDescent="0.25">
      <c r="A516" s="19" t="s">
        <v>529</v>
      </c>
      <c r="B516">
        <f t="shared" si="54"/>
        <v>4088</v>
      </c>
      <c r="C516">
        <v>848</v>
      </c>
      <c r="D516">
        <v>3240</v>
      </c>
      <c r="E516">
        <v>12452</v>
      </c>
      <c r="F516">
        <f t="shared" si="49"/>
        <v>405</v>
      </c>
      <c r="G516" s="20">
        <f t="shared" si="55"/>
        <v>511</v>
      </c>
      <c r="H516" s="21">
        <v>99623080345</v>
      </c>
      <c r="I516" s="22">
        <v>643</v>
      </c>
      <c r="J516" s="23"/>
      <c r="K516" s="24">
        <f>M516+O516</f>
        <v>3683</v>
      </c>
      <c r="L516" s="23">
        <f t="shared" si="50"/>
        <v>405</v>
      </c>
      <c r="M516" s="24">
        <v>776</v>
      </c>
      <c r="N516" s="25">
        <f t="shared" si="51"/>
        <v>72</v>
      </c>
      <c r="O516" s="24">
        <v>2907</v>
      </c>
      <c r="P516" s="23">
        <f t="shared" si="52"/>
        <v>333</v>
      </c>
      <c r="Q516" s="26">
        <v>11551</v>
      </c>
      <c r="R516" s="23">
        <f t="shared" si="53"/>
        <v>901</v>
      </c>
      <c r="S516" s="27" t="s">
        <v>18</v>
      </c>
      <c r="T516" s="19" t="s">
        <v>529</v>
      </c>
    </row>
    <row r="517" spans="1:20" ht="37.5" customHeight="1" x14ac:dyDescent="0.25">
      <c r="A517" s="19" t="s">
        <v>530</v>
      </c>
      <c r="B517">
        <f t="shared" si="54"/>
        <v>50204</v>
      </c>
      <c r="C517">
        <v>9613</v>
      </c>
      <c r="D517">
        <v>40591</v>
      </c>
      <c r="F517">
        <f t="shared" ref="F517:F580" si="56">L517</f>
        <v>467</v>
      </c>
      <c r="G517" s="20">
        <f t="shared" si="55"/>
        <v>512</v>
      </c>
      <c r="H517" s="21">
        <v>23015010681</v>
      </c>
      <c r="I517" s="22">
        <v>644</v>
      </c>
      <c r="J517" s="23"/>
      <c r="K517" s="24">
        <v>49737</v>
      </c>
      <c r="L517" s="23">
        <f t="shared" si="50"/>
        <v>467</v>
      </c>
      <c r="M517" s="24">
        <v>9527</v>
      </c>
      <c r="N517" s="25">
        <f t="shared" si="51"/>
        <v>86</v>
      </c>
      <c r="O517" s="24">
        <v>40210</v>
      </c>
      <c r="P517" s="23">
        <f t="shared" si="52"/>
        <v>381</v>
      </c>
      <c r="Q517" s="26"/>
      <c r="R517" s="23">
        <f t="shared" si="53"/>
        <v>0</v>
      </c>
      <c r="S517" s="27" t="s">
        <v>18</v>
      </c>
      <c r="T517" s="19" t="s">
        <v>530</v>
      </c>
    </row>
    <row r="518" spans="1:20" ht="37.5" customHeight="1" x14ac:dyDescent="0.25">
      <c r="A518" s="19" t="s">
        <v>531</v>
      </c>
      <c r="B518">
        <f t="shared" si="54"/>
        <v>74734</v>
      </c>
      <c r="C518">
        <v>12574</v>
      </c>
      <c r="D518">
        <v>62160</v>
      </c>
      <c r="F518">
        <f t="shared" si="56"/>
        <v>494</v>
      </c>
      <c r="G518" s="20">
        <f t="shared" si="55"/>
        <v>513</v>
      </c>
      <c r="H518" s="21">
        <v>23012060035</v>
      </c>
      <c r="I518" s="22">
        <v>645</v>
      </c>
      <c r="J518" s="23"/>
      <c r="K518" s="24">
        <v>74240</v>
      </c>
      <c r="L518" s="23">
        <f t="shared" ref="L518:L581" si="57">B518-K518</f>
        <v>494</v>
      </c>
      <c r="M518" s="24">
        <v>12502</v>
      </c>
      <c r="N518" s="25">
        <f t="shared" ref="N518:N581" si="58">C518-M518</f>
        <v>72</v>
      </c>
      <c r="O518" s="24">
        <v>61738</v>
      </c>
      <c r="P518" s="23">
        <f t="shared" ref="P518:P581" si="59">D518-O518</f>
        <v>422</v>
      </c>
      <c r="Q518" s="26"/>
      <c r="R518" s="23">
        <f t="shared" ref="R518:R581" si="60">E518-Q518</f>
        <v>0</v>
      </c>
      <c r="S518" s="27" t="s">
        <v>18</v>
      </c>
      <c r="T518" s="19" t="s">
        <v>531</v>
      </c>
    </row>
    <row r="519" spans="1:20" ht="37.5" customHeight="1" x14ac:dyDescent="0.25">
      <c r="A519" s="19" t="s">
        <v>532</v>
      </c>
      <c r="B519">
        <f t="shared" ref="B519:B582" si="61">C519+D519</f>
        <v>58032</v>
      </c>
      <c r="C519">
        <v>9683</v>
      </c>
      <c r="D519">
        <v>48349</v>
      </c>
      <c r="F519">
        <f t="shared" si="56"/>
        <v>664</v>
      </c>
      <c r="G519" s="20">
        <f t="shared" si="55"/>
        <v>514</v>
      </c>
      <c r="H519" s="21">
        <v>66616020148</v>
      </c>
      <c r="I519" s="22">
        <v>646</v>
      </c>
      <c r="J519" s="23"/>
      <c r="K519" s="24">
        <v>57368</v>
      </c>
      <c r="L519" s="23">
        <f t="shared" si="57"/>
        <v>664</v>
      </c>
      <c r="M519" s="24">
        <v>9589</v>
      </c>
      <c r="N519" s="25">
        <f t="shared" si="58"/>
        <v>94</v>
      </c>
      <c r="O519" s="24">
        <v>47779</v>
      </c>
      <c r="P519" s="23">
        <f t="shared" si="59"/>
        <v>570</v>
      </c>
      <c r="Q519" s="26"/>
      <c r="R519" s="23">
        <f t="shared" si="60"/>
        <v>0</v>
      </c>
      <c r="S519" s="27" t="s">
        <v>18</v>
      </c>
      <c r="T519" s="19" t="s">
        <v>532</v>
      </c>
    </row>
    <row r="520" spans="1:20" ht="37.5" customHeight="1" x14ac:dyDescent="0.25">
      <c r="A520" s="19" t="s">
        <v>533</v>
      </c>
      <c r="B520">
        <f t="shared" si="61"/>
        <v>15260</v>
      </c>
      <c r="C520">
        <v>2498</v>
      </c>
      <c r="D520">
        <v>12762</v>
      </c>
      <c r="F520">
        <f t="shared" si="56"/>
        <v>364</v>
      </c>
      <c r="G520" s="20">
        <f t="shared" ref="G520:G583" si="62">G519+1</f>
        <v>515</v>
      </c>
      <c r="H520" s="21">
        <v>66621090348</v>
      </c>
      <c r="I520" s="22">
        <v>647</v>
      </c>
      <c r="J520" s="23"/>
      <c r="K520" s="24">
        <v>14896</v>
      </c>
      <c r="L520" s="23">
        <f t="shared" si="57"/>
        <v>364</v>
      </c>
      <c r="M520" s="24">
        <v>2445</v>
      </c>
      <c r="N520" s="25">
        <f t="shared" si="58"/>
        <v>53</v>
      </c>
      <c r="O520" s="24">
        <v>12451</v>
      </c>
      <c r="P520" s="23">
        <f t="shared" si="59"/>
        <v>311</v>
      </c>
      <c r="Q520" s="26"/>
      <c r="R520" s="23">
        <f t="shared" si="60"/>
        <v>0</v>
      </c>
      <c r="S520" s="27" t="s">
        <v>18</v>
      </c>
      <c r="T520" s="19" t="s">
        <v>533</v>
      </c>
    </row>
    <row r="521" spans="1:20" ht="37.5" customHeight="1" x14ac:dyDescent="0.25">
      <c r="A521" s="19" t="s">
        <v>534</v>
      </c>
      <c r="B521">
        <f t="shared" si="61"/>
        <v>13979</v>
      </c>
      <c r="C521">
        <v>3525</v>
      </c>
      <c r="D521">
        <v>10454</v>
      </c>
      <c r="E521">
        <v>18552</v>
      </c>
      <c r="F521">
        <f t="shared" si="56"/>
        <v>708</v>
      </c>
      <c r="G521" s="20">
        <f t="shared" si="62"/>
        <v>516</v>
      </c>
      <c r="H521" s="21">
        <v>99723070102</v>
      </c>
      <c r="I521" s="22">
        <v>648</v>
      </c>
      <c r="J521" s="23"/>
      <c r="K521" s="24">
        <f>M521+O521</f>
        <v>13271</v>
      </c>
      <c r="L521" s="23">
        <f t="shared" si="57"/>
        <v>708</v>
      </c>
      <c r="M521" s="24">
        <v>3353</v>
      </c>
      <c r="N521" s="25">
        <f t="shared" si="58"/>
        <v>172</v>
      </c>
      <c r="O521" s="24">
        <v>9918</v>
      </c>
      <c r="P521" s="23">
        <f t="shared" si="59"/>
        <v>536</v>
      </c>
      <c r="Q521" s="26">
        <v>17099</v>
      </c>
      <c r="R521" s="23">
        <f t="shared" si="60"/>
        <v>1453</v>
      </c>
      <c r="S521" s="27" t="s">
        <v>18</v>
      </c>
      <c r="T521" s="19" t="s">
        <v>534</v>
      </c>
    </row>
    <row r="522" spans="1:20" ht="37.5" customHeight="1" x14ac:dyDescent="0.25">
      <c r="A522" s="19" t="s">
        <v>535</v>
      </c>
      <c r="B522">
        <f t="shared" si="61"/>
        <v>66008</v>
      </c>
      <c r="C522">
        <v>21389</v>
      </c>
      <c r="D522">
        <v>44619</v>
      </c>
      <c r="F522">
        <f t="shared" si="56"/>
        <v>412</v>
      </c>
      <c r="G522" s="20">
        <f t="shared" si="62"/>
        <v>517</v>
      </c>
      <c r="H522" s="21">
        <v>23010020072</v>
      </c>
      <c r="I522" s="22">
        <v>649</v>
      </c>
      <c r="J522" s="23"/>
      <c r="K522" s="24">
        <v>65596</v>
      </c>
      <c r="L522" s="23">
        <f t="shared" si="57"/>
        <v>412</v>
      </c>
      <c r="M522" s="24">
        <v>21317</v>
      </c>
      <c r="N522" s="25">
        <f t="shared" si="58"/>
        <v>72</v>
      </c>
      <c r="O522" s="24">
        <v>44279</v>
      </c>
      <c r="P522" s="23">
        <f t="shared" si="59"/>
        <v>340</v>
      </c>
      <c r="Q522" s="26"/>
      <c r="R522" s="23">
        <f t="shared" si="60"/>
        <v>0</v>
      </c>
      <c r="S522" s="27" t="s">
        <v>18</v>
      </c>
      <c r="T522" s="19" t="s">
        <v>535</v>
      </c>
    </row>
    <row r="523" spans="1:20" ht="37.5" customHeight="1" x14ac:dyDescent="0.25">
      <c r="A523" s="19" t="s">
        <v>536</v>
      </c>
      <c r="B523">
        <f t="shared" si="61"/>
        <v>1744</v>
      </c>
      <c r="C523">
        <v>198</v>
      </c>
      <c r="D523">
        <v>1546</v>
      </c>
      <c r="F523">
        <f t="shared" si="56"/>
        <v>113</v>
      </c>
      <c r="G523" s="20">
        <f t="shared" si="62"/>
        <v>518</v>
      </c>
      <c r="H523" s="21">
        <v>66622030086</v>
      </c>
      <c r="I523" s="22">
        <v>650</v>
      </c>
      <c r="J523" s="23"/>
      <c r="K523" s="24">
        <v>1631</v>
      </c>
      <c r="L523" s="23">
        <f t="shared" si="57"/>
        <v>113</v>
      </c>
      <c r="M523" s="24">
        <v>180</v>
      </c>
      <c r="N523" s="25">
        <f t="shared" si="58"/>
        <v>18</v>
      </c>
      <c r="O523" s="24">
        <v>1451</v>
      </c>
      <c r="P523" s="23">
        <f t="shared" si="59"/>
        <v>95</v>
      </c>
      <c r="Q523" s="26"/>
      <c r="R523" s="23">
        <f t="shared" si="60"/>
        <v>0</v>
      </c>
      <c r="S523" s="27" t="s">
        <v>18</v>
      </c>
      <c r="T523" s="19" t="s">
        <v>536</v>
      </c>
    </row>
    <row r="524" spans="1:20" ht="37.5" customHeight="1" x14ac:dyDescent="0.25">
      <c r="A524" s="19" t="s">
        <v>537</v>
      </c>
      <c r="B524">
        <f t="shared" si="61"/>
        <v>12354</v>
      </c>
      <c r="C524">
        <v>1922</v>
      </c>
      <c r="D524">
        <v>10432</v>
      </c>
      <c r="F524">
        <f t="shared" si="56"/>
        <v>258</v>
      </c>
      <c r="G524" s="20">
        <f t="shared" si="62"/>
        <v>519</v>
      </c>
      <c r="H524" s="21">
        <v>66622010193</v>
      </c>
      <c r="I524" s="22">
        <v>651</v>
      </c>
      <c r="J524" s="23"/>
      <c r="K524" s="24">
        <v>12096</v>
      </c>
      <c r="L524" s="23">
        <f t="shared" si="57"/>
        <v>258</v>
      </c>
      <c r="M524" s="24">
        <v>1880</v>
      </c>
      <c r="N524" s="25">
        <f t="shared" si="58"/>
        <v>42</v>
      </c>
      <c r="O524" s="24">
        <v>10216</v>
      </c>
      <c r="P524" s="23">
        <f t="shared" si="59"/>
        <v>216</v>
      </c>
      <c r="Q524" s="26"/>
      <c r="R524" s="23">
        <f t="shared" si="60"/>
        <v>0</v>
      </c>
      <c r="S524" s="27" t="s">
        <v>18</v>
      </c>
      <c r="T524" s="19" t="s">
        <v>537</v>
      </c>
    </row>
    <row r="525" spans="1:20" ht="37.5" customHeight="1" x14ac:dyDescent="0.25">
      <c r="A525" s="19" t="s">
        <v>538</v>
      </c>
      <c r="B525">
        <f t="shared" si="61"/>
        <v>66840</v>
      </c>
      <c r="C525">
        <v>11791</v>
      </c>
      <c r="D525">
        <v>55049</v>
      </c>
      <c r="F525">
        <f t="shared" si="56"/>
        <v>278</v>
      </c>
      <c r="G525" s="20">
        <f t="shared" si="62"/>
        <v>520</v>
      </c>
      <c r="H525" s="21">
        <v>23012070214</v>
      </c>
      <c r="I525" s="22">
        <v>652</v>
      </c>
      <c r="J525" s="23"/>
      <c r="K525" s="24">
        <v>66562</v>
      </c>
      <c r="L525" s="23">
        <f t="shared" si="57"/>
        <v>278</v>
      </c>
      <c r="M525" s="24">
        <v>11744</v>
      </c>
      <c r="N525" s="25">
        <f t="shared" si="58"/>
        <v>47</v>
      </c>
      <c r="O525" s="24">
        <v>54818</v>
      </c>
      <c r="P525" s="23">
        <f t="shared" si="59"/>
        <v>231</v>
      </c>
      <c r="Q525" s="26"/>
      <c r="R525" s="23">
        <f t="shared" si="60"/>
        <v>0</v>
      </c>
      <c r="S525" s="27" t="s">
        <v>18</v>
      </c>
      <c r="T525" s="19" t="s">
        <v>538</v>
      </c>
    </row>
    <row r="526" spans="1:20" ht="37.5" customHeight="1" x14ac:dyDescent="0.25">
      <c r="A526" s="19" t="s">
        <v>539</v>
      </c>
      <c r="B526">
        <f t="shared" si="61"/>
        <v>30380</v>
      </c>
      <c r="C526">
        <v>3447</v>
      </c>
      <c r="D526">
        <v>26933</v>
      </c>
      <c r="F526">
        <f t="shared" si="56"/>
        <v>420</v>
      </c>
      <c r="G526" s="20">
        <f t="shared" si="62"/>
        <v>521</v>
      </c>
      <c r="H526" s="21">
        <v>88819030244</v>
      </c>
      <c r="I526" s="22">
        <v>653</v>
      </c>
      <c r="J526" s="23"/>
      <c r="K526" s="24">
        <v>29960</v>
      </c>
      <c r="L526" s="23">
        <f t="shared" si="57"/>
        <v>420</v>
      </c>
      <c r="M526" s="24">
        <v>3385</v>
      </c>
      <c r="N526" s="25">
        <f t="shared" si="58"/>
        <v>62</v>
      </c>
      <c r="O526" s="24">
        <v>26575</v>
      </c>
      <c r="P526" s="23">
        <f t="shared" si="59"/>
        <v>358</v>
      </c>
      <c r="Q526" s="26"/>
      <c r="R526" s="23">
        <f t="shared" si="60"/>
        <v>0</v>
      </c>
      <c r="S526" s="27" t="s">
        <v>18</v>
      </c>
      <c r="T526" s="19" t="s">
        <v>539</v>
      </c>
    </row>
    <row r="527" spans="1:20" ht="37.5" customHeight="1" x14ac:dyDescent="0.25">
      <c r="A527" s="19" t="s">
        <v>540</v>
      </c>
      <c r="B527">
        <f t="shared" si="61"/>
        <v>64260</v>
      </c>
      <c r="C527">
        <v>10504</v>
      </c>
      <c r="D527">
        <v>53756</v>
      </c>
      <c r="F527">
        <f t="shared" si="56"/>
        <v>713</v>
      </c>
      <c r="G527" s="20">
        <f t="shared" si="62"/>
        <v>522</v>
      </c>
      <c r="H527" s="21">
        <v>23013010189</v>
      </c>
      <c r="I527" s="22">
        <v>654</v>
      </c>
      <c r="J527" s="23"/>
      <c r="K527" s="24">
        <v>63547</v>
      </c>
      <c r="L527" s="23">
        <f t="shared" si="57"/>
        <v>713</v>
      </c>
      <c r="M527" s="24">
        <v>10406</v>
      </c>
      <c r="N527" s="25">
        <f t="shared" si="58"/>
        <v>98</v>
      </c>
      <c r="O527" s="24">
        <v>53141</v>
      </c>
      <c r="P527" s="23">
        <f t="shared" si="59"/>
        <v>615</v>
      </c>
      <c r="Q527" s="26"/>
      <c r="R527" s="23">
        <f t="shared" si="60"/>
        <v>0</v>
      </c>
      <c r="S527" s="27" t="s">
        <v>18</v>
      </c>
      <c r="T527" s="19" t="s">
        <v>540</v>
      </c>
    </row>
    <row r="528" spans="1:20" ht="37.5" customHeight="1" x14ac:dyDescent="0.25">
      <c r="A528" s="19" t="s">
        <v>541</v>
      </c>
      <c r="B528">
        <f t="shared" si="61"/>
        <v>76089</v>
      </c>
      <c r="C528">
        <v>12149</v>
      </c>
      <c r="D528">
        <v>63940</v>
      </c>
      <c r="F528">
        <f t="shared" si="56"/>
        <v>449</v>
      </c>
      <c r="G528" s="20">
        <f t="shared" si="62"/>
        <v>523</v>
      </c>
      <c r="H528" s="21">
        <v>88818020009</v>
      </c>
      <c r="I528" s="22">
        <v>655</v>
      </c>
      <c r="J528" s="23"/>
      <c r="K528" s="24">
        <v>75640</v>
      </c>
      <c r="L528" s="23">
        <f t="shared" si="57"/>
        <v>449</v>
      </c>
      <c r="M528" s="24">
        <v>12067</v>
      </c>
      <c r="N528" s="25">
        <f t="shared" si="58"/>
        <v>82</v>
      </c>
      <c r="O528" s="24">
        <v>63573</v>
      </c>
      <c r="P528" s="23">
        <f t="shared" si="59"/>
        <v>367</v>
      </c>
      <c r="Q528" s="26"/>
      <c r="R528" s="23">
        <f t="shared" si="60"/>
        <v>0</v>
      </c>
      <c r="S528" s="27" t="s">
        <v>18</v>
      </c>
      <c r="T528" s="19" t="s">
        <v>541</v>
      </c>
    </row>
    <row r="529" spans="1:20" ht="37.5" customHeight="1" x14ac:dyDescent="0.25">
      <c r="A529" s="19" t="s">
        <v>542</v>
      </c>
      <c r="B529">
        <f t="shared" si="61"/>
        <v>20888</v>
      </c>
      <c r="C529">
        <v>3169</v>
      </c>
      <c r="D529">
        <v>17719</v>
      </c>
      <c r="F529">
        <f t="shared" si="56"/>
        <v>807</v>
      </c>
      <c r="G529" s="20">
        <f t="shared" si="62"/>
        <v>524</v>
      </c>
      <c r="H529" s="21">
        <v>88820040123</v>
      </c>
      <c r="I529" s="22">
        <v>656</v>
      </c>
      <c r="J529" s="23"/>
      <c r="K529" s="24">
        <v>20081</v>
      </c>
      <c r="L529" s="23">
        <f t="shared" si="57"/>
        <v>807</v>
      </c>
      <c r="M529" s="24">
        <v>3036</v>
      </c>
      <c r="N529" s="25">
        <f t="shared" si="58"/>
        <v>133</v>
      </c>
      <c r="O529" s="24">
        <v>17045</v>
      </c>
      <c r="P529" s="23">
        <f t="shared" si="59"/>
        <v>674</v>
      </c>
      <c r="Q529" s="26"/>
      <c r="R529" s="23">
        <f t="shared" si="60"/>
        <v>0</v>
      </c>
      <c r="S529" s="27" t="s">
        <v>18</v>
      </c>
      <c r="T529" s="19" t="s">
        <v>542</v>
      </c>
    </row>
    <row r="530" spans="1:20" ht="37.5" customHeight="1" x14ac:dyDescent="0.25">
      <c r="A530" s="19" t="s">
        <v>543</v>
      </c>
      <c r="B530">
        <f t="shared" si="61"/>
        <v>43405</v>
      </c>
      <c r="C530">
        <v>7477</v>
      </c>
      <c r="D530">
        <v>35928</v>
      </c>
      <c r="F530">
        <f t="shared" si="56"/>
        <v>373</v>
      </c>
      <c r="G530" s="20">
        <f t="shared" si="62"/>
        <v>525</v>
      </c>
      <c r="H530" s="21">
        <v>88818010208</v>
      </c>
      <c r="I530" s="22">
        <v>657</v>
      </c>
      <c r="J530" s="23"/>
      <c r="K530" s="24">
        <v>43032</v>
      </c>
      <c r="L530" s="23">
        <f t="shared" si="57"/>
        <v>373</v>
      </c>
      <c r="M530" s="24">
        <v>7410</v>
      </c>
      <c r="N530" s="25">
        <f t="shared" si="58"/>
        <v>67</v>
      </c>
      <c r="O530" s="24">
        <v>35622</v>
      </c>
      <c r="P530" s="23">
        <f t="shared" si="59"/>
        <v>306</v>
      </c>
      <c r="Q530" s="26"/>
      <c r="R530" s="23">
        <f t="shared" si="60"/>
        <v>0</v>
      </c>
      <c r="S530" s="27" t="s">
        <v>18</v>
      </c>
      <c r="T530" s="19" t="s">
        <v>543</v>
      </c>
    </row>
    <row r="531" spans="1:20" ht="37.5" customHeight="1" x14ac:dyDescent="0.25">
      <c r="A531" s="19" t="s">
        <v>544</v>
      </c>
      <c r="B531">
        <f t="shared" si="61"/>
        <v>68075</v>
      </c>
      <c r="C531">
        <v>10956</v>
      </c>
      <c r="D531">
        <v>57119</v>
      </c>
      <c r="F531">
        <f t="shared" si="56"/>
        <v>688</v>
      </c>
      <c r="G531" s="20">
        <f t="shared" si="62"/>
        <v>526</v>
      </c>
      <c r="H531" s="21">
        <v>66616031234</v>
      </c>
      <c r="I531" s="22">
        <v>658</v>
      </c>
      <c r="J531" s="23"/>
      <c r="K531" s="24">
        <v>67387</v>
      </c>
      <c r="L531" s="23">
        <f t="shared" si="57"/>
        <v>688</v>
      </c>
      <c r="M531" s="24">
        <v>10839</v>
      </c>
      <c r="N531" s="25">
        <f t="shared" si="58"/>
        <v>117</v>
      </c>
      <c r="O531" s="24">
        <v>56548</v>
      </c>
      <c r="P531" s="23">
        <f t="shared" si="59"/>
        <v>571</v>
      </c>
      <c r="Q531" s="26"/>
      <c r="R531" s="23">
        <f t="shared" si="60"/>
        <v>0</v>
      </c>
      <c r="S531" s="27" t="s">
        <v>18</v>
      </c>
      <c r="T531" s="19" t="s">
        <v>544</v>
      </c>
    </row>
    <row r="532" spans="1:20" ht="37.5" customHeight="1" x14ac:dyDescent="0.25">
      <c r="A532" s="19" t="s">
        <v>545</v>
      </c>
      <c r="B532">
        <f t="shared" si="61"/>
        <v>59577</v>
      </c>
      <c r="C532">
        <v>10843</v>
      </c>
      <c r="D532">
        <v>48734</v>
      </c>
      <c r="F532">
        <f t="shared" si="56"/>
        <v>476</v>
      </c>
      <c r="G532" s="20">
        <f t="shared" si="62"/>
        <v>527</v>
      </c>
      <c r="H532" s="21">
        <v>66616031235</v>
      </c>
      <c r="I532" s="22">
        <v>659</v>
      </c>
      <c r="J532" s="23"/>
      <c r="K532" s="24">
        <v>59101</v>
      </c>
      <c r="L532" s="23">
        <f t="shared" si="57"/>
        <v>476</v>
      </c>
      <c r="M532" s="24">
        <v>10754</v>
      </c>
      <c r="N532" s="25">
        <f t="shared" si="58"/>
        <v>89</v>
      </c>
      <c r="O532" s="24">
        <v>48347</v>
      </c>
      <c r="P532" s="23">
        <f t="shared" si="59"/>
        <v>387</v>
      </c>
      <c r="Q532" s="26"/>
      <c r="R532" s="23">
        <f t="shared" si="60"/>
        <v>0</v>
      </c>
      <c r="S532" s="27" t="s">
        <v>18</v>
      </c>
      <c r="T532" s="19" t="s">
        <v>545</v>
      </c>
    </row>
    <row r="533" spans="1:20" ht="37.5" customHeight="1" x14ac:dyDescent="0.25">
      <c r="A533" s="19" t="s">
        <v>546</v>
      </c>
      <c r="B533">
        <f t="shared" si="61"/>
        <v>35971</v>
      </c>
      <c r="C533">
        <v>5965</v>
      </c>
      <c r="D533">
        <v>30006</v>
      </c>
      <c r="F533">
        <f t="shared" si="56"/>
        <v>710</v>
      </c>
      <c r="G533" s="20">
        <f t="shared" si="62"/>
        <v>528</v>
      </c>
      <c r="H533" s="21">
        <v>88820003289</v>
      </c>
      <c r="I533" s="22">
        <v>660</v>
      </c>
      <c r="J533" s="23"/>
      <c r="K533" s="24">
        <v>35261</v>
      </c>
      <c r="L533" s="23">
        <f t="shared" si="57"/>
        <v>710</v>
      </c>
      <c r="M533" s="24">
        <v>5867</v>
      </c>
      <c r="N533" s="25">
        <f t="shared" si="58"/>
        <v>98</v>
      </c>
      <c r="O533" s="24">
        <v>29394</v>
      </c>
      <c r="P533" s="23">
        <f t="shared" si="59"/>
        <v>612</v>
      </c>
      <c r="Q533" s="26"/>
      <c r="R533" s="23">
        <f t="shared" si="60"/>
        <v>0</v>
      </c>
      <c r="S533" s="27" t="s">
        <v>18</v>
      </c>
      <c r="T533" s="19" t="s">
        <v>546</v>
      </c>
    </row>
    <row r="534" spans="1:20" ht="37.5" customHeight="1" x14ac:dyDescent="0.25">
      <c r="A534" s="19" t="s">
        <v>547</v>
      </c>
      <c r="B534">
        <f t="shared" si="61"/>
        <v>6651</v>
      </c>
      <c r="C534">
        <v>1315</v>
      </c>
      <c r="D534">
        <v>5336</v>
      </c>
      <c r="F534">
        <f t="shared" si="56"/>
        <v>204</v>
      </c>
      <c r="G534" s="20">
        <f t="shared" si="62"/>
        <v>529</v>
      </c>
      <c r="H534" s="21">
        <v>66617020419</v>
      </c>
      <c r="I534" s="22">
        <v>661</v>
      </c>
      <c r="J534" s="23"/>
      <c r="K534" s="24">
        <v>6447</v>
      </c>
      <c r="L534" s="23">
        <f t="shared" si="57"/>
        <v>204</v>
      </c>
      <c r="M534" s="24">
        <v>1280</v>
      </c>
      <c r="N534" s="25">
        <f t="shared" si="58"/>
        <v>35</v>
      </c>
      <c r="O534" s="24">
        <v>5167</v>
      </c>
      <c r="P534" s="23">
        <f t="shared" si="59"/>
        <v>169</v>
      </c>
      <c r="Q534" s="26"/>
      <c r="R534" s="23">
        <f t="shared" si="60"/>
        <v>0</v>
      </c>
      <c r="S534" s="27" t="s">
        <v>18</v>
      </c>
      <c r="T534" s="19" t="s">
        <v>547</v>
      </c>
    </row>
    <row r="535" spans="1:20" ht="37.5" customHeight="1" x14ac:dyDescent="0.25">
      <c r="A535" s="19" t="s">
        <v>548</v>
      </c>
      <c r="B535">
        <f t="shared" si="61"/>
        <v>4232</v>
      </c>
      <c r="C535">
        <v>1023</v>
      </c>
      <c r="D535">
        <v>3209</v>
      </c>
      <c r="E535">
        <v>6231</v>
      </c>
      <c r="F535">
        <f t="shared" si="56"/>
        <v>349</v>
      </c>
      <c r="G535" s="20">
        <f t="shared" si="62"/>
        <v>530</v>
      </c>
      <c r="H535" s="21">
        <v>99624030325</v>
      </c>
      <c r="I535" s="22">
        <v>662</v>
      </c>
      <c r="J535" s="23"/>
      <c r="K535" s="24">
        <f>M535+O535</f>
        <v>3883</v>
      </c>
      <c r="L535" s="23">
        <f t="shared" si="57"/>
        <v>349</v>
      </c>
      <c r="M535" s="24">
        <v>942</v>
      </c>
      <c r="N535" s="25">
        <f t="shared" si="58"/>
        <v>81</v>
      </c>
      <c r="O535" s="24">
        <v>2941</v>
      </c>
      <c r="P535" s="23">
        <f t="shared" si="59"/>
        <v>268</v>
      </c>
      <c r="Q535" s="26">
        <v>5080</v>
      </c>
      <c r="R535" s="23">
        <f t="shared" si="60"/>
        <v>1151</v>
      </c>
      <c r="S535" s="27" t="s">
        <v>18</v>
      </c>
      <c r="T535" s="19" t="s">
        <v>548</v>
      </c>
    </row>
    <row r="536" spans="1:20" ht="37.5" customHeight="1" x14ac:dyDescent="0.25">
      <c r="A536" s="19" t="s">
        <v>549</v>
      </c>
      <c r="B536">
        <f t="shared" si="61"/>
        <v>107909</v>
      </c>
      <c r="C536">
        <v>17592</v>
      </c>
      <c r="D536">
        <v>90317</v>
      </c>
      <c r="F536">
        <f t="shared" si="56"/>
        <v>793</v>
      </c>
      <c r="G536" s="20">
        <f t="shared" si="62"/>
        <v>531</v>
      </c>
      <c r="H536" s="21">
        <v>23013010151</v>
      </c>
      <c r="I536" s="22">
        <v>663</v>
      </c>
      <c r="J536" s="23"/>
      <c r="K536" s="24">
        <v>107116</v>
      </c>
      <c r="L536" s="23">
        <f t="shared" si="57"/>
        <v>793</v>
      </c>
      <c r="M536" s="24">
        <v>17476</v>
      </c>
      <c r="N536" s="25">
        <f t="shared" si="58"/>
        <v>116</v>
      </c>
      <c r="O536" s="24">
        <v>89640</v>
      </c>
      <c r="P536" s="23">
        <f t="shared" si="59"/>
        <v>677</v>
      </c>
      <c r="Q536" s="26"/>
      <c r="R536" s="23">
        <f t="shared" si="60"/>
        <v>0</v>
      </c>
      <c r="S536" s="27" t="s">
        <v>18</v>
      </c>
      <c r="T536" s="19" t="s">
        <v>549</v>
      </c>
    </row>
    <row r="537" spans="1:20" ht="37.5" customHeight="1" x14ac:dyDescent="0.25">
      <c r="A537" s="19" t="s">
        <v>550</v>
      </c>
      <c r="B537">
        <f t="shared" si="61"/>
        <v>10864</v>
      </c>
      <c r="C537">
        <v>3451</v>
      </c>
      <c r="D537">
        <v>7413</v>
      </c>
      <c r="E537">
        <v>12663</v>
      </c>
      <c r="F537">
        <f t="shared" si="56"/>
        <v>499</v>
      </c>
      <c r="G537" s="20">
        <f t="shared" si="62"/>
        <v>532</v>
      </c>
      <c r="H537" s="21">
        <v>99723050158</v>
      </c>
      <c r="I537" s="22">
        <v>664</v>
      </c>
      <c r="J537" s="23"/>
      <c r="K537" s="24">
        <f>M537+O537</f>
        <v>10365</v>
      </c>
      <c r="L537" s="23">
        <f t="shared" si="57"/>
        <v>499</v>
      </c>
      <c r="M537" s="24">
        <v>3272</v>
      </c>
      <c r="N537" s="25">
        <f t="shared" si="58"/>
        <v>179</v>
      </c>
      <c r="O537" s="24">
        <v>7093</v>
      </c>
      <c r="P537" s="23">
        <f t="shared" si="59"/>
        <v>320</v>
      </c>
      <c r="Q537" s="26">
        <v>11699</v>
      </c>
      <c r="R537" s="23">
        <f t="shared" si="60"/>
        <v>964</v>
      </c>
      <c r="S537" s="27" t="s">
        <v>18</v>
      </c>
      <c r="T537" s="19" t="s">
        <v>550</v>
      </c>
    </row>
    <row r="538" spans="1:20" ht="37.5" customHeight="1" x14ac:dyDescent="0.25">
      <c r="A538" s="19" t="s">
        <v>551</v>
      </c>
      <c r="B538">
        <f t="shared" si="61"/>
        <v>86391</v>
      </c>
      <c r="C538">
        <v>19920</v>
      </c>
      <c r="D538">
        <v>66471</v>
      </c>
      <c r="F538">
        <f t="shared" si="56"/>
        <v>467</v>
      </c>
      <c r="G538" s="20">
        <f t="shared" si="62"/>
        <v>533</v>
      </c>
      <c r="H538" s="21">
        <v>23011010037</v>
      </c>
      <c r="I538" s="22">
        <v>666</v>
      </c>
      <c r="J538" s="23"/>
      <c r="K538" s="24">
        <v>85924</v>
      </c>
      <c r="L538" s="23">
        <f t="shared" si="57"/>
        <v>467</v>
      </c>
      <c r="M538" s="24">
        <v>19842</v>
      </c>
      <c r="N538" s="25">
        <f t="shared" si="58"/>
        <v>78</v>
      </c>
      <c r="O538" s="24">
        <v>66082</v>
      </c>
      <c r="P538" s="23">
        <f t="shared" si="59"/>
        <v>389</v>
      </c>
      <c r="Q538" s="26"/>
      <c r="R538" s="23">
        <f t="shared" si="60"/>
        <v>0</v>
      </c>
      <c r="S538" s="27" t="s">
        <v>18</v>
      </c>
      <c r="T538" s="19" t="s">
        <v>551</v>
      </c>
    </row>
    <row r="539" spans="1:20" ht="37.5" customHeight="1" x14ac:dyDescent="0.25">
      <c r="A539" s="19" t="s">
        <v>552</v>
      </c>
      <c r="B539">
        <f t="shared" si="61"/>
        <v>7049</v>
      </c>
      <c r="C539">
        <v>1275</v>
      </c>
      <c r="D539">
        <v>5774</v>
      </c>
      <c r="E539">
        <v>7972</v>
      </c>
      <c r="F539">
        <f t="shared" si="56"/>
        <v>345</v>
      </c>
      <c r="G539" s="20">
        <f t="shared" si="62"/>
        <v>534</v>
      </c>
      <c r="H539" s="21">
        <v>99623080537</v>
      </c>
      <c r="I539" s="22">
        <v>667</v>
      </c>
      <c r="J539" s="23"/>
      <c r="K539" s="24">
        <f>M539+O539</f>
        <v>6704</v>
      </c>
      <c r="L539" s="23">
        <f t="shared" si="57"/>
        <v>345</v>
      </c>
      <c r="M539" s="24">
        <v>1184</v>
      </c>
      <c r="N539" s="25">
        <f t="shared" si="58"/>
        <v>91</v>
      </c>
      <c r="O539" s="24">
        <v>5520</v>
      </c>
      <c r="P539" s="23">
        <f t="shared" si="59"/>
        <v>254</v>
      </c>
      <c r="Q539" s="26">
        <v>7234</v>
      </c>
      <c r="R539" s="23">
        <f t="shared" si="60"/>
        <v>738</v>
      </c>
      <c r="S539" s="27" t="s">
        <v>18</v>
      </c>
      <c r="T539" s="19" t="s">
        <v>552</v>
      </c>
    </row>
    <row r="540" spans="1:20" ht="37.5" customHeight="1" x14ac:dyDescent="0.25">
      <c r="A540" s="19" t="s">
        <v>553</v>
      </c>
      <c r="B540">
        <f t="shared" si="61"/>
        <v>51520</v>
      </c>
      <c r="C540">
        <v>9459</v>
      </c>
      <c r="D540">
        <v>42061</v>
      </c>
      <c r="F540">
        <f t="shared" si="56"/>
        <v>194</v>
      </c>
      <c r="G540" s="20">
        <f t="shared" si="62"/>
        <v>535</v>
      </c>
      <c r="H540" s="21">
        <v>23008030073</v>
      </c>
      <c r="I540" s="22">
        <v>668</v>
      </c>
      <c r="J540" s="23"/>
      <c r="K540" s="24">
        <v>51326</v>
      </c>
      <c r="L540" s="23">
        <f t="shared" si="57"/>
        <v>194</v>
      </c>
      <c r="M540" s="24">
        <v>9428</v>
      </c>
      <c r="N540" s="25">
        <f t="shared" si="58"/>
        <v>31</v>
      </c>
      <c r="O540" s="24">
        <v>41898</v>
      </c>
      <c r="P540" s="23">
        <f t="shared" si="59"/>
        <v>163</v>
      </c>
      <c r="Q540" s="26"/>
      <c r="R540" s="23">
        <f t="shared" si="60"/>
        <v>0</v>
      </c>
      <c r="S540" s="27" t="s">
        <v>18</v>
      </c>
      <c r="T540" s="19" t="s">
        <v>553</v>
      </c>
    </row>
    <row r="541" spans="1:20" ht="37.5" customHeight="1" x14ac:dyDescent="0.25">
      <c r="A541" s="19" t="s">
        <v>554</v>
      </c>
      <c r="B541">
        <f t="shared" si="61"/>
        <v>38895</v>
      </c>
      <c r="C541">
        <v>6471</v>
      </c>
      <c r="D541">
        <v>32424</v>
      </c>
      <c r="F541">
        <f t="shared" si="56"/>
        <v>179</v>
      </c>
      <c r="G541" s="20">
        <f t="shared" si="62"/>
        <v>536</v>
      </c>
      <c r="H541" s="21">
        <v>66616031399</v>
      </c>
      <c r="I541" s="22">
        <v>669</v>
      </c>
      <c r="J541" s="23"/>
      <c r="K541" s="24">
        <v>38716</v>
      </c>
      <c r="L541" s="23">
        <f t="shared" si="57"/>
        <v>179</v>
      </c>
      <c r="M541" s="24">
        <v>6434</v>
      </c>
      <c r="N541" s="25">
        <f t="shared" si="58"/>
        <v>37</v>
      </c>
      <c r="O541" s="24">
        <v>32282</v>
      </c>
      <c r="P541" s="23">
        <f t="shared" si="59"/>
        <v>142</v>
      </c>
      <c r="Q541" s="26"/>
      <c r="R541" s="23">
        <f t="shared" si="60"/>
        <v>0</v>
      </c>
      <c r="S541" s="27" t="s">
        <v>18</v>
      </c>
      <c r="T541" s="19" t="s">
        <v>554</v>
      </c>
    </row>
    <row r="542" spans="1:20" ht="37.5" customHeight="1" x14ac:dyDescent="0.25">
      <c r="A542" s="19" t="s">
        <v>555</v>
      </c>
      <c r="B542">
        <f t="shared" si="61"/>
        <v>66374</v>
      </c>
      <c r="C542">
        <v>12364</v>
      </c>
      <c r="D542">
        <v>54010</v>
      </c>
      <c r="F542">
        <f t="shared" si="56"/>
        <v>626</v>
      </c>
      <c r="G542" s="20">
        <f t="shared" si="62"/>
        <v>537</v>
      </c>
      <c r="H542" s="21">
        <v>66617010420</v>
      </c>
      <c r="I542" s="22">
        <v>670</v>
      </c>
      <c r="J542" s="23"/>
      <c r="K542" s="24">
        <v>65748</v>
      </c>
      <c r="L542" s="23">
        <f t="shared" si="57"/>
        <v>626</v>
      </c>
      <c r="M542" s="24">
        <v>12271</v>
      </c>
      <c r="N542" s="25">
        <f t="shared" si="58"/>
        <v>93</v>
      </c>
      <c r="O542" s="24">
        <v>53477</v>
      </c>
      <c r="P542" s="23">
        <f t="shared" si="59"/>
        <v>533</v>
      </c>
      <c r="Q542" s="26"/>
      <c r="R542" s="23">
        <f t="shared" si="60"/>
        <v>0</v>
      </c>
      <c r="S542" s="27" t="s">
        <v>18</v>
      </c>
      <c r="T542" s="19" t="s">
        <v>555</v>
      </c>
    </row>
    <row r="543" spans="1:20" ht="37.5" customHeight="1" x14ac:dyDescent="0.25">
      <c r="A543" s="19" t="s">
        <v>556</v>
      </c>
      <c r="B543">
        <f t="shared" si="61"/>
        <v>5461</v>
      </c>
      <c r="C543">
        <v>897</v>
      </c>
      <c r="D543">
        <v>4564</v>
      </c>
      <c r="E543">
        <v>11554</v>
      </c>
      <c r="F543">
        <f t="shared" si="56"/>
        <v>177</v>
      </c>
      <c r="G543" s="20">
        <f t="shared" si="62"/>
        <v>538</v>
      </c>
      <c r="H543" s="21">
        <v>99723060103</v>
      </c>
      <c r="I543" s="22">
        <v>671</v>
      </c>
      <c r="J543" s="23"/>
      <c r="K543" s="24">
        <f>M543+O543</f>
        <v>5284</v>
      </c>
      <c r="L543" s="23">
        <f t="shared" si="57"/>
        <v>177</v>
      </c>
      <c r="M543" s="24">
        <v>857</v>
      </c>
      <c r="N543" s="25">
        <f t="shared" si="58"/>
        <v>40</v>
      </c>
      <c r="O543" s="24">
        <v>4427</v>
      </c>
      <c r="P543" s="23">
        <f t="shared" si="59"/>
        <v>137</v>
      </c>
      <c r="Q543" s="26">
        <v>10585</v>
      </c>
      <c r="R543" s="23">
        <f t="shared" si="60"/>
        <v>969</v>
      </c>
      <c r="S543" s="27" t="s">
        <v>18</v>
      </c>
      <c r="T543" s="19" t="s">
        <v>556</v>
      </c>
    </row>
    <row r="544" spans="1:20" ht="37.5" customHeight="1" x14ac:dyDescent="0.25">
      <c r="A544" s="19" t="s">
        <v>557</v>
      </c>
      <c r="B544">
        <f t="shared" si="61"/>
        <v>32612</v>
      </c>
      <c r="C544">
        <v>6121</v>
      </c>
      <c r="D544">
        <v>26491</v>
      </c>
      <c r="F544">
        <f t="shared" si="56"/>
        <v>212</v>
      </c>
      <c r="G544" s="20">
        <f t="shared" si="62"/>
        <v>539</v>
      </c>
      <c r="H544" s="21">
        <v>66619040482</v>
      </c>
      <c r="I544" s="22">
        <v>672</v>
      </c>
      <c r="J544" s="23"/>
      <c r="K544" s="24">
        <v>32400</v>
      </c>
      <c r="L544" s="23">
        <f t="shared" si="57"/>
        <v>212</v>
      </c>
      <c r="M544" s="24">
        <v>6076</v>
      </c>
      <c r="N544" s="25">
        <f t="shared" si="58"/>
        <v>45</v>
      </c>
      <c r="O544" s="24">
        <v>26324</v>
      </c>
      <c r="P544" s="23">
        <f t="shared" si="59"/>
        <v>167</v>
      </c>
      <c r="Q544" s="26"/>
      <c r="R544" s="23">
        <f t="shared" si="60"/>
        <v>0</v>
      </c>
      <c r="S544" s="27" t="s">
        <v>18</v>
      </c>
      <c r="T544" s="19" t="s">
        <v>557</v>
      </c>
    </row>
    <row r="545" spans="1:20" ht="37.5" customHeight="1" x14ac:dyDescent="0.25">
      <c r="A545" s="19" t="s">
        <v>558</v>
      </c>
      <c r="B545">
        <f t="shared" si="61"/>
        <v>54021</v>
      </c>
      <c r="C545">
        <v>8991</v>
      </c>
      <c r="D545">
        <v>45030</v>
      </c>
      <c r="F545">
        <f t="shared" si="56"/>
        <v>781</v>
      </c>
      <c r="G545" s="20">
        <f t="shared" si="62"/>
        <v>540</v>
      </c>
      <c r="H545" s="21">
        <v>66616020196</v>
      </c>
      <c r="I545" s="22">
        <v>673</v>
      </c>
      <c r="J545" s="23"/>
      <c r="K545" s="24">
        <v>53240</v>
      </c>
      <c r="L545" s="23">
        <f t="shared" si="57"/>
        <v>781</v>
      </c>
      <c r="M545" s="24">
        <v>8868</v>
      </c>
      <c r="N545" s="25">
        <f t="shared" si="58"/>
        <v>123</v>
      </c>
      <c r="O545" s="24">
        <v>44372</v>
      </c>
      <c r="P545" s="23">
        <f t="shared" si="59"/>
        <v>658</v>
      </c>
      <c r="Q545" s="26"/>
      <c r="R545" s="23">
        <f t="shared" si="60"/>
        <v>0</v>
      </c>
      <c r="S545" s="27" t="s">
        <v>18</v>
      </c>
      <c r="T545" s="19" t="s">
        <v>558</v>
      </c>
    </row>
    <row r="546" spans="1:20" ht="37.5" customHeight="1" x14ac:dyDescent="0.25">
      <c r="A546" s="19" t="s">
        <v>559</v>
      </c>
      <c r="B546">
        <f t="shared" si="61"/>
        <v>22394</v>
      </c>
      <c r="C546">
        <v>3563</v>
      </c>
      <c r="D546">
        <v>18831</v>
      </c>
      <c r="F546">
        <f t="shared" si="56"/>
        <v>887</v>
      </c>
      <c r="G546" s="20">
        <f t="shared" si="62"/>
        <v>541</v>
      </c>
      <c r="H546" s="21">
        <v>88821020022</v>
      </c>
      <c r="I546" s="22">
        <v>674</v>
      </c>
      <c r="J546" s="23"/>
      <c r="K546" s="24">
        <v>21507</v>
      </c>
      <c r="L546" s="23">
        <f t="shared" si="57"/>
        <v>887</v>
      </c>
      <c r="M546" s="24">
        <v>3394</v>
      </c>
      <c r="N546" s="25">
        <f t="shared" si="58"/>
        <v>169</v>
      </c>
      <c r="O546" s="24">
        <v>18113</v>
      </c>
      <c r="P546" s="23">
        <f t="shared" si="59"/>
        <v>718</v>
      </c>
      <c r="Q546" s="26"/>
      <c r="R546" s="23">
        <f t="shared" si="60"/>
        <v>0</v>
      </c>
      <c r="S546" s="27" t="s">
        <v>18</v>
      </c>
      <c r="T546" s="19" t="s">
        <v>559</v>
      </c>
    </row>
    <row r="547" spans="1:20" ht="37.5" customHeight="1" x14ac:dyDescent="0.25">
      <c r="A547" s="19" t="s">
        <v>560</v>
      </c>
      <c r="B547">
        <f t="shared" si="61"/>
        <v>51820</v>
      </c>
      <c r="C547">
        <v>8449</v>
      </c>
      <c r="D547">
        <v>43371</v>
      </c>
      <c r="F547">
        <f t="shared" si="56"/>
        <v>674</v>
      </c>
      <c r="G547" s="20">
        <f t="shared" si="62"/>
        <v>542</v>
      </c>
      <c r="H547" s="21">
        <v>88818020441</v>
      </c>
      <c r="I547" s="22">
        <v>675</v>
      </c>
      <c r="J547" s="23"/>
      <c r="K547" s="24">
        <v>51146</v>
      </c>
      <c r="L547" s="23">
        <f t="shared" si="57"/>
        <v>674</v>
      </c>
      <c r="M547" s="24">
        <v>8344</v>
      </c>
      <c r="N547" s="25">
        <f t="shared" si="58"/>
        <v>105</v>
      </c>
      <c r="O547" s="24">
        <v>42802</v>
      </c>
      <c r="P547" s="23">
        <f t="shared" si="59"/>
        <v>569</v>
      </c>
      <c r="Q547" s="26"/>
      <c r="R547" s="23">
        <f t="shared" si="60"/>
        <v>0</v>
      </c>
      <c r="S547" s="27" t="s">
        <v>18</v>
      </c>
      <c r="T547" s="19" t="s">
        <v>560</v>
      </c>
    </row>
    <row r="548" spans="1:20" ht="37.5" customHeight="1" x14ac:dyDescent="0.25">
      <c r="A548" s="19" t="s">
        <v>561</v>
      </c>
      <c r="B548">
        <f t="shared" si="61"/>
        <v>17640</v>
      </c>
      <c r="C548">
        <v>2554</v>
      </c>
      <c r="D548">
        <v>15086</v>
      </c>
      <c r="F548">
        <f t="shared" si="56"/>
        <v>76</v>
      </c>
      <c r="G548" s="20">
        <f t="shared" si="62"/>
        <v>543</v>
      </c>
      <c r="H548" s="21">
        <v>88821020030</v>
      </c>
      <c r="I548" s="22">
        <v>676</v>
      </c>
      <c r="J548" s="23"/>
      <c r="K548" s="24">
        <v>17564</v>
      </c>
      <c r="L548" s="23">
        <f t="shared" si="57"/>
        <v>76</v>
      </c>
      <c r="M548" s="24">
        <v>2539</v>
      </c>
      <c r="N548" s="25">
        <f t="shared" si="58"/>
        <v>15</v>
      </c>
      <c r="O548" s="24">
        <v>15025</v>
      </c>
      <c r="P548" s="23">
        <f t="shared" si="59"/>
        <v>61</v>
      </c>
      <c r="Q548" s="26"/>
      <c r="R548" s="23">
        <f t="shared" si="60"/>
        <v>0</v>
      </c>
      <c r="S548" s="27" t="s">
        <v>18</v>
      </c>
      <c r="T548" s="19" t="s">
        <v>561</v>
      </c>
    </row>
    <row r="549" spans="1:20" ht="37.5" customHeight="1" x14ac:dyDescent="0.25">
      <c r="A549" s="19" t="s">
        <v>562</v>
      </c>
      <c r="B549">
        <f t="shared" si="61"/>
        <v>6586</v>
      </c>
      <c r="C549">
        <v>1714</v>
      </c>
      <c r="D549">
        <v>4872</v>
      </c>
      <c r="E549">
        <v>3828</v>
      </c>
      <c r="F549">
        <f t="shared" si="56"/>
        <v>574</v>
      </c>
      <c r="G549" s="20">
        <f t="shared" si="62"/>
        <v>544</v>
      </c>
      <c r="H549" s="21">
        <v>99624030102</v>
      </c>
      <c r="I549" s="22">
        <v>677</v>
      </c>
      <c r="J549" s="23"/>
      <c r="K549" s="24">
        <f>M549+O549</f>
        <v>6012</v>
      </c>
      <c r="L549" s="23">
        <f t="shared" si="57"/>
        <v>574</v>
      </c>
      <c r="M549" s="24">
        <v>1546</v>
      </c>
      <c r="N549" s="25">
        <f t="shared" si="58"/>
        <v>168</v>
      </c>
      <c r="O549" s="24">
        <v>4466</v>
      </c>
      <c r="P549" s="23">
        <f t="shared" si="59"/>
        <v>406</v>
      </c>
      <c r="Q549" s="26">
        <v>3190</v>
      </c>
      <c r="R549" s="23">
        <f t="shared" si="60"/>
        <v>638</v>
      </c>
      <c r="S549" s="27" t="s">
        <v>18</v>
      </c>
      <c r="T549" s="19" t="s">
        <v>562</v>
      </c>
    </row>
    <row r="550" spans="1:20" ht="37.5" customHeight="1" x14ac:dyDescent="0.25">
      <c r="A550" s="19" t="s">
        <v>563</v>
      </c>
      <c r="B550">
        <f t="shared" si="61"/>
        <v>34381</v>
      </c>
      <c r="C550">
        <v>5477</v>
      </c>
      <c r="D550">
        <v>28904</v>
      </c>
      <c r="F550">
        <f t="shared" si="56"/>
        <v>348</v>
      </c>
      <c r="G550" s="20">
        <f t="shared" si="62"/>
        <v>545</v>
      </c>
      <c r="H550" s="21">
        <v>66619040279</v>
      </c>
      <c r="I550" s="22">
        <v>678</v>
      </c>
      <c r="J550" s="23"/>
      <c r="K550" s="24">
        <v>34033</v>
      </c>
      <c r="L550" s="23">
        <f t="shared" si="57"/>
        <v>348</v>
      </c>
      <c r="M550" s="24">
        <v>5420</v>
      </c>
      <c r="N550" s="25">
        <f t="shared" si="58"/>
        <v>57</v>
      </c>
      <c r="O550" s="24">
        <v>28613</v>
      </c>
      <c r="P550" s="23">
        <f t="shared" si="59"/>
        <v>291</v>
      </c>
      <c r="Q550" s="26"/>
      <c r="R550" s="23">
        <f t="shared" si="60"/>
        <v>0</v>
      </c>
      <c r="S550" s="27" t="s">
        <v>18</v>
      </c>
      <c r="T550" s="19" t="s">
        <v>563</v>
      </c>
    </row>
    <row r="551" spans="1:20" ht="37.5" customHeight="1" x14ac:dyDescent="0.25">
      <c r="A551" s="19" t="s">
        <v>564</v>
      </c>
      <c r="B551">
        <f t="shared" si="61"/>
        <v>46057</v>
      </c>
      <c r="C551">
        <v>9179</v>
      </c>
      <c r="D551">
        <v>36878</v>
      </c>
      <c r="F551">
        <f t="shared" si="56"/>
        <v>425</v>
      </c>
      <c r="G551" s="20">
        <f t="shared" si="62"/>
        <v>546</v>
      </c>
      <c r="H551" s="21">
        <v>88822010014</v>
      </c>
      <c r="I551" s="22">
        <v>679</v>
      </c>
      <c r="J551" s="23"/>
      <c r="K551" s="24">
        <v>45632</v>
      </c>
      <c r="L551" s="23">
        <f t="shared" si="57"/>
        <v>425</v>
      </c>
      <c r="M551" s="24">
        <v>9075</v>
      </c>
      <c r="N551" s="25">
        <f t="shared" si="58"/>
        <v>104</v>
      </c>
      <c r="O551" s="24">
        <v>36557</v>
      </c>
      <c r="P551" s="23">
        <f t="shared" si="59"/>
        <v>321</v>
      </c>
      <c r="Q551" s="26"/>
      <c r="R551" s="23">
        <f t="shared" si="60"/>
        <v>0</v>
      </c>
      <c r="S551" s="27" t="s">
        <v>18</v>
      </c>
      <c r="T551" s="19" t="s">
        <v>564</v>
      </c>
    </row>
    <row r="552" spans="1:20" ht="37.5" customHeight="1" x14ac:dyDescent="0.25">
      <c r="A552" s="19" t="s">
        <v>565</v>
      </c>
      <c r="B552">
        <f t="shared" si="61"/>
        <v>28582</v>
      </c>
      <c r="C552">
        <v>4860</v>
      </c>
      <c r="D552">
        <v>23722</v>
      </c>
      <c r="F552">
        <f t="shared" si="56"/>
        <v>399</v>
      </c>
      <c r="G552" s="20">
        <f t="shared" si="62"/>
        <v>547</v>
      </c>
      <c r="H552" s="21">
        <v>66618010063</v>
      </c>
      <c r="I552" s="22">
        <v>680</v>
      </c>
      <c r="J552" s="23"/>
      <c r="K552" s="24">
        <v>28183</v>
      </c>
      <c r="L552" s="23">
        <f t="shared" si="57"/>
        <v>399</v>
      </c>
      <c r="M552" s="24">
        <v>4773</v>
      </c>
      <c r="N552" s="25">
        <f t="shared" si="58"/>
        <v>87</v>
      </c>
      <c r="O552" s="24">
        <v>23410</v>
      </c>
      <c r="P552" s="23">
        <f t="shared" si="59"/>
        <v>312</v>
      </c>
      <c r="Q552" s="26"/>
      <c r="R552" s="23">
        <f t="shared" si="60"/>
        <v>0</v>
      </c>
      <c r="S552" s="27" t="s">
        <v>18</v>
      </c>
      <c r="T552" s="19" t="s">
        <v>565</v>
      </c>
    </row>
    <row r="553" spans="1:20" ht="37.5" customHeight="1" x14ac:dyDescent="0.25">
      <c r="A553" s="19" t="s">
        <v>566</v>
      </c>
      <c r="B553">
        <f t="shared" si="61"/>
        <v>15449</v>
      </c>
      <c r="C553">
        <v>2741</v>
      </c>
      <c r="D553">
        <v>12708</v>
      </c>
      <c r="F553">
        <f t="shared" si="56"/>
        <v>243</v>
      </c>
      <c r="G553" s="20">
        <f t="shared" si="62"/>
        <v>548</v>
      </c>
      <c r="H553" s="21">
        <v>66622040330</v>
      </c>
      <c r="I553" s="22">
        <v>682</v>
      </c>
      <c r="J553" s="23"/>
      <c r="K553" s="24">
        <v>15206</v>
      </c>
      <c r="L553" s="23">
        <f t="shared" si="57"/>
        <v>243</v>
      </c>
      <c r="M553" s="24">
        <v>2691</v>
      </c>
      <c r="N553" s="25">
        <f t="shared" si="58"/>
        <v>50</v>
      </c>
      <c r="O553" s="24">
        <v>12515</v>
      </c>
      <c r="P553" s="23">
        <f t="shared" si="59"/>
        <v>193</v>
      </c>
      <c r="Q553" s="26"/>
      <c r="R553" s="23">
        <f t="shared" si="60"/>
        <v>0</v>
      </c>
      <c r="S553" s="27" t="s">
        <v>18</v>
      </c>
      <c r="T553" s="19" t="s">
        <v>566</v>
      </c>
    </row>
    <row r="554" spans="1:20" ht="37.5" customHeight="1" x14ac:dyDescent="0.25">
      <c r="A554" s="19" t="s">
        <v>567</v>
      </c>
      <c r="B554">
        <f t="shared" si="61"/>
        <v>46939</v>
      </c>
      <c r="C554">
        <v>8668</v>
      </c>
      <c r="D554">
        <v>38271</v>
      </c>
      <c r="F554">
        <f t="shared" si="56"/>
        <v>640</v>
      </c>
      <c r="G554" s="20">
        <f t="shared" si="62"/>
        <v>549</v>
      </c>
      <c r="H554" s="21">
        <v>66616020105</v>
      </c>
      <c r="I554" s="22">
        <v>683</v>
      </c>
      <c r="J554" s="23"/>
      <c r="K554" s="24">
        <v>46299</v>
      </c>
      <c r="L554" s="23">
        <f t="shared" si="57"/>
        <v>640</v>
      </c>
      <c r="M554" s="24">
        <v>8567</v>
      </c>
      <c r="N554" s="25">
        <f t="shared" si="58"/>
        <v>101</v>
      </c>
      <c r="O554" s="24">
        <v>37732</v>
      </c>
      <c r="P554" s="23">
        <f t="shared" si="59"/>
        <v>539</v>
      </c>
      <c r="Q554" s="26"/>
      <c r="R554" s="23">
        <f t="shared" si="60"/>
        <v>0</v>
      </c>
      <c r="S554" s="27" t="s">
        <v>18</v>
      </c>
      <c r="T554" s="19" t="s">
        <v>567</v>
      </c>
    </row>
    <row r="555" spans="1:20" ht="37.5" customHeight="1" x14ac:dyDescent="0.25">
      <c r="A555" s="19" t="s">
        <v>568</v>
      </c>
      <c r="B555">
        <f t="shared" si="61"/>
        <v>8282</v>
      </c>
      <c r="C555">
        <v>1789</v>
      </c>
      <c r="D555">
        <v>6493</v>
      </c>
      <c r="E555">
        <v>4914</v>
      </c>
      <c r="F555">
        <f t="shared" si="56"/>
        <v>376</v>
      </c>
      <c r="G555" s="20">
        <f t="shared" si="62"/>
        <v>550</v>
      </c>
      <c r="H555" s="21">
        <v>99624010029</v>
      </c>
      <c r="I555" s="22">
        <v>684</v>
      </c>
      <c r="J555" s="23"/>
      <c r="K555" s="24">
        <f>M555+O555</f>
        <v>7906</v>
      </c>
      <c r="L555" s="23">
        <f t="shared" si="57"/>
        <v>376</v>
      </c>
      <c r="M555" s="24">
        <v>1678</v>
      </c>
      <c r="N555" s="25">
        <f t="shared" si="58"/>
        <v>111</v>
      </c>
      <c r="O555" s="24">
        <v>6228</v>
      </c>
      <c r="P555" s="23">
        <f t="shared" si="59"/>
        <v>265</v>
      </c>
      <c r="Q555" s="26">
        <v>4354</v>
      </c>
      <c r="R555" s="23">
        <f t="shared" si="60"/>
        <v>560</v>
      </c>
      <c r="S555" s="27" t="s">
        <v>18</v>
      </c>
      <c r="T555" s="19" t="s">
        <v>568</v>
      </c>
    </row>
    <row r="556" spans="1:20" ht="37.5" customHeight="1" x14ac:dyDescent="0.25">
      <c r="A556" s="19" t="s">
        <v>569</v>
      </c>
      <c r="B556">
        <f t="shared" si="61"/>
        <v>6493</v>
      </c>
      <c r="C556">
        <v>1452</v>
      </c>
      <c r="D556">
        <v>5041</v>
      </c>
      <c r="E556">
        <v>6166</v>
      </c>
      <c r="F556">
        <f t="shared" si="56"/>
        <v>356</v>
      </c>
      <c r="G556" s="20">
        <f t="shared" si="62"/>
        <v>551</v>
      </c>
      <c r="H556" s="21">
        <v>99623080464</v>
      </c>
      <c r="I556" s="22">
        <v>685</v>
      </c>
      <c r="J556" s="23"/>
      <c r="K556" s="24">
        <f>M556+O556</f>
        <v>6137</v>
      </c>
      <c r="L556" s="23">
        <f t="shared" si="57"/>
        <v>356</v>
      </c>
      <c r="M556" s="24">
        <v>1364</v>
      </c>
      <c r="N556" s="25">
        <f t="shared" si="58"/>
        <v>88</v>
      </c>
      <c r="O556" s="24">
        <v>4773</v>
      </c>
      <c r="P556" s="23">
        <f t="shared" si="59"/>
        <v>268</v>
      </c>
      <c r="Q556" s="26">
        <v>5578</v>
      </c>
      <c r="R556" s="23">
        <f t="shared" si="60"/>
        <v>588</v>
      </c>
      <c r="S556" s="27" t="s">
        <v>18</v>
      </c>
      <c r="T556" s="19" t="s">
        <v>569</v>
      </c>
    </row>
    <row r="557" spans="1:20" ht="37.5" customHeight="1" x14ac:dyDescent="0.25">
      <c r="A557" s="19" t="s">
        <v>570</v>
      </c>
      <c r="B557">
        <f t="shared" si="61"/>
        <v>16409</v>
      </c>
      <c r="C557">
        <v>2955</v>
      </c>
      <c r="D557">
        <v>13454</v>
      </c>
      <c r="F557">
        <f t="shared" si="56"/>
        <v>108</v>
      </c>
      <c r="G557" s="20">
        <f t="shared" si="62"/>
        <v>552</v>
      </c>
      <c r="H557" s="21">
        <v>66621060168</v>
      </c>
      <c r="I557" s="22">
        <v>686</v>
      </c>
      <c r="J557" s="23"/>
      <c r="K557" s="24">
        <v>16301</v>
      </c>
      <c r="L557" s="23">
        <f t="shared" si="57"/>
        <v>108</v>
      </c>
      <c r="M557" s="24">
        <v>2931</v>
      </c>
      <c r="N557" s="25">
        <f t="shared" si="58"/>
        <v>24</v>
      </c>
      <c r="O557" s="24">
        <v>13370</v>
      </c>
      <c r="P557" s="23">
        <f t="shared" si="59"/>
        <v>84</v>
      </c>
      <c r="Q557" s="26"/>
      <c r="R557" s="23">
        <f t="shared" si="60"/>
        <v>0</v>
      </c>
      <c r="S557" s="27" t="s">
        <v>18</v>
      </c>
      <c r="T557" s="19" t="s">
        <v>570</v>
      </c>
    </row>
    <row r="558" spans="1:20" ht="37.5" customHeight="1" x14ac:dyDescent="0.25">
      <c r="A558" s="19" t="s">
        <v>571</v>
      </c>
      <c r="B558">
        <f t="shared" si="61"/>
        <v>61637</v>
      </c>
      <c r="C558">
        <v>10467</v>
      </c>
      <c r="D558">
        <v>51170</v>
      </c>
      <c r="F558">
        <f t="shared" si="56"/>
        <v>764</v>
      </c>
      <c r="G558" s="20">
        <f t="shared" si="62"/>
        <v>553</v>
      </c>
      <c r="H558" s="21">
        <v>23015010563</v>
      </c>
      <c r="I558" s="22">
        <v>687</v>
      </c>
      <c r="J558" s="23"/>
      <c r="K558" s="24">
        <v>60873</v>
      </c>
      <c r="L558" s="23">
        <f t="shared" si="57"/>
        <v>764</v>
      </c>
      <c r="M558" s="24">
        <v>10338</v>
      </c>
      <c r="N558" s="25">
        <f t="shared" si="58"/>
        <v>129</v>
      </c>
      <c r="O558" s="24">
        <v>50535</v>
      </c>
      <c r="P558" s="23">
        <f t="shared" si="59"/>
        <v>635</v>
      </c>
      <c r="Q558" s="26"/>
      <c r="R558" s="23">
        <f t="shared" si="60"/>
        <v>0</v>
      </c>
      <c r="S558" s="27" t="s">
        <v>18</v>
      </c>
      <c r="T558" s="19" t="s">
        <v>571</v>
      </c>
    </row>
    <row r="559" spans="1:20" ht="37.5" customHeight="1" x14ac:dyDescent="0.25">
      <c r="A559" s="19" t="s">
        <v>572</v>
      </c>
      <c r="B559">
        <f t="shared" si="61"/>
        <v>8845</v>
      </c>
      <c r="C559">
        <v>1645</v>
      </c>
      <c r="D559">
        <v>7200</v>
      </c>
      <c r="F559">
        <f t="shared" si="56"/>
        <v>406</v>
      </c>
      <c r="G559" s="20">
        <f t="shared" si="62"/>
        <v>554</v>
      </c>
      <c r="H559" s="21">
        <v>66623010398</v>
      </c>
      <c r="I559" s="22">
        <v>688</v>
      </c>
      <c r="J559" s="23"/>
      <c r="K559" s="24">
        <v>8439</v>
      </c>
      <c r="L559" s="23">
        <f t="shared" si="57"/>
        <v>406</v>
      </c>
      <c r="M559" s="24">
        <v>1568</v>
      </c>
      <c r="N559" s="25">
        <f t="shared" si="58"/>
        <v>77</v>
      </c>
      <c r="O559" s="24">
        <v>6871</v>
      </c>
      <c r="P559" s="23">
        <f t="shared" si="59"/>
        <v>329</v>
      </c>
      <c r="Q559" s="26"/>
      <c r="R559" s="23">
        <f t="shared" si="60"/>
        <v>0</v>
      </c>
      <c r="S559" s="27" t="s">
        <v>18</v>
      </c>
      <c r="T559" s="19" t="s">
        <v>572</v>
      </c>
    </row>
    <row r="560" spans="1:20" ht="37.5" customHeight="1" x14ac:dyDescent="0.25">
      <c r="A560" s="19" t="s">
        <v>573</v>
      </c>
      <c r="B560">
        <f t="shared" si="61"/>
        <v>34271</v>
      </c>
      <c r="C560">
        <v>4709</v>
      </c>
      <c r="D560">
        <v>29562</v>
      </c>
      <c r="F560">
        <f t="shared" si="56"/>
        <v>253</v>
      </c>
      <c r="G560" s="20">
        <f t="shared" si="62"/>
        <v>555</v>
      </c>
      <c r="H560" s="21">
        <v>88820020318</v>
      </c>
      <c r="I560" s="22">
        <v>689</v>
      </c>
      <c r="J560" s="23"/>
      <c r="K560" s="24">
        <v>34018</v>
      </c>
      <c r="L560" s="23">
        <f t="shared" si="57"/>
        <v>253</v>
      </c>
      <c r="M560" s="24">
        <v>4652</v>
      </c>
      <c r="N560" s="25">
        <f t="shared" si="58"/>
        <v>57</v>
      </c>
      <c r="O560" s="24">
        <v>29366</v>
      </c>
      <c r="P560" s="23">
        <f t="shared" si="59"/>
        <v>196</v>
      </c>
      <c r="Q560" s="26"/>
      <c r="R560" s="23">
        <f t="shared" si="60"/>
        <v>0</v>
      </c>
      <c r="S560" s="27" t="s">
        <v>18</v>
      </c>
      <c r="T560" s="19" t="s">
        <v>573</v>
      </c>
    </row>
    <row r="561" spans="1:20" ht="37.5" customHeight="1" x14ac:dyDescent="0.25">
      <c r="A561" s="19" t="s">
        <v>574</v>
      </c>
      <c r="B561">
        <f t="shared" si="61"/>
        <v>26700</v>
      </c>
      <c r="C561">
        <v>5099</v>
      </c>
      <c r="D561">
        <v>21601</v>
      </c>
      <c r="F561">
        <f t="shared" si="56"/>
        <v>554</v>
      </c>
      <c r="G561" s="20">
        <f t="shared" si="62"/>
        <v>556</v>
      </c>
      <c r="H561" s="21">
        <v>88819030059</v>
      </c>
      <c r="I561" s="22">
        <v>690</v>
      </c>
      <c r="J561" s="23"/>
      <c r="K561" s="24">
        <v>26146</v>
      </c>
      <c r="L561" s="23">
        <f t="shared" si="57"/>
        <v>554</v>
      </c>
      <c r="M561" s="24">
        <v>5008</v>
      </c>
      <c r="N561" s="25">
        <f t="shared" si="58"/>
        <v>91</v>
      </c>
      <c r="O561" s="24">
        <v>21138</v>
      </c>
      <c r="P561" s="23">
        <f t="shared" si="59"/>
        <v>463</v>
      </c>
      <c r="Q561" s="26"/>
      <c r="R561" s="23">
        <f t="shared" si="60"/>
        <v>0</v>
      </c>
      <c r="S561" s="27" t="s">
        <v>18</v>
      </c>
      <c r="T561" s="19" t="s">
        <v>574</v>
      </c>
    </row>
    <row r="562" spans="1:20" ht="37.5" customHeight="1" x14ac:dyDescent="0.25">
      <c r="A562" s="19" t="s">
        <v>575</v>
      </c>
      <c r="B562">
        <f t="shared" si="61"/>
        <v>4161</v>
      </c>
      <c r="C562">
        <v>877</v>
      </c>
      <c r="D562">
        <v>3284</v>
      </c>
      <c r="E562">
        <v>6823</v>
      </c>
      <c r="F562">
        <f t="shared" si="56"/>
        <v>217</v>
      </c>
      <c r="G562" s="20">
        <f t="shared" si="62"/>
        <v>557</v>
      </c>
      <c r="H562" s="21">
        <v>99624010013</v>
      </c>
      <c r="I562" s="22">
        <v>692</v>
      </c>
      <c r="J562" s="23"/>
      <c r="K562" s="24">
        <f>M562+O562</f>
        <v>3944</v>
      </c>
      <c r="L562" s="23">
        <f t="shared" si="57"/>
        <v>217</v>
      </c>
      <c r="M562" s="24">
        <v>805</v>
      </c>
      <c r="N562" s="25">
        <f t="shared" si="58"/>
        <v>72</v>
      </c>
      <c r="O562" s="24">
        <v>3139</v>
      </c>
      <c r="P562" s="23">
        <f t="shared" si="59"/>
        <v>145</v>
      </c>
      <c r="Q562" s="26">
        <v>6111</v>
      </c>
      <c r="R562" s="23">
        <f t="shared" si="60"/>
        <v>712</v>
      </c>
      <c r="S562" s="27" t="s">
        <v>18</v>
      </c>
      <c r="T562" s="19" t="s">
        <v>575</v>
      </c>
    </row>
    <row r="563" spans="1:20" ht="37.5" customHeight="1" x14ac:dyDescent="0.25">
      <c r="A563" s="19" t="s">
        <v>576</v>
      </c>
      <c r="B563">
        <f t="shared" si="61"/>
        <v>55429</v>
      </c>
      <c r="C563">
        <v>10169</v>
      </c>
      <c r="D563">
        <v>45260</v>
      </c>
      <c r="F563">
        <f t="shared" si="56"/>
        <v>448</v>
      </c>
      <c r="G563" s="20">
        <f t="shared" si="62"/>
        <v>558</v>
      </c>
      <c r="H563" s="21">
        <v>23015100228</v>
      </c>
      <c r="I563" s="22">
        <v>693</v>
      </c>
      <c r="J563" s="23"/>
      <c r="K563" s="24">
        <v>54981</v>
      </c>
      <c r="L563" s="23">
        <f t="shared" si="57"/>
        <v>448</v>
      </c>
      <c r="M563" s="24">
        <v>10073</v>
      </c>
      <c r="N563" s="25">
        <f t="shared" si="58"/>
        <v>96</v>
      </c>
      <c r="O563" s="24">
        <v>44908</v>
      </c>
      <c r="P563" s="23">
        <f t="shared" si="59"/>
        <v>352</v>
      </c>
      <c r="Q563" s="26"/>
      <c r="R563" s="23">
        <f t="shared" si="60"/>
        <v>0</v>
      </c>
      <c r="S563" s="27" t="s">
        <v>18</v>
      </c>
      <c r="T563" s="19" t="s">
        <v>576</v>
      </c>
    </row>
    <row r="564" spans="1:20" ht="37.5" customHeight="1" x14ac:dyDescent="0.25">
      <c r="A564" s="19" t="s">
        <v>577</v>
      </c>
      <c r="B564">
        <f t="shared" si="61"/>
        <v>39837</v>
      </c>
      <c r="C564">
        <v>6613</v>
      </c>
      <c r="D564">
        <v>33224</v>
      </c>
      <c r="F564">
        <f t="shared" si="56"/>
        <v>334</v>
      </c>
      <c r="G564" s="20">
        <f t="shared" si="62"/>
        <v>559</v>
      </c>
      <c r="H564" s="21">
        <v>66621050286</v>
      </c>
      <c r="I564" s="22">
        <v>695</v>
      </c>
      <c r="J564" s="23"/>
      <c r="K564" s="24">
        <v>39503</v>
      </c>
      <c r="L564" s="23">
        <f t="shared" si="57"/>
        <v>334</v>
      </c>
      <c r="M564" s="24">
        <v>6536</v>
      </c>
      <c r="N564" s="25">
        <f t="shared" si="58"/>
        <v>77</v>
      </c>
      <c r="O564" s="24">
        <v>32967</v>
      </c>
      <c r="P564" s="23">
        <f t="shared" si="59"/>
        <v>257</v>
      </c>
      <c r="Q564" s="26"/>
      <c r="R564" s="23">
        <f t="shared" si="60"/>
        <v>0</v>
      </c>
      <c r="S564" s="27" t="s">
        <v>18</v>
      </c>
      <c r="T564" s="19" t="s">
        <v>577</v>
      </c>
    </row>
    <row r="565" spans="1:20" ht="37.5" customHeight="1" x14ac:dyDescent="0.25">
      <c r="A565" s="19" t="s">
        <v>578</v>
      </c>
      <c r="B565">
        <f t="shared" si="61"/>
        <v>10882</v>
      </c>
      <c r="C565">
        <v>1437</v>
      </c>
      <c r="D565">
        <v>9445</v>
      </c>
      <c r="E565">
        <v>4733</v>
      </c>
      <c r="F565">
        <f t="shared" si="56"/>
        <v>404</v>
      </c>
      <c r="G565" s="20">
        <f t="shared" si="62"/>
        <v>560</v>
      </c>
      <c r="H565" s="21">
        <v>99723060033</v>
      </c>
      <c r="I565" s="22">
        <v>696</v>
      </c>
      <c r="J565" s="23"/>
      <c r="K565" s="24">
        <f>M565+O565</f>
        <v>10478</v>
      </c>
      <c r="L565" s="23">
        <f t="shared" si="57"/>
        <v>404</v>
      </c>
      <c r="M565" s="24">
        <v>1367</v>
      </c>
      <c r="N565" s="25">
        <f t="shared" si="58"/>
        <v>70</v>
      </c>
      <c r="O565" s="24">
        <v>9111</v>
      </c>
      <c r="P565" s="23">
        <f t="shared" si="59"/>
        <v>334</v>
      </c>
      <c r="Q565" s="26">
        <v>3959</v>
      </c>
      <c r="R565" s="23">
        <f t="shared" si="60"/>
        <v>774</v>
      </c>
      <c r="S565" s="27" t="s">
        <v>18</v>
      </c>
      <c r="T565" s="19" t="s">
        <v>578</v>
      </c>
    </row>
    <row r="566" spans="1:20" ht="37.5" customHeight="1" x14ac:dyDescent="0.25">
      <c r="A566" s="19" t="s">
        <v>579</v>
      </c>
      <c r="B566">
        <f t="shared" si="61"/>
        <v>74941</v>
      </c>
      <c r="C566">
        <v>12552</v>
      </c>
      <c r="D566">
        <v>62389</v>
      </c>
      <c r="F566">
        <f t="shared" si="56"/>
        <v>469</v>
      </c>
      <c r="G566" s="20">
        <f t="shared" si="62"/>
        <v>561</v>
      </c>
      <c r="H566" s="21">
        <v>23015010441</v>
      </c>
      <c r="I566" s="22">
        <v>697</v>
      </c>
      <c r="J566" s="23"/>
      <c r="K566" s="24">
        <v>74472</v>
      </c>
      <c r="L566" s="23">
        <f t="shared" si="57"/>
        <v>469</v>
      </c>
      <c r="M566" s="24">
        <v>12468</v>
      </c>
      <c r="N566" s="25">
        <f t="shared" si="58"/>
        <v>84</v>
      </c>
      <c r="O566" s="24">
        <v>62004</v>
      </c>
      <c r="P566" s="23">
        <f t="shared" si="59"/>
        <v>385</v>
      </c>
      <c r="Q566" s="26"/>
      <c r="R566" s="23">
        <f t="shared" si="60"/>
        <v>0</v>
      </c>
      <c r="S566" s="27" t="s">
        <v>18</v>
      </c>
      <c r="T566" s="19" t="s">
        <v>579</v>
      </c>
    </row>
    <row r="567" spans="1:20" ht="37.5" customHeight="1" x14ac:dyDescent="0.25">
      <c r="A567" s="19" t="s">
        <v>580</v>
      </c>
      <c r="B567">
        <f t="shared" si="61"/>
        <v>13163</v>
      </c>
      <c r="C567">
        <v>2043</v>
      </c>
      <c r="D567">
        <v>11120</v>
      </c>
      <c r="F567">
        <f t="shared" si="56"/>
        <v>262</v>
      </c>
      <c r="G567" s="20">
        <f t="shared" si="62"/>
        <v>562</v>
      </c>
      <c r="H567" s="21">
        <v>66621050124</v>
      </c>
      <c r="I567" s="22">
        <v>698</v>
      </c>
      <c r="J567" s="23"/>
      <c r="K567" s="24">
        <v>12901</v>
      </c>
      <c r="L567" s="23">
        <f t="shared" si="57"/>
        <v>262</v>
      </c>
      <c r="M567" s="24">
        <v>1995</v>
      </c>
      <c r="N567" s="25">
        <f t="shared" si="58"/>
        <v>48</v>
      </c>
      <c r="O567" s="24">
        <v>10906</v>
      </c>
      <c r="P567" s="23">
        <f t="shared" si="59"/>
        <v>214</v>
      </c>
      <c r="Q567" s="26"/>
      <c r="R567" s="23">
        <f t="shared" si="60"/>
        <v>0</v>
      </c>
      <c r="S567" s="27" t="s">
        <v>18</v>
      </c>
      <c r="T567" s="19" t="s">
        <v>580</v>
      </c>
    </row>
    <row r="568" spans="1:20" ht="37.5" customHeight="1" x14ac:dyDescent="0.25">
      <c r="A568" s="19" t="s">
        <v>581</v>
      </c>
      <c r="B568">
        <f t="shared" si="61"/>
        <v>24738</v>
      </c>
      <c r="C568">
        <v>5163</v>
      </c>
      <c r="D568">
        <v>19575</v>
      </c>
      <c r="F568">
        <f t="shared" si="56"/>
        <v>683</v>
      </c>
      <c r="G568" s="20">
        <f t="shared" si="62"/>
        <v>563</v>
      </c>
      <c r="H568" s="21">
        <v>66618010263</v>
      </c>
      <c r="I568" s="22">
        <v>699</v>
      </c>
      <c r="J568" s="23"/>
      <c r="K568" s="24">
        <v>24055</v>
      </c>
      <c r="L568" s="23">
        <f t="shared" si="57"/>
        <v>683</v>
      </c>
      <c r="M568" s="24">
        <v>5060</v>
      </c>
      <c r="N568" s="25">
        <f t="shared" si="58"/>
        <v>103</v>
      </c>
      <c r="O568" s="24">
        <v>18995</v>
      </c>
      <c r="P568" s="23">
        <f t="shared" si="59"/>
        <v>580</v>
      </c>
      <c r="Q568" s="26"/>
      <c r="R568" s="23">
        <f t="shared" si="60"/>
        <v>0</v>
      </c>
      <c r="S568" s="27" t="s">
        <v>18</v>
      </c>
      <c r="T568" s="19" t="s">
        <v>581</v>
      </c>
    </row>
    <row r="569" spans="1:20" ht="37.5" customHeight="1" x14ac:dyDescent="0.25">
      <c r="A569" s="19" t="s">
        <v>582</v>
      </c>
      <c r="B569">
        <f t="shared" si="61"/>
        <v>25270</v>
      </c>
      <c r="C569">
        <v>4046</v>
      </c>
      <c r="D569">
        <v>21224</v>
      </c>
      <c r="F569">
        <f t="shared" si="56"/>
        <v>499</v>
      </c>
      <c r="G569" s="20">
        <f t="shared" si="62"/>
        <v>564</v>
      </c>
      <c r="H569" s="21">
        <v>88819020187</v>
      </c>
      <c r="I569" s="22">
        <v>700</v>
      </c>
      <c r="J569" s="23"/>
      <c r="K569" s="24">
        <v>24771</v>
      </c>
      <c r="L569" s="23">
        <f t="shared" si="57"/>
        <v>499</v>
      </c>
      <c r="M569" s="24">
        <v>3965</v>
      </c>
      <c r="N569" s="25">
        <f t="shared" si="58"/>
        <v>81</v>
      </c>
      <c r="O569" s="24">
        <v>20806</v>
      </c>
      <c r="P569" s="23">
        <f t="shared" si="59"/>
        <v>418</v>
      </c>
      <c r="Q569" s="26"/>
      <c r="R569" s="23">
        <f t="shared" si="60"/>
        <v>0</v>
      </c>
      <c r="S569" s="27" t="s">
        <v>18</v>
      </c>
      <c r="T569" s="19" t="s">
        <v>582</v>
      </c>
    </row>
    <row r="570" spans="1:20" ht="37.5" customHeight="1" x14ac:dyDescent="0.25">
      <c r="A570" s="19" t="s">
        <v>583</v>
      </c>
      <c r="B570">
        <f t="shared" si="61"/>
        <v>30069</v>
      </c>
      <c r="C570">
        <v>4486</v>
      </c>
      <c r="D570">
        <v>25583</v>
      </c>
      <c r="F570">
        <f t="shared" si="56"/>
        <v>632</v>
      </c>
      <c r="G570" s="20">
        <f t="shared" si="62"/>
        <v>565</v>
      </c>
      <c r="H570" s="21">
        <v>88819010467</v>
      </c>
      <c r="I570" s="22">
        <v>701</v>
      </c>
      <c r="J570" s="23"/>
      <c r="K570" s="24">
        <v>29437</v>
      </c>
      <c r="L570" s="23">
        <f t="shared" si="57"/>
        <v>632</v>
      </c>
      <c r="M570" s="24">
        <v>4405</v>
      </c>
      <c r="N570" s="25">
        <f t="shared" si="58"/>
        <v>81</v>
      </c>
      <c r="O570" s="24">
        <v>25032</v>
      </c>
      <c r="P570" s="23">
        <f t="shared" si="59"/>
        <v>551</v>
      </c>
      <c r="Q570" s="26"/>
      <c r="R570" s="23">
        <f t="shared" si="60"/>
        <v>0</v>
      </c>
      <c r="S570" s="27" t="s">
        <v>18</v>
      </c>
      <c r="T570" s="19" t="s">
        <v>583</v>
      </c>
    </row>
    <row r="571" spans="1:20" ht="37.5" customHeight="1" x14ac:dyDescent="0.25">
      <c r="A571" s="19" t="s">
        <v>584</v>
      </c>
      <c r="B571">
        <f t="shared" si="61"/>
        <v>70262</v>
      </c>
      <c r="C571">
        <v>12423</v>
      </c>
      <c r="D571">
        <v>57839</v>
      </c>
      <c r="F571">
        <f t="shared" si="56"/>
        <v>300</v>
      </c>
      <c r="G571" s="20">
        <f t="shared" si="62"/>
        <v>566</v>
      </c>
      <c r="H571" s="21">
        <v>23013090317</v>
      </c>
      <c r="I571" s="22">
        <v>702</v>
      </c>
      <c r="J571" s="23"/>
      <c r="K571" s="24">
        <v>69962</v>
      </c>
      <c r="L571" s="23">
        <f t="shared" si="57"/>
        <v>300</v>
      </c>
      <c r="M571" s="24">
        <v>12378</v>
      </c>
      <c r="N571" s="25">
        <f t="shared" si="58"/>
        <v>45</v>
      </c>
      <c r="O571" s="24">
        <v>57584</v>
      </c>
      <c r="P571" s="23">
        <f t="shared" si="59"/>
        <v>255</v>
      </c>
      <c r="Q571" s="26"/>
      <c r="R571" s="23">
        <f t="shared" si="60"/>
        <v>0</v>
      </c>
      <c r="S571" s="27" t="s">
        <v>18</v>
      </c>
      <c r="T571" s="19" t="s">
        <v>584</v>
      </c>
    </row>
    <row r="572" spans="1:20" ht="37.5" customHeight="1" x14ac:dyDescent="0.25">
      <c r="A572" s="19" t="s">
        <v>585</v>
      </c>
      <c r="B572">
        <f t="shared" si="61"/>
        <v>50873</v>
      </c>
      <c r="C572">
        <v>10397</v>
      </c>
      <c r="D572">
        <v>40476</v>
      </c>
      <c r="F572">
        <f t="shared" si="56"/>
        <v>218</v>
      </c>
      <c r="G572" s="20">
        <f t="shared" si="62"/>
        <v>567</v>
      </c>
      <c r="H572" s="21">
        <v>66617020050</v>
      </c>
      <c r="I572" s="22">
        <v>704</v>
      </c>
      <c r="J572" s="23"/>
      <c r="K572" s="24">
        <v>50655</v>
      </c>
      <c r="L572" s="23">
        <f t="shared" si="57"/>
        <v>218</v>
      </c>
      <c r="M572" s="24">
        <v>10352</v>
      </c>
      <c r="N572" s="25">
        <f t="shared" si="58"/>
        <v>45</v>
      </c>
      <c r="O572" s="24">
        <v>40303</v>
      </c>
      <c r="P572" s="23">
        <f t="shared" si="59"/>
        <v>173</v>
      </c>
      <c r="Q572" s="26"/>
      <c r="R572" s="23">
        <f t="shared" si="60"/>
        <v>0</v>
      </c>
      <c r="S572" s="27" t="s">
        <v>18</v>
      </c>
      <c r="T572" s="19" t="s">
        <v>585</v>
      </c>
    </row>
    <row r="573" spans="1:20" ht="37.5" customHeight="1" x14ac:dyDescent="0.25">
      <c r="A573" s="19" t="s">
        <v>586</v>
      </c>
      <c r="B573">
        <f t="shared" si="61"/>
        <v>3292</v>
      </c>
      <c r="C573">
        <v>555</v>
      </c>
      <c r="D573">
        <v>2737</v>
      </c>
      <c r="F573">
        <f t="shared" si="56"/>
        <v>614</v>
      </c>
      <c r="G573" s="20">
        <f t="shared" si="62"/>
        <v>568</v>
      </c>
      <c r="H573" s="21">
        <v>66619040005</v>
      </c>
      <c r="I573" s="22">
        <v>705</v>
      </c>
      <c r="J573" s="23"/>
      <c r="K573" s="24">
        <v>2678</v>
      </c>
      <c r="L573" s="23">
        <f t="shared" si="57"/>
        <v>614</v>
      </c>
      <c r="M573" s="24">
        <v>455</v>
      </c>
      <c r="N573" s="25">
        <f t="shared" si="58"/>
        <v>100</v>
      </c>
      <c r="O573" s="24">
        <v>2223</v>
      </c>
      <c r="P573" s="23">
        <f t="shared" si="59"/>
        <v>514</v>
      </c>
      <c r="Q573" s="26"/>
      <c r="R573" s="23">
        <f t="shared" si="60"/>
        <v>0</v>
      </c>
      <c r="S573" s="27" t="s">
        <v>18</v>
      </c>
      <c r="T573" s="19" t="s">
        <v>586</v>
      </c>
    </row>
    <row r="574" spans="1:20" ht="37.5" customHeight="1" x14ac:dyDescent="0.25">
      <c r="A574" s="19" t="s">
        <v>587</v>
      </c>
      <c r="B574">
        <f t="shared" si="61"/>
        <v>82222</v>
      </c>
      <c r="C574">
        <v>13623</v>
      </c>
      <c r="D574">
        <v>68599</v>
      </c>
      <c r="F574">
        <f t="shared" si="56"/>
        <v>170</v>
      </c>
      <c r="G574" s="20">
        <f t="shared" si="62"/>
        <v>569</v>
      </c>
      <c r="H574" s="21">
        <v>23014010389</v>
      </c>
      <c r="I574" s="22">
        <v>706</v>
      </c>
      <c r="J574" s="23"/>
      <c r="K574" s="24">
        <v>82052</v>
      </c>
      <c r="L574" s="23">
        <f t="shared" si="57"/>
        <v>170</v>
      </c>
      <c r="M574" s="24">
        <v>13593</v>
      </c>
      <c r="N574" s="25">
        <f t="shared" si="58"/>
        <v>30</v>
      </c>
      <c r="O574" s="24">
        <v>68459</v>
      </c>
      <c r="P574" s="23">
        <f t="shared" si="59"/>
        <v>140</v>
      </c>
      <c r="Q574" s="26"/>
      <c r="R574" s="23">
        <f t="shared" si="60"/>
        <v>0</v>
      </c>
      <c r="S574" s="27" t="s">
        <v>18</v>
      </c>
      <c r="T574" s="19" t="s">
        <v>587</v>
      </c>
    </row>
    <row r="575" spans="1:20" ht="37.5" customHeight="1" x14ac:dyDescent="0.25">
      <c r="A575" s="19" t="s">
        <v>588</v>
      </c>
      <c r="B575">
        <f t="shared" si="61"/>
        <v>88240</v>
      </c>
      <c r="C575">
        <v>14286</v>
      </c>
      <c r="D575">
        <v>73954</v>
      </c>
      <c r="F575">
        <f t="shared" si="56"/>
        <v>505</v>
      </c>
      <c r="G575" s="20">
        <f t="shared" si="62"/>
        <v>570</v>
      </c>
      <c r="H575" s="21">
        <v>23014010112</v>
      </c>
      <c r="I575" s="22">
        <v>707</v>
      </c>
      <c r="J575" s="23"/>
      <c r="K575" s="24">
        <v>87735</v>
      </c>
      <c r="L575" s="23">
        <f t="shared" si="57"/>
        <v>505</v>
      </c>
      <c r="M575" s="24">
        <v>14207</v>
      </c>
      <c r="N575" s="25">
        <f t="shared" si="58"/>
        <v>79</v>
      </c>
      <c r="O575" s="24">
        <v>73528</v>
      </c>
      <c r="P575" s="23">
        <f t="shared" si="59"/>
        <v>426</v>
      </c>
      <c r="Q575" s="26"/>
      <c r="R575" s="23">
        <f t="shared" si="60"/>
        <v>0</v>
      </c>
      <c r="S575" s="27" t="s">
        <v>18</v>
      </c>
      <c r="T575" s="19" t="s">
        <v>588</v>
      </c>
    </row>
    <row r="576" spans="1:20" ht="37.5" customHeight="1" x14ac:dyDescent="0.25">
      <c r="A576" s="19" t="s">
        <v>589</v>
      </c>
      <c r="B576">
        <f t="shared" si="61"/>
        <v>9499</v>
      </c>
      <c r="C576">
        <v>1785</v>
      </c>
      <c r="D576">
        <v>7714</v>
      </c>
      <c r="F576">
        <f t="shared" si="56"/>
        <v>304</v>
      </c>
      <c r="G576" s="20">
        <f t="shared" si="62"/>
        <v>571</v>
      </c>
      <c r="H576" s="21">
        <v>66621100486</v>
      </c>
      <c r="I576" s="22">
        <v>708</v>
      </c>
      <c r="J576" s="23"/>
      <c r="K576" s="24">
        <v>9195</v>
      </c>
      <c r="L576" s="23">
        <f t="shared" si="57"/>
        <v>304</v>
      </c>
      <c r="M576" s="24">
        <v>1723</v>
      </c>
      <c r="N576" s="25">
        <f t="shared" si="58"/>
        <v>62</v>
      </c>
      <c r="O576" s="24">
        <v>7472</v>
      </c>
      <c r="P576" s="23">
        <f t="shared" si="59"/>
        <v>242</v>
      </c>
      <c r="Q576" s="26"/>
      <c r="R576" s="23">
        <f t="shared" si="60"/>
        <v>0</v>
      </c>
      <c r="S576" s="27" t="s">
        <v>18</v>
      </c>
      <c r="T576" s="19" t="s">
        <v>589</v>
      </c>
    </row>
    <row r="577" spans="1:20" ht="37.5" customHeight="1" x14ac:dyDescent="0.25">
      <c r="A577" s="19" t="s">
        <v>590</v>
      </c>
      <c r="B577">
        <f t="shared" si="61"/>
        <v>59397</v>
      </c>
      <c r="C577">
        <v>9485</v>
      </c>
      <c r="D577">
        <v>49912</v>
      </c>
      <c r="F577">
        <f t="shared" si="56"/>
        <v>348</v>
      </c>
      <c r="G577" s="20">
        <f t="shared" si="62"/>
        <v>572</v>
      </c>
      <c r="H577" s="21">
        <v>88820003202</v>
      </c>
      <c r="I577" s="22">
        <v>709</v>
      </c>
      <c r="J577" s="23"/>
      <c r="K577" s="24">
        <v>59049</v>
      </c>
      <c r="L577" s="23">
        <f t="shared" si="57"/>
        <v>348</v>
      </c>
      <c r="M577" s="24">
        <v>9426</v>
      </c>
      <c r="N577" s="25">
        <f t="shared" si="58"/>
        <v>59</v>
      </c>
      <c r="O577" s="24">
        <v>49623</v>
      </c>
      <c r="P577" s="23">
        <f t="shared" si="59"/>
        <v>289</v>
      </c>
      <c r="Q577" s="26"/>
      <c r="R577" s="23">
        <f t="shared" si="60"/>
        <v>0</v>
      </c>
      <c r="S577" s="27" t="s">
        <v>18</v>
      </c>
      <c r="T577" s="19" t="s">
        <v>590</v>
      </c>
    </row>
    <row r="578" spans="1:20" ht="37.5" customHeight="1" x14ac:dyDescent="0.25">
      <c r="A578" s="19" t="s">
        <v>591</v>
      </c>
      <c r="B578">
        <f t="shared" si="61"/>
        <v>6033</v>
      </c>
      <c r="C578">
        <v>963</v>
      </c>
      <c r="D578">
        <v>5070</v>
      </c>
      <c r="F578">
        <f t="shared" si="56"/>
        <v>141</v>
      </c>
      <c r="G578" s="20">
        <f t="shared" si="62"/>
        <v>573</v>
      </c>
      <c r="H578" s="21">
        <v>66622040617</v>
      </c>
      <c r="I578" s="22">
        <v>710</v>
      </c>
      <c r="J578" s="23"/>
      <c r="K578" s="24">
        <v>5892</v>
      </c>
      <c r="L578" s="23">
        <f t="shared" si="57"/>
        <v>141</v>
      </c>
      <c r="M578" s="24">
        <v>947</v>
      </c>
      <c r="N578" s="25">
        <f t="shared" si="58"/>
        <v>16</v>
      </c>
      <c r="O578" s="24">
        <v>4945</v>
      </c>
      <c r="P578" s="23">
        <f t="shared" si="59"/>
        <v>125</v>
      </c>
      <c r="Q578" s="26"/>
      <c r="R578" s="23">
        <f t="shared" si="60"/>
        <v>0</v>
      </c>
      <c r="S578" s="27" t="s">
        <v>18</v>
      </c>
      <c r="T578" s="19" t="s">
        <v>591</v>
      </c>
    </row>
    <row r="579" spans="1:20" ht="37.5" customHeight="1" x14ac:dyDescent="0.25">
      <c r="A579" s="19" t="s">
        <v>592</v>
      </c>
      <c r="B579">
        <f t="shared" si="61"/>
        <v>35756</v>
      </c>
      <c r="C579">
        <v>5278</v>
      </c>
      <c r="D579">
        <v>30478</v>
      </c>
      <c r="F579">
        <f t="shared" si="56"/>
        <v>599</v>
      </c>
      <c r="G579" s="20">
        <f t="shared" si="62"/>
        <v>574</v>
      </c>
      <c r="H579" s="21">
        <v>88819030245</v>
      </c>
      <c r="I579" s="22">
        <v>711</v>
      </c>
      <c r="J579" s="23"/>
      <c r="K579" s="24">
        <v>35157</v>
      </c>
      <c r="L579" s="23">
        <f t="shared" si="57"/>
        <v>599</v>
      </c>
      <c r="M579" s="24">
        <v>5186</v>
      </c>
      <c r="N579" s="25">
        <f t="shared" si="58"/>
        <v>92</v>
      </c>
      <c r="O579" s="24">
        <v>29971</v>
      </c>
      <c r="P579" s="23">
        <f t="shared" si="59"/>
        <v>507</v>
      </c>
      <c r="Q579" s="26"/>
      <c r="R579" s="23">
        <f t="shared" si="60"/>
        <v>0</v>
      </c>
      <c r="S579" s="27" t="s">
        <v>18</v>
      </c>
      <c r="T579" s="19" t="s">
        <v>592</v>
      </c>
    </row>
    <row r="580" spans="1:20" ht="37.5" customHeight="1" x14ac:dyDescent="0.25">
      <c r="A580" s="19" t="s">
        <v>593</v>
      </c>
      <c r="B580">
        <f t="shared" si="61"/>
        <v>6244</v>
      </c>
      <c r="C580">
        <v>875</v>
      </c>
      <c r="D580">
        <v>5369</v>
      </c>
      <c r="E580">
        <v>10831</v>
      </c>
      <c r="F580">
        <f t="shared" si="56"/>
        <v>372</v>
      </c>
      <c r="G580" s="20">
        <f t="shared" si="62"/>
        <v>575</v>
      </c>
      <c r="H580" s="21">
        <v>99623080275</v>
      </c>
      <c r="I580" s="22">
        <v>712</v>
      </c>
      <c r="J580" s="23"/>
      <c r="K580" s="24">
        <f>M580+O580</f>
        <v>5872</v>
      </c>
      <c r="L580" s="23">
        <f t="shared" si="57"/>
        <v>372</v>
      </c>
      <c r="M580" s="24">
        <v>812</v>
      </c>
      <c r="N580" s="25">
        <f t="shared" si="58"/>
        <v>63</v>
      </c>
      <c r="O580" s="24">
        <v>5060</v>
      </c>
      <c r="P580" s="23">
        <f t="shared" si="59"/>
        <v>309</v>
      </c>
      <c r="Q580" s="26">
        <v>9877</v>
      </c>
      <c r="R580" s="23">
        <f t="shared" si="60"/>
        <v>954</v>
      </c>
      <c r="S580" s="27" t="s">
        <v>18</v>
      </c>
      <c r="T580" s="19" t="s">
        <v>593</v>
      </c>
    </row>
    <row r="581" spans="1:20" ht="37.5" customHeight="1" x14ac:dyDescent="0.25">
      <c r="A581" s="19" t="s">
        <v>594</v>
      </c>
      <c r="B581">
        <f t="shared" si="61"/>
        <v>7898</v>
      </c>
      <c r="C581">
        <v>1942</v>
      </c>
      <c r="D581">
        <v>5956</v>
      </c>
      <c r="E581">
        <v>10279</v>
      </c>
      <c r="F581">
        <f t="shared" ref="F581:F644" si="63">L581</f>
        <v>379</v>
      </c>
      <c r="G581" s="20">
        <f t="shared" si="62"/>
        <v>576</v>
      </c>
      <c r="H581" s="21">
        <v>99623080289</v>
      </c>
      <c r="I581" s="22">
        <v>713</v>
      </c>
      <c r="J581" s="23"/>
      <c r="K581" s="24">
        <f>M581+O581</f>
        <v>7519</v>
      </c>
      <c r="L581" s="23">
        <f t="shared" si="57"/>
        <v>379</v>
      </c>
      <c r="M581" s="24">
        <v>1834</v>
      </c>
      <c r="N581" s="25">
        <f t="shared" si="58"/>
        <v>108</v>
      </c>
      <c r="O581" s="24">
        <v>5685</v>
      </c>
      <c r="P581" s="23">
        <f t="shared" si="59"/>
        <v>271</v>
      </c>
      <c r="Q581" s="26">
        <v>9363</v>
      </c>
      <c r="R581" s="23">
        <f t="shared" si="60"/>
        <v>916</v>
      </c>
      <c r="S581" s="27" t="s">
        <v>18</v>
      </c>
      <c r="T581" s="19" t="s">
        <v>594</v>
      </c>
    </row>
    <row r="582" spans="1:20" ht="37.5" customHeight="1" x14ac:dyDescent="0.25">
      <c r="A582" s="19" t="s">
        <v>595</v>
      </c>
      <c r="B582">
        <f t="shared" si="61"/>
        <v>6169</v>
      </c>
      <c r="C582">
        <v>943</v>
      </c>
      <c r="D582">
        <v>5226</v>
      </c>
      <c r="E582">
        <v>10712</v>
      </c>
      <c r="F582">
        <f t="shared" si="63"/>
        <v>279</v>
      </c>
      <c r="G582" s="20">
        <f t="shared" si="62"/>
        <v>577</v>
      </c>
      <c r="H582" s="21">
        <v>99723060102</v>
      </c>
      <c r="I582" s="22">
        <v>714</v>
      </c>
      <c r="J582" s="23"/>
      <c r="K582" s="24">
        <f>M582+O582</f>
        <v>5890</v>
      </c>
      <c r="L582" s="23">
        <f t="shared" ref="L582:L645" si="64">B582-K582</f>
        <v>279</v>
      </c>
      <c r="M582" s="24">
        <v>884</v>
      </c>
      <c r="N582" s="25">
        <f t="shared" ref="N582:N645" si="65">C582-M582</f>
        <v>59</v>
      </c>
      <c r="O582" s="24">
        <v>5006</v>
      </c>
      <c r="P582" s="23">
        <f t="shared" ref="P582:P645" si="66">D582-O582</f>
        <v>220</v>
      </c>
      <c r="Q582" s="26">
        <v>9878</v>
      </c>
      <c r="R582" s="23">
        <f t="shared" ref="R582:R645" si="67">E582-Q582</f>
        <v>834</v>
      </c>
      <c r="S582" s="27" t="s">
        <v>18</v>
      </c>
      <c r="T582" s="19" t="s">
        <v>595</v>
      </c>
    </row>
    <row r="583" spans="1:20" ht="37.5" customHeight="1" x14ac:dyDescent="0.25">
      <c r="A583" s="19" t="s">
        <v>596</v>
      </c>
      <c r="B583">
        <f t="shared" ref="B583:B646" si="68">C583+D583</f>
        <v>51983</v>
      </c>
      <c r="C583">
        <v>9043</v>
      </c>
      <c r="D583">
        <v>42940</v>
      </c>
      <c r="F583">
        <f t="shared" si="63"/>
        <v>507</v>
      </c>
      <c r="G583" s="20">
        <f t="shared" si="62"/>
        <v>578</v>
      </c>
      <c r="H583" s="21">
        <v>66618010280</v>
      </c>
      <c r="I583" s="22">
        <v>715</v>
      </c>
      <c r="J583" s="23"/>
      <c r="K583" s="24">
        <v>51476</v>
      </c>
      <c r="L583" s="23">
        <f t="shared" si="64"/>
        <v>507</v>
      </c>
      <c r="M583" s="24">
        <v>8954</v>
      </c>
      <c r="N583" s="25">
        <f t="shared" si="65"/>
        <v>89</v>
      </c>
      <c r="O583" s="24">
        <v>42522</v>
      </c>
      <c r="P583" s="23">
        <f t="shared" si="66"/>
        <v>418</v>
      </c>
      <c r="Q583" s="26"/>
      <c r="R583" s="23">
        <f t="shared" si="67"/>
        <v>0</v>
      </c>
      <c r="S583" s="27" t="s">
        <v>18</v>
      </c>
      <c r="T583" s="19" t="s">
        <v>596</v>
      </c>
    </row>
    <row r="584" spans="1:20" ht="37.5" customHeight="1" x14ac:dyDescent="0.25">
      <c r="A584" s="19" t="s">
        <v>597</v>
      </c>
      <c r="B584">
        <f t="shared" si="68"/>
        <v>3113</v>
      </c>
      <c r="C584">
        <v>836</v>
      </c>
      <c r="D584">
        <v>2277</v>
      </c>
      <c r="E584">
        <v>3568</v>
      </c>
      <c r="F584">
        <f t="shared" si="63"/>
        <v>381</v>
      </c>
      <c r="G584" s="20">
        <f t="shared" ref="G584:G647" si="69">G583+1</f>
        <v>579</v>
      </c>
      <c r="H584" s="21">
        <v>99624030344</v>
      </c>
      <c r="I584" s="22">
        <v>716</v>
      </c>
      <c r="J584" s="23"/>
      <c r="K584" s="24">
        <f>M584+O584</f>
        <v>2732</v>
      </c>
      <c r="L584" s="23">
        <f t="shared" si="64"/>
        <v>381</v>
      </c>
      <c r="M584" s="24">
        <v>733</v>
      </c>
      <c r="N584" s="25">
        <f t="shared" si="65"/>
        <v>103</v>
      </c>
      <c r="O584" s="24">
        <v>1999</v>
      </c>
      <c r="P584" s="23">
        <f t="shared" si="66"/>
        <v>278</v>
      </c>
      <c r="Q584" s="26">
        <v>2881</v>
      </c>
      <c r="R584" s="23">
        <f t="shared" si="67"/>
        <v>687</v>
      </c>
      <c r="S584" s="27" t="s">
        <v>18</v>
      </c>
      <c r="T584" s="19" t="s">
        <v>597</v>
      </c>
    </row>
    <row r="585" spans="1:20" ht="37.5" customHeight="1" x14ac:dyDescent="0.25">
      <c r="A585" s="19" t="s">
        <v>598</v>
      </c>
      <c r="B585">
        <f t="shared" si="68"/>
        <v>39843</v>
      </c>
      <c r="C585">
        <v>6996</v>
      </c>
      <c r="D585">
        <v>32847</v>
      </c>
      <c r="F585">
        <f t="shared" si="63"/>
        <v>685</v>
      </c>
      <c r="G585" s="20">
        <f t="shared" si="69"/>
        <v>580</v>
      </c>
      <c r="H585" s="21">
        <v>66619040277</v>
      </c>
      <c r="I585" s="22">
        <v>717</v>
      </c>
      <c r="J585" s="23"/>
      <c r="K585" s="24">
        <v>39158</v>
      </c>
      <c r="L585" s="23">
        <f t="shared" si="64"/>
        <v>685</v>
      </c>
      <c r="M585" s="24">
        <v>6879</v>
      </c>
      <c r="N585" s="25">
        <f t="shared" si="65"/>
        <v>117</v>
      </c>
      <c r="O585" s="24">
        <v>32279</v>
      </c>
      <c r="P585" s="23">
        <f t="shared" si="66"/>
        <v>568</v>
      </c>
      <c r="Q585" s="26"/>
      <c r="R585" s="23">
        <f t="shared" si="67"/>
        <v>0</v>
      </c>
      <c r="S585" s="27" t="s">
        <v>18</v>
      </c>
      <c r="T585" s="19" t="s">
        <v>598</v>
      </c>
    </row>
    <row r="586" spans="1:20" ht="37.5" customHeight="1" x14ac:dyDescent="0.25">
      <c r="A586" s="19" t="s">
        <v>599</v>
      </c>
      <c r="B586">
        <f t="shared" si="68"/>
        <v>5104</v>
      </c>
      <c r="C586">
        <v>1325</v>
      </c>
      <c r="D586">
        <v>3779</v>
      </c>
      <c r="E586">
        <v>6147</v>
      </c>
      <c r="F586">
        <f t="shared" si="63"/>
        <v>531</v>
      </c>
      <c r="G586" s="20">
        <f t="shared" si="69"/>
        <v>581</v>
      </c>
      <c r="H586" s="21">
        <v>99624030047</v>
      </c>
      <c r="I586" s="22">
        <v>718</v>
      </c>
      <c r="J586" s="23"/>
      <c r="K586" s="24">
        <f>M586+O586</f>
        <v>4573</v>
      </c>
      <c r="L586" s="23">
        <f t="shared" si="64"/>
        <v>531</v>
      </c>
      <c r="M586" s="24">
        <v>1166</v>
      </c>
      <c r="N586" s="25">
        <f t="shared" si="65"/>
        <v>159</v>
      </c>
      <c r="O586" s="24">
        <v>3407</v>
      </c>
      <c r="P586" s="23">
        <f t="shared" si="66"/>
        <v>372</v>
      </c>
      <c r="Q586" s="26">
        <v>5160</v>
      </c>
      <c r="R586" s="23">
        <f t="shared" si="67"/>
        <v>987</v>
      </c>
      <c r="S586" s="27" t="s">
        <v>18</v>
      </c>
      <c r="T586" s="19" t="s">
        <v>599</v>
      </c>
    </row>
    <row r="587" spans="1:20" ht="37.5" customHeight="1" x14ac:dyDescent="0.25">
      <c r="A587" s="19" t="s">
        <v>600</v>
      </c>
      <c r="B587">
        <f t="shared" si="68"/>
        <v>13430</v>
      </c>
      <c r="C587">
        <v>2514</v>
      </c>
      <c r="D587">
        <v>10916</v>
      </c>
      <c r="F587">
        <f t="shared" si="63"/>
        <v>303</v>
      </c>
      <c r="G587" s="20">
        <f t="shared" si="69"/>
        <v>582</v>
      </c>
      <c r="H587" s="21">
        <v>66617010435</v>
      </c>
      <c r="I587" s="22">
        <v>719</v>
      </c>
      <c r="J587" s="23"/>
      <c r="K587" s="24">
        <v>13127</v>
      </c>
      <c r="L587" s="23">
        <f t="shared" si="64"/>
        <v>303</v>
      </c>
      <c r="M587" s="24">
        <v>2447</v>
      </c>
      <c r="N587" s="25">
        <f t="shared" si="65"/>
        <v>67</v>
      </c>
      <c r="O587" s="24">
        <v>10680</v>
      </c>
      <c r="P587" s="23">
        <f t="shared" si="66"/>
        <v>236</v>
      </c>
      <c r="Q587" s="26"/>
      <c r="R587" s="23">
        <f t="shared" si="67"/>
        <v>0</v>
      </c>
      <c r="S587" s="27" t="s">
        <v>18</v>
      </c>
      <c r="T587" s="19" t="s">
        <v>600</v>
      </c>
    </row>
    <row r="588" spans="1:20" ht="37.5" customHeight="1" x14ac:dyDescent="0.25">
      <c r="A588" s="19" t="s">
        <v>601</v>
      </c>
      <c r="B588">
        <f t="shared" si="68"/>
        <v>72913</v>
      </c>
      <c r="C588">
        <v>11406</v>
      </c>
      <c r="D588">
        <v>61507</v>
      </c>
      <c r="F588">
        <f t="shared" si="63"/>
        <v>839</v>
      </c>
      <c r="G588" s="20">
        <f t="shared" si="69"/>
        <v>583</v>
      </c>
      <c r="H588" s="21">
        <v>23014040471</v>
      </c>
      <c r="I588" s="22">
        <v>720</v>
      </c>
      <c r="J588" s="23"/>
      <c r="K588" s="24">
        <v>72074</v>
      </c>
      <c r="L588" s="23">
        <f t="shared" si="64"/>
        <v>839</v>
      </c>
      <c r="M588" s="24">
        <v>11260</v>
      </c>
      <c r="N588" s="25">
        <f t="shared" si="65"/>
        <v>146</v>
      </c>
      <c r="O588" s="24">
        <v>60814</v>
      </c>
      <c r="P588" s="23">
        <f t="shared" si="66"/>
        <v>693</v>
      </c>
      <c r="Q588" s="26"/>
      <c r="R588" s="23">
        <f t="shared" si="67"/>
        <v>0</v>
      </c>
      <c r="S588" s="27" t="s">
        <v>18</v>
      </c>
      <c r="T588" s="19" t="s">
        <v>601</v>
      </c>
    </row>
    <row r="589" spans="1:20" ht="37.5" customHeight="1" x14ac:dyDescent="0.25">
      <c r="A589" s="19" t="s">
        <v>602</v>
      </c>
      <c r="B589">
        <f t="shared" si="68"/>
        <v>9764</v>
      </c>
      <c r="C589">
        <v>1805</v>
      </c>
      <c r="D589">
        <v>7959</v>
      </c>
      <c r="E589">
        <v>7804</v>
      </c>
      <c r="F589">
        <f t="shared" si="63"/>
        <v>144</v>
      </c>
      <c r="G589" s="20">
        <f t="shared" si="69"/>
        <v>584</v>
      </c>
      <c r="H589" s="21">
        <v>99723040077</v>
      </c>
      <c r="I589" s="22">
        <v>721</v>
      </c>
      <c r="J589" s="23"/>
      <c r="K589" s="24">
        <f>M589+O589</f>
        <v>9620</v>
      </c>
      <c r="L589" s="23">
        <f t="shared" si="64"/>
        <v>144</v>
      </c>
      <c r="M589" s="24">
        <v>1766</v>
      </c>
      <c r="N589" s="25">
        <f t="shared" si="65"/>
        <v>39</v>
      </c>
      <c r="O589" s="24">
        <v>7854</v>
      </c>
      <c r="P589" s="23">
        <f t="shared" si="66"/>
        <v>105</v>
      </c>
      <c r="Q589" s="26">
        <v>7239</v>
      </c>
      <c r="R589" s="23">
        <f t="shared" si="67"/>
        <v>565</v>
      </c>
      <c r="S589" s="27" t="s">
        <v>18</v>
      </c>
      <c r="T589" s="19" t="s">
        <v>602</v>
      </c>
    </row>
    <row r="590" spans="1:20" ht="37.5" customHeight="1" x14ac:dyDescent="0.25">
      <c r="A590" s="19" t="s">
        <v>603</v>
      </c>
      <c r="B590">
        <f t="shared" si="68"/>
        <v>75504</v>
      </c>
      <c r="C590">
        <v>15468</v>
      </c>
      <c r="D590">
        <v>60036</v>
      </c>
      <c r="F590">
        <f t="shared" si="63"/>
        <v>466</v>
      </c>
      <c r="G590" s="20">
        <f t="shared" si="69"/>
        <v>585</v>
      </c>
      <c r="H590" s="21">
        <v>23011010081</v>
      </c>
      <c r="I590" s="22">
        <v>722</v>
      </c>
      <c r="J590" s="23"/>
      <c r="K590" s="24">
        <v>75038</v>
      </c>
      <c r="L590" s="23">
        <f t="shared" si="64"/>
        <v>466</v>
      </c>
      <c r="M590" s="24">
        <v>15386</v>
      </c>
      <c r="N590" s="25">
        <f t="shared" si="65"/>
        <v>82</v>
      </c>
      <c r="O590" s="24">
        <v>59652</v>
      </c>
      <c r="P590" s="23">
        <f t="shared" si="66"/>
        <v>384</v>
      </c>
      <c r="Q590" s="26"/>
      <c r="R590" s="23">
        <f t="shared" si="67"/>
        <v>0</v>
      </c>
      <c r="S590" s="27" t="s">
        <v>18</v>
      </c>
      <c r="T590" s="19" t="s">
        <v>603</v>
      </c>
    </row>
    <row r="591" spans="1:20" ht="37.5" customHeight="1" x14ac:dyDescent="0.25">
      <c r="A591" s="19" t="s">
        <v>604</v>
      </c>
      <c r="B591">
        <f t="shared" si="68"/>
        <v>41492</v>
      </c>
      <c r="C591">
        <v>7269</v>
      </c>
      <c r="D591">
        <v>34223</v>
      </c>
      <c r="F591">
        <f t="shared" si="63"/>
        <v>1385</v>
      </c>
      <c r="G591" s="20">
        <f t="shared" si="69"/>
        <v>586</v>
      </c>
      <c r="H591" s="21">
        <v>66621010178</v>
      </c>
      <c r="I591" s="22">
        <v>725</v>
      </c>
      <c r="J591" s="23"/>
      <c r="K591" s="24">
        <v>40107</v>
      </c>
      <c r="L591" s="23">
        <f t="shared" si="64"/>
        <v>1385</v>
      </c>
      <c r="M591" s="24">
        <v>7032</v>
      </c>
      <c r="N591" s="25">
        <f t="shared" si="65"/>
        <v>237</v>
      </c>
      <c r="O591" s="24">
        <v>33075</v>
      </c>
      <c r="P591" s="23">
        <f t="shared" si="66"/>
        <v>1148</v>
      </c>
      <c r="Q591" s="26"/>
      <c r="R591" s="23">
        <f t="shared" si="67"/>
        <v>0</v>
      </c>
      <c r="S591" s="27" t="s">
        <v>18</v>
      </c>
      <c r="T591" s="19" t="s">
        <v>604</v>
      </c>
    </row>
    <row r="592" spans="1:20" ht="37.5" customHeight="1" x14ac:dyDescent="0.25">
      <c r="A592" s="19" t="s">
        <v>605</v>
      </c>
      <c r="B592">
        <f t="shared" si="68"/>
        <v>14403</v>
      </c>
      <c r="C592">
        <v>3554</v>
      </c>
      <c r="D592">
        <v>10849</v>
      </c>
      <c r="F592">
        <f t="shared" si="63"/>
        <v>341</v>
      </c>
      <c r="G592" s="20">
        <f t="shared" si="69"/>
        <v>587</v>
      </c>
      <c r="H592" s="21">
        <v>66621100320</v>
      </c>
      <c r="I592" s="22">
        <v>726</v>
      </c>
      <c r="J592" s="23"/>
      <c r="K592" s="24">
        <v>14062</v>
      </c>
      <c r="L592" s="23">
        <f t="shared" si="64"/>
        <v>341</v>
      </c>
      <c r="M592" s="24">
        <v>3500</v>
      </c>
      <c r="N592" s="25">
        <f t="shared" si="65"/>
        <v>54</v>
      </c>
      <c r="O592" s="24">
        <v>10562</v>
      </c>
      <c r="P592" s="23">
        <f t="shared" si="66"/>
        <v>287</v>
      </c>
      <c r="Q592" s="26"/>
      <c r="R592" s="23">
        <f t="shared" si="67"/>
        <v>0</v>
      </c>
      <c r="S592" s="27" t="s">
        <v>18</v>
      </c>
      <c r="T592" s="19" t="s">
        <v>605</v>
      </c>
    </row>
    <row r="593" spans="1:20" ht="37.5" customHeight="1" x14ac:dyDescent="0.25">
      <c r="A593" s="19" t="s">
        <v>606</v>
      </c>
      <c r="B593">
        <f t="shared" si="68"/>
        <v>50642</v>
      </c>
      <c r="C593">
        <v>8358</v>
      </c>
      <c r="D593">
        <v>42284</v>
      </c>
      <c r="F593">
        <f t="shared" si="63"/>
        <v>390</v>
      </c>
      <c r="G593" s="20">
        <f t="shared" si="69"/>
        <v>588</v>
      </c>
      <c r="H593" s="21">
        <v>23013080220</v>
      </c>
      <c r="I593" s="22">
        <v>727</v>
      </c>
      <c r="J593" s="23"/>
      <c r="K593" s="24">
        <v>50252</v>
      </c>
      <c r="L593" s="23">
        <f t="shared" si="64"/>
        <v>390</v>
      </c>
      <c r="M593" s="24">
        <v>8294</v>
      </c>
      <c r="N593" s="25">
        <f t="shared" si="65"/>
        <v>64</v>
      </c>
      <c r="O593" s="24">
        <v>41958</v>
      </c>
      <c r="P593" s="23">
        <f t="shared" si="66"/>
        <v>326</v>
      </c>
      <c r="Q593" s="26"/>
      <c r="R593" s="23">
        <f t="shared" si="67"/>
        <v>0</v>
      </c>
      <c r="S593" s="27" t="s">
        <v>18</v>
      </c>
      <c r="T593" s="19" t="s">
        <v>606</v>
      </c>
    </row>
    <row r="594" spans="1:20" ht="37.5" customHeight="1" x14ac:dyDescent="0.25">
      <c r="A594" s="19" t="s">
        <v>607</v>
      </c>
      <c r="B594">
        <f t="shared" si="68"/>
        <v>16102</v>
      </c>
      <c r="C594">
        <v>3274</v>
      </c>
      <c r="D594">
        <v>12828</v>
      </c>
      <c r="F594">
        <f t="shared" si="63"/>
        <v>448</v>
      </c>
      <c r="G594" s="20">
        <f t="shared" si="69"/>
        <v>589</v>
      </c>
      <c r="H594" s="21">
        <v>66621070395</v>
      </c>
      <c r="I594" s="22">
        <v>728</v>
      </c>
      <c r="J594" s="23"/>
      <c r="K594" s="24">
        <v>15654</v>
      </c>
      <c r="L594" s="23">
        <f t="shared" si="64"/>
        <v>448</v>
      </c>
      <c r="M594" s="24">
        <v>3187</v>
      </c>
      <c r="N594" s="25">
        <f t="shared" si="65"/>
        <v>87</v>
      </c>
      <c r="O594" s="24">
        <v>12467</v>
      </c>
      <c r="P594" s="23">
        <f t="shared" si="66"/>
        <v>361</v>
      </c>
      <c r="Q594" s="26"/>
      <c r="R594" s="23">
        <f t="shared" si="67"/>
        <v>0</v>
      </c>
      <c r="S594" s="27" t="s">
        <v>18</v>
      </c>
      <c r="T594" s="19" t="s">
        <v>607</v>
      </c>
    </row>
    <row r="595" spans="1:20" ht="37.5" customHeight="1" x14ac:dyDescent="0.25">
      <c r="A595" s="19" t="s">
        <v>608</v>
      </c>
      <c r="B595">
        <f t="shared" si="68"/>
        <v>58355</v>
      </c>
      <c r="C595">
        <v>8975</v>
      </c>
      <c r="D595">
        <v>49380</v>
      </c>
      <c r="F595">
        <f t="shared" si="63"/>
        <v>631</v>
      </c>
      <c r="G595" s="20">
        <f t="shared" si="69"/>
        <v>590</v>
      </c>
      <c r="H595" s="21">
        <v>23012100055</v>
      </c>
      <c r="I595" s="22">
        <v>729</v>
      </c>
      <c r="J595" s="23"/>
      <c r="K595" s="24">
        <v>57724</v>
      </c>
      <c r="L595" s="23">
        <f t="shared" si="64"/>
        <v>631</v>
      </c>
      <c r="M595" s="24">
        <v>8851</v>
      </c>
      <c r="N595" s="25">
        <f t="shared" si="65"/>
        <v>124</v>
      </c>
      <c r="O595" s="24">
        <v>48873</v>
      </c>
      <c r="P595" s="23">
        <f t="shared" si="66"/>
        <v>507</v>
      </c>
      <c r="Q595" s="26"/>
      <c r="R595" s="23">
        <f t="shared" si="67"/>
        <v>0</v>
      </c>
      <c r="S595" s="27" t="s">
        <v>18</v>
      </c>
      <c r="T595" s="19" t="s">
        <v>608</v>
      </c>
    </row>
    <row r="596" spans="1:20" ht="37.5" customHeight="1" x14ac:dyDescent="0.25">
      <c r="A596" s="19" t="s">
        <v>609</v>
      </c>
      <c r="B596">
        <f t="shared" si="68"/>
        <v>17073</v>
      </c>
      <c r="C596">
        <v>3304</v>
      </c>
      <c r="D596">
        <v>13769</v>
      </c>
      <c r="F596">
        <f t="shared" si="63"/>
        <v>531</v>
      </c>
      <c r="G596" s="20">
        <f t="shared" si="69"/>
        <v>591</v>
      </c>
      <c r="H596" s="21">
        <v>88820020496</v>
      </c>
      <c r="I596" s="22">
        <v>730</v>
      </c>
      <c r="J596" s="23"/>
      <c r="K596" s="24">
        <v>16542</v>
      </c>
      <c r="L596" s="23">
        <f t="shared" si="64"/>
        <v>531</v>
      </c>
      <c r="M596" s="24">
        <v>3194</v>
      </c>
      <c r="N596" s="25">
        <f t="shared" si="65"/>
        <v>110</v>
      </c>
      <c r="O596" s="24">
        <v>13348</v>
      </c>
      <c r="P596" s="23">
        <f t="shared" si="66"/>
        <v>421</v>
      </c>
      <c r="Q596" s="26"/>
      <c r="R596" s="23">
        <f t="shared" si="67"/>
        <v>0</v>
      </c>
      <c r="S596" s="27" t="s">
        <v>18</v>
      </c>
      <c r="T596" s="19" t="s">
        <v>609</v>
      </c>
    </row>
    <row r="597" spans="1:20" ht="37.5" customHeight="1" x14ac:dyDescent="0.25">
      <c r="A597" s="19" t="s">
        <v>610</v>
      </c>
      <c r="B597">
        <f t="shared" si="68"/>
        <v>6886</v>
      </c>
      <c r="C597">
        <v>1824</v>
      </c>
      <c r="D597">
        <v>5062</v>
      </c>
      <c r="E597">
        <v>9331</v>
      </c>
      <c r="F597">
        <f t="shared" si="63"/>
        <v>778</v>
      </c>
      <c r="G597" s="20">
        <f t="shared" si="69"/>
        <v>592</v>
      </c>
      <c r="H597" s="21">
        <v>99624010042</v>
      </c>
      <c r="I597" s="22">
        <v>731</v>
      </c>
      <c r="J597" s="23"/>
      <c r="K597" s="24">
        <f>M597+O597</f>
        <v>6108</v>
      </c>
      <c r="L597" s="23">
        <f t="shared" si="64"/>
        <v>778</v>
      </c>
      <c r="M597" s="24">
        <v>1612</v>
      </c>
      <c r="N597" s="25">
        <f t="shared" si="65"/>
        <v>212</v>
      </c>
      <c r="O597" s="24">
        <v>4496</v>
      </c>
      <c r="P597" s="23">
        <f t="shared" si="66"/>
        <v>566</v>
      </c>
      <c r="Q597" s="26">
        <v>8399</v>
      </c>
      <c r="R597" s="23">
        <f t="shared" si="67"/>
        <v>932</v>
      </c>
      <c r="S597" s="27" t="s">
        <v>18</v>
      </c>
      <c r="T597" s="19" t="s">
        <v>610</v>
      </c>
    </row>
    <row r="598" spans="1:20" ht="37.5" customHeight="1" x14ac:dyDescent="0.25">
      <c r="A598" s="19" t="s">
        <v>611</v>
      </c>
      <c r="B598">
        <f t="shared" si="68"/>
        <v>64866</v>
      </c>
      <c r="C598">
        <v>16521</v>
      </c>
      <c r="D598">
        <v>48345</v>
      </c>
      <c r="F598">
        <f t="shared" si="63"/>
        <v>373</v>
      </c>
      <c r="G598" s="20">
        <f t="shared" si="69"/>
        <v>593</v>
      </c>
      <c r="H598" s="21">
        <v>23010050137</v>
      </c>
      <c r="I598" s="22">
        <v>732</v>
      </c>
      <c r="J598" s="23"/>
      <c r="K598" s="24">
        <v>64493</v>
      </c>
      <c r="L598" s="23">
        <f t="shared" si="64"/>
        <v>373</v>
      </c>
      <c r="M598" s="24">
        <v>16455</v>
      </c>
      <c r="N598" s="25">
        <f t="shared" si="65"/>
        <v>66</v>
      </c>
      <c r="O598" s="24">
        <v>48038</v>
      </c>
      <c r="P598" s="23">
        <f t="shared" si="66"/>
        <v>307</v>
      </c>
      <c r="Q598" s="26"/>
      <c r="R598" s="23">
        <f t="shared" si="67"/>
        <v>0</v>
      </c>
      <c r="S598" s="27" t="s">
        <v>18</v>
      </c>
      <c r="T598" s="19" t="s">
        <v>611</v>
      </c>
    </row>
    <row r="599" spans="1:20" ht="37.5" customHeight="1" x14ac:dyDescent="0.25">
      <c r="A599" s="19" t="s">
        <v>612</v>
      </c>
      <c r="B599">
        <f t="shared" si="68"/>
        <v>5147</v>
      </c>
      <c r="C599">
        <v>1403</v>
      </c>
      <c r="D599">
        <v>3744</v>
      </c>
      <c r="E599">
        <v>9668</v>
      </c>
      <c r="F599">
        <f t="shared" si="63"/>
        <v>144</v>
      </c>
      <c r="G599" s="20">
        <f t="shared" si="69"/>
        <v>594</v>
      </c>
      <c r="H599" s="21">
        <v>99723060118</v>
      </c>
      <c r="I599" s="22">
        <v>733</v>
      </c>
      <c r="J599" s="23"/>
      <c r="K599" s="24">
        <f>M599+O599</f>
        <v>5003</v>
      </c>
      <c r="L599" s="23">
        <f t="shared" si="64"/>
        <v>144</v>
      </c>
      <c r="M599" s="24">
        <v>1362</v>
      </c>
      <c r="N599" s="25">
        <f t="shared" si="65"/>
        <v>41</v>
      </c>
      <c r="O599" s="24">
        <v>3641</v>
      </c>
      <c r="P599" s="23">
        <f t="shared" si="66"/>
        <v>103</v>
      </c>
      <c r="Q599" s="26">
        <v>8953</v>
      </c>
      <c r="R599" s="23">
        <f t="shared" si="67"/>
        <v>715</v>
      </c>
      <c r="S599" s="27" t="s">
        <v>18</v>
      </c>
      <c r="T599" s="19" t="s">
        <v>612</v>
      </c>
    </row>
    <row r="600" spans="1:20" ht="37.5" customHeight="1" x14ac:dyDescent="0.25">
      <c r="A600" s="19" t="s">
        <v>613</v>
      </c>
      <c r="B600">
        <f t="shared" si="68"/>
        <v>49610</v>
      </c>
      <c r="C600">
        <v>8138</v>
      </c>
      <c r="D600">
        <v>41472</v>
      </c>
      <c r="F600">
        <f t="shared" si="63"/>
        <v>990</v>
      </c>
      <c r="G600" s="20">
        <f t="shared" si="69"/>
        <v>595</v>
      </c>
      <c r="H600" s="21">
        <v>66617010208</v>
      </c>
      <c r="I600" s="22">
        <v>735</v>
      </c>
      <c r="J600" s="23"/>
      <c r="K600" s="24">
        <v>48620</v>
      </c>
      <c r="L600" s="23">
        <f t="shared" si="64"/>
        <v>990</v>
      </c>
      <c r="M600" s="24">
        <v>7965</v>
      </c>
      <c r="N600" s="25">
        <f t="shared" si="65"/>
        <v>173</v>
      </c>
      <c r="O600" s="24">
        <v>40655</v>
      </c>
      <c r="P600" s="23">
        <f t="shared" si="66"/>
        <v>817</v>
      </c>
      <c r="Q600" s="26"/>
      <c r="R600" s="23">
        <f t="shared" si="67"/>
        <v>0</v>
      </c>
      <c r="S600" s="27" t="s">
        <v>18</v>
      </c>
      <c r="T600" s="19" t="s">
        <v>613</v>
      </c>
    </row>
    <row r="601" spans="1:20" ht="37.5" customHeight="1" x14ac:dyDescent="0.25">
      <c r="A601" s="19" t="s">
        <v>614</v>
      </c>
      <c r="B601">
        <f t="shared" si="68"/>
        <v>21837</v>
      </c>
      <c r="C601">
        <v>3664</v>
      </c>
      <c r="D601">
        <v>18173</v>
      </c>
      <c r="F601">
        <f t="shared" si="63"/>
        <v>292</v>
      </c>
      <c r="G601" s="20">
        <f t="shared" si="69"/>
        <v>596</v>
      </c>
      <c r="H601" s="21">
        <v>88819010031</v>
      </c>
      <c r="I601" s="22">
        <v>736</v>
      </c>
      <c r="J601" s="23"/>
      <c r="K601" s="24">
        <v>21545</v>
      </c>
      <c r="L601" s="23">
        <f t="shared" si="64"/>
        <v>292</v>
      </c>
      <c r="M601" s="24">
        <v>3615</v>
      </c>
      <c r="N601" s="25">
        <f t="shared" si="65"/>
        <v>49</v>
      </c>
      <c r="O601" s="24">
        <v>17930</v>
      </c>
      <c r="P601" s="23">
        <f t="shared" si="66"/>
        <v>243</v>
      </c>
      <c r="Q601" s="26"/>
      <c r="R601" s="23">
        <f t="shared" si="67"/>
        <v>0</v>
      </c>
      <c r="S601" s="27" t="s">
        <v>18</v>
      </c>
      <c r="T601" s="19" t="s">
        <v>614</v>
      </c>
    </row>
    <row r="602" spans="1:20" ht="37.5" customHeight="1" x14ac:dyDescent="0.25">
      <c r="A602" s="19" t="s">
        <v>615</v>
      </c>
      <c r="B602">
        <f t="shared" si="68"/>
        <v>96974</v>
      </c>
      <c r="C602">
        <v>36270</v>
      </c>
      <c r="D602">
        <v>60704</v>
      </c>
      <c r="F602">
        <f t="shared" si="63"/>
        <v>335</v>
      </c>
      <c r="G602" s="20">
        <f t="shared" si="69"/>
        <v>597</v>
      </c>
      <c r="H602" s="21">
        <v>23009070052</v>
      </c>
      <c r="I602" s="22">
        <v>737</v>
      </c>
      <c r="J602" s="23"/>
      <c r="K602" s="24">
        <v>96639</v>
      </c>
      <c r="L602" s="23">
        <f t="shared" si="64"/>
        <v>335</v>
      </c>
      <c r="M602" s="24">
        <v>36181</v>
      </c>
      <c r="N602" s="25">
        <f t="shared" si="65"/>
        <v>89</v>
      </c>
      <c r="O602" s="24">
        <v>60458</v>
      </c>
      <c r="P602" s="23">
        <f t="shared" si="66"/>
        <v>246</v>
      </c>
      <c r="Q602" s="26"/>
      <c r="R602" s="23">
        <f t="shared" si="67"/>
        <v>0</v>
      </c>
      <c r="S602" s="27" t="s">
        <v>18</v>
      </c>
      <c r="T602" s="19" t="s">
        <v>615</v>
      </c>
    </row>
    <row r="603" spans="1:20" ht="37.5" customHeight="1" x14ac:dyDescent="0.25">
      <c r="A603" s="19" t="s">
        <v>616</v>
      </c>
      <c r="B603">
        <f t="shared" si="68"/>
        <v>7088</v>
      </c>
      <c r="C603">
        <v>1020</v>
      </c>
      <c r="D603">
        <v>6068</v>
      </c>
      <c r="F603">
        <f t="shared" si="63"/>
        <v>23</v>
      </c>
      <c r="G603" s="20">
        <f t="shared" si="69"/>
        <v>598</v>
      </c>
      <c r="H603" s="21">
        <v>88818010068</v>
      </c>
      <c r="I603" s="22">
        <v>740</v>
      </c>
      <c r="J603" s="23"/>
      <c r="K603" s="24">
        <v>7065</v>
      </c>
      <c r="L603" s="23">
        <f t="shared" si="64"/>
        <v>23</v>
      </c>
      <c r="M603" s="24">
        <v>1015</v>
      </c>
      <c r="N603" s="25">
        <f t="shared" si="65"/>
        <v>5</v>
      </c>
      <c r="O603" s="24">
        <v>6050</v>
      </c>
      <c r="P603" s="23">
        <f t="shared" si="66"/>
        <v>18</v>
      </c>
      <c r="Q603" s="26"/>
      <c r="R603" s="23">
        <f t="shared" si="67"/>
        <v>0</v>
      </c>
      <c r="S603" s="27" t="s">
        <v>18</v>
      </c>
      <c r="T603" s="19" t="s">
        <v>616</v>
      </c>
    </row>
    <row r="604" spans="1:20" ht="37.5" customHeight="1" x14ac:dyDescent="0.25">
      <c r="A604" s="19" t="s">
        <v>617</v>
      </c>
      <c r="B604">
        <f t="shared" si="68"/>
        <v>17068</v>
      </c>
      <c r="C604">
        <v>3407</v>
      </c>
      <c r="D604">
        <v>13661</v>
      </c>
      <c r="F604">
        <f t="shared" si="63"/>
        <v>558</v>
      </c>
      <c r="G604" s="20">
        <f t="shared" si="69"/>
        <v>599</v>
      </c>
      <c r="H604" s="21">
        <v>66622050633</v>
      </c>
      <c r="I604" s="22">
        <v>741</v>
      </c>
      <c r="J604" s="23"/>
      <c r="K604" s="24">
        <v>16510</v>
      </c>
      <c r="L604" s="23">
        <f t="shared" si="64"/>
        <v>558</v>
      </c>
      <c r="M604" s="24">
        <v>3340</v>
      </c>
      <c r="N604" s="25">
        <f t="shared" si="65"/>
        <v>67</v>
      </c>
      <c r="O604" s="24">
        <v>13170</v>
      </c>
      <c r="P604" s="23">
        <f t="shared" si="66"/>
        <v>491</v>
      </c>
      <c r="Q604" s="26"/>
      <c r="R604" s="23">
        <f t="shared" si="67"/>
        <v>0</v>
      </c>
      <c r="S604" s="27" t="s">
        <v>18</v>
      </c>
      <c r="T604" s="19" t="s">
        <v>617</v>
      </c>
    </row>
    <row r="605" spans="1:20" ht="37.5" customHeight="1" x14ac:dyDescent="0.25">
      <c r="A605" s="19" t="s">
        <v>618</v>
      </c>
      <c r="B605">
        <f t="shared" si="68"/>
        <v>49486</v>
      </c>
      <c r="C605">
        <v>8444</v>
      </c>
      <c r="D605">
        <v>41042</v>
      </c>
      <c r="F605">
        <f t="shared" si="63"/>
        <v>308</v>
      </c>
      <c r="G605" s="20">
        <f t="shared" si="69"/>
        <v>600</v>
      </c>
      <c r="H605" s="21">
        <v>23013080345</v>
      </c>
      <c r="I605" s="22">
        <v>742</v>
      </c>
      <c r="J605" s="23"/>
      <c r="K605" s="24">
        <v>49178</v>
      </c>
      <c r="L605" s="23">
        <f t="shared" si="64"/>
        <v>308</v>
      </c>
      <c r="M605" s="24"/>
      <c r="N605" s="25">
        <f t="shared" si="65"/>
        <v>8444</v>
      </c>
      <c r="O605" s="24"/>
      <c r="P605" s="23">
        <f t="shared" si="66"/>
        <v>41042</v>
      </c>
      <c r="Q605" s="26"/>
      <c r="R605" s="23">
        <f t="shared" si="67"/>
        <v>0</v>
      </c>
      <c r="S605" s="27" t="s">
        <v>18</v>
      </c>
      <c r="T605" s="19" t="s">
        <v>618</v>
      </c>
    </row>
    <row r="606" spans="1:20" ht="37.5" customHeight="1" x14ac:dyDescent="0.25">
      <c r="A606" s="19" t="s">
        <v>619</v>
      </c>
      <c r="B606">
        <f t="shared" si="68"/>
        <v>45428</v>
      </c>
      <c r="C606">
        <v>8287</v>
      </c>
      <c r="D606">
        <v>37141</v>
      </c>
      <c r="F606">
        <f t="shared" si="63"/>
        <v>365</v>
      </c>
      <c r="G606" s="20">
        <f t="shared" si="69"/>
        <v>601</v>
      </c>
      <c r="H606" s="21">
        <v>88820020418</v>
      </c>
      <c r="I606" s="22">
        <v>743</v>
      </c>
      <c r="J606" s="23"/>
      <c r="K606" s="24">
        <v>45063</v>
      </c>
      <c r="L606" s="23">
        <f t="shared" si="64"/>
        <v>365</v>
      </c>
      <c r="M606" s="24">
        <v>8231</v>
      </c>
      <c r="N606" s="25">
        <f t="shared" si="65"/>
        <v>56</v>
      </c>
      <c r="O606" s="24">
        <v>36832</v>
      </c>
      <c r="P606" s="23">
        <f t="shared" si="66"/>
        <v>309</v>
      </c>
      <c r="Q606" s="26"/>
      <c r="R606" s="23">
        <f t="shared" si="67"/>
        <v>0</v>
      </c>
      <c r="S606" s="27" t="s">
        <v>18</v>
      </c>
      <c r="T606" s="19" t="s">
        <v>619</v>
      </c>
    </row>
    <row r="607" spans="1:20" ht="37.5" customHeight="1" x14ac:dyDescent="0.25">
      <c r="A607" s="19" t="s">
        <v>620</v>
      </c>
      <c r="B607">
        <f t="shared" si="68"/>
        <v>61640</v>
      </c>
      <c r="C607">
        <v>10301</v>
      </c>
      <c r="D607">
        <v>51339</v>
      </c>
      <c r="F607">
        <f t="shared" si="63"/>
        <v>200</v>
      </c>
      <c r="G607" s="20">
        <f t="shared" si="69"/>
        <v>602</v>
      </c>
      <c r="H607" s="21">
        <v>23013010056</v>
      </c>
      <c r="I607" s="22">
        <v>745</v>
      </c>
      <c r="J607" s="23"/>
      <c r="K607" s="24">
        <v>61440</v>
      </c>
      <c r="L607" s="23">
        <f t="shared" si="64"/>
        <v>200</v>
      </c>
      <c r="M607" s="24">
        <v>10267</v>
      </c>
      <c r="N607" s="25">
        <f t="shared" si="65"/>
        <v>34</v>
      </c>
      <c r="O607" s="24">
        <v>51173</v>
      </c>
      <c r="P607" s="23">
        <f t="shared" si="66"/>
        <v>166</v>
      </c>
      <c r="Q607" s="26"/>
      <c r="R607" s="23">
        <f t="shared" si="67"/>
        <v>0</v>
      </c>
      <c r="S607" s="27" t="s">
        <v>18</v>
      </c>
      <c r="T607" s="19" t="s">
        <v>620</v>
      </c>
    </row>
    <row r="608" spans="1:20" ht="37.5" customHeight="1" x14ac:dyDescent="0.25">
      <c r="A608" s="19" t="s">
        <v>621</v>
      </c>
      <c r="B608">
        <f t="shared" si="68"/>
        <v>29437</v>
      </c>
      <c r="C608">
        <v>5093</v>
      </c>
      <c r="D608">
        <v>24344</v>
      </c>
      <c r="F608">
        <f t="shared" si="63"/>
        <v>259</v>
      </c>
      <c r="G608" s="20">
        <f t="shared" si="69"/>
        <v>603</v>
      </c>
      <c r="H608" s="21">
        <v>23014090524</v>
      </c>
      <c r="I608" s="22">
        <v>746</v>
      </c>
      <c r="J608" s="23"/>
      <c r="K608" s="24">
        <v>29178</v>
      </c>
      <c r="L608" s="23">
        <f t="shared" si="64"/>
        <v>259</v>
      </c>
      <c r="M608" s="24">
        <v>5046</v>
      </c>
      <c r="N608" s="25">
        <f t="shared" si="65"/>
        <v>47</v>
      </c>
      <c r="O608" s="24">
        <v>24132</v>
      </c>
      <c r="P608" s="23">
        <f t="shared" si="66"/>
        <v>212</v>
      </c>
      <c r="Q608" s="26"/>
      <c r="R608" s="23">
        <f t="shared" si="67"/>
        <v>0</v>
      </c>
      <c r="S608" s="27" t="s">
        <v>18</v>
      </c>
      <c r="T608" s="19" t="s">
        <v>621</v>
      </c>
    </row>
    <row r="609" spans="1:20" ht="37.5" customHeight="1" x14ac:dyDescent="0.25">
      <c r="A609" s="19" t="s">
        <v>622</v>
      </c>
      <c r="B609">
        <f t="shared" si="68"/>
        <v>30750</v>
      </c>
      <c r="C609">
        <v>4944</v>
      </c>
      <c r="D609">
        <v>25806</v>
      </c>
      <c r="F609">
        <f t="shared" si="63"/>
        <v>415</v>
      </c>
      <c r="G609" s="20">
        <f t="shared" si="69"/>
        <v>604</v>
      </c>
      <c r="H609" s="21">
        <v>88819050330</v>
      </c>
      <c r="I609" s="22">
        <v>747</v>
      </c>
      <c r="J609" s="23"/>
      <c r="K609" s="24">
        <v>30335</v>
      </c>
      <c r="L609" s="23">
        <f t="shared" si="64"/>
        <v>415</v>
      </c>
      <c r="M609" s="24">
        <v>4870</v>
      </c>
      <c r="N609" s="25">
        <f t="shared" si="65"/>
        <v>74</v>
      </c>
      <c r="O609" s="24">
        <v>25465</v>
      </c>
      <c r="P609" s="23">
        <f t="shared" si="66"/>
        <v>341</v>
      </c>
      <c r="Q609" s="26"/>
      <c r="R609" s="23">
        <f t="shared" si="67"/>
        <v>0</v>
      </c>
      <c r="S609" s="27" t="s">
        <v>18</v>
      </c>
      <c r="T609" s="19" t="s">
        <v>622</v>
      </c>
    </row>
    <row r="610" spans="1:20" ht="37.5" customHeight="1" x14ac:dyDescent="0.25">
      <c r="A610" s="19" t="s">
        <v>623</v>
      </c>
      <c r="B610">
        <f t="shared" si="68"/>
        <v>17940</v>
      </c>
      <c r="C610">
        <v>2622</v>
      </c>
      <c r="D610">
        <v>15318</v>
      </c>
      <c r="F610">
        <f t="shared" si="63"/>
        <v>443</v>
      </c>
      <c r="G610" s="20">
        <f t="shared" si="69"/>
        <v>605</v>
      </c>
      <c r="H610" s="21">
        <v>66623010475</v>
      </c>
      <c r="I610" s="22">
        <v>748</v>
      </c>
      <c r="J610" s="23"/>
      <c r="K610" s="24">
        <v>17497</v>
      </c>
      <c r="L610" s="23">
        <f t="shared" si="64"/>
        <v>443</v>
      </c>
      <c r="M610" s="24">
        <v>2546</v>
      </c>
      <c r="N610" s="25">
        <f t="shared" si="65"/>
        <v>76</v>
      </c>
      <c r="O610" s="24">
        <v>14951</v>
      </c>
      <c r="P610" s="23">
        <f t="shared" si="66"/>
        <v>367</v>
      </c>
      <c r="Q610" s="26"/>
      <c r="R610" s="23">
        <f t="shared" si="67"/>
        <v>0</v>
      </c>
      <c r="S610" s="27" t="s">
        <v>18</v>
      </c>
      <c r="T610" s="19" t="s">
        <v>623</v>
      </c>
    </row>
    <row r="611" spans="1:20" ht="37.5" customHeight="1" x14ac:dyDescent="0.25">
      <c r="A611" s="19" t="s">
        <v>624</v>
      </c>
      <c r="B611">
        <f t="shared" si="68"/>
        <v>16663</v>
      </c>
      <c r="C611">
        <v>2717</v>
      </c>
      <c r="D611">
        <v>13946</v>
      </c>
      <c r="F611">
        <f t="shared" si="63"/>
        <v>426</v>
      </c>
      <c r="G611" s="20">
        <f t="shared" si="69"/>
        <v>606</v>
      </c>
      <c r="H611" s="21">
        <v>66622010137</v>
      </c>
      <c r="I611" s="22">
        <v>749</v>
      </c>
      <c r="J611" s="23"/>
      <c r="K611" s="24">
        <v>16237</v>
      </c>
      <c r="L611" s="23">
        <f t="shared" si="64"/>
        <v>426</v>
      </c>
      <c r="M611" s="24">
        <v>2641</v>
      </c>
      <c r="N611" s="25">
        <f t="shared" si="65"/>
        <v>76</v>
      </c>
      <c r="O611" s="24">
        <v>13596</v>
      </c>
      <c r="P611" s="23">
        <f t="shared" si="66"/>
        <v>350</v>
      </c>
      <c r="Q611" s="26"/>
      <c r="R611" s="23">
        <f t="shared" si="67"/>
        <v>0</v>
      </c>
      <c r="S611" s="27" t="s">
        <v>18</v>
      </c>
      <c r="T611" s="19" t="s">
        <v>624</v>
      </c>
    </row>
    <row r="612" spans="1:20" ht="37.5" customHeight="1" x14ac:dyDescent="0.25">
      <c r="A612" s="19" t="s">
        <v>625</v>
      </c>
      <c r="B612">
        <f t="shared" si="68"/>
        <v>29752</v>
      </c>
      <c r="C612">
        <v>4945</v>
      </c>
      <c r="D612">
        <v>24807</v>
      </c>
      <c r="F612">
        <f t="shared" si="63"/>
        <v>215</v>
      </c>
      <c r="G612" s="20">
        <f t="shared" si="69"/>
        <v>607</v>
      </c>
      <c r="H612" s="21">
        <v>66621050316</v>
      </c>
      <c r="I612" s="22">
        <v>750</v>
      </c>
      <c r="J612" s="23"/>
      <c r="K612" s="24">
        <v>29537</v>
      </c>
      <c r="L612" s="23">
        <f t="shared" si="64"/>
        <v>215</v>
      </c>
      <c r="M612" s="24"/>
      <c r="N612" s="25">
        <f t="shared" si="65"/>
        <v>4945</v>
      </c>
      <c r="O612" s="24"/>
      <c r="P612" s="23">
        <f t="shared" si="66"/>
        <v>24807</v>
      </c>
      <c r="Q612" s="26"/>
      <c r="R612" s="23">
        <f t="shared" si="67"/>
        <v>0</v>
      </c>
      <c r="S612" s="27" t="s">
        <v>18</v>
      </c>
      <c r="T612" s="19" t="s">
        <v>625</v>
      </c>
    </row>
    <row r="613" spans="1:20" ht="37.5" customHeight="1" x14ac:dyDescent="0.25">
      <c r="A613" s="19" t="s">
        <v>626</v>
      </c>
      <c r="B613">
        <f t="shared" si="68"/>
        <v>91963</v>
      </c>
      <c r="C613">
        <v>24195</v>
      </c>
      <c r="D613">
        <v>67768</v>
      </c>
      <c r="F613">
        <f t="shared" si="63"/>
        <v>450</v>
      </c>
      <c r="G613" s="20">
        <f t="shared" si="69"/>
        <v>608</v>
      </c>
      <c r="H613" s="21">
        <v>23010050099</v>
      </c>
      <c r="I613" s="22">
        <v>751</v>
      </c>
      <c r="J613" s="23"/>
      <c r="K613" s="24">
        <v>91513</v>
      </c>
      <c r="L613" s="23">
        <f t="shared" si="64"/>
        <v>450</v>
      </c>
      <c r="M613" s="24">
        <v>24121</v>
      </c>
      <c r="N613" s="25">
        <f t="shared" si="65"/>
        <v>74</v>
      </c>
      <c r="O613" s="24">
        <v>67392</v>
      </c>
      <c r="P613" s="23">
        <f t="shared" si="66"/>
        <v>376</v>
      </c>
      <c r="Q613" s="26"/>
      <c r="R613" s="23">
        <f t="shared" si="67"/>
        <v>0</v>
      </c>
      <c r="S613" s="27" t="s">
        <v>18</v>
      </c>
      <c r="T613" s="19" t="s">
        <v>626</v>
      </c>
    </row>
    <row r="614" spans="1:20" ht="37.5" customHeight="1" x14ac:dyDescent="0.25">
      <c r="A614" s="19" t="s">
        <v>627</v>
      </c>
      <c r="B614">
        <f t="shared" si="68"/>
        <v>16495</v>
      </c>
      <c r="C614">
        <v>2845</v>
      </c>
      <c r="D614">
        <v>13650</v>
      </c>
      <c r="F614">
        <f t="shared" si="63"/>
        <v>225</v>
      </c>
      <c r="G614" s="20">
        <f t="shared" si="69"/>
        <v>609</v>
      </c>
      <c r="H614" s="21">
        <v>66621070439</v>
      </c>
      <c r="I614" s="22">
        <v>752</v>
      </c>
      <c r="J614" s="23"/>
      <c r="K614" s="24">
        <v>16270</v>
      </c>
      <c r="L614" s="23">
        <f t="shared" si="64"/>
        <v>225</v>
      </c>
      <c r="M614" s="24"/>
      <c r="N614" s="25">
        <f t="shared" si="65"/>
        <v>2845</v>
      </c>
      <c r="O614" s="24"/>
      <c r="P614" s="23">
        <f t="shared" si="66"/>
        <v>13650</v>
      </c>
      <c r="Q614" s="26"/>
      <c r="R614" s="23">
        <f t="shared" si="67"/>
        <v>0</v>
      </c>
      <c r="S614" s="27" t="s">
        <v>18</v>
      </c>
      <c r="T614" s="19" t="s">
        <v>627</v>
      </c>
    </row>
    <row r="615" spans="1:20" ht="37.5" customHeight="1" x14ac:dyDescent="0.25">
      <c r="A615" s="19" t="s">
        <v>628</v>
      </c>
      <c r="B615">
        <f t="shared" si="68"/>
        <v>18297</v>
      </c>
      <c r="C615">
        <v>4651</v>
      </c>
      <c r="D615">
        <v>13646</v>
      </c>
      <c r="E615">
        <v>15052</v>
      </c>
      <c r="F615">
        <f t="shared" si="63"/>
        <v>685</v>
      </c>
      <c r="G615" s="20">
        <f t="shared" si="69"/>
        <v>610</v>
      </c>
      <c r="H615" s="21">
        <v>99303000038</v>
      </c>
      <c r="I615" s="22">
        <v>753</v>
      </c>
      <c r="J615" s="23"/>
      <c r="K615" s="24">
        <f>M615+O615</f>
        <v>17612</v>
      </c>
      <c r="L615" s="23">
        <f t="shared" si="64"/>
        <v>685</v>
      </c>
      <c r="M615" s="24">
        <v>4464</v>
      </c>
      <c r="N615" s="25">
        <f t="shared" si="65"/>
        <v>187</v>
      </c>
      <c r="O615" s="24">
        <v>13148</v>
      </c>
      <c r="P615" s="23">
        <f t="shared" si="66"/>
        <v>498</v>
      </c>
      <c r="Q615" s="26">
        <v>14061</v>
      </c>
      <c r="R615" s="23">
        <f t="shared" si="67"/>
        <v>991</v>
      </c>
      <c r="S615" s="27" t="s">
        <v>18</v>
      </c>
      <c r="T615" s="19" t="s">
        <v>628</v>
      </c>
    </row>
    <row r="616" spans="1:20" ht="37.5" customHeight="1" x14ac:dyDescent="0.25">
      <c r="A616" s="19" t="s">
        <v>629</v>
      </c>
      <c r="B616">
        <f t="shared" si="68"/>
        <v>1682</v>
      </c>
      <c r="C616">
        <v>350</v>
      </c>
      <c r="D616">
        <v>1332</v>
      </c>
      <c r="E616">
        <v>2001</v>
      </c>
      <c r="F616">
        <f t="shared" si="63"/>
        <v>369</v>
      </c>
      <c r="G616" s="20">
        <f t="shared" si="69"/>
        <v>611</v>
      </c>
      <c r="H616" s="21">
        <v>99624040362</v>
      </c>
      <c r="I616" s="22">
        <v>755</v>
      </c>
      <c r="J616" s="23"/>
      <c r="K616" s="24">
        <f>M616+O616</f>
        <v>1313</v>
      </c>
      <c r="L616" s="23">
        <f t="shared" si="64"/>
        <v>369</v>
      </c>
      <c r="M616" s="24">
        <v>289</v>
      </c>
      <c r="N616" s="25">
        <f t="shared" si="65"/>
        <v>61</v>
      </c>
      <c r="O616" s="24">
        <v>1024</v>
      </c>
      <c r="P616" s="23">
        <f t="shared" si="66"/>
        <v>308</v>
      </c>
      <c r="Q616" s="26">
        <v>1539</v>
      </c>
      <c r="R616" s="23">
        <f t="shared" si="67"/>
        <v>462</v>
      </c>
      <c r="S616" s="27" t="s">
        <v>18</v>
      </c>
      <c r="T616" s="19" t="s">
        <v>629</v>
      </c>
    </row>
    <row r="617" spans="1:20" ht="37.5" customHeight="1" x14ac:dyDescent="0.25">
      <c r="A617" s="19" t="s">
        <v>630</v>
      </c>
      <c r="B617">
        <f t="shared" si="68"/>
        <v>33927</v>
      </c>
      <c r="C617">
        <v>6163</v>
      </c>
      <c r="D617">
        <v>27764</v>
      </c>
      <c r="F617">
        <f t="shared" si="63"/>
        <v>355</v>
      </c>
      <c r="G617" s="20">
        <f t="shared" si="69"/>
        <v>612</v>
      </c>
      <c r="H617" s="21">
        <v>66616031058</v>
      </c>
      <c r="I617" s="22">
        <v>757</v>
      </c>
      <c r="J617" s="23"/>
      <c r="K617" s="24">
        <v>33572</v>
      </c>
      <c r="L617" s="23">
        <f t="shared" si="64"/>
        <v>355</v>
      </c>
      <c r="M617" s="24">
        <v>6093</v>
      </c>
      <c r="N617" s="25">
        <f t="shared" si="65"/>
        <v>70</v>
      </c>
      <c r="O617" s="24">
        <v>27479</v>
      </c>
      <c r="P617" s="23">
        <f t="shared" si="66"/>
        <v>285</v>
      </c>
      <c r="Q617" s="26"/>
      <c r="R617" s="23">
        <f t="shared" si="67"/>
        <v>0</v>
      </c>
      <c r="S617" s="27" t="s">
        <v>18</v>
      </c>
      <c r="T617" s="19" t="s">
        <v>630</v>
      </c>
    </row>
    <row r="618" spans="1:20" ht="37.5" customHeight="1" x14ac:dyDescent="0.25">
      <c r="A618" s="19" t="s">
        <v>631</v>
      </c>
      <c r="B618">
        <f t="shared" si="68"/>
        <v>751</v>
      </c>
      <c r="C618">
        <v>59</v>
      </c>
      <c r="D618">
        <v>692</v>
      </c>
      <c r="F618">
        <f t="shared" si="63"/>
        <v>10</v>
      </c>
      <c r="G618" s="20">
        <f t="shared" si="69"/>
        <v>613</v>
      </c>
      <c r="H618" s="21">
        <v>66623030384</v>
      </c>
      <c r="I618" s="22">
        <v>758</v>
      </c>
      <c r="J618" s="23"/>
      <c r="K618" s="24">
        <v>741</v>
      </c>
      <c r="L618" s="23">
        <f t="shared" si="64"/>
        <v>10</v>
      </c>
      <c r="M618" s="24">
        <v>57</v>
      </c>
      <c r="N618" s="25">
        <f t="shared" si="65"/>
        <v>2</v>
      </c>
      <c r="O618" s="24">
        <v>684</v>
      </c>
      <c r="P618" s="23">
        <f t="shared" si="66"/>
        <v>8</v>
      </c>
      <c r="Q618" s="26"/>
      <c r="R618" s="23">
        <f t="shared" si="67"/>
        <v>0</v>
      </c>
      <c r="S618" s="27" t="s">
        <v>18</v>
      </c>
      <c r="T618" s="19" t="s">
        <v>631</v>
      </c>
    </row>
    <row r="619" spans="1:20" ht="37.5" customHeight="1" x14ac:dyDescent="0.25">
      <c r="A619" s="19" t="s">
        <v>632</v>
      </c>
      <c r="B619">
        <f t="shared" si="68"/>
        <v>22227</v>
      </c>
      <c r="C619">
        <v>4932</v>
      </c>
      <c r="D619">
        <v>17295</v>
      </c>
      <c r="E619">
        <v>12710</v>
      </c>
      <c r="F619">
        <f t="shared" si="63"/>
        <v>552</v>
      </c>
      <c r="G619" s="20">
        <f t="shared" si="69"/>
        <v>614</v>
      </c>
      <c r="H619" s="21">
        <v>99622050052</v>
      </c>
      <c r="I619" s="22">
        <v>805</v>
      </c>
      <c r="J619" s="23"/>
      <c r="K619" s="24">
        <f>M619+O619</f>
        <v>21675</v>
      </c>
      <c r="L619" s="23">
        <f t="shared" si="64"/>
        <v>552</v>
      </c>
      <c r="M619" s="24">
        <v>4764</v>
      </c>
      <c r="N619" s="25">
        <f t="shared" si="65"/>
        <v>168</v>
      </c>
      <c r="O619" s="24">
        <v>16911</v>
      </c>
      <c r="P619" s="23">
        <f t="shared" si="66"/>
        <v>384</v>
      </c>
      <c r="Q619" s="26">
        <v>12037</v>
      </c>
      <c r="R619" s="23">
        <f t="shared" si="67"/>
        <v>673</v>
      </c>
      <c r="S619" s="27" t="s">
        <v>18</v>
      </c>
      <c r="T619" s="19" t="s">
        <v>632</v>
      </c>
    </row>
    <row r="620" spans="1:20" ht="37.5" customHeight="1" x14ac:dyDescent="0.25">
      <c r="A620" s="19" t="s">
        <v>633</v>
      </c>
      <c r="B620">
        <f t="shared" si="68"/>
        <v>40732</v>
      </c>
      <c r="C620">
        <v>7185</v>
      </c>
      <c r="D620">
        <v>33547</v>
      </c>
      <c r="F620">
        <f t="shared" si="63"/>
        <v>286</v>
      </c>
      <c r="G620" s="20">
        <f t="shared" si="69"/>
        <v>615</v>
      </c>
      <c r="H620" s="21">
        <v>88818020142</v>
      </c>
      <c r="I620" s="22">
        <v>806</v>
      </c>
      <c r="J620" s="23"/>
      <c r="K620" s="24">
        <v>40446</v>
      </c>
      <c r="L620" s="23">
        <f t="shared" si="64"/>
        <v>286</v>
      </c>
      <c r="M620" s="24">
        <v>7123</v>
      </c>
      <c r="N620" s="25">
        <f t="shared" si="65"/>
        <v>62</v>
      </c>
      <c r="O620" s="24">
        <v>33323</v>
      </c>
      <c r="P620" s="23">
        <f t="shared" si="66"/>
        <v>224</v>
      </c>
      <c r="Q620" s="26"/>
      <c r="R620" s="23">
        <f t="shared" si="67"/>
        <v>0</v>
      </c>
      <c r="S620" s="27" t="s">
        <v>18</v>
      </c>
      <c r="T620" s="19" t="s">
        <v>633</v>
      </c>
    </row>
    <row r="621" spans="1:20" ht="37.5" customHeight="1" x14ac:dyDescent="0.25">
      <c r="A621" s="19" t="s">
        <v>634</v>
      </c>
      <c r="B621">
        <f t="shared" si="68"/>
        <v>10750</v>
      </c>
      <c r="C621">
        <v>1577</v>
      </c>
      <c r="D621">
        <v>9173</v>
      </c>
      <c r="F621">
        <f t="shared" si="63"/>
        <v>409</v>
      </c>
      <c r="G621" s="20">
        <f t="shared" si="69"/>
        <v>616</v>
      </c>
      <c r="H621" s="21">
        <v>66621100094</v>
      </c>
      <c r="I621" s="22">
        <v>807</v>
      </c>
      <c r="J621" s="23"/>
      <c r="K621" s="24">
        <v>10341</v>
      </c>
      <c r="L621" s="23">
        <f t="shared" si="64"/>
        <v>409</v>
      </c>
      <c r="M621" s="24">
        <v>1518</v>
      </c>
      <c r="N621" s="25">
        <f t="shared" si="65"/>
        <v>59</v>
      </c>
      <c r="O621" s="24">
        <v>8823</v>
      </c>
      <c r="P621" s="23">
        <f t="shared" si="66"/>
        <v>350</v>
      </c>
      <c r="Q621" s="26"/>
      <c r="R621" s="23">
        <f t="shared" si="67"/>
        <v>0</v>
      </c>
      <c r="S621" s="27" t="s">
        <v>18</v>
      </c>
      <c r="T621" s="19" t="s">
        <v>634</v>
      </c>
    </row>
    <row r="622" spans="1:20" ht="37.5" customHeight="1" x14ac:dyDescent="0.25">
      <c r="A622" s="19" t="s">
        <v>635</v>
      </c>
      <c r="B622">
        <f t="shared" si="68"/>
        <v>25135</v>
      </c>
      <c r="C622">
        <v>3087</v>
      </c>
      <c r="D622">
        <v>22048</v>
      </c>
      <c r="F622">
        <f t="shared" si="63"/>
        <v>189</v>
      </c>
      <c r="G622" s="20">
        <f t="shared" si="69"/>
        <v>617</v>
      </c>
      <c r="H622" s="21">
        <v>88820020423</v>
      </c>
      <c r="I622" s="22">
        <v>808</v>
      </c>
      <c r="J622" s="23"/>
      <c r="K622" s="24">
        <v>24946</v>
      </c>
      <c r="L622" s="23">
        <f t="shared" si="64"/>
        <v>189</v>
      </c>
      <c r="M622" s="24">
        <v>3060</v>
      </c>
      <c r="N622" s="25">
        <f t="shared" si="65"/>
        <v>27</v>
      </c>
      <c r="O622" s="24">
        <v>21886</v>
      </c>
      <c r="P622" s="23">
        <f t="shared" si="66"/>
        <v>162</v>
      </c>
      <c r="Q622" s="26"/>
      <c r="R622" s="23">
        <f t="shared" si="67"/>
        <v>0</v>
      </c>
      <c r="S622" s="27" t="s">
        <v>18</v>
      </c>
      <c r="T622" s="19" t="s">
        <v>635</v>
      </c>
    </row>
    <row r="623" spans="1:20" ht="37.5" customHeight="1" x14ac:dyDescent="0.25">
      <c r="A623" s="19" t="s">
        <v>636</v>
      </c>
      <c r="B623">
        <f t="shared" si="68"/>
        <v>6452</v>
      </c>
      <c r="C623">
        <v>1168</v>
      </c>
      <c r="D623">
        <v>5284</v>
      </c>
      <c r="E623">
        <v>10266</v>
      </c>
      <c r="F623">
        <f t="shared" si="63"/>
        <v>291</v>
      </c>
      <c r="G623" s="20">
        <f t="shared" si="69"/>
        <v>618</v>
      </c>
      <c r="H623" s="21">
        <v>99723060043</v>
      </c>
      <c r="I623" s="22">
        <v>809</v>
      </c>
      <c r="J623" s="23"/>
      <c r="K623" s="24">
        <f>M623+O623</f>
        <v>6161</v>
      </c>
      <c r="L623" s="23">
        <f t="shared" si="64"/>
        <v>291</v>
      </c>
      <c r="M623" s="24">
        <v>1114</v>
      </c>
      <c r="N623" s="25">
        <f t="shared" si="65"/>
        <v>54</v>
      </c>
      <c r="O623" s="24">
        <v>5047</v>
      </c>
      <c r="P623" s="23">
        <f t="shared" si="66"/>
        <v>237</v>
      </c>
      <c r="Q623" s="26">
        <v>9593</v>
      </c>
      <c r="R623" s="23">
        <f t="shared" si="67"/>
        <v>673</v>
      </c>
      <c r="S623" s="27" t="s">
        <v>18</v>
      </c>
      <c r="T623" s="19" t="s">
        <v>636</v>
      </c>
    </row>
    <row r="624" spans="1:20" ht="37.5" customHeight="1" x14ac:dyDescent="0.25">
      <c r="A624" s="19" t="s">
        <v>637</v>
      </c>
      <c r="B624">
        <f t="shared" si="68"/>
        <v>61298</v>
      </c>
      <c r="C624">
        <v>10696</v>
      </c>
      <c r="D624">
        <v>50602</v>
      </c>
      <c r="F624">
        <f t="shared" si="63"/>
        <v>226</v>
      </c>
      <c r="G624" s="20">
        <f t="shared" si="69"/>
        <v>619</v>
      </c>
      <c r="H624" s="21">
        <v>23012040037</v>
      </c>
      <c r="I624" s="22">
        <v>810</v>
      </c>
      <c r="J624" s="23"/>
      <c r="K624" s="24">
        <v>61072</v>
      </c>
      <c r="L624" s="23">
        <f t="shared" si="64"/>
        <v>226</v>
      </c>
      <c r="M624" s="24">
        <v>10651</v>
      </c>
      <c r="N624" s="25">
        <f t="shared" si="65"/>
        <v>45</v>
      </c>
      <c r="O624" s="24">
        <v>50421</v>
      </c>
      <c r="P624" s="23">
        <f t="shared" si="66"/>
        <v>181</v>
      </c>
      <c r="Q624" s="26"/>
      <c r="R624" s="23">
        <f t="shared" si="67"/>
        <v>0</v>
      </c>
      <c r="S624" s="27" t="s">
        <v>18</v>
      </c>
      <c r="T624" s="19" t="s">
        <v>637</v>
      </c>
    </row>
    <row r="625" spans="1:20" ht="37.5" customHeight="1" x14ac:dyDescent="0.25">
      <c r="A625" s="19" t="s">
        <v>638</v>
      </c>
      <c r="B625">
        <f t="shared" si="68"/>
        <v>34634</v>
      </c>
      <c r="C625">
        <v>5785</v>
      </c>
      <c r="D625">
        <v>28849</v>
      </c>
      <c r="F625">
        <f t="shared" si="63"/>
        <v>382</v>
      </c>
      <c r="G625" s="20">
        <f t="shared" si="69"/>
        <v>620</v>
      </c>
      <c r="H625" s="21">
        <v>23015100327</v>
      </c>
      <c r="I625" s="22">
        <v>811</v>
      </c>
      <c r="J625" s="23"/>
      <c r="K625" s="24">
        <v>34252</v>
      </c>
      <c r="L625" s="23">
        <f t="shared" si="64"/>
        <v>382</v>
      </c>
      <c r="M625" s="24">
        <v>5719</v>
      </c>
      <c r="N625" s="25">
        <f t="shared" si="65"/>
        <v>66</v>
      </c>
      <c r="O625" s="24">
        <v>28533</v>
      </c>
      <c r="P625" s="23">
        <f t="shared" si="66"/>
        <v>316</v>
      </c>
      <c r="Q625" s="26"/>
      <c r="R625" s="23">
        <f t="shared" si="67"/>
        <v>0</v>
      </c>
      <c r="S625" s="27" t="s">
        <v>18</v>
      </c>
      <c r="T625" s="19" t="s">
        <v>638</v>
      </c>
    </row>
    <row r="626" spans="1:20" ht="37.5" customHeight="1" x14ac:dyDescent="0.25">
      <c r="A626" s="19" t="s">
        <v>639</v>
      </c>
      <c r="B626">
        <f t="shared" si="68"/>
        <v>55453</v>
      </c>
      <c r="C626">
        <v>9862</v>
      </c>
      <c r="D626">
        <v>45591</v>
      </c>
      <c r="F626">
        <f t="shared" si="63"/>
        <v>583</v>
      </c>
      <c r="G626" s="20">
        <f t="shared" si="69"/>
        <v>621</v>
      </c>
      <c r="H626" s="21">
        <v>66617020488</v>
      </c>
      <c r="I626" s="22">
        <v>812</v>
      </c>
      <c r="J626" s="23"/>
      <c r="K626" s="24">
        <v>54870</v>
      </c>
      <c r="L626" s="23">
        <f t="shared" si="64"/>
        <v>583</v>
      </c>
      <c r="M626" s="24">
        <v>9752</v>
      </c>
      <c r="N626" s="25">
        <f t="shared" si="65"/>
        <v>110</v>
      </c>
      <c r="O626" s="24">
        <v>45118</v>
      </c>
      <c r="P626" s="23">
        <f t="shared" si="66"/>
        <v>473</v>
      </c>
      <c r="Q626" s="26"/>
      <c r="R626" s="23">
        <f t="shared" si="67"/>
        <v>0</v>
      </c>
      <c r="S626" s="27" t="s">
        <v>18</v>
      </c>
      <c r="T626" s="19" t="s">
        <v>639</v>
      </c>
    </row>
    <row r="627" spans="1:20" ht="37.5" customHeight="1" x14ac:dyDescent="0.25">
      <c r="A627" s="19" t="s">
        <v>640</v>
      </c>
      <c r="B627">
        <f t="shared" si="68"/>
        <v>65860</v>
      </c>
      <c r="C627">
        <v>13198</v>
      </c>
      <c r="D627">
        <v>52662</v>
      </c>
      <c r="F627">
        <f t="shared" si="63"/>
        <v>389</v>
      </c>
      <c r="G627" s="20">
        <f t="shared" si="69"/>
        <v>622</v>
      </c>
      <c r="H627" s="21">
        <v>23015010692</v>
      </c>
      <c r="I627" s="22">
        <v>813</v>
      </c>
      <c r="J627" s="23"/>
      <c r="K627" s="24">
        <v>65471</v>
      </c>
      <c r="L627" s="23">
        <f t="shared" si="64"/>
        <v>389</v>
      </c>
      <c r="M627" s="24">
        <v>13098</v>
      </c>
      <c r="N627" s="25">
        <f t="shared" si="65"/>
        <v>100</v>
      </c>
      <c r="O627" s="24">
        <v>52373</v>
      </c>
      <c r="P627" s="23">
        <f t="shared" si="66"/>
        <v>289</v>
      </c>
      <c r="Q627" s="26"/>
      <c r="R627" s="23">
        <f t="shared" si="67"/>
        <v>0</v>
      </c>
      <c r="S627" s="27" t="s">
        <v>18</v>
      </c>
      <c r="T627" s="19" t="s">
        <v>640</v>
      </c>
    </row>
    <row r="628" spans="1:20" ht="37.5" customHeight="1" x14ac:dyDescent="0.25">
      <c r="A628" s="19" t="s">
        <v>641</v>
      </c>
      <c r="B628">
        <f t="shared" si="68"/>
        <v>38386</v>
      </c>
      <c r="C628">
        <v>6376</v>
      </c>
      <c r="D628">
        <v>32010</v>
      </c>
      <c r="F628">
        <f t="shared" si="63"/>
        <v>293</v>
      </c>
      <c r="G628" s="20">
        <f t="shared" si="69"/>
        <v>623</v>
      </c>
      <c r="H628" s="21">
        <v>88818020001</v>
      </c>
      <c r="I628" s="22">
        <v>814</v>
      </c>
      <c r="J628" s="23"/>
      <c r="K628" s="24">
        <v>38093</v>
      </c>
      <c r="L628" s="23">
        <f t="shared" si="64"/>
        <v>293</v>
      </c>
      <c r="M628" s="24">
        <v>6332</v>
      </c>
      <c r="N628" s="25">
        <f t="shared" si="65"/>
        <v>44</v>
      </c>
      <c r="O628" s="24">
        <v>31761</v>
      </c>
      <c r="P628" s="23">
        <f t="shared" si="66"/>
        <v>249</v>
      </c>
      <c r="Q628" s="26"/>
      <c r="R628" s="23">
        <f t="shared" si="67"/>
        <v>0</v>
      </c>
      <c r="S628" s="27" t="s">
        <v>18</v>
      </c>
      <c r="T628" s="19" t="s">
        <v>641</v>
      </c>
    </row>
    <row r="629" spans="1:20" ht="37.5" customHeight="1" x14ac:dyDescent="0.25">
      <c r="A629" s="19" t="s">
        <v>642</v>
      </c>
      <c r="B629">
        <f t="shared" si="68"/>
        <v>11176</v>
      </c>
      <c r="C629">
        <v>2138</v>
      </c>
      <c r="D629">
        <v>9038</v>
      </c>
      <c r="F629">
        <f t="shared" si="63"/>
        <v>265</v>
      </c>
      <c r="G629" s="20">
        <f t="shared" si="69"/>
        <v>624</v>
      </c>
      <c r="H629" s="21">
        <v>88818010223</v>
      </c>
      <c r="I629" s="22">
        <v>815</v>
      </c>
      <c r="J629" s="23"/>
      <c r="K629" s="24">
        <v>10911</v>
      </c>
      <c r="L629" s="23">
        <f t="shared" si="64"/>
        <v>265</v>
      </c>
      <c r="M629" s="24">
        <v>2091</v>
      </c>
      <c r="N629" s="25">
        <f t="shared" si="65"/>
        <v>47</v>
      </c>
      <c r="O629" s="24">
        <v>8820</v>
      </c>
      <c r="P629" s="23">
        <f t="shared" si="66"/>
        <v>218</v>
      </c>
      <c r="Q629" s="26"/>
      <c r="R629" s="23">
        <f t="shared" si="67"/>
        <v>0</v>
      </c>
      <c r="S629" s="27" t="s">
        <v>18</v>
      </c>
      <c r="T629" s="19" t="s">
        <v>642</v>
      </c>
    </row>
    <row r="630" spans="1:20" ht="37.5" customHeight="1" x14ac:dyDescent="0.25">
      <c r="A630" s="19" t="s">
        <v>643</v>
      </c>
      <c r="B630">
        <f t="shared" si="68"/>
        <v>4795</v>
      </c>
      <c r="C630">
        <v>627</v>
      </c>
      <c r="D630">
        <v>4168</v>
      </c>
      <c r="F630">
        <f t="shared" si="63"/>
        <v>2</v>
      </c>
      <c r="G630" s="20">
        <f t="shared" si="69"/>
        <v>625</v>
      </c>
      <c r="H630" s="21">
        <v>66622040462</v>
      </c>
      <c r="I630" s="22">
        <v>816</v>
      </c>
      <c r="J630" s="23"/>
      <c r="K630" s="24">
        <v>4793</v>
      </c>
      <c r="L630" s="23">
        <f t="shared" si="64"/>
        <v>2</v>
      </c>
      <c r="M630" s="24">
        <v>627</v>
      </c>
      <c r="N630" s="25">
        <f t="shared" si="65"/>
        <v>0</v>
      </c>
      <c r="O630" s="24">
        <v>4166</v>
      </c>
      <c r="P630" s="23">
        <f t="shared" si="66"/>
        <v>2</v>
      </c>
      <c r="Q630" s="26"/>
      <c r="R630" s="23">
        <f t="shared" si="67"/>
        <v>0</v>
      </c>
      <c r="S630" s="27" t="s">
        <v>18</v>
      </c>
      <c r="T630" s="19" t="s">
        <v>643</v>
      </c>
    </row>
    <row r="631" spans="1:20" ht="37.5" customHeight="1" x14ac:dyDescent="0.25">
      <c r="A631" s="19" t="s">
        <v>644</v>
      </c>
      <c r="B631">
        <f t="shared" si="68"/>
        <v>7502</v>
      </c>
      <c r="C631">
        <v>1251</v>
      </c>
      <c r="D631">
        <v>6251</v>
      </c>
      <c r="F631">
        <f t="shared" si="63"/>
        <v>177</v>
      </c>
      <c r="G631" s="20">
        <f t="shared" si="69"/>
        <v>626</v>
      </c>
      <c r="H631" s="21">
        <v>66622010262</v>
      </c>
      <c r="I631" s="22">
        <v>817</v>
      </c>
      <c r="J631" s="23"/>
      <c r="K631" s="24">
        <v>7325</v>
      </c>
      <c r="L631" s="23">
        <f t="shared" si="64"/>
        <v>177</v>
      </c>
      <c r="M631" s="24">
        <v>1222</v>
      </c>
      <c r="N631" s="25">
        <f t="shared" si="65"/>
        <v>29</v>
      </c>
      <c r="O631" s="24">
        <v>6103</v>
      </c>
      <c r="P631" s="23">
        <f t="shared" si="66"/>
        <v>148</v>
      </c>
      <c r="Q631" s="26"/>
      <c r="R631" s="23">
        <f t="shared" si="67"/>
        <v>0</v>
      </c>
      <c r="S631" s="27" t="s">
        <v>18</v>
      </c>
      <c r="T631" s="19" t="s">
        <v>644</v>
      </c>
    </row>
    <row r="632" spans="1:20" ht="37.5" customHeight="1" x14ac:dyDescent="0.25">
      <c r="A632" s="19" t="s">
        <v>645</v>
      </c>
      <c r="B632">
        <f t="shared" si="68"/>
        <v>24750</v>
      </c>
      <c r="C632">
        <v>3891</v>
      </c>
      <c r="D632">
        <v>20859</v>
      </c>
      <c r="F632">
        <f t="shared" si="63"/>
        <v>514</v>
      </c>
      <c r="G632" s="20">
        <f t="shared" si="69"/>
        <v>627</v>
      </c>
      <c r="H632" s="21">
        <v>88818030036</v>
      </c>
      <c r="I632" s="22">
        <v>818</v>
      </c>
      <c r="J632" s="23"/>
      <c r="K632" s="24">
        <v>24236</v>
      </c>
      <c r="L632" s="23">
        <f t="shared" si="64"/>
        <v>514</v>
      </c>
      <c r="M632" s="24">
        <v>3805</v>
      </c>
      <c r="N632" s="25">
        <f t="shared" si="65"/>
        <v>86</v>
      </c>
      <c r="O632" s="24">
        <v>20431</v>
      </c>
      <c r="P632" s="23">
        <f t="shared" si="66"/>
        <v>428</v>
      </c>
      <c r="Q632" s="26"/>
      <c r="R632" s="23">
        <f t="shared" si="67"/>
        <v>0</v>
      </c>
      <c r="S632" s="27" t="s">
        <v>18</v>
      </c>
      <c r="T632" s="19" t="s">
        <v>645</v>
      </c>
    </row>
    <row r="633" spans="1:20" ht="37.5" customHeight="1" x14ac:dyDescent="0.25">
      <c r="A633" s="19" t="s">
        <v>646</v>
      </c>
      <c r="B633">
        <f t="shared" si="68"/>
        <v>12565</v>
      </c>
      <c r="C633">
        <v>2211</v>
      </c>
      <c r="D633">
        <v>10354</v>
      </c>
      <c r="F633">
        <f t="shared" si="63"/>
        <v>352</v>
      </c>
      <c r="G633" s="20">
        <f t="shared" si="69"/>
        <v>628</v>
      </c>
      <c r="H633" s="21">
        <v>88821020118</v>
      </c>
      <c r="I633" s="22">
        <v>819</v>
      </c>
      <c r="J633" s="23"/>
      <c r="K633" s="24">
        <v>12213</v>
      </c>
      <c r="L633" s="23">
        <f t="shared" si="64"/>
        <v>352</v>
      </c>
      <c r="M633" s="24">
        <v>2164</v>
      </c>
      <c r="N633" s="25">
        <f t="shared" si="65"/>
        <v>47</v>
      </c>
      <c r="O633" s="24">
        <v>10049</v>
      </c>
      <c r="P633" s="23">
        <f t="shared" si="66"/>
        <v>305</v>
      </c>
      <c r="Q633" s="26"/>
      <c r="R633" s="23">
        <f t="shared" si="67"/>
        <v>0</v>
      </c>
      <c r="S633" s="27" t="s">
        <v>18</v>
      </c>
      <c r="T633" s="19" t="s">
        <v>646</v>
      </c>
    </row>
    <row r="634" spans="1:20" ht="37.5" customHeight="1" x14ac:dyDescent="0.25">
      <c r="A634" s="19" t="s">
        <v>647</v>
      </c>
      <c r="B634">
        <f t="shared" si="68"/>
        <v>43210</v>
      </c>
      <c r="C634">
        <v>7505</v>
      </c>
      <c r="D634">
        <v>35705</v>
      </c>
      <c r="F634">
        <f t="shared" si="63"/>
        <v>274</v>
      </c>
      <c r="G634" s="20">
        <f t="shared" si="69"/>
        <v>629</v>
      </c>
      <c r="H634" s="21">
        <v>23012010105</v>
      </c>
      <c r="I634" s="22">
        <v>820</v>
      </c>
      <c r="J634" s="23"/>
      <c r="K634" s="24">
        <v>42936</v>
      </c>
      <c r="L634" s="23">
        <f t="shared" si="64"/>
        <v>274</v>
      </c>
      <c r="M634" s="24">
        <v>7466</v>
      </c>
      <c r="N634" s="25">
        <f t="shared" si="65"/>
        <v>39</v>
      </c>
      <c r="O634" s="24">
        <v>35470</v>
      </c>
      <c r="P634" s="23">
        <f t="shared" si="66"/>
        <v>235</v>
      </c>
      <c r="Q634" s="26"/>
      <c r="R634" s="23">
        <f t="shared" si="67"/>
        <v>0</v>
      </c>
      <c r="S634" s="27" t="s">
        <v>18</v>
      </c>
      <c r="T634" s="19" t="s">
        <v>647</v>
      </c>
    </row>
    <row r="635" spans="1:20" ht="37.5" customHeight="1" x14ac:dyDescent="0.25">
      <c r="A635" s="19" t="s">
        <v>648</v>
      </c>
      <c r="B635">
        <f t="shared" si="68"/>
        <v>30216</v>
      </c>
      <c r="C635">
        <v>5076</v>
      </c>
      <c r="D635">
        <v>25140</v>
      </c>
      <c r="F635">
        <f t="shared" si="63"/>
        <v>217</v>
      </c>
      <c r="G635" s="20">
        <f t="shared" si="69"/>
        <v>630</v>
      </c>
      <c r="H635" s="21">
        <v>88819030218</v>
      </c>
      <c r="I635" s="22">
        <v>821</v>
      </c>
      <c r="J635" s="23"/>
      <c r="K635" s="24">
        <v>29999</v>
      </c>
      <c r="L635" s="23">
        <f t="shared" si="64"/>
        <v>217</v>
      </c>
      <c r="M635" s="24">
        <v>5038</v>
      </c>
      <c r="N635" s="25">
        <f t="shared" si="65"/>
        <v>38</v>
      </c>
      <c r="O635" s="24">
        <v>24961</v>
      </c>
      <c r="P635" s="23">
        <f t="shared" si="66"/>
        <v>179</v>
      </c>
      <c r="Q635" s="26"/>
      <c r="R635" s="23">
        <f t="shared" si="67"/>
        <v>0</v>
      </c>
      <c r="S635" s="27" t="s">
        <v>18</v>
      </c>
      <c r="T635" s="19" t="s">
        <v>648</v>
      </c>
    </row>
    <row r="636" spans="1:20" ht="37.5" customHeight="1" x14ac:dyDescent="0.25">
      <c r="A636" s="19" t="s">
        <v>649</v>
      </c>
      <c r="B636">
        <f t="shared" si="68"/>
        <v>5722</v>
      </c>
      <c r="C636">
        <v>1072</v>
      </c>
      <c r="D636">
        <v>4650</v>
      </c>
      <c r="E636">
        <v>8500</v>
      </c>
      <c r="F636">
        <f t="shared" si="63"/>
        <v>307</v>
      </c>
      <c r="G636" s="20">
        <f t="shared" si="69"/>
        <v>631</v>
      </c>
      <c r="H636" s="21">
        <v>99623080491</v>
      </c>
      <c r="I636" s="22">
        <v>823</v>
      </c>
      <c r="J636" s="23"/>
      <c r="K636" s="24">
        <f>M636+O636</f>
        <v>5415</v>
      </c>
      <c r="L636" s="23">
        <f t="shared" si="64"/>
        <v>307</v>
      </c>
      <c r="M636" s="24">
        <v>996</v>
      </c>
      <c r="N636" s="25">
        <f t="shared" si="65"/>
        <v>76</v>
      </c>
      <c r="O636" s="24">
        <v>4419</v>
      </c>
      <c r="P636" s="23">
        <f t="shared" si="66"/>
        <v>231</v>
      </c>
      <c r="Q636" s="26">
        <v>7626</v>
      </c>
      <c r="R636" s="23">
        <f t="shared" si="67"/>
        <v>874</v>
      </c>
      <c r="S636" s="27" t="s">
        <v>18</v>
      </c>
      <c r="T636" s="19" t="s">
        <v>649</v>
      </c>
    </row>
    <row r="637" spans="1:20" ht="37.5" customHeight="1" x14ac:dyDescent="0.25">
      <c r="A637" s="19" t="s">
        <v>650</v>
      </c>
      <c r="B637">
        <f t="shared" si="68"/>
        <v>11615</v>
      </c>
      <c r="C637">
        <v>2086</v>
      </c>
      <c r="D637">
        <v>9529</v>
      </c>
      <c r="F637">
        <f t="shared" si="63"/>
        <v>180</v>
      </c>
      <c r="G637" s="20">
        <f t="shared" si="69"/>
        <v>632</v>
      </c>
      <c r="H637" s="21">
        <v>88820010013</v>
      </c>
      <c r="I637" s="22">
        <v>824</v>
      </c>
      <c r="J637" s="23"/>
      <c r="K637" s="24">
        <v>11435</v>
      </c>
      <c r="L637" s="23">
        <f t="shared" si="64"/>
        <v>180</v>
      </c>
      <c r="M637" s="24">
        <v>2032</v>
      </c>
      <c r="N637" s="25">
        <f t="shared" si="65"/>
        <v>54</v>
      </c>
      <c r="O637" s="24">
        <v>9403</v>
      </c>
      <c r="P637" s="23">
        <f t="shared" si="66"/>
        <v>126</v>
      </c>
      <c r="Q637" s="26"/>
      <c r="R637" s="23">
        <f t="shared" si="67"/>
        <v>0</v>
      </c>
      <c r="S637" s="27" t="s">
        <v>18</v>
      </c>
      <c r="T637" s="19" t="s">
        <v>650</v>
      </c>
    </row>
    <row r="638" spans="1:20" ht="37.5" customHeight="1" x14ac:dyDescent="0.25">
      <c r="A638" s="19" t="s">
        <v>651</v>
      </c>
      <c r="B638">
        <f t="shared" si="68"/>
        <v>42347</v>
      </c>
      <c r="C638">
        <v>7012</v>
      </c>
      <c r="D638">
        <v>35335</v>
      </c>
      <c r="F638">
        <f t="shared" si="63"/>
        <v>849</v>
      </c>
      <c r="G638" s="20">
        <f t="shared" si="69"/>
        <v>633</v>
      </c>
      <c r="H638" s="21">
        <v>88819020066</v>
      </c>
      <c r="I638" s="22">
        <v>882</v>
      </c>
      <c r="J638" s="23"/>
      <c r="K638" s="24">
        <v>41498</v>
      </c>
      <c r="L638" s="23">
        <f t="shared" si="64"/>
        <v>849</v>
      </c>
      <c r="M638" s="24">
        <v>6881</v>
      </c>
      <c r="N638" s="25">
        <f t="shared" si="65"/>
        <v>131</v>
      </c>
      <c r="O638" s="24">
        <v>34617</v>
      </c>
      <c r="P638" s="23">
        <f t="shared" si="66"/>
        <v>718</v>
      </c>
      <c r="Q638" s="26"/>
      <c r="R638" s="23">
        <f t="shared" si="67"/>
        <v>0</v>
      </c>
      <c r="S638" s="27" t="s">
        <v>18</v>
      </c>
      <c r="T638" s="19" t="s">
        <v>651</v>
      </c>
    </row>
    <row r="639" spans="1:20" ht="37.5" customHeight="1" x14ac:dyDescent="0.25">
      <c r="A639" s="19" t="s">
        <v>652</v>
      </c>
      <c r="B639">
        <f t="shared" si="68"/>
        <v>746</v>
      </c>
      <c r="C639">
        <v>201</v>
      </c>
      <c r="D639">
        <v>545</v>
      </c>
      <c r="E639">
        <v>1818</v>
      </c>
      <c r="F639">
        <f t="shared" si="63"/>
        <v>344</v>
      </c>
      <c r="G639" s="20">
        <f t="shared" si="69"/>
        <v>634</v>
      </c>
      <c r="H639" s="21">
        <v>99624050235</v>
      </c>
      <c r="I639" s="22">
        <v>883</v>
      </c>
      <c r="J639" s="23"/>
      <c r="K639" s="24">
        <f>M639+O639</f>
        <v>402</v>
      </c>
      <c r="L639" s="23">
        <f t="shared" si="64"/>
        <v>344</v>
      </c>
      <c r="M639" s="24">
        <v>109</v>
      </c>
      <c r="N639" s="25">
        <f t="shared" si="65"/>
        <v>92</v>
      </c>
      <c r="O639" s="24">
        <v>293</v>
      </c>
      <c r="P639" s="23">
        <f t="shared" si="66"/>
        <v>252</v>
      </c>
      <c r="Q639" s="26">
        <v>1105</v>
      </c>
      <c r="R639" s="23">
        <f t="shared" si="67"/>
        <v>713</v>
      </c>
      <c r="S639" s="27" t="s">
        <v>18</v>
      </c>
      <c r="T639" s="19" t="s">
        <v>652</v>
      </c>
    </row>
    <row r="640" spans="1:20" ht="37.5" customHeight="1" x14ac:dyDescent="0.25">
      <c r="A640" s="19" t="s">
        <v>653</v>
      </c>
      <c r="B640">
        <f t="shared" si="68"/>
        <v>30351</v>
      </c>
      <c r="C640">
        <v>4885</v>
      </c>
      <c r="D640">
        <v>25466</v>
      </c>
      <c r="F640">
        <f t="shared" si="63"/>
        <v>269</v>
      </c>
      <c r="G640" s="20">
        <f t="shared" si="69"/>
        <v>635</v>
      </c>
      <c r="H640" s="21">
        <v>23015100646</v>
      </c>
      <c r="I640" s="22">
        <v>885</v>
      </c>
      <c r="J640" s="23"/>
      <c r="K640" s="24">
        <v>30082</v>
      </c>
      <c r="L640" s="23">
        <f t="shared" si="64"/>
        <v>269</v>
      </c>
      <c r="M640" s="24">
        <v>4836</v>
      </c>
      <c r="N640" s="25">
        <f t="shared" si="65"/>
        <v>49</v>
      </c>
      <c r="O640" s="24">
        <v>25246</v>
      </c>
      <c r="P640" s="23">
        <f t="shared" si="66"/>
        <v>220</v>
      </c>
      <c r="Q640" s="26"/>
      <c r="R640" s="23">
        <f t="shared" si="67"/>
        <v>0</v>
      </c>
      <c r="S640" s="27" t="s">
        <v>18</v>
      </c>
      <c r="T640" s="19" t="s">
        <v>653</v>
      </c>
    </row>
    <row r="641" spans="1:20" ht="37.5" customHeight="1" x14ac:dyDescent="0.25">
      <c r="A641" s="19" t="s">
        <v>654</v>
      </c>
      <c r="B641">
        <f t="shared" si="68"/>
        <v>61135</v>
      </c>
      <c r="C641">
        <v>10812</v>
      </c>
      <c r="D641">
        <v>50323</v>
      </c>
      <c r="F641">
        <f t="shared" si="63"/>
        <v>685</v>
      </c>
      <c r="G641" s="20">
        <f t="shared" si="69"/>
        <v>636</v>
      </c>
      <c r="H641" s="21">
        <v>66616020153</v>
      </c>
      <c r="I641" s="22">
        <v>886</v>
      </c>
      <c r="J641" s="23"/>
      <c r="K641" s="24">
        <v>60450</v>
      </c>
      <c r="L641" s="23">
        <f t="shared" si="64"/>
        <v>685</v>
      </c>
      <c r="M641" s="24">
        <v>10693</v>
      </c>
      <c r="N641" s="25">
        <f t="shared" si="65"/>
        <v>119</v>
      </c>
      <c r="O641" s="24">
        <v>49757</v>
      </c>
      <c r="P641" s="23">
        <f t="shared" si="66"/>
        <v>566</v>
      </c>
      <c r="Q641" s="26"/>
      <c r="R641" s="23">
        <f t="shared" si="67"/>
        <v>0</v>
      </c>
      <c r="S641" s="27" t="s">
        <v>18</v>
      </c>
      <c r="T641" s="19" t="s">
        <v>654</v>
      </c>
    </row>
    <row r="642" spans="1:20" ht="37.5" customHeight="1" x14ac:dyDescent="0.25">
      <c r="A642" s="19" t="s">
        <v>655</v>
      </c>
      <c r="B642">
        <f t="shared" si="68"/>
        <v>4262</v>
      </c>
      <c r="C642">
        <v>1058</v>
      </c>
      <c r="D642">
        <v>3204</v>
      </c>
      <c r="E642">
        <v>3083</v>
      </c>
      <c r="F642">
        <f t="shared" si="63"/>
        <v>290</v>
      </c>
      <c r="G642" s="20">
        <f t="shared" si="69"/>
        <v>637</v>
      </c>
      <c r="H642" s="21">
        <v>99624030117</v>
      </c>
      <c r="I642" s="22">
        <v>887</v>
      </c>
      <c r="J642" s="23"/>
      <c r="K642" s="24">
        <f>M642+O642</f>
        <v>3972</v>
      </c>
      <c r="L642" s="23">
        <f t="shared" si="64"/>
        <v>290</v>
      </c>
      <c r="M642" s="24">
        <v>975</v>
      </c>
      <c r="N642" s="25">
        <f t="shared" si="65"/>
        <v>83</v>
      </c>
      <c r="O642" s="24">
        <v>2997</v>
      </c>
      <c r="P642" s="23">
        <f t="shared" si="66"/>
        <v>207</v>
      </c>
      <c r="Q642" s="26">
        <v>2595</v>
      </c>
      <c r="R642" s="23">
        <f t="shared" si="67"/>
        <v>488</v>
      </c>
      <c r="S642" s="27" t="s">
        <v>18</v>
      </c>
      <c r="T642" s="19" t="s">
        <v>655</v>
      </c>
    </row>
    <row r="643" spans="1:20" ht="37.5" customHeight="1" x14ac:dyDescent="0.25">
      <c r="A643" s="19" t="s">
        <v>656</v>
      </c>
      <c r="B643">
        <f t="shared" si="68"/>
        <v>10360</v>
      </c>
      <c r="C643">
        <v>2051</v>
      </c>
      <c r="D643">
        <v>8309</v>
      </c>
      <c r="F643">
        <f t="shared" si="63"/>
        <v>251</v>
      </c>
      <c r="G643" s="20">
        <f t="shared" si="69"/>
        <v>638</v>
      </c>
      <c r="H643" s="21">
        <v>88821080109</v>
      </c>
      <c r="I643" s="22">
        <v>888</v>
      </c>
      <c r="J643" s="23"/>
      <c r="K643" s="24">
        <v>10109</v>
      </c>
      <c r="L643" s="23">
        <f t="shared" si="64"/>
        <v>251</v>
      </c>
      <c r="M643" s="24">
        <v>2005</v>
      </c>
      <c r="N643" s="25">
        <f t="shared" si="65"/>
        <v>46</v>
      </c>
      <c r="O643" s="24">
        <v>8104</v>
      </c>
      <c r="P643" s="23">
        <f t="shared" si="66"/>
        <v>205</v>
      </c>
      <c r="Q643" s="26"/>
      <c r="R643" s="23">
        <f t="shared" si="67"/>
        <v>0</v>
      </c>
      <c r="S643" s="27" t="s">
        <v>18</v>
      </c>
      <c r="T643" s="19" t="s">
        <v>656</v>
      </c>
    </row>
    <row r="644" spans="1:20" ht="37.5" customHeight="1" x14ac:dyDescent="0.25">
      <c r="A644" s="19" t="s">
        <v>657</v>
      </c>
      <c r="B644">
        <f t="shared" si="68"/>
        <v>2503</v>
      </c>
      <c r="C644">
        <v>601</v>
      </c>
      <c r="D644">
        <v>1902</v>
      </c>
      <c r="F644">
        <f t="shared" si="63"/>
        <v>327</v>
      </c>
      <c r="G644" s="20">
        <f t="shared" si="69"/>
        <v>639</v>
      </c>
      <c r="H644" s="21">
        <v>66622040402</v>
      </c>
      <c r="I644" s="22">
        <v>889</v>
      </c>
      <c r="J644" s="23"/>
      <c r="K644" s="24">
        <v>2176</v>
      </c>
      <c r="L644" s="23">
        <f t="shared" si="64"/>
        <v>327</v>
      </c>
      <c r="M644" s="24">
        <v>553</v>
      </c>
      <c r="N644" s="25">
        <f t="shared" si="65"/>
        <v>48</v>
      </c>
      <c r="O644" s="24">
        <v>1623</v>
      </c>
      <c r="P644" s="23">
        <f t="shared" si="66"/>
        <v>279</v>
      </c>
      <c r="Q644" s="26"/>
      <c r="R644" s="23">
        <f t="shared" si="67"/>
        <v>0</v>
      </c>
      <c r="S644" s="27" t="s">
        <v>18</v>
      </c>
      <c r="T644" s="19" t="s">
        <v>657</v>
      </c>
    </row>
    <row r="645" spans="1:20" ht="37.5" customHeight="1" x14ac:dyDescent="0.25">
      <c r="A645" s="19" t="s">
        <v>658</v>
      </c>
      <c r="B645">
        <f t="shared" si="68"/>
        <v>36615</v>
      </c>
      <c r="C645">
        <v>4943</v>
      </c>
      <c r="D645">
        <v>31672</v>
      </c>
      <c r="F645">
        <f t="shared" ref="F645:F708" si="70">L645</f>
        <v>419</v>
      </c>
      <c r="G645" s="20">
        <f t="shared" si="69"/>
        <v>640</v>
      </c>
      <c r="H645" s="21">
        <v>23012060027</v>
      </c>
      <c r="I645" s="22">
        <v>890</v>
      </c>
      <c r="J645" s="23"/>
      <c r="K645" s="24">
        <v>36196</v>
      </c>
      <c r="L645" s="23">
        <f t="shared" si="64"/>
        <v>419</v>
      </c>
      <c r="M645" s="24">
        <v>4890</v>
      </c>
      <c r="N645" s="25">
        <f t="shared" si="65"/>
        <v>53</v>
      </c>
      <c r="O645" s="24">
        <v>31306</v>
      </c>
      <c r="P645" s="23">
        <f t="shared" si="66"/>
        <v>366</v>
      </c>
      <c r="Q645" s="26"/>
      <c r="R645" s="23">
        <f t="shared" si="67"/>
        <v>0</v>
      </c>
      <c r="S645" s="27" t="s">
        <v>18</v>
      </c>
      <c r="T645" s="19" t="s">
        <v>658</v>
      </c>
    </row>
    <row r="646" spans="1:20" ht="37.5" customHeight="1" x14ac:dyDescent="0.25">
      <c r="A646" s="19" t="s">
        <v>659</v>
      </c>
      <c r="B646">
        <f t="shared" si="68"/>
        <v>3409</v>
      </c>
      <c r="C646">
        <v>696</v>
      </c>
      <c r="D646">
        <v>2713</v>
      </c>
      <c r="E646">
        <v>8030</v>
      </c>
      <c r="F646">
        <f t="shared" si="70"/>
        <v>251</v>
      </c>
      <c r="G646" s="20">
        <f t="shared" si="69"/>
        <v>641</v>
      </c>
      <c r="H646" s="21">
        <v>99624020221</v>
      </c>
      <c r="I646" s="22">
        <v>891</v>
      </c>
      <c r="J646" s="23"/>
      <c r="K646" s="24">
        <f>M646+O646</f>
        <v>3158</v>
      </c>
      <c r="L646" s="23">
        <f t="shared" ref="L646:L709" si="71">B646-K646</f>
        <v>251</v>
      </c>
      <c r="M646" s="24">
        <v>637</v>
      </c>
      <c r="N646" s="25">
        <f t="shared" ref="N646:N709" si="72">C646-M646</f>
        <v>59</v>
      </c>
      <c r="O646" s="24">
        <v>2521</v>
      </c>
      <c r="P646" s="23">
        <f t="shared" ref="P646:P709" si="73">D646-O646</f>
        <v>192</v>
      </c>
      <c r="Q646" s="26">
        <v>6841</v>
      </c>
      <c r="R646" s="23">
        <f t="shared" ref="R646:R709" si="74">E646-Q646</f>
        <v>1189</v>
      </c>
      <c r="S646" s="27" t="s">
        <v>18</v>
      </c>
      <c r="T646" s="19" t="s">
        <v>659</v>
      </c>
    </row>
    <row r="647" spans="1:20" ht="37.5" customHeight="1" x14ac:dyDescent="0.25">
      <c r="A647" s="19" t="s">
        <v>660</v>
      </c>
      <c r="B647">
        <f t="shared" ref="B647:B710" si="75">C647+D647</f>
        <v>90070</v>
      </c>
      <c r="C647">
        <v>16466</v>
      </c>
      <c r="D647">
        <v>73604</v>
      </c>
      <c r="F647">
        <f t="shared" si="70"/>
        <v>681</v>
      </c>
      <c r="G647" s="20">
        <f t="shared" si="69"/>
        <v>642</v>
      </c>
      <c r="H647" s="21">
        <v>88818030434</v>
      </c>
      <c r="I647" s="22">
        <v>892</v>
      </c>
      <c r="J647" s="23"/>
      <c r="K647" s="24">
        <v>89389</v>
      </c>
      <c r="L647" s="23">
        <f t="shared" si="71"/>
        <v>681</v>
      </c>
      <c r="M647" s="24">
        <v>16340</v>
      </c>
      <c r="N647" s="25">
        <f t="shared" si="72"/>
        <v>126</v>
      </c>
      <c r="O647" s="24">
        <v>73049</v>
      </c>
      <c r="P647" s="23">
        <f t="shared" si="73"/>
        <v>555</v>
      </c>
      <c r="Q647" s="26"/>
      <c r="R647" s="23">
        <f t="shared" si="74"/>
        <v>0</v>
      </c>
      <c r="S647" s="27" t="s">
        <v>18</v>
      </c>
      <c r="T647" s="19" t="s">
        <v>660</v>
      </c>
    </row>
    <row r="648" spans="1:20" ht="37.5" customHeight="1" x14ac:dyDescent="0.25">
      <c r="A648" s="19" t="s">
        <v>661</v>
      </c>
      <c r="B648">
        <f t="shared" si="75"/>
        <v>63858</v>
      </c>
      <c r="C648">
        <v>9858</v>
      </c>
      <c r="D648">
        <v>54000</v>
      </c>
      <c r="F648">
        <f t="shared" si="70"/>
        <v>264</v>
      </c>
      <c r="G648" s="20">
        <f t="shared" ref="G648:G711" si="76">G647+1</f>
        <v>643</v>
      </c>
      <c r="H648" s="21">
        <v>23014040334</v>
      </c>
      <c r="I648" s="22">
        <v>893</v>
      </c>
      <c r="J648" s="23"/>
      <c r="K648" s="24">
        <v>63594</v>
      </c>
      <c r="L648" s="23">
        <f t="shared" si="71"/>
        <v>264</v>
      </c>
      <c r="M648" s="24">
        <v>9816</v>
      </c>
      <c r="N648" s="25">
        <f t="shared" si="72"/>
        <v>42</v>
      </c>
      <c r="O648" s="24">
        <v>53778</v>
      </c>
      <c r="P648" s="23">
        <f t="shared" si="73"/>
        <v>222</v>
      </c>
      <c r="Q648" s="26"/>
      <c r="R648" s="23">
        <f t="shared" si="74"/>
        <v>0</v>
      </c>
      <c r="S648" s="27" t="s">
        <v>18</v>
      </c>
      <c r="T648" s="19" t="s">
        <v>661</v>
      </c>
    </row>
    <row r="649" spans="1:20" ht="37.5" customHeight="1" x14ac:dyDescent="0.25">
      <c r="A649" s="19" t="s">
        <v>662</v>
      </c>
      <c r="B649">
        <f t="shared" si="75"/>
        <v>81949</v>
      </c>
      <c r="C649">
        <v>12100</v>
      </c>
      <c r="D649">
        <v>69849</v>
      </c>
      <c r="F649">
        <f t="shared" si="70"/>
        <v>750</v>
      </c>
      <c r="G649" s="20">
        <f t="shared" si="76"/>
        <v>644</v>
      </c>
      <c r="H649" s="21">
        <v>23014090869</v>
      </c>
      <c r="I649" s="22">
        <v>894</v>
      </c>
      <c r="J649" s="23"/>
      <c r="K649" s="24">
        <v>81199</v>
      </c>
      <c r="L649" s="23">
        <f t="shared" si="71"/>
        <v>750</v>
      </c>
      <c r="M649" s="24">
        <v>11976</v>
      </c>
      <c r="N649" s="25">
        <f t="shared" si="72"/>
        <v>124</v>
      </c>
      <c r="O649" s="24">
        <v>69223</v>
      </c>
      <c r="P649" s="23">
        <f t="shared" si="73"/>
        <v>626</v>
      </c>
      <c r="Q649" s="26"/>
      <c r="R649" s="23">
        <f t="shared" si="74"/>
        <v>0</v>
      </c>
      <c r="S649" s="27" t="s">
        <v>18</v>
      </c>
      <c r="T649" s="19" t="s">
        <v>662</v>
      </c>
    </row>
    <row r="650" spans="1:20" ht="37.5" customHeight="1" x14ac:dyDescent="0.25">
      <c r="A650" s="19" t="s">
        <v>663</v>
      </c>
      <c r="B650">
        <f t="shared" si="75"/>
        <v>32343</v>
      </c>
      <c r="C650">
        <v>4990</v>
      </c>
      <c r="D650">
        <v>27353</v>
      </c>
      <c r="F650">
        <f t="shared" si="70"/>
        <v>396</v>
      </c>
      <c r="G650" s="20">
        <f t="shared" si="76"/>
        <v>645</v>
      </c>
      <c r="H650" s="21">
        <v>66616020157</v>
      </c>
      <c r="I650" s="22">
        <v>896</v>
      </c>
      <c r="J650" s="23"/>
      <c r="K650" s="24">
        <v>31947</v>
      </c>
      <c r="L650" s="23">
        <f t="shared" si="71"/>
        <v>396</v>
      </c>
      <c r="M650" s="24">
        <v>4918</v>
      </c>
      <c r="N650" s="25">
        <f t="shared" si="72"/>
        <v>72</v>
      </c>
      <c r="O650" s="24">
        <v>27029</v>
      </c>
      <c r="P650" s="23">
        <f t="shared" si="73"/>
        <v>324</v>
      </c>
      <c r="Q650" s="26"/>
      <c r="R650" s="23">
        <f t="shared" si="74"/>
        <v>0</v>
      </c>
      <c r="S650" s="27" t="s">
        <v>18</v>
      </c>
      <c r="T650" s="19" t="s">
        <v>663</v>
      </c>
    </row>
    <row r="651" spans="1:20" ht="37.5" customHeight="1" x14ac:dyDescent="0.25">
      <c r="A651" s="19" t="s">
        <v>664</v>
      </c>
      <c r="B651">
        <f t="shared" si="75"/>
        <v>41369</v>
      </c>
      <c r="C651">
        <v>8746</v>
      </c>
      <c r="D651">
        <v>32623</v>
      </c>
      <c r="F651">
        <f t="shared" si="70"/>
        <v>327</v>
      </c>
      <c r="G651" s="20">
        <f t="shared" si="76"/>
        <v>646</v>
      </c>
      <c r="H651" s="21">
        <v>23015010605</v>
      </c>
      <c r="I651" s="22">
        <v>898</v>
      </c>
      <c r="J651" s="23"/>
      <c r="K651" s="24">
        <v>41042</v>
      </c>
      <c r="L651" s="23">
        <f t="shared" si="71"/>
        <v>327</v>
      </c>
      <c r="M651" s="24">
        <v>8682</v>
      </c>
      <c r="N651" s="25">
        <f t="shared" si="72"/>
        <v>64</v>
      </c>
      <c r="O651" s="24">
        <v>32360</v>
      </c>
      <c r="P651" s="23">
        <f t="shared" si="73"/>
        <v>263</v>
      </c>
      <c r="Q651" s="26"/>
      <c r="R651" s="23">
        <f t="shared" si="74"/>
        <v>0</v>
      </c>
      <c r="S651" s="27" t="s">
        <v>18</v>
      </c>
      <c r="T651" s="19" t="s">
        <v>664</v>
      </c>
    </row>
    <row r="652" spans="1:20" ht="37.5" customHeight="1" x14ac:dyDescent="0.25">
      <c r="A652" s="19" t="s">
        <v>665</v>
      </c>
      <c r="B652">
        <f t="shared" si="75"/>
        <v>11426</v>
      </c>
      <c r="C652">
        <v>1972</v>
      </c>
      <c r="D652">
        <v>9454</v>
      </c>
      <c r="F652">
        <f t="shared" si="70"/>
        <v>353</v>
      </c>
      <c r="G652" s="20">
        <f t="shared" si="76"/>
        <v>647</v>
      </c>
      <c r="H652" s="21">
        <v>66622060214</v>
      </c>
      <c r="I652" s="22">
        <v>899</v>
      </c>
      <c r="J652" s="23"/>
      <c r="K652" s="24">
        <v>11073</v>
      </c>
      <c r="L652" s="23">
        <f t="shared" si="71"/>
        <v>353</v>
      </c>
      <c r="M652" s="24">
        <v>1916</v>
      </c>
      <c r="N652" s="25">
        <f t="shared" si="72"/>
        <v>56</v>
      </c>
      <c r="O652" s="24">
        <v>9157</v>
      </c>
      <c r="P652" s="23">
        <f t="shared" si="73"/>
        <v>297</v>
      </c>
      <c r="Q652" s="26"/>
      <c r="R652" s="23">
        <f t="shared" si="74"/>
        <v>0</v>
      </c>
      <c r="S652" s="27" t="s">
        <v>18</v>
      </c>
      <c r="T652" s="19" t="s">
        <v>665</v>
      </c>
    </row>
    <row r="653" spans="1:20" ht="37.5" customHeight="1" x14ac:dyDescent="0.25">
      <c r="A653" s="19" t="s">
        <v>666</v>
      </c>
      <c r="B653">
        <f t="shared" si="75"/>
        <v>1135</v>
      </c>
      <c r="C653">
        <v>124</v>
      </c>
      <c r="D653">
        <v>1011</v>
      </c>
      <c r="F653">
        <f t="shared" si="70"/>
        <v>17</v>
      </c>
      <c r="G653" s="20">
        <f t="shared" si="76"/>
        <v>648</v>
      </c>
      <c r="H653" s="21">
        <v>66622040564</v>
      </c>
      <c r="I653" s="22">
        <v>900</v>
      </c>
      <c r="J653" s="23"/>
      <c r="K653" s="24">
        <v>1118</v>
      </c>
      <c r="L653" s="23">
        <f t="shared" si="71"/>
        <v>17</v>
      </c>
      <c r="M653" s="24">
        <v>121</v>
      </c>
      <c r="N653" s="25">
        <f t="shared" si="72"/>
        <v>3</v>
      </c>
      <c r="O653" s="24">
        <v>997</v>
      </c>
      <c r="P653" s="23">
        <f t="shared" si="73"/>
        <v>14</v>
      </c>
      <c r="Q653" s="26"/>
      <c r="R653" s="23">
        <f t="shared" si="74"/>
        <v>0</v>
      </c>
      <c r="S653" s="27" t="s">
        <v>18</v>
      </c>
      <c r="T653" s="19" t="s">
        <v>666</v>
      </c>
    </row>
    <row r="654" spans="1:20" ht="37.5" customHeight="1" x14ac:dyDescent="0.25">
      <c r="A654" s="19" t="s">
        <v>667</v>
      </c>
      <c r="B654">
        <f t="shared" si="75"/>
        <v>71838</v>
      </c>
      <c r="C654">
        <v>15914</v>
      </c>
      <c r="D654">
        <v>55924</v>
      </c>
      <c r="F654">
        <f t="shared" si="70"/>
        <v>34</v>
      </c>
      <c r="G654" s="20">
        <f t="shared" si="76"/>
        <v>649</v>
      </c>
      <c r="H654" s="21">
        <v>23011120073</v>
      </c>
      <c r="I654" s="22">
        <v>901</v>
      </c>
      <c r="J654" s="23"/>
      <c r="K654" s="24">
        <v>71804</v>
      </c>
      <c r="L654" s="23">
        <f t="shared" si="71"/>
        <v>34</v>
      </c>
      <c r="M654" s="24">
        <v>15907</v>
      </c>
      <c r="N654" s="25">
        <f t="shared" si="72"/>
        <v>7</v>
      </c>
      <c r="O654" s="24">
        <v>55897</v>
      </c>
      <c r="P654" s="23">
        <f t="shared" si="73"/>
        <v>27</v>
      </c>
      <c r="Q654" s="26"/>
      <c r="R654" s="23">
        <f t="shared" si="74"/>
        <v>0</v>
      </c>
      <c r="S654" s="27" t="s">
        <v>18</v>
      </c>
      <c r="T654" s="19" t="s">
        <v>667</v>
      </c>
    </row>
    <row r="655" spans="1:20" ht="37.5" customHeight="1" x14ac:dyDescent="0.25">
      <c r="A655" s="19" t="s">
        <v>668</v>
      </c>
      <c r="B655">
        <f t="shared" si="75"/>
        <v>17752</v>
      </c>
      <c r="C655">
        <v>2732</v>
      </c>
      <c r="D655">
        <v>15020</v>
      </c>
      <c r="F655">
        <f t="shared" si="70"/>
        <v>453</v>
      </c>
      <c r="G655" s="20">
        <f t="shared" si="76"/>
        <v>650</v>
      </c>
      <c r="H655" s="21">
        <v>66621100283</v>
      </c>
      <c r="I655" s="22">
        <v>902</v>
      </c>
      <c r="J655" s="23"/>
      <c r="K655" s="24">
        <v>17299</v>
      </c>
      <c r="L655" s="23">
        <f t="shared" si="71"/>
        <v>453</v>
      </c>
      <c r="M655" s="24">
        <v>2649</v>
      </c>
      <c r="N655" s="25">
        <f t="shared" si="72"/>
        <v>83</v>
      </c>
      <c r="O655" s="24">
        <v>14650</v>
      </c>
      <c r="P655" s="23">
        <f t="shared" si="73"/>
        <v>370</v>
      </c>
      <c r="Q655" s="26"/>
      <c r="R655" s="23">
        <f t="shared" si="74"/>
        <v>0</v>
      </c>
      <c r="S655" s="27" t="s">
        <v>18</v>
      </c>
      <c r="T655" s="19" t="s">
        <v>668</v>
      </c>
    </row>
    <row r="656" spans="1:20" ht="37.5" customHeight="1" x14ac:dyDescent="0.25">
      <c r="A656" s="19" t="s">
        <v>669</v>
      </c>
      <c r="B656">
        <f t="shared" si="75"/>
        <v>12384</v>
      </c>
      <c r="C656">
        <v>2378</v>
      </c>
      <c r="D656">
        <v>10006</v>
      </c>
      <c r="F656">
        <f t="shared" si="70"/>
        <v>150</v>
      </c>
      <c r="G656" s="20">
        <f t="shared" si="76"/>
        <v>651</v>
      </c>
      <c r="H656" s="21">
        <v>6619040363</v>
      </c>
      <c r="I656" s="22">
        <v>903</v>
      </c>
      <c r="J656" s="23"/>
      <c r="K656" s="24">
        <v>12234</v>
      </c>
      <c r="L656" s="23">
        <f t="shared" si="71"/>
        <v>150</v>
      </c>
      <c r="M656" s="24">
        <v>2354</v>
      </c>
      <c r="N656" s="25">
        <f t="shared" si="72"/>
        <v>24</v>
      </c>
      <c r="O656" s="24">
        <v>9880</v>
      </c>
      <c r="P656" s="23">
        <f t="shared" si="73"/>
        <v>126</v>
      </c>
      <c r="Q656" s="26"/>
      <c r="R656" s="23">
        <f t="shared" si="74"/>
        <v>0</v>
      </c>
      <c r="S656" s="27" t="s">
        <v>18</v>
      </c>
      <c r="T656" s="19" t="s">
        <v>669</v>
      </c>
    </row>
    <row r="657" spans="1:20" ht="37.5" customHeight="1" x14ac:dyDescent="0.25">
      <c r="A657" s="19" t="s">
        <v>670</v>
      </c>
      <c r="B657">
        <f t="shared" si="75"/>
        <v>46463</v>
      </c>
      <c r="C657">
        <v>8710</v>
      </c>
      <c r="D657">
        <v>37753</v>
      </c>
      <c r="F657">
        <f t="shared" si="70"/>
        <v>229</v>
      </c>
      <c r="G657" s="20">
        <f t="shared" si="76"/>
        <v>652</v>
      </c>
      <c r="H657" s="21">
        <v>23014040012</v>
      </c>
      <c r="I657" s="22">
        <v>906</v>
      </c>
      <c r="J657" s="23"/>
      <c r="K657" s="24">
        <v>46234</v>
      </c>
      <c r="L657" s="23">
        <f t="shared" si="71"/>
        <v>229</v>
      </c>
      <c r="M657" s="24">
        <v>8664</v>
      </c>
      <c r="N657" s="25">
        <f t="shared" si="72"/>
        <v>46</v>
      </c>
      <c r="O657" s="24">
        <v>37570</v>
      </c>
      <c r="P657" s="23">
        <f t="shared" si="73"/>
        <v>183</v>
      </c>
      <c r="Q657" s="26"/>
      <c r="R657" s="23">
        <f t="shared" si="74"/>
        <v>0</v>
      </c>
      <c r="S657" s="27" t="s">
        <v>18</v>
      </c>
      <c r="T657" s="19" t="s">
        <v>670</v>
      </c>
    </row>
    <row r="658" spans="1:20" ht="37.5" customHeight="1" x14ac:dyDescent="0.25">
      <c r="A658" s="19" t="s">
        <v>671</v>
      </c>
      <c r="B658">
        <f t="shared" si="75"/>
        <v>48315</v>
      </c>
      <c r="C658">
        <v>7159</v>
      </c>
      <c r="D658">
        <v>41156</v>
      </c>
      <c r="F658">
        <f t="shared" si="70"/>
        <v>878</v>
      </c>
      <c r="G658" s="20">
        <f t="shared" si="76"/>
        <v>653</v>
      </c>
      <c r="H658" s="21">
        <v>23008030087</v>
      </c>
      <c r="I658" s="22">
        <v>907</v>
      </c>
      <c r="J658" s="23"/>
      <c r="K658" s="24">
        <v>47437</v>
      </c>
      <c r="L658" s="23">
        <f t="shared" si="71"/>
        <v>878</v>
      </c>
      <c r="M658" s="24">
        <v>7056</v>
      </c>
      <c r="N658" s="25">
        <f t="shared" si="72"/>
        <v>103</v>
      </c>
      <c r="O658" s="24">
        <v>40381</v>
      </c>
      <c r="P658" s="23">
        <f t="shared" si="73"/>
        <v>775</v>
      </c>
      <c r="Q658" s="26"/>
      <c r="R658" s="23">
        <f t="shared" si="74"/>
        <v>0</v>
      </c>
      <c r="S658" s="27" t="s">
        <v>18</v>
      </c>
      <c r="T658" s="19" t="s">
        <v>671</v>
      </c>
    </row>
    <row r="659" spans="1:20" ht="37.5" customHeight="1" x14ac:dyDescent="0.25">
      <c r="A659" s="19" t="s">
        <v>672</v>
      </c>
      <c r="B659">
        <f t="shared" si="75"/>
        <v>27215</v>
      </c>
      <c r="C659">
        <v>4268</v>
      </c>
      <c r="D659">
        <v>22947</v>
      </c>
      <c r="F659">
        <f t="shared" si="70"/>
        <v>645</v>
      </c>
      <c r="G659" s="20">
        <f t="shared" si="76"/>
        <v>654</v>
      </c>
      <c r="H659" s="21">
        <v>66621060117</v>
      </c>
      <c r="I659" s="22">
        <v>908</v>
      </c>
      <c r="J659" s="23"/>
      <c r="K659" s="24">
        <v>26570</v>
      </c>
      <c r="L659" s="23">
        <f t="shared" si="71"/>
        <v>645</v>
      </c>
      <c r="M659" s="24">
        <v>4147</v>
      </c>
      <c r="N659" s="25">
        <f t="shared" si="72"/>
        <v>121</v>
      </c>
      <c r="O659" s="24">
        <v>22423</v>
      </c>
      <c r="P659" s="23">
        <f t="shared" si="73"/>
        <v>524</v>
      </c>
      <c r="Q659" s="26"/>
      <c r="R659" s="23">
        <f t="shared" si="74"/>
        <v>0</v>
      </c>
      <c r="S659" s="27" t="s">
        <v>18</v>
      </c>
      <c r="T659" s="19" t="s">
        <v>672</v>
      </c>
    </row>
    <row r="660" spans="1:20" ht="37.5" customHeight="1" x14ac:dyDescent="0.25">
      <c r="A660" s="19" t="s">
        <v>673</v>
      </c>
      <c r="B660">
        <f t="shared" si="75"/>
        <v>4948</v>
      </c>
      <c r="C660">
        <v>1132</v>
      </c>
      <c r="D660">
        <v>3816</v>
      </c>
      <c r="E660">
        <v>5602</v>
      </c>
      <c r="F660">
        <f t="shared" si="70"/>
        <v>499</v>
      </c>
      <c r="G660" s="20">
        <f t="shared" si="76"/>
        <v>655</v>
      </c>
      <c r="H660" s="21">
        <v>99624030153</v>
      </c>
      <c r="I660" s="22">
        <v>909</v>
      </c>
      <c r="J660" s="23"/>
      <c r="K660" s="24">
        <f>M660+O660</f>
        <v>4449</v>
      </c>
      <c r="L660" s="23">
        <f t="shared" si="71"/>
        <v>499</v>
      </c>
      <c r="M660" s="24">
        <v>1022</v>
      </c>
      <c r="N660" s="25">
        <f t="shared" si="72"/>
        <v>110</v>
      </c>
      <c r="O660" s="24">
        <v>3427</v>
      </c>
      <c r="P660" s="23">
        <f t="shared" si="73"/>
        <v>389</v>
      </c>
      <c r="Q660" s="26">
        <v>4634</v>
      </c>
      <c r="R660" s="23">
        <f t="shared" si="74"/>
        <v>968</v>
      </c>
      <c r="S660" s="27" t="s">
        <v>18</v>
      </c>
      <c r="T660" s="19" t="s">
        <v>673</v>
      </c>
    </row>
    <row r="661" spans="1:20" ht="37.5" customHeight="1" x14ac:dyDescent="0.25">
      <c r="A661" s="19" t="s">
        <v>674</v>
      </c>
      <c r="B661">
        <f t="shared" si="75"/>
        <v>40311</v>
      </c>
      <c r="C661">
        <v>7485</v>
      </c>
      <c r="D661">
        <v>32826</v>
      </c>
      <c r="F661">
        <f t="shared" si="70"/>
        <v>403</v>
      </c>
      <c r="G661" s="20">
        <f t="shared" si="76"/>
        <v>656</v>
      </c>
      <c r="H661" s="21">
        <v>23015101174</v>
      </c>
      <c r="I661" s="22">
        <v>910</v>
      </c>
      <c r="J661" s="23"/>
      <c r="K661" s="24">
        <v>39908</v>
      </c>
      <c r="L661" s="23">
        <f t="shared" si="71"/>
        <v>403</v>
      </c>
      <c r="M661" s="24">
        <v>7402</v>
      </c>
      <c r="N661" s="25">
        <f t="shared" si="72"/>
        <v>83</v>
      </c>
      <c r="O661" s="24">
        <v>32506</v>
      </c>
      <c r="P661" s="23">
        <f t="shared" si="73"/>
        <v>320</v>
      </c>
      <c r="Q661" s="26"/>
      <c r="R661" s="23">
        <f t="shared" si="74"/>
        <v>0</v>
      </c>
      <c r="S661" s="27" t="s">
        <v>18</v>
      </c>
      <c r="T661" s="19" t="s">
        <v>674</v>
      </c>
    </row>
    <row r="662" spans="1:20" ht="37.5" customHeight="1" x14ac:dyDescent="0.25">
      <c r="A662" s="19" t="s">
        <v>675</v>
      </c>
      <c r="B662">
        <f t="shared" si="75"/>
        <v>74447</v>
      </c>
      <c r="C662">
        <v>11658</v>
      </c>
      <c r="D662">
        <v>62789</v>
      </c>
      <c r="F662">
        <f t="shared" si="70"/>
        <v>686</v>
      </c>
      <c r="G662" s="20">
        <f t="shared" si="76"/>
        <v>657</v>
      </c>
      <c r="H662" s="21">
        <v>23012070146</v>
      </c>
      <c r="I662" s="22">
        <v>911</v>
      </c>
      <c r="J662" s="23"/>
      <c r="K662" s="24">
        <v>73761</v>
      </c>
      <c r="L662" s="23">
        <f t="shared" si="71"/>
        <v>686</v>
      </c>
      <c r="M662" s="24">
        <v>11551</v>
      </c>
      <c r="N662" s="25">
        <f t="shared" si="72"/>
        <v>107</v>
      </c>
      <c r="O662" s="24">
        <v>62210</v>
      </c>
      <c r="P662" s="23">
        <f t="shared" si="73"/>
        <v>579</v>
      </c>
      <c r="Q662" s="26"/>
      <c r="R662" s="23">
        <f t="shared" si="74"/>
        <v>0</v>
      </c>
      <c r="S662" s="27" t="s">
        <v>18</v>
      </c>
      <c r="T662" s="19" t="s">
        <v>675</v>
      </c>
    </row>
    <row r="663" spans="1:20" ht="37.5" customHeight="1" x14ac:dyDescent="0.25">
      <c r="A663" s="19" t="s">
        <v>676</v>
      </c>
      <c r="B663">
        <f t="shared" si="75"/>
        <v>7468</v>
      </c>
      <c r="C663">
        <v>1581</v>
      </c>
      <c r="D663">
        <v>5887</v>
      </c>
      <c r="E663">
        <v>10573</v>
      </c>
      <c r="F663">
        <f t="shared" si="70"/>
        <v>342</v>
      </c>
      <c r="G663" s="20">
        <f t="shared" si="76"/>
        <v>658</v>
      </c>
      <c r="H663" s="21">
        <v>99723050085</v>
      </c>
      <c r="I663" s="22">
        <v>912</v>
      </c>
      <c r="J663" s="23"/>
      <c r="K663" s="24">
        <f>M663+O663</f>
        <v>7126</v>
      </c>
      <c r="L663" s="23">
        <f t="shared" si="71"/>
        <v>342</v>
      </c>
      <c r="M663" s="24">
        <v>1476</v>
      </c>
      <c r="N663" s="25">
        <f t="shared" si="72"/>
        <v>105</v>
      </c>
      <c r="O663" s="24">
        <v>5650</v>
      </c>
      <c r="P663" s="23">
        <f t="shared" si="73"/>
        <v>237</v>
      </c>
      <c r="Q663" s="26">
        <v>9920</v>
      </c>
      <c r="R663" s="23">
        <f t="shared" si="74"/>
        <v>653</v>
      </c>
      <c r="S663" s="27" t="s">
        <v>18</v>
      </c>
      <c r="T663" s="19" t="s">
        <v>676</v>
      </c>
    </row>
    <row r="664" spans="1:20" ht="37.5" customHeight="1" x14ac:dyDescent="0.25">
      <c r="A664" s="19" t="s">
        <v>677</v>
      </c>
      <c r="B664">
        <f t="shared" si="75"/>
        <v>49219</v>
      </c>
      <c r="C664">
        <v>9892</v>
      </c>
      <c r="D664">
        <v>39327</v>
      </c>
      <c r="F664">
        <f t="shared" si="70"/>
        <v>441</v>
      </c>
      <c r="G664" s="20">
        <f t="shared" si="76"/>
        <v>659</v>
      </c>
      <c r="H664" s="21">
        <v>23015101157</v>
      </c>
      <c r="I664" s="22">
        <v>913</v>
      </c>
      <c r="J664" s="23"/>
      <c r="K664" s="24">
        <v>48778</v>
      </c>
      <c r="L664" s="23">
        <f t="shared" si="71"/>
        <v>441</v>
      </c>
      <c r="M664" s="24">
        <v>9808</v>
      </c>
      <c r="N664" s="25">
        <f t="shared" si="72"/>
        <v>84</v>
      </c>
      <c r="O664" s="24">
        <v>38970</v>
      </c>
      <c r="P664" s="23">
        <f t="shared" si="73"/>
        <v>357</v>
      </c>
      <c r="Q664" s="26"/>
      <c r="R664" s="23">
        <f t="shared" si="74"/>
        <v>0</v>
      </c>
      <c r="S664" s="27" t="s">
        <v>18</v>
      </c>
      <c r="T664" s="19" t="s">
        <v>677</v>
      </c>
    </row>
    <row r="665" spans="1:20" ht="37.5" customHeight="1" x14ac:dyDescent="0.25">
      <c r="A665" s="19" t="s">
        <v>678</v>
      </c>
      <c r="B665">
        <f t="shared" si="75"/>
        <v>39611</v>
      </c>
      <c r="C665">
        <v>6865</v>
      </c>
      <c r="D665">
        <v>32746</v>
      </c>
      <c r="F665">
        <f t="shared" si="70"/>
        <v>932</v>
      </c>
      <c r="G665" s="20">
        <f t="shared" si="76"/>
        <v>660</v>
      </c>
      <c r="H665" s="21">
        <v>88821080379</v>
      </c>
      <c r="I665" s="22">
        <v>914</v>
      </c>
      <c r="J665" s="23"/>
      <c r="K665" s="24">
        <v>38679</v>
      </c>
      <c r="L665" s="23">
        <f t="shared" si="71"/>
        <v>932</v>
      </c>
      <c r="M665" s="24">
        <v>6693</v>
      </c>
      <c r="N665" s="25">
        <f t="shared" si="72"/>
        <v>172</v>
      </c>
      <c r="O665" s="24">
        <v>31986</v>
      </c>
      <c r="P665" s="23">
        <f t="shared" si="73"/>
        <v>760</v>
      </c>
      <c r="Q665" s="26"/>
      <c r="R665" s="23">
        <f t="shared" si="74"/>
        <v>0</v>
      </c>
      <c r="S665" s="27" t="s">
        <v>18</v>
      </c>
      <c r="T665" s="19" t="s">
        <v>678</v>
      </c>
    </row>
    <row r="666" spans="1:20" ht="37.5" customHeight="1" x14ac:dyDescent="0.25">
      <c r="A666" s="19" t="s">
        <v>679</v>
      </c>
      <c r="B666">
        <f t="shared" si="75"/>
        <v>21469</v>
      </c>
      <c r="C666">
        <v>3558</v>
      </c>
      <c r="D666">
        <v>17911</v>
      </c>
      <c r="F666">
        <f t="shared" si="70"/>
        <v>135</v>
      </c>
      <c r="G666" s="20">
        <f t="shared" si="76"/>
        <v>661</v>
      </c>
      <c r="H666" s="21">
        <v>88818020247</v>
      </c>
      <c r="I666" s="22">
        <v>916</v>
      </c>
      <c r="J666" s="23"/>
      <c r="K666" s="24">
        <v>21334</v>
      </c>
      <c r="L666" s="23">
        <f t="shared" si="71"/>
        <v>135</v>
      </c>
      <c r="M666" s="24">
        <v>3533</v>
      </c>
      <c r="N666" s="25">
        <f t="shared" si="72"/>
        <v>25</v>
      </c>
      <c r="O666" s="24">
        <v>17801</v>
      </c>
      <c r="P666" s="23">
        <f t="shared" si="73"/>
        <v>110</v>
      </c>
      <c r="Q666" s="26"/>
      <c r="R666" s="23">
        <f t="shared" si="74"/>
        <v>0</v>
      </c>
      <c r="S666" s="27" t="s">
        <v>18</v>
      </c>
      <c r="T666" s="19" t="s">
        <v>679</v>
      </c>
    </row>
    <row r="667" spans="1:20" ht="37.5" customHeight="1" x14ac:dyDescent="0.25">
      <c r="A667" s="19" t="s">
        <v>680</v>
      </c>
      <c r="B667">
        <f t="shared" si="75"/>
        <v>33395</v>
      </c>
      <c r="C667">
        <v>5034</v>
      </c>
      <c r="D667">
        <v>28361</v>
      </c>
      <c r="F667">
        <f t="shared" si="70"/>
        <v>627</v>
      </c>
      <c r="G667" s="20">
        <f t="shared" si="76"/>
        <v>662</v>
      </c>
      <c r="H667" s="21">
        <v>66621060172</v>
      </c>
      <c r="I667" s="22">
        <v>917</v>
      </c>
      <c r="J667" s="23"/>
      <c r="K667" s="24">
        <v>32768</v>
      </c>
      <c r="L667" s="23">
        <f t="shared" si="71"/>
        <v>627</v>
      </c>
      <c r="M667" s="24">
        <v>4929</v>
      </c>
      <c r="N667" s="25">
        <f t="shared" si="72"/>
        <v>105</v>
      </c>
      <c r="O667" s="24">
        <v>27839</v>
      </c>
      <c r="P667" s="23">
        <f t="shared" si="73"/>
        <v>522</v>
      </c>
      <c r="Q667" s="26"/>
      <c r="R667" s="23">
        <f t="shared" si="74"/>
        <v>0</v>
      </c>
      <c r="S667" s="27" t="s">
        <v>18</v>
      </c>
      <c r="T667" s="19" t="s">
        <v>680</v>
      </c>
    </row>
    <row r="668" spans="1:20" ht="37.5" customHeight="1" x14ac:dyDescent="0.25">
      <c r="A668" s="19" t="s">
        <v>681</v>
      </c>
      <c r="B668">
        <f t="shared" si="75"/>
        <v>73494</v>
      </c>
      <c r="C668">
        <v>11953</v>
      </c>
      <c r="D668">
        <v>61541</v>
      </c>
      <c r="F668">
        <f t="shared" si="70"/>
        <v>433</v>
      </c>
      <c r="G668" s="20">
        <f t="shared" si="76"/>
        <v>663</v>
      </c>
      <c r="H668" s="21">
        <v>23011100135</v>
      </c>
      <c r="I668" s="22">
        <v>918</v>
      </c>
      <c r="J668" s="23"/>
      <c r="K668" s="24">
        <v>73061</v>
      </c>
      <c r="L668" s="23">
        <f t="shared" si="71"/>
        <v>433</v>
      </c>
      <c r="M668" s="24">
        <v>11874</v>
      </c>
      <c r="N668" s="25">
        <f t="shared" si="72"/>
        <v>79</v>
      </c>
      <c r="O668" s="24">
        <v>61187</v>
      </c>
      <c r="P668" s="23">
        <f t="shared" si="73"/>
        <v>354</v>
      </c>
      <c r="Q668" s="26"/>
      <c r="R668" s="23">
        <f t="shared" si="74"/>
        <v>0</v>
      </c>
      <c r="S668" s="27" t="s">
        <v>18</v>
      </c>
      <c r="T668" s="19" t="s">
        <v>681</v>
      </c>
    </row>
    <row r="669" spans="1:20" ht="37.5" customHeight="1" x14ac:dyDescent="0.25">
      <c r="A669" s="19" t="s">
        <v>682</v>
      </c>
      <c r="B669">
        <f t="shared" si="75"/>
        <v>91166</v>
      </c>
      <c r="C669">
        <v>15270</v>
      </c>
      <c r="D669">
        <v>75896</v>
      </c>
      <c r="F669">
        <f t="shared" si="70"/>
        <v>518</v>
      </c>
      <c r="G669" s="20">
        <f t="shared" si="76"/>
        <v>664</v>
      </c>
      <c r="H669" s="21">
        <v>23012070217</v>
      </c>
      <c r="I669" s="22">
        <v>919</v>
      </c>
      <c r="J669" s="23"/>
      <c r="K669" s="24">
        <v>90648</v>
      </c>
      <c r="L669" s="23">
        <f t="shared" si="71"/>
        <v>518</v>
      </c>
      <c r="M669" s="24">
        <v>15177</v>
      </c>
      <c r="N669" s="25">
        <f t="shared" si="72"/>
        <v>93</v>
      </c>
      <c r="O669" s="24">
        <v>75471</v>
      </c>
      <c r="P669" s="23">
        <f t="shared" si="73"/>
        <v>425</v>
      </c>
      <c r="Q669" s="26"/>
      <c r="R669" s="23">
        <f t="shared" si="74"/>
        <v>0</v>
      </c>
      <c r="S669" s="27" t="s">
        <v>18</v>
      </c>
      <c r="T669" s="19" t="s">
        <v>682</v>
      </c>
    </row>
    <row r="670" spans="1:20" ht="37.5" customHeight="1" x14ac:dyDescent="0.25">
      <c r="A670" s="19" t="s">
        <v>683</v>
      </c>
      <c r="B670">
        <f t="shared" si="75"/>
        <v>29368</v>
      </c>
      <c r="C670">
        <v>5944</v>
      </c>
      <c r="D670">
        <v>23424</v>
      </c>
      <c r="F670">
        <f t="shared" si="70"/>
        <v>610</v>
      </c>
      <c r="G670" s="20">
        <f t="shared" si="76"/>
        <v>665</v>
      </c>
      <c r="H670" s="21">
        <v>88819020237</v>
      </c>
      <c r="I670" s="22">
        <v>920</v>
      </c>
      <c r="J670" s="23"/>
      <c r="K670" s="24">
        <v>28758</v>
      </c>
      <c r="L670" s="23">
        <f t="shared" si="71"/>
        <v>610</v>
      </c>
      <c r="M670" s="24">
        <v>5801</v>
      </c>
      <c r="N670" s="25">
        <f t="shared" si="72"/>
        <v>143</v>
      </c>
      <c r="O670" s="24">
        <v>22957</v>
      </c>
      <c r="P670" s="23">
        <f t="shared" si="73"/>
        <v>467</v>
      </c>
      <c r="Q670" s="26"/>
      <c r="R670" s="23">
        <f t="shared" si="74"/>
        <v>0</v>
      </c>
      <c r="S670" s="27" t="s">
        <v>18</v>
      </c>
      <c r="T670" s="19" t="s">
        <v>683</v>
      </c>
    </row>
    <row r="671" spans="1:20" ht="37.5" customHeight="1" x14ac:dyDescent="0.25">
      <c r="A671" s="19" t="s">
        <v>684</v>
      </c>
      <c r="B671">
        <f t="shared" si="75"/>
        <v>77399</v>
      </c>
      <c r="C671">
        <v>16086</v>
      </c>
      <c r="D671">
        <v>61313</v>
      </c>
      <c r="F671">
        <f t="shared" si="70"/>
        <v>322</v>
      </c>
      <c r="G671" s="20">
        <f t="shared" si="76"/>
        <v>666</v>
      </c>
      <c r="H671" s="21">
        <v>23010020170</v>
      </c>
      <c r="I671" s="22">
        <v>922</v>
      </c>
      <c r="J671" s="23"/>
      <c r="K671" s="24">
        <v>77077</v>
      </c>
      <c r="L671" s="23">
        <f t="shared" si="71"/>
        <v>322</v>
      </c>
      <c r="M671" s="24">
        <v>16022</v>
      </c>
      <c r="N671" s="25">
        <f t="shared" si="72"/>
        <v>64</v>
      </c>
      <c r="O671" s="24">
        <v>61055</v>
      </c>
      <c r="P671" s="23">
        <f t="shared" si="73"/>
        <v>258</v>
      </c>
      <c r="Q671" s="26"/>
      <c r="R671" s="23">
        <f t="shared" si="74"/>
        <v>0</v>
      </c>
      <c r="S671" s="27" t="s">
        <v>18</v>
      </c>
      <c r="T671" s="19" t="s">
        <v>684</v>
      </c>
    </row>
    <row r="672" spans="1:20" ht="37.5" customHeight="1" x14ac:dyDescent="0.25">
      <c r="A672" s="19" t="s">
        <v>685</v>
      </c>
      <c r="B672">
        <f t="shared" si="75"/>
        <v>77393</v>
      </c>
      <c r="C672">
        <v>14819</v>
      </c>
      <c r="D672">
        <v>62574</v>
      </c>
      <c r="F672">
        <f t="shared" si="70"/>
        <v>221</v>
      </c>
      <c r="G672" s="20">
        <f t="shared" si="76"/>
        <v>667</v>
      </c>
      <c r="H672" s="21">
        <v>23012070132</v>
      </c>
      <c r="I672" s="22">
        <v>923</v>
      </c>
      <c r="J672" s="23"/>
      <c r="K672" s="24">
        <v>77172</v>
      </c>
      <c r="L672" s="23">
        <f t="shared" si="71"/>
        <v>221</v>
      </c>
      <c r="M672" s="24">
        <v>14790</v>
      </c>
      <c r="N672" s="25">
        <f t="shared" si="72"/>
        <v>29</v>
      </c>
      <c r="O672" s="24">
        <v>62382</v>
      </c>
      <c r="P672" s="23">
        <f t="shared" si="73"/>
        <v>192</v>
      </c>
      <c r="Q672" s="26"/>
      <c r="R672" s="23">
        <f t="shared" si="74"/>
        <v>0</v>
      </c>
      <c r="S672" s="27" t="s">
        <v>18</v>
      </c>
      <c r="T672" s="19" t="s">
        <v>685</v>
      </c>
    </row>
    <row r="673" spans="1:20" ht="37.5" customHeight="1" x14ac:dyDescent="0.25">
      <c r="A673" s="19" t="s">
        <v>686</v>
      </c>
      <c r="B673">
        <f t="shared" si="75"/>
        <v>47481</v>
      </c>
      <c r="C673">
        <v>8346</v>
      </c>
      <c r="D673">
        <v>39135</v>
      </c>
      <c r="F673">
        <f t="shared" si="70"/>
        <v>274</v>
      </c>
      <c r="G673" s="20">
        <f t="shared" si="76"/>
        <v>668</v>
      </c>
      <c r="H673" s="21">
        <v>23013010316</v>
      </c>
      <c r="I673" s="22">
        <v>924</v>
      </c>
      <c r="J673" s="23"/>
      <c r="K673" s="24">
        <v>47207</v>
      </c>
      <c r="L673" s="23">
        <f t="shared" si="71"/>
        <v>274</v>
      </c>
      <c r="M673" s="24">
        <v>8310</v>
      </c>
      <c r="N673" s="25">
        <f t="shared" si="72"/>
        <v>36</v>
      </c>
      <c r="O673" s="24">
        <v>38897</v>
      </c>
      <c r="P673" s="23">
        <f t="shared" si="73"/>
        <v>238</v>
      </c>
      <c r="Q673" s="26"/>
      <c r="R673" s="23">
        <f t="shared" si="74"/>
        <v>0</v>
      </c>
      <c r="S673" s="27" t="s">
        <v>18</v>
      </c>
      <c r="T673" s="19" t="s">
        <v>686</v>
      </c>
    </row>
    <row r="674" spans="1:20" ht="37.5" customHeight="1" x14ac:dyDescent="0.25">
      <c r="A674" s="19" t="s">
        <v>687</v>
      </c>
      <c r="B674">
        <f t="shared" si="75"/>
        <v>14870</v>
      </c>
      <c r="C674">
        <v>2266</v>
      </c>
      <c r="D674">
        <v>12604</v>
      </c>
      <c r="F674">
        <f t="shared" si="70"/>
        <v>571</v>
      </c>
      <c r="G674" s="20">
        <f t="shared" si="76"/>
        <v>669</v>
      </c>
      <c r="H674" s="21">
        <v>88821020039</v>
      </c>
      <c r="I674" s="22">
        <v>925</v>
      </c>
      <c r="J674" s="23"/>
      <c r="K674" s="24">
        <v>14299</v>
      </c>
      <c r="L674" s="23">
        <f t="shared" si="71"/>
        <v>571</v>
      </c>
      <c r="M674" s="24">
        <v>2184</v>
      </c>
      <c r="N674" s="25">
        <f t="shared" si="72"/>
        <v>82</v>
      </c>
      <c r="O674" s="24">
        <v>12115</v>
      </c>
      <c r="P674" s="23">
        <f t="shared" si="73"/>
        <v>489</v>
      </c>
      <c r="Q674" s="26"/>
      <c r="R674" s="23">
        <f t="shared" si="74"/>
        <v>0</v>
      </c>
      <c r="S674" s="27" t="s">
        <v>18</v>
      </c>
      <c r="T674" s="19" t="s">
        <v>687</v>
      </c>
    </row>
    <row r="675" spans="1:20" ht="37.5" customHeight="1" x14ac:dyDescent="0.25">
      <c r="A675" s="19" t="s">
        <v>688</v>
      </c>
      <c r="B675">
        <f t="shared" si="75"/>
        <v>86018</v>
      </c>
      <c r="C675">
        <v>22660</v>
      </c>
      <c r="D675">
        <v>63358</v>
      </c>
      <c r="F675">
        <f t="shared" si="70"/>
        <v>450</v>
      </c>
      <c r="G675" s="20">
        <f t="shared" si="76"/>
        <v>670</v>
      </c>
      <c r="H675" s="21">
        <v>23010020171</v>
      </c>
      <c r="I675" s="22">
        <v>926</v>
      </c>
      <c r="J675" s="23"/>
      <c r="K675" s="24">
        <v>85568</v>
      </c>
      <c r="L675" s="23">
        <f t="shared" si="71"/>
        <v>450</v>
      </c>
      <c r="M675" s="24">
        <v>22598</v>
      </c>
      <c r="N675" s="25">
        <f t="shared" si="72"/>
        <v>62</v>
      </c>
      <c r="O675" s="24">
        <v>62970</v>
      </c>
      <c r="P675" s="23">
        <f t="shared" si="73"/>
        <v>388</v>
      </c>
      <c r="Q675" s="26"/>
      <c r="R675" s="23">
        <f t="shared" si="74"/>
        <v>0</v>
      </c>
      <c r="S675" s="27" t="s">
        <v>18</v>
      </c>
      <c r="T675" s="19" t="s">
        <v>688</v>
      </c>
    </row>
    <row r="676" spans="1:20" ht="37.5" customHeight="1" x14ac:dyDescent="0.25">
      <c r="A676" s="19" t="s">
        <v>689</v>
      </c>
      <c r="B676">
        <f t="shared" si="75"/>
        <v>17830</v>
      </c>
      <c r="C676">
        <v>3009</v>
      </c>
      <c r="D676">
        <v>14821</v>
      </c>
      <c r="F676">
        <f t="shared" si="70"/>
        <v>434</v>
      </c>
      <c r="G676" s="20">
        <f t="shared" si="76"/>
        <v>671</v>
      </c>
      <c r="H676" s="21">
        <v>66622010179</v>
      </c>
      <c r="I676" s="22">
        <v>927</v>
      </c>
      <c r="J676" s="23"/>
      <c r="K676" s="24">
        <v>17396</v>
      </c>
      <c r="L676" s="23">
        <f t="shared" si="71"/>
        <v>434</v>
      </c>
      <c r="M676" s="24">
        <v>2938</v>
      </c>
      <c r="N676" s="25">
        <f t="shared" si="72"/>
        <v>71</v>
      </c>
      <c r="O676" s="24">
        <v>14458</v>
      </c>
      <c r="P676" s="23">
        <f t="shared" si="73"/>
        <v>363</v>
      </c>
      <c r="Q676" s="26"/>
      <c r="R676" s="23">
        <f t="shared" si="74"/>
        <v>0</v>
      </c>
      <c r="S676" s="27" t="s">
        <v>18</v>
      </c>
      <c r="T676" s="19" t="s">
        <v>689</v>
      </c>
    </row>
    <row r="677" spans="1:20" ht="37.5" customHeight="1" x14ac:dyDescent="0.25">
      <c r="A677" s="19" t="s">
        <v>690</v>
      </c>
      <c r="B677">
        <f t="shared" si="75"/>
        <v>48221</v>
      </c>
      <c r="C677">
        <v>8720</v>
      </c>
      <c r="D677">
        <v>39501</v>
      </c>
      <c r="F677">
        <f t="shared" si="70"/>
        <v>246</v>
      </c>
      <c r="G677" s="20">
        <f t="shared" si="76"/>
        <v>672</v>
      </c>
      <c r="H677" s="21">
        <v>23012010007</v>
      </c>
      <c r="I677" s="22">
        <v>928</v>
      </c>
      <c r="J677" s="23"/>
      <c r="K677" s="24">
        <v>47975</v>
      </c>
      <c r="L677" s="23">
        <f t="shared" si="71"/>
        <v>246</v>
      </c>
      <c r="M677" s="24">
        <v>8683</v>
      </c>
      <c r="N677" s="25">
        <f t="shared" si="72"/>
        <v>37</v>
      </c>
      <c r="O677" s="24">
        <v>39292</v>
      </c>
      <c r="P677" s="23">
        <f t="shared" si="73"/>
        <v>209</v>
      </c>
      <c r="Q677" s="26"/>
      <c r="R677" s="23">
        <f t="shared" si="74"/>
        <v>0</v>
      </c>
      <c r="S677" s="27" t="s">
        <v>18</v>
      </c>
      <c r="T677" s="19" t="s">
        <v>690</v>
      </c>
    </row>
    <row r="678" spans="1:20" ht="37.5" customHeight="1" x14ac:dyDescent="0.25">
      <c r="A678" s="19" t="s">
        <v>691</v>
      </c>
      <c r="B678">
        <f t="shared" si="75"/>
        <v>1492</v>
      </c>
      <c r="C678">
        <v>404</v>
      </c>
      <c r="D678">
        <v>1088</v>
      </c>
      <c r="E678">
        <v>3453</v>
      </c>
      <c r="F678">
        <f t="shared" si="70"/>
        <v>221</v>
      </c>
      <c r="G678" s="20">
        <f t="shared" si="76"/>
        <v>673</v>
      </c>
      <c r="H678" s="21">
        <v>99624040200</v>
      </c>
      <c r="I678" s="22">
        <v>929</v>
      </c>
      <c r="J678" s="23"/>
      <c r="K678" s="24">
        <f>M678+O678</f>
        <v>1271</v>
      </c>
      <c r="L678" s="23">
        <f t="shared" si="71"/>
        <v>221</v>
      </c>
      <c r="M678" s="24">
        <v>340</v>
      </c>
      <c r="N678" s="25">
        <f t="shared" si="72"/>
        <v>64</v>
      </c>
      <c r="O678" s="24">
        <v>931</v>
      </c>
      <c r="P678" s="23">
        <f t="shared" si="73"/>
        <v>157</v>
      </c>
      <c r="Q678" s="26">
        <v>2738</v>
      </c>
      <c r="R678" s="23">
        <f t="shared" si="74"/>
        <v>715</v>
      </c>
      <c r="S678" s="27" t="s">
        <v>18</v>
      </c>
      <c r="T678" s="19" t="s">
        <v>691</v>
      </c>
    </row>
    <row r="679" spans="1:20" ht="37.5" customHeight="1" x14ac:dyDescent="0.25">
      <c r="A679" s="19" t="s">
        <v>692</v>
      </c>
      <c r="B679">
        <f t="shared" si="75"/>
        <v>7132</v>
      </c>
      <c r="C679">
        <v>1215</v>
      </c>
      <c r="D679">
        <v>5917</v>
      </c>
      <c r="F679">
        <f t="shared" si="70"/>
        <v>102</v>
      </c>
      <c r="G679" s="20">
        <f t="shared" si="76"/>
        <v>674</v>
      </c>
      <c r="H679" s="21">
        <v>66622030033</v>
      </c>
      <c r="I679" s="22">
        <v>930</v>
      </c>
      <c r="J679" s="23"/>
      <c r="K679" s="24">
        <v>7030</v>
      </c>
      <c r="L679" s="23">
        <f t="shared" si="71"/>
        <v>102</v>
      </c>
      <c r="M679" s="24">
        <v>1196</v>
      </c>
      <c r="N679" s="25">
        <f t="shared" si="72"/>
        <v>19</v>
      </c>
      <c r="O679" s="24">
        <v>5834</v>
      </c>
      <c r="P679" s="23">
        <f t="shared" si="73"/>
        <v>83</v>
      </c>
      <c r="Q679" s="26"/>
      <c r="R679" s="23">
        <f t="shared" si="74"/>
        <v>0</v>
      </c>
      <c r="S679" s="27" t="s">
        <v>18</v>
      </c>
      <c r="T679" s="19" t="s">
        <v>692</v>
      </c>
    </row>
    <row r="680" spans="1:20" ht="37.5" customHeight="1" x14ac:dyDescent="0.25">
      <c r="A680" s="19" t="s">
        <v>693</v>
      </c>
      <c r="B680">
        <f t="shared" si="75"/>
        <v>48130</v>
      </c>
      <c r="C680">
        <v>8473</v>
      </c>
      <c r="D680">
        <v>39657</v>
      </c>
      <c r="F680">
        <f t="shared" si="70"/>
        <v>671</v>
      </c>
      <c r="G680" s="20">
        <f t="shared" si="76"/>
        <v>675</v>
      </c>
      <c r="H680" s="21">
        <v>23014090112</v>
      </c>
      <c r="I680" s="22">
        <v>931</v>
      </c>
      <c r="J680" s="23"/>
      <c r="K680" s="24">
        <v>47459</v>
      </c>
      <c r="L680" s="23">
        <f t="shared" si="71"/>
        <v>671</v>
      </c>
      <c r="M680" s="24">
        <v>8276</v>
      </c>
      <c r="N680" s="25">
        <f t="shared" si="72"/>
        <v>197</v>
      </c>
      <c r="O680" s="24">
        <v>39183</v>
      </c>
      <c r="P680" s="23">
        <f t="shared" si="73"/>
        <v>474</v>
      </c>
      <c r="Q680" s="26"/>
      <c r="R680" s="23">
        <f t="shared" si="74"/>
        <v>0</v>
      </c>
      <c r="S680" s="27" t="s">
        <v>18</v>
      </c>
      <c r="T680" s="19" t="s">
        <v>693</v>
      </c>
    </row>
    <row r="681" spans="1:20" ht="37.5" customHeight="1" x14ac:dyDescent="0.25">
      <c r="A681" s="19" t="s">
        <v>694</v>
      </c>
      <c r="B681">
        <f t="shared" si="75"/>
        <v>46128</v>
      </c>
      <c r="C681">
        <v>8342</v>
      </c>
      <c r="D681">
        <v>37786</v>
      </c>
      <c r="F681">
        <f t="shared" si="70"/>
        <v>350</v>
      </c>
      <c r="G681" s="20">
        <f t="shared" si="76"/>
        <v>676</v>
      </c>
      <c r="H681" s="21">
        <v>23014090365</v>
      </c>
      <c r="I681" s="22">
        <v>933</v>
      </c>
      <c r="J681" s="23"/>
      <c r="K681" s="24">
        <v>45778</v>
      </c>
      <c r="L681" s="23">
        <f t="shared" si="71"/>
        <v>350</v>
      </c>
      <c r="M681" s="24">
        <v>8271</v>
      </c>
      <c r="N681" s="25">
        <f t="shared" si="72"/>
        <v>71</v>
      </c>
      <c r="O681" s="24">
        <v>37507</v>
      </c>
      <c r="P681" s="23">
        <f t="shared" si="73"/>
        <v>279</v>
      </c>
      <c r="Q681" s="26"/>
      <c r="R681" s="23">
        <f t="shared" si="74"/>
        <v>0</v>
      </c>
      <c r="S681" s="27" t="s">
        <v>18</v>
      </c>
      <c r="T681" s="19" t="s">
        <v>694</v>
      </c>
    </row>
    <row r="682" spans="1:20" ht="37.5" customHeight="1" x14ac:dyDescent="0.25">
      <c r="A682" s="19" t="s">
        <v>695</v>
      </c>
      <c r="B682">
        <f t="shared" si="75"/>
        <v>55876</v>
      </c>
      <c r="C682">
        <v>8672</v>
      </c>
      <c r="D682">
        <v>47204</v>
      </c>
      <c r="F682">
        <f t="shared" si="70"/>
        <v>697</v>
      </c>
      <c r="G682" s="20">
        <f t="shared" si="76"/>
        <v>677</v>
      </c>
      <c r="H682" s="21">
        <v>88819020026</v>
      </c>
      <c r="I682" s="22">
        <v>934</v>
      </c>
      <c r="J682" s="23"/>
      <c r="K682" s="24">
        <v>55179</v>
      </c>
      <c r="L682" s="23">
        <f t="shared" si="71"/>
        <v>697</v>
      </c>
      <c r="M682" s="24">
        <v>8572</v>
      </c>
      <c r="N682" s="25">
        <f t="shared" si="72"/>
        <v>100</v>
      </c>
      <c r="O682" s="24">
        <v>46607</v>
      </c>
      <c r="P682" s="23">
        <f t="shared" si="73"/>
        <v>597</v>
      </c>
      <c r="Q682" s="26"/>
      <c r="R682" s="23">
        <f t="shared" si="74"/>
        <v>0</v>
      </c>
      <c r="S682" s="27" t="s">
        <v>18</v>
      </c>
      <c r="T682" s="19" t="s">
        <v>695</v>
      </c>
    </row>
    <row r="683" spans="1:20" ht="37.5" customHeight="1" x14ac:dyDescent="0.25">
      <c r="A683" s="19" t="s">
        <v>696</v>
      </c>
      <c r="B683">
        <f t="shared" si="75"/>
        <v>32024</v>
      </c>
      <c r="C683">
        <v>4759</v>
      </c>
      <c r="D683">
        <v>27265</v>
      </c>
      <c r="F683">
        <f t="shared" si="70"/>
        <v>838</v>
      </c>
      <c r="G683" s="20">
        <f t="shared" si="76"/>
        <v>678</v>
      </c>
      <c r="H683" s="21">
        <v>66621100466</v>
      </c>
      <c r="I683" s="22">
        <v>935</v>
      </c>
      <c r="J683" s="23"/>
      <c r="K683" s="24">
        <v>31186</v>
      </c>
      <c r="L683" s="23">
        <f t="shared" si="71"/>
        <v>838</v>
      </c>
      <c r="M683" s="24">
        <v>4605</v>
      </c>
      <c r="N683" s="25">
        <f t="shared" si="72"/>
        <v>154</v>
      </c>
      <c r="O683" s="24">
        <v>26581</v>
      </c>
      <c r="P683" s="23">
        <f t="shared" si="73"/>
        <v>684</v>
      </c>
      <c r="Q683" s="26"/>
      <c r="R683" s="23">
        <f t="shared" si="74"/>
        <v>0</v>
      </c>
      <c r="S683" s="27" t="s">
        <v>18</v>
      </c>
      <c r="T683" s="19" t="s">
        <v>696</v>
      </c>
    </row>
    <row r="684" spans="1:20" ht="37.5" customHeight="1" x14ac:dyDescent="0.25">
      <c r="A684" s="19" t="s">
        <v>697</v>
      </c>
      <c r="B684">
        <f t="shared" si="75"/>
        <v>799</v>
      </c>
      <c r="C684">
        <v>212</v>
      </c>
      <c r="D684">
        <v>587</v>
      </c>
      <c r="F684">
        <f t="shared" si="70"/>
        <v>3</v>
      </c>
      <c r="G684" s="20">
        <f t="shared" si="76"/>
        <v>679</v>
      </c>
      <c r="H684" s="21">
        <v>66622060438</v>
      </c>
      <c r="I684" s="22">
        <v>937</v>
      </c>
      <c r="J684" s="23"/>
      <c r="K684" s="24">
        <v>796</v>
      </c>
      <c r="L684" s="23">
        <f t="shared" si="71"/>
        <v>3</v>
      </c>
      <c r="M684" s="24">
        <v>206</v>
      </c>
      <c r="N684" s="25">
        <f t="shared" si="72"/>
        <v>6</v>
      </c>
      <c r="O684" s="24">
        <v>570</v>
      </c>
      <c r="P684" s="23">
        <f t="shared" si="73"/>
        <v>17</v>
      </c>
      <c r="Q684" s="26"/>
      <c r="R684" s="23">
        <f t="shared" si="74"/>
        <v>0</v>
      </c>
      <c r="S684" s="27" t="s">
        <v>18</v>
      </c>
      <c r="T684" s="19" t="s">
        <v>697</v>
      </c>
    </row>
    <row r="685" spans="1:20" ht="37.5" customHeight="1" x14ac:dyDescent="0.25">
      <c r="A685" s="19" t="s">
        <v>698</v>
      </c>
      <c r="B685">
        <f t="shared" si="75"/>
        <v>97953</v>
      </c>
      <c r="C685">
        <v>15525</v>
      </c>
      <c r="D685">
        <v>82428</v>
      </c>
      <c r="F685">
        <f t="shared" si="70"/>
        <v>871</v>
      </c>
      <c r="G685" s="20">
        <f t="shared" si="76"/>
        <v>680</v>
      </c>
      <c r="H685" s="21">
        <v>23014010475</v>
      </c>
      <c r="I685" s="22">
        <v>938</v>
      </c>
      <c r="J685" s="23"/>
      <c r="K685" s="24">
        <v>97082</v>
      </c>
      <c r="L685" s="23">
        <f t="shared" si="71"/>
        <v>871</v>
      </c>
      <c r="M685" s="24">
        <v>15396</v>
      </c>
      <c r="N685" s="25">
        <f t="shared" si="72"/>
        <v>129</v>
      </c>
      <c r="O685" s="24">
        <v>81686</v>
      </c>
      <c r="P685" s="23">
        <f t="shared" si="73"/>
        <v>742</v>
      </c>
      <c r="Q685" s="26"/>
      <c r="R685" s="23">
        <f t="shared" si="74"/>
        <v>0</v>
      </c>
      <c r="S685" s="27" t="s">
        <v>18</v>
      </c>
      <c r="T685" s="19" t="s">
        <v>698</v>
      </c>
    </row>
    <row r="686" spans="1:20" ht="37.5" customHeight="1" x14ac:dyDescent="0.25">
      <c r="A686" s="19" t="s">
        <v>699</v>
      </c>
      <c r="B686">
        <f t="shared" si="75"/>
        <v>80598</v>
      </c>
      <c r="C686">
        <v>14354</v>
      </c>
      <c r="D686">
        <v>66244</v>
      </c>
      <c r="F686">
        <f t="shared" si="70"/>
        <v>227</v>
      </c>
      <c r="G686" s="20">
        <f t="shared" si="76"/>
        <v>681</v>
      </c>
      <c r="H686" s="21">
        <v>23012110118</v>
      </c>
      <c r="I686" s="22">
        <v>939</v>
      </c>
      <c r="J686" s="23"/>
      <c r="K686" s="24">
        <v>80371</v>
      </c>
      <c r="L686" s="23">
        <f t="shared" si="71"/>
        <v>227</v>
      </c>
      <c r="M686" s="24">
        <v>14312</v>
      </c>
      <c r="N686" s="25">
        <f t="shared" si="72"/>
        <v>42</v>
      </c>
      <c r="O686" s="24">
        <v>66059</v>
      </c>
      <c r="P686" s="23">
        <f t="shared" si="73"/>
        <v>185</v>
      </c>
      <c r="Q686" s="26"/>
      <c r="R686" s="23">
        <f t="shared" si="74"/>
        <v>0</v>
      </c>
      <c r="S686" s="27" t="s">
        <v>18</v>
      </c>
      <c r="T686" s="19" t="s">
        <v>699</v>
      </c>
    </row>
    <row r="687" spans="1:20" ht="37.5" customHeight="1" x14ac:dyDescent="0.25">
      <c r="A687" s="19" t="s">
        <v>700</v>
      </c>
      <c r="B687">
        <f t="shared" si="75"/>
        <v>19258</v>
      </c>
      <c r="C687">
        <v>3367</v>
      </c>
      <c r="D687">
        <v>15891</v>
      </c>
      <c r="F687">
        <f t="shared" si="70"/>
        <v>359</v>
      </c>
      <c r="G687" s="20">
        <f t="shared" si="76"/>
        <v>682</v>
      </c>
      <c r="H687" s="21">
        <v>23014090986</v>
      </c>
      <c r="I687" s="22">
        <v>940</v>
      </c>
      <c r="J687" s="23"/>
      <c r="K687" s="24">
        <v>18899</v>
      </c>
      <c r="L687" s="23">
        <f t="shared" si="71"/>
        <v>359</v>
      </c>
      <c r="M687" s="24">
        <v>3298</v>
      </c>
      <c r="N687" s="25">
        <f t="shared" si="72"/>
        <v>69</v>
      </c>
      <c r="O687" s="24">
        <v>15601</v>
      </c>
      <c r="P687" s="23">
        <f t="shared" si="73"/>
        <v>290</v>
      </c>
      <c r="Q687" s="26"/>
      <c r="R687" s="23">
        <f t="shared" si="74"/>
        <v>0</v>
      </c>
      <c r="S687" s="27" t="s">
        <v>18</v>
      </c>
      <c r="T687" s="19" t="s">
        <v>700</v>
      </c>
    </row>
    <row r="688" spans="1:20" ht="37.5" customHeight="1" x14ac:dyDescent="0.25">
      <c r="A688" s="19" t="s">
        <v>701</v>
      </c>
      <c r="B688">
        <f t="shared" si="75"/>
        <v>7301</v>
      </c>
      <c r="C688">
        <v>1626</v>
      </c>
      <c r="D688">
        <v>5675</v>
      </c>
      <c r="E688">
        <v>16197</v>
      </c>
      <c r="F688">
        <f t="shared" si="70"/>
        <v>313</v>
      </c>
      <c r="G688" s="20">
        <f t="shared" si="76"/>
        <v>683</v>
      </c>
      <c r="H688" s="21">
        <v>99723060068</v>
      </c>
      <c r="I688" s="22">
        <v>941</v>
      </c>
      <c r="J688" s="23"/>
      <c r="K688" s="24">
        <f>M688+O688</f>
        <v>6988</v>
      </c>
      <c r="L688" s="23">
        <f t="shared" si="71"/>
        <v>313</v>
      </c>
      <c r="M688" s="24">
        <v>1545</v>
      </c>
      <c r="N688" s="25">
        <f t="shared" si="72"/>
        <v>81</v>
      </c>
      <c r="O688" s="24">
        <v>5443</v>
      </c>
      <c r="P688" s="23">
        <f t="shared" si="73"/>
        <v>232</v>
      </c>
      <c r="Q688" s="26">
        <v>15020</v>
      </c>
      <c r="R688" s="23">
        <f t="shared" si="74"/>
        <v>1177</v>
      </c>
      <c r="S688" s="27" t="s">
        <v>18</v>
      </c>
      <c r="T688" s="19" t="s">
        <v>701</v>
      </c>
    </row>
    <row r="689" spans="1:20" ht="37.5" customHeight="1" x14ac:dyDescent="0.25">
      <c r="A689" s="19" t="s">
        <v>702</v>
      </c>
      <c r="B689">
        <f t="shared" si="75"/>
        <v>75099</v>
      </c>
      <c r="C689">
        <v>11845</v>
      </c>
      <c r="D689">
        <v>63254</v>
      </c>
      <c r="F689">
        <f t="shared" si="70"/>
        <v>758</v>
      </c>
      <c r="G689" s="20">
        <f t="shared" si="76"/>
        <v>684</v>
      </c>
      <c r="H689" s="21">
        <v>23014090893</v>
      </c>
      <c r="I689" s="22">
        <v>942</v>
      </c>
      <c r="J689" s="23"/>
      <c r="K689" s="24">
        <v>74341</v>
      </c>
      <c r="L689" s="23">
        <f t="shared" si="71"/>
        <v>758</v>
      </c>
      <c r="M689" s="24">
        <v>11718</v>
      </c>
      <c r="N689" s="25">
        <f t="shared" si="72"/>
        <v>127</v>
      </c>
      <c r="O689" s="24">
        <v>62623</v>
      </c>
      <c r="P689" s="23">
        <f t="shared" si="73"/>
        <v>631</v>
      </c>
      <c r="Q689" s="26"/>
      <c r="R689" s="23">
        <f t="shared" si="74"/>
        <v>0</v>
      </c>
      <c r="S689" s="27" t="s">
        <v>18</v>
      </c>
      <c r="T689" s="19" t="s">
        <v>702</v>
      </c>
    </row>
    <row r="690" spans="1:20" ht="37.5" customHeight="1" x14ac:dyDescent="0.25">
      <c r="A690" s="19" t="s">
        <v>703</v>
      </c>
      <c r="B690">
        <f t="shared" si="75"/>
        <v>16965</v>
      </c>
      <c r="C690">
        <v>2361</v>
      </c>
      <c r="D690">
        <v>14604</v>
      </c>
      <c r="F690">
        <f t="shared" si="70"/>
        <v>232</v>
      </c>
      <c r="G690" s="20">
        <f t="shared" si="76"/>
        <v>685</v>
      </c>
      <c r="H690" s="21">
        <v>66621070355</v>
      </c>
      <c r="I690" s="22">
        <v>943</v>
      </c>
      <c r="J690" s="23"/>
      <c r="K690" s="24">
        <v>16733</v>
      </c>
      <c r="L690" s="23">
        <f t="shared" si="71"/>
        <v>232</v>
      </c>
      <c r="M690" s="24">
        <v>2316</v>
      </c>
      <c r="N690" s="25">
        <f t="shared" si="72"/>
        <v>45</v>
      </c>
      <c r="O690" s="24">
        <v>14417</v>
      </c>
      <c r="P690" s="23">
        <f t="shared" si="73"/>
        <v>187</v>
      </c>
      <c r="Q690" s="26"/>
      <c r="R690" s="23">
        <f t="shared" si="74"/>
        <v>0</v>
      </c>
      <c r="S690" s="27" t="s">
        <v>18</v>
      </c>
      <c r="T690" s="19" t="s">
        <v>703</v>
      </c>
    </row>
    <row r="691" spans="1:20" ht="37.5" customHeight="1" x14ac:dyDescent="0.25">
      <c r="A691" s="19" t="s">
        <v>704</v>
      </c>
      <c r="B691">
        <f t="shared" si="75"/>
        <v>96530</v>
      </c>
      <c r="C691">
        <v>23347</v>
      </c>
      <c r="D691">
        <v>73183</v>
      </c>
      <c r="F691">
        <f t="shared" si="70"/>
        <v>283</v>
      </c>
      <c r="G691" s="20">
        <f t="shared" si="76"/>
        <v>686</v>
      </c>
      <c r="H691" s="21">
        <v>23010050087</v>
      </c>
      <c r="I691" s="22">
        <v>944</v>
      </c>
      <c r="J691" s="23"/>
      <c r="K691" s="24">
        <v>96247</v>
      </c>
      <c r="L691" s="23">
        <f t="shared" si="71"/>
        <v>283</v>
      </c>
      <c r="M691" s="24">
        <v>23310</v>
      </c>
      <c r="N691" s="25">
        <f t="shared" si="72"/>
        <v>37</v>
      </c>
      <c r="O691" s="24">
        <v>72937</v>
      </c>
      <c r="P691" s="23">
        <f t="shared" si="73"/>
        <v>246</v>
      </c>
      <c r="Q691" s="26"/>
      <c r="R691" s="23">
        <f t="shared" si="74"/>
        <v>0</v>
      </c>
      <c r="S691" s="27" t="s">
        <v>18</v>
      </c>
      <c r="T691" s="19" t="s">
        <v>704</v>
      </c>
    </row>
    <row r="692" spans="1:20" ht="37.5" customHeight="1" x14ac:dyDescent="0.25">
      <c r="A692" s="19" t="s">
        <v>705</v>
      </c>
      <c r="B692">
        <f t="shared" si="75"/>
        <v>29528</v>
      </c>
      <c r="C692">
        <v>4616</v>
      </c>
      <c r="D692">
        <v>24912</v>
      </c>
      <c r="F692">
        <f t="shared" si="70"/>
        <v>142</v>
      </c>
      <c r="G692" s="20">
        <f t="shared" si="76"/>
        <v>687</v>
      </c>
      <c r="H692" s="21">
        <v>23013090323</v>
      </c>
      <c r="I692" s="22">
        <v>945</v>
      </c>
      <c r="J692" s="23"/>
      <c r="K692" s="24">
        <v>29386</v>
      </c>
      <c r="L692" s="23">
        <f t="shared" si="71"/>
        <v>142</v>
      </c>
      <c r="M692" s="24">
        <v>4614</v>
      </c>
      <c r="N692" s="25">
        <f t="shared" si="72"/>
        <v>2</v>
      </c>
      <c r="O692" s="24">
        <v>24772</v>
      </c>
      <c r="P692" s="23">
        <f t="shared" si="73"/>
        <v>140</v>
      </c>
      <c r="Q692" s="26"/>
      <c r="R692" s="23">
        <f t="shared" si="74"/>
        <v>0</v>
      </c>
      <c r="S692" s="27" t="s">
        <v>18</v>
      </c>
      <c r="T692" s="19" t="s">
        <v>705</v>
      </c>
    </row>
    <row r="693" spans="1:20" ht="37.5" customHeight="1" x14ac:dyDescent="0.25">
      <c r="A693" s="19" t="s">
        <v>706</v>
      </c>
      <c r="B693">
        <f t="shared" si="75"/>
        <v>12549</v>
      </c>
      <c r="C693">
        <v>2496</v>
      </c>
      <c r="D693">
        <v>10053</v>
      </c>
      <c r="F693">
        <f t="shared" si="70"/>
        <v>344</v>
      </c>
      <c r="G693" s="20">
        <f t="shared" si="76"/>
        <v>688</v>
      </c>
      <c r="H693" s="21">
        <v>66622050440</v>
      </c>
      <c r="I693" s="22">
        <v>946</v>
      </c>
      <c r="J693" s="23"/>
      <c r="K693" s="24">
        <v>12205</v>
      </c>
      <c r="L693" s="23">
        <f t="shared" si="71"/>
        <v>344</v>
      </c>
      <c r="M693" s="24">
        <v>2439</v>
      </c>
      <c r="N693" s="25">
        <f t="shared" si="72"/>
        <v>57</v>
      </c>
      <c r="O693" s="24">
        <v>9766</v>
      </c>
      <c r="P693" s="23">
        <f t="shared" si="73"/>
        <v>287</v>
      </c>
      <c r="Q693" s="26"/>
      <c r="R693" s="23">
        <f t="shared" si="74"/>
        <v>0</v>
      </c>
      <c r="S693" s="27" t="s">
        <v>18</v>
      </c>
      <c r="T693" s="19" t="s">
        <v>706</v>
      </c>
    </row>
    <row r="694" spans="1:20" ht="37.5" customHeight="1" x14ac:dyDescent="0.25">
      <c r="A694" s="19" t="s">
        <v>707</v>
      </c>
      <c r="B694">
        <f t="shared" si="75"/>
        <v>54119</v>
      </c>
      <c r="C694">
        <v>9079</v>
      </c>
      <c r="D694">
        <v>45040</v>
      </c>
      <c r="F694">
        <f t="shared" si="70"/>
        <v>274</v>
      </c>
      <c r="G694" s="20">
        <f t="shared" si="76"/>
        <v>689</v>
      </c>
      <c r="H694" s="21">
        <v>23013080480</v>
      </c>
      <c r="I694" s="22">
        <v>947</v>
      </c>
      <c r="J694" s="23"/>
      <c r="K694" s="24">
        <v>53845</v>
      </c>
      <c r="L694" s="23">
        <f t="shared" si="71"/>
        <v>274</v>
      </c>
      <c r="M694" s="24">
        <v>9028</v>
      </c>
      <c r="N694" s="25">
        <f t="shared" si="72"/>
        <v>51</v>
      </c>
      <c r="O694" s="24">
        <v>44817</v>
      </c>
      <c r="P694" s="23">
        <f t="shared" si="73"/>
        <v>223</v>
      </c>
      <c r="Q694" s="26"/>
      <c r="R694" s="23">
        <f t="shared" si="74"/>
        <v>0</v>
      </c>
      <c r="S694" s="27" t="s">
        <v>18</v>
      </c>
      <c r="T694" s="19" t="s">
        <v>707</v>
      </c>
    </row>
    <row r="695" spans="1:20" ht="37.5" customHeight="1" x14ac:dyDescent="0.25">
      <c r="A695" s="19" t="s">
        <v>708</v>
      </c>
      <c r="B695">
        <f t="shared" si="75"/>
        <v>4083</v>
      </c>
      <c r="C695">
        <v>475</v>
      </c>
      <c r="D695">
        <v>3608</v>
      </c>
      <c r="E695">
        <v>6625</v>
      </c>
      <c r="F695">
        <f t="shared" si="70"/>
        <v>318</v>
      </c>
      <c r="G695" s="20">
        <f t="shared" si="76"/>
        <v>690</v>
      </c>
      <c r="H695" s="21">
        <v>99624030181</v>
      </c>
      <c r="I695" s="22">
        <v>948</v>
      </c>
      <c r="J695" s="23"/>
      <c r="K695" s="24">
        <f>M695+O695</f>
        <v>3765</v>
      </c>
      <c r="L695" s="23">
        <f t="shared" si="71"/>
        <v>318</v>
      </c>
      <c r="M695" s="24">
        <v>425</v>
      </c>
      <c r="N695" s="25">
        <f t="shared" si="72"/>
        <v>50</v>
      </c>
      <c r="O695" s="24">
        <v>3340</v>
      </c>
      <c r="P695" s="23">
        <f t="shared" si="73"/>
        <v>268</v>
      </c>
      <c r="Q695" s="26">
        <v>5504</v>
      </c>
      <c r="R695" s="23">
        <f t="shared" si="74"/>
        <v>1121</v>
      </c>
      <c r="S695" s="27" t="s">
        <v>18</v>
      </c>
      <c r="T695" s="19" t="s">
        <v>708</v>
      </c>
    </row>
    <row r="696" spans="1:20" ht="37.5" customHeight="1" x14ac:dyDescent="0.25">
      <c r="A696" s="19" t="s">
        <v>709</v>
      </c>
      <c r="B696">
        <f t="shared" si="75"/>
        <v>3909</v>
      </c>
      <c r="C696">
        <v>833</v>
      </c>
      <c r="D696">
        <v>3076</v>
      </c>
      <c r="E696">
        <v>5784</v>
      </c>
      <c r="F696">
        <f t="shared" si="70"/>
        <v>300</v>
      </c>
      <c r="G696" s="20">
        <f t="shared" si="76"/>
        <v>691</v>
      </c>
      <c r="H696" s="21">
        <v>99624030189</v>
      </c>
      <c r="I696" s="22">
        <v>949</v>
      </c>
      <c r="J696" s="23"/>
      <c r="K696" s="24">
        <f>M696+O696</f>
        <v>3609</v>
      </c>
      <c r="L696" s="23">
        <f t="shared" si="71"/>
        <v>300</v>
      </c>
      <c r="M696" s="24">
        <v>769</v>
      </c>
      <c r="N696" s="25">
        <f t="shared" si="72"/>
        <v>64</v>
      </c>
      <c r="O696" s="24">
        <v>2840</v>
      </c>
      <c r="P696" s="23">
        <f t="shared" si="73"/>
        <v>236</v>
      </c>
      <c r="Q696" s="26">
        <v>4881</v>
      </c>
      <c r="R696" s="23">
        <f t="shared" si="74"/>
        <v>903</v>
      </c>
      <c r="S696" s="27" t="s">
        <v>18</v>
      </c>
      <c r="T696" s="19" t="s">
        <v>709</v>
      </c>
    </row>
    <row r="697" spans="1:20" ht="37.5" customHeight="1" x14ac:dyDescent="0.25">
      <c r="A697" s="19" t="s">
        <v>710</v>
      </c>
      <c r="B697">
        <f t="shared" si="75"/>
        <v>40609</v>
      </c>
      <c r="C697">
        <v>6397</v>
      </c>
      <c r="D697">
        <v>34212</v>
      </c>
      <c r="F697">
        <f t="shared" si="70"/>
        <v>173</v>
      </c>
      <c r="G697" s="20">
        <f t="shared" si="76"/>
        <v>692</v>
      </c>
      <c r="H697" s="21">
        <v>88819010032</v>
      </c>
      <c r="I697" s="22">
        <v>950</v>
      </c>
      <c r="J697" s="23"/>
      <c r="K697" s="24">
        <v>40436</v>
      </c>
      <c r="L697" s="23">
        <f t="shared" si="71"/>
        <v>173</v>
      </c>
      <c r="M697" s="24">
        <v>6367</v>
      </c>
      <c r="N697" s="25">
        <f t="shared" si="72"/>
        <v>30</v>
      </c>
      <c r="O697" s="24">
        <v>34069</v>
      </c>
      <c r="P697" s="23">
        <f t="shared" si="73"/>
        <v>143</v>
      </c>
      <c r="Q697" s="26"/>
      <c r="R697" s="23">
        <f t="shared" si="74"/>
        <v>0</v>
      </c>
      <c r="S697" s="27" t="s">
        <v>18</v>
      </c>
      <c r="T697" s="19" t="s">
        <v>710</v>
      </c>
    </row>
    <row r="698" spans="1:20" ht="37.5" customHeight="1" x14ac:dyDescent="0.25">
      <c r="A698" s="19" t="s">
        <v>711</v>
      </c>
      <c r="B698">
        <f t="shared" si="75"/>
        <v>54118</v>
      </c>
      <c r="C698">
        <v>10052</v>
      </c>
      <c r="D698">
        <v>44066</v>
      </c>
      <c r="F698">
        <f t="shared" si="70"/>
        <v>438</v>
      </c>
      <c r="G698" s="20">
        <f t="shared" si="76"/>
        <v>693</v>
      </c>
      <c r="H698" s="21">
        <v>23014060019</v>
      </c>
      <c r="I698" s="22">
        <v>951</v>
      </c>
      <c r="J698" s="23"/>
      <c r="K698" s="24">
        <v>53680</v>
      </c>
      <c r="L698" s="23">
        <f t="shared" si="71"/>
        <v>438</v>
      </c>
      <c r="M698" s="24">
        <v>9973</v>
      </c>
      <c r="N698" s="25">
        <f t="shared" si="72"/>
        <v>79</v>
      </c>
      <c r="O698" s="24">
        <v>43707</v>
      </c>
      <c r="P698" s="23">
        <f t="shared" si="73"/>
        <v>359</v>
      </c>
      <c r="Q698" s="26"/>
      <c r="R698" s="23">
        <f t="shared" si="74"/>
        <v>0</v>
      </c>
      <c r="S698" s="27" t="s">
        <v>18</v>
      </c>
      <c r="T698" s="19" t="s">
        <v>711</v>
      </c>
    </row>
    <row r="699" spans="1:20" ht="37.5" customHeight="1" x14ac:dyDescent="0.25">
      <c r="A699" s="19" t="s">
        <v>712</v>
      </c>
      <c r="B699">
        <f t="shared" si="75"/>
        <v>48289</v>
      </c>
      <c r="C699">
        <v>8177</v>
      </c>
      <c r="D699">
        <v>40112</v>
      </c>
      <c r="F699">
        <f t="shared" si="70"/>
        <v>185</v>
      </c>
      <c r="G699" s="20">
        <f t="shared" si="76"/>
        <v>694</v>
      </c>
      <c r="H699" s="21">
        <v>23014090063</v>
      </c>
      <c r="I699" s="22">
        <v>952</v>
      </c>
      <c r="J699" s="23"/>
      <c r="K699" s="24">
        <v>48104</v>
      </c>
      <c r="L699" s="23">
        <f t="shared" si="71"/>
        <v>185</v>
      </c>
      <c r="M699" s="24">
        <v>8167</v>
      </c>
      <c r="N699" s="25">
        <f t="shared" si="72"/>
        <v>10</v>
      </c>
      <c r="O699" s="24">
        <v>39937</v>
      </c>
      <c r="P699" s="23">
        <f t="shared" si="73"/>
        <v>175</v>
      </c>
      <c r="Q699" s="26"/>
      <c r="R699" s="23">
        <f t="shared" si="74"/>
        <v>0</v>
      </c>
      <c r="S699" s="27" t="s">
        <v>18</v>
      </c>
      <c r="T699" s="19" t="s">
        <v>712</v>
      </c>
    </row>
    <row r="700" spans="1:20" ht="37.5" customHeight="1" x14ac:dyDescent="0.25">
      <c r="A700" s="19" t="s">
        <v>713</v>
      </c>
      <c r="B700">
        <f t="shared" si="75"/>
        <v>61585</v>
      </c>
      <c r="C700">
        <v>10613</v>
      </c>
      <c r="D700">
        <v>50972</v>
      </c>
      <c r="F700">
        <f t="shared" si="70"/>
        <v>505</v>
      </c>
      <c r="G700" s="20">
        <f t="shared" si="76"/>
        <v>695</v>
      </c>
      <c r="H700" s="21">
        <v>88819030281</v>
      </c>
      <c r="I700" s="22">
        <v>953</v>
      </c>
      <c r="J700" s="23"/>
      <c r="K700" s="24">
        <v>61080</v>
      </c>
      <c r="L700" s="23">
        <f t="shared" si="71"/>
        <v>505</v>
      </c>
      <c r="M700" s="24">
        <v>10519</v>
      </c>
      <c r="N700" s="25">
        <f t="shared" si="72"/>
        <v>94</v>
      </c>
      <c r="O700" s="24">
        <v>50561</v>
      </c>
      <c r="P700" s="23">
        <f t="shared" si="73"/>
        <v>411</v>
      </c>
      <c r="Q700" s="26"/>
      <c r="R700" s="23">
        <f t="shared" si="74"/>
        <v>0</v>
      </c>
      <c r="S700" s="27" t="s">
        <v>18</v>
      </c>
      <c r="T700" s="19" t="s">
        <v>713</v>
      </c>
    </row>
    <row r="701" spans="1:20" ht="37.5" customHeight="1" x14ac:dyDescent="0.25">
      <c r="A701" s="19" t="s">
        <v>714</v>
      </c>
      <c r="B701">
        <f t="shared" si="75"/>
        <v>47899</v>
      </c>
      <c r="C701">
        <v>10884</v>
      </c>
      <c r="D701">
        <v>37015</v>
      </c>
      <c r="F701">
        <f t="shared" si="70"/>
        <v>20</v>
      </c>
      <c r="G701" s="20">
        <f t="shared" si="76"/>
        <v>696</v>
      </c>
      <c r="H701" s="21">
        <v>23011070001</v>
      </c>
      <c r="I701" s="22">
        <v>954</v>
      </c>
      <c r="J701" s="23"/>
      <c r="K701" s="24">
        <v>47879</v>
      </c>
      <c r="L701" s="23">
        <f t="shared" si="71"/>
        <v>20</v>
      </c>
      <c r="M701" s="24">
        <v>10881</v>
      </c>
      <c r="N701" s="25">
        <f t="shared" si="72"/>
        <v>3</v>
      </c>
      <c r="O701" s="24">
        <v>36998</v>
      </c>
      <c r="P701" s="23">
        <f t="shared" si="73"/>
        <v>17</v>
      </c>
      <c r="Q701" s="26"/>
      <c r="R701" s="23">
        <f t="shared" si="74"/>
        <v>0</v>
      </c>
      <c r="S701" s="27" t="s">
        <v>18</v>
      </c>
      <c r="T701" s="19" t="s">
        <v>714</v>
      </c>
    </row>
    <row r="702" spans="1:20" ht="37.5" customHeight="1" x14ac:dyDescent="0.25">
      <c r="A702" s="19" t="s">
        <v>715</v>
      </c>
      <c r="B702">
        <f t="shared" si="75"/>
        <v>18553</v>
      </c>
      <c r="C702">
        <v>2928</v>
      </c>
      <c r="D702">
        <v>15625</v>
      </c>
      <c r="F702">
        <f t="shared" si="70"/>
        <v>192</v>
      </c>
      <c r="G702" s="20">
        <f t="shared" si="76"/>
        <v>697</v>
      </c>
      <c r="H702" s="21">
        <v>88820010453</v>
      </c>
      <c r="I702" s="22">
        <v>955</v>
      </c>
      <c r="J702" s="23"/>
      <c r="K702" s="24">
        <v>18361</v>
      </c>
      <c r="L702" s="23">
        <f t="shared" si="71"/>
        <v>192</v>
      </c>
      <c r="M702" s="24">
        <v>2894</v>
      </c>
      <c r="N702" s="25">
        <f t="shared" si="72"/>
        <v>34</v>
      </c>
      <c r="O702" s="24">
        <v>15467</v>
      </c>
      <c r="P702" s="23">
        <f t="shared" si="73"/>
        <v>158</v>
      </c>
      <c r="Q702" s="26"/>
      <c r="R702" s="23">
        <f t="shared" si="74"/>
        <v>0</v>
      </c>
      <c r="S702" s="27" t="s">
        <v>18</v>
      </c>
      <c r="T702" s="19" t="s">
        <v>715</v>
      </c>
    </row>
    <row r="703" spans="1:20" ht="37.5" customHeight="1" x14ac:dyDescent="0.25">
      <c r="A703" s="19" t="s">
        <v>716</v>
      </c>
      <c r="B703">
        <f t="shared" si="75"/>
        <v>19922</v>
      </c>
      <c r="C703">
        <v>3212</v>
      </c>
      <c r="D703">
        <v>16710</v>
      </c>
      <c r="F703">
        <f t="shared" si="70"/>
        <v>399</v>
      </c>
      <c r="G703" s="20">
        <f t="shared" si="76"/>
        <v>698</v>
      </c>
      <c r="H703" s="21">
        <v>66621070443</v>
      </c>
      <c r="I703" s="22">
        <v>956</v>
      </c>
      <c r="J703" s="23"/>
      <c r="K703" s="24">
        <v>19523</v>
      </c>
      <c r="L703" s="23">
        <f t="shared" si="71"/>
        <v>399</v>
      </c>
      <c r="M703" s="24">
        <v>3144</v>
      </c>
      <c r="N703" s="25">
        <f t="shared" si="72"/>
        <v>68</v>
      </c>
      <c r="O703" s="24">
        <v>16379</v>
      </c>
      <c r="P703" s="23">
        <f t="shared" si="73"/>
        <v>331</v>
      </c>
      <c r="Q703" s="26"/>
      <c r="R703" s="23">
        <f t="shared" si="74"/>
        <v>0</v>
      </c>
      <c r="S703" s="27" t="s">
        <v>18</v>
      </c>
      <c r="T703" s="19" t="s">
        <v>716</v>
      </c>
    </row>
    <row r="704" spans="1:20" ht="37.5" customHeight="1" x14ac:dyDescent="0.25">
      <c r="A704" s="19" t="s">
        <v>717</v>
      </c>
      <c r="B704">
        <f t="shared" si="75"/>
        <v>2397</v>
      </c>
      <c r="C704">
        <v>410</v>
      </c>
      <c r="D704">
        <v>1987</v>
      </c>
      <c r="F704">
        <f t="shared" si="70"/>
        <v>236</v>
      </c>
      <c r="G704" s="20">
        <f t="shared" si="76"/>
        <v>699</v>
      </c>
      <c r="H704" s="21">
        <v>66622060185</v>
      </c>
      <c r="I704" s="22">
        <v>957</v>
      </c>
      <c r="J704" s="23"/>
      <c r="K704" s="24">
        <v>2161</v>
      </c>
      <c r="L704" s="23">
        <f t="shared" si="71"/>
        <v>236</v>
      </c>
      <c r="M704" s="24">
        <v>360</v>
      </c>
      <c r="N704" s="25">
        <f t="shared" si="72"/>
        <v>50</v>
      </c>
      <c r="O704" s="24">
        <v>1801</v>
      </c>
      <c r="P704" s="23">
        <f t="shared" si="73"/>
        <v>186</v>
      </c>
      <c r="Q704" s="26"/>
      <c r="R704" s="23">
        <f t="shared" si="74"/>
        <v>0</v>
      </c>
      <c r="S704" s="27" t="s">
        <v>18</v>
      </c>
      <c r="T704" s="19" t="s">
        <v>717</v>
      </c>
    </row>
    <row r="705" spans="1:20" ht="37.5" customHeight="1" x14ac:dyDescent="0.25">
      <c r="A705" s="19" t="s">
        <v>718</v>
      </c>
      <c r="B705">
        <f t="shared" si="75"/>
        <v>23660</v>
      </c>
      <c r="C705">
        <v>3764</v>
      </c>
      <c r="D705">
        <v>19896</v>
      </c>
      <c r="F705">
        <f t="shared" si="70"/>
        <v>389</v>
      </c>
      <c r="G705" s="20">
        <f t="shared" si="76"/>
        <v>700</v>
      </c>
      <c r="H705" s="21">
        <v>66619040364</v>
      </c>
      <c r="I705" s="22">
        <v>958</v>
      </c>
      <c r="J705" s="23"/>
      <c r="K705" s="24">
        <v>23271</v>
      </c>
      <c r="L705" s="23">
        <f t="shared" si="71"/>
        <v>389</v>
      </c>
      <c r="M705" s="24">
        <v>3702</v>
      </c>
      <c r="N705" s="25">
        <f t="shared" si="72"/>
        <v>62</v>
      </c>
      <c r="O705" s="24">
        <v>19569</v>
      </c>
      <c r="P705" s="23">
        <f t="shared" si="73"/>
        <v>327</v>
      </c>
      <c r="Q705" s="26"/>
      <c r="R705" s="23">
        <f t="shared" si="74"/>
        <v>0</v>
      </c>
      <c r="S705" s="27" t="s">
        <v>18</v>
      </c>
      <c r="T705" s="19" t="s">
        <v>718</v>
      </c>
    </row>
    <row r="706" spans="1:20" ht="37.5" customHeight="1" x14ac:dyDescent="0.25">
      <c r="A706" s="19" t="s">
        <v>719</v>
      </c>
      <c r="B706">
        <f t="shared" si="75"/>
        <v>36623</v>
      </c>
      <c r="C706">
        <v>6640</v>
      </c>
      <c r="D706">
        <v>29983</v>
      </c>
      <c r="F706">
        <f t="shared" si="70"/>
        <v>544</v>
      </c>
      <c r="G706" s="20">
        <f t="shared" si="76"/>
        <v>701</v>
      </c>
      <c r="H706" s="21">
        <v>88819020055</v>
      </c>
      <c r="I706" s="22">
        <v>959</v>
      </c>
      <c r="J706" s="23"/>
      <c r="K706" s="24">
        <v>36079</v>
      </c>
      <c r="L706" s="23">
        <f t="shared" si="71"/>
        <v>544</v>
      </c>
      <c r="M706" s="24">
        <v>6547</v>
      </c>
      <c r="N706" s="25">
        <f t="shared" si="72"/>
        <v>93</v>
      </c>
      <c r="O706" s="24">
        <v>29532</v>
      </c>
      <c r="P706" s="23">
        <f t="shared" si="73"/>
        <v>451</v>
      </c>
      <c r="Q706" s="26"/>
      <c r="R706" s="23">
        <f t="shared" si="74"/>
        <v>0</v>
      </c>
      <c r="S706" s="27" t="s">
        <v>18</v>
      </c>
      <c r="T706" s="19" t="s">
        <v>719</v>
      </c>
    </row>
    <row r="707" spans="1:20" ht="37.5" customHeight="1" x14ac:dyDescent="0.25">
      <c r="A707" s="19" t="s">
        <v>720</v>
      </c>
      <c r="B707">
        <f t="shared" si="75"/>
        <v>39489</v>
      </c>
      <c r="C707">
        <v>7952</v>
      </c>
      <c r="D707">
        <v>31537</v>
      </c>
      <c r="F707">
        <f t="shared" si="70"/>
        <v>390</v>
      </c>
      <c r="G707" s="20">
        <f t="shared" si="76"/>
        <v>702</v>
      </c>
      <c r="H707" s="21">
        <v>23015100804</v>
      </c>
      <c r="I707" s="22">
        <v>960</v>
      </c>
      <c r="J707" s="23"/>
      <c r="K707" s="24">
        <v>39099</v>
      </c>
      <c r="L707" s="23">
        <f t="shared" si="71"/>
        <v>390</v>
      </c>
      <c r="M707" s="24">
        <v>7856</v>
      </c>
      <c r="N707" s="25">
        <f t="shared" si="72"/>
        <v>96</v>
      </c>
      <c r="O707" s="24">
        <v>31243</v>
      </c>
      <c r="P707" s="23">
        <f t="shared" si="73"/>
        <v>294</v>
      </c>
      <c r="Q707" s="26"/>
      <c r="R707" s="23">
        <f t="shared" si="74"/>
        <v>0</v>
      </c>
      <c r="S707" s="27" t="s">
        <v>18</v>
      </c>
      <c r="T707" s="19" t="s">
        <v>720</v>
      </c>
    </row>
    <row r="708" spans="1:20" ht="37.5" customHeight="1" x14ac:dyDescent="0.25">
      <c r="A708" s="19" t="s">
        <v>721</v>
      </c>
      <c r="B708">
        <f t="shared" si="75"/>
        <v>34068</v>
      </c>
      <c r="C708">
        <v>6323</v>
      </c>
      <c r="D708">
        <v>27745</v>
      </c>
      <c r="F708">
        <f t="shared" si="70"/>
        <v>825</v>
      </c>
      <c r="G708" s="20">
        <f t="shared" si="76"/>
        <v>703</v>
      </c>
      <c r="H708" s="21">
        <v>23014040297</v>
      </c>
      <c r="I708" s="22">
        <v>961</v>
      </c>
      <c r="J708" s="23"/>
      <c r="K708" s="24">
        <v>33243</v>
      </c>
      <c r="L708" s="23">
        <f t="shared" si="71"/>
        <v>825</v>
      </c>
      <c r="M708" s="24">
        <v>6192</v>
      </c>
      <c r="N708" s="25">
        <f t="shared" si="72"/>
        <v>131</v>
      </c>
      <c r="O708" s="24">
        <v>27051</v>
      </c>
      <c r="P708" s="23">
        <f t="shared" si="73"/>
        <v>694</v>
      </c>
      <c r="Q708" s="26"/>
      <c r="R708" s="23">
        <f t="shared" si="74"/>
        <v>0</v>
      </c>
      <c r="S708" s="27" t="s">
        <v>18</v>
      </c>
      <c r="T708" s="19" t="s">
        <v>721</v>
      </c>
    </row>
    <row r="709" spans="1:20" ht="37.5" customHeight="1" x14ac:dyDescent="0.25">
      <c r="A709" s="19" t="s">
        <v>722</v>
      </c>
      <c r="B709">
        <f t="shared" si="75"/>
        <v>51568</v>
      </c>
      <c r="C709">
        <v>7564</v>
      </c>
      <c r="D709">
        <v>44004</v>
      </c>
      <c r="F709">
        <f t="shared" ref="F709:F772" si="77">L709</f>
        <v>217</v>
      </c>
      <c r="G709" s="20">
        <f t="shared" si="76"/>
        <v>704</v>
      </c>
      <c r="H709" s="21">
        <v>23015010357</v>
      </c>
      <c r="I709" s="22">
        <v>962</v>
      </c>
      <c r="J709" s="23"/>
      <c r="K709" s="24">
        <v>51351</v>
      </c>
      <c r="L709" s="23">
        <f t="shared" si="71"/>
        <v>217</v>
      </c>
      <c r="M709" s="24">
        <v>7528</v>
      </c>
      <c r="N709" s="25">
        <f t="shared" si="72"/>
        <v>36</v>
      </c>
      <c r="O709" s="24">
        <v>43823</v>
      </c>
      <c r="P709" s="23">
        <f t="shared" si="73"/>
        <v>181</v>
      </c>
      <c r="Q709" s="26"/>
      <c r="R709" s="23">
        <f t="shared" si="74"/>
        <v>0</v>
      </c>
      <c r="S709" s="27" t="s">
        <v>18</v>
      </c>
      <c r="T709" s="19" t="s">
        <v>722</v>
      </c>
    </row>
    <row r="710" spans="1:20" ht="37.5" customHeight="1" x14ac:dyDescent="0.25">
      <c r="A710" s="19" t="s">
        <v>723</v>
      </c>
      <c r="B710">
        <f t="shared" si="75"/>
        <v>14024</v>
      </c>
      <c r="C710">
        <v>2839</v>
      </c>
      <c r="D710">
        <v>11185</v>
      </c>
      <c r="F710">
        <f t="shared" si="77"/>
        <v>281</v>
      </c>
      <c r="G710" s="20">
        <f t="shared" si="76"/>
        <v>705</v>
      </c>
      <c r="H710" s="21">
        <v>66622050306</v>
      </c>
      <c r="I710" s="22">
        <v>963</v>
      </c>
      <c r="J710" s="23"/>
      <c r="K710" s="24">
        <v>13743</v>
      </c>
      <c r="L710" s="23">
        <f t="shared" ref="L710:L773" si="78">B710-K710</f>
        <v>281</v>
      </c>
      <c r="M710" s="24">
        <v>2774</v>
      </c>
      <c r="N710" s="25">
        <f t="shared" ref="N710:N773" si="79">C710-M710</f>
        <v>65</v>
      </c>
      <c r="O710" s="24">
        <v>10969</v>
      </c>
      <c r="P710" s="23">
        <f t="shared" ref="P710:P773" si="80">D710-O710</f>
        <v>216</v>
      </c>
      <c r="Q710" s="26"/>
      <c r="R710" s="23">
        <f t="shared" ref="R710:R773" si="81">E710-Q710</f>
        <v>0</v>
      </c>
      <c r="S710" s="27" t="s">
        <v>18</v>
      </c>
      <c r="T710" s="19" t="s">
        <v>723</v>
      </c>
    </row>
    <row r="711" spans="1:20" ht="37.5" customHeight="1" x14ac:dyDescent="0.25">
      <c r="A711" s="19" t="s">
        <v>724</v>
      </c>
      <c r="B711">
        <f t="shared" ref="B711:B774" si="82">C711+D711</f>
        <v>25387</v>
      </c>
      <c r="C711">
        <v>4082</v>
      </c>
      <c r="D711">
        <v>21305</v>
      </c>
      <c r="F711">
        <f t="shared" si="77"/>
        <v>271</v>
      </c>
      <c r="G711" s="20">
        <f t="shared" si="76"/>
        <v>706</v>
      </c>
      <c r="H711" s="21">
        <v>66617010350</v>
      </c>
      <c r="I711" s="22">
        <v>964</v>
      </c>
      <c r="J711" s="23"/>
      <c r="K711" s="24">
        <v>25116</v>
      </c>
      <c r="L711" s="23">
        <f t="shared" si="78"/>
        <v>271</v>
      </c>
      <c r="M711" s="24">
        <v>4009</v>
      </c>
      <c r="N711" s="25">
        <f t="shared" si="79"/>
        <v>73</v>
      </c>
      <c r="O711" s="24">
        <v>21107</v>
      </c>
      <c r="P711" s="23">
        <f t="shared" si="80"/>
        <v>198</v>
      </c>
      <c r="Q711" s="26"/>
      <c r="R711" s="23">
        <f t="shared" si="81"/>
        <v>0</v>
      </c>
      <c r="S711" s="27" t="s">
        <v>18</v>
      </c>
      <c r="T711" s="19" t="s">
        <v>724</v>
      </c>
    </row>
    <row r="712" spans="1:20" ht="37.5" customHeight="1" x14ac:dyDescent="0.25">
      <c r="A712" s="19" t="s">
        <v>725</v>
      </c>
      <c r="B712">
        <f t="shared" si="82"/>
        <v>8797</v>
      </c>
      <c r="C712">
        <v>1620</v>
      </c>
      <c r="D712">
        <v>7177</v>
      </c>
      <c r="E712">
        <v>5844</v>
      </c>
      <c r="F712">
        <f t="shared" si="77"/>
        <v>928</v>
      </c>
      <c r="G712" s="20">
        <f t="shared" ref="G712:G775" si="83">G711+1</f>
        <v>707</v>
      </c>
      <c r="H712" s="21">
        <v>99624020109</v>
      </c>
      <c r="I712" s="22">
        <v>965</v>
      </c>
      <c r="J712" s="23"/>
      <c r="K712" s="24">
        <f>M712+O712</f>
        <v>7869</v>
      </c>
      <c r="L712" s="23">
        <f t="shared" si="78"/>
        <v>928</v>
      </c>
      <c r="M712" s="24">
        <v>1482</v>
      </c>
      <c r="N712" s="25">
        <f t="shared" si="79"/>
        <v>138</v>
      </c>
      <c r="O712" s="24">
        <v>6387</v>
      </c>
      <c r="P712" s="23">
        <f t="shared" si="80"/>
        <v>790</v>
      </c>
      <c r="Q712" s="26">
        <v>5247</v>
      </c>
      <c r="R712" s="23">
        <f t="shared" si="81"/>
        <v>597</v>
      </c>
      <c r="S712" s="27" t="s">
        <v>18</v>
      </c>
      <c r="T712" s="19" t="s">
        <v>725</v>
      </c>
    </row>
    <row r="713" spans="1:20" ht="37.5" customHeight="1" x14ac:dyDescent="0.25">
      <c r="A713" s="19" t="s">
        <v>726</v>
      </c>
      <c r="B713">
        <f t="shared" si="82"/>
        <v>651</v>
      </c>
      <c r="C713">
        <v>72</v>
      </c>
      <c r="D713">
        <v>579</v>
      </c>
      <c r="F713">
        <f t="shared" si="77"/>
        <v>0</v>
      </c>
      <c r="G713" s="20">
        <f t="shared" si="83"/>
        <v>708</v>
      </c>
      <c r="H713" s="21">
        <v>88820050134</v>
      </c>
      <c r="I713" s="22">
        <v>966</v>
      </c>
      <c r="J713" s="23"/>
      <c r="K713" s="24">
        <v>651</v>
      </c>
      <c r="L713" s="23">
        <f t="shared" si="78"/>
        <v>0</v>
      </c>
      <c r="M713" s="24">
        <v>72</v>
      </c>
      <c r="N713" s="25">
        <f t="shared" si="79"/>
        <v>0</v>
      </c>
      <c r="O713" s="24">
        <v>579</v>
      </c>
      <c r="P713" s="23">
        <f t="shared" si="80"/>
        <v>0</v>
      </c>
      <c r="Q713" s="26"/>
      <c r="R713" s="23">
        <f t="shared" si="81"/>
        <v>0</v>
      </c>
      <c r="S713" s="27" t="s">
        <v>18</v>
      </c>
      <c r="T713" s="19" t="s">
        <v>726</v>
      </c>
    </row>
    <row r="714" spans="1:20" ht="37.5" customHeight="1" x14ac:dyDescent="0.25">
      <c r="A714" s="19" t="s">
        <v>727</v>
      </c>
      <c r="B714">
        <f t="shared" si="82"/>
        <v>519</v>
      </c>
      <c r="C714">
        <v>33</v>
      </c>
      <c r="D714">
        <v>486</v>
      </c>
      <c r="F714">
        <f t="shared" si="77"/>
        <v>3</v>
      </c>
      <c r="G714" s="20">
        <f t="shared" si="83"/>
        <v>709</v>
      </c>
      <c r="H714" s="21">
        <v>66622040558</v>
      </c>
      <c r="I714" s="22">
        <v>967</v>
      </c>
      <c r="J714" s="23"/>
      <c r="K714" s="24">
        <v>516</v>
      </c>
      <c r="L714" s="23">
        <f t="shared" si="78"/>
        <v>3</v>
      </c>
      <c r="M714" s="24">
        <v>33</v>
      </c>
      <c r="N714" s="25">
        <f t="shared" si="79"/>
        <v>0</v>
      </c>
      <c r="O714" s="24">
        <v>483</v>
      </c>
      <c r="P714" s="23">
        <f t="shared" si="80"/>
        <v>3</v>
      </c>
      <c r="Q714" s="26"/>
      <c r="R714" s="23">
        <f t="shared" si="81"/>
        <v>0</v>
      </c>
      <c r="S714" s="27" t="s">
        <v>18</v>
      </c>
      <c r="T714" s="19" t="s">
        <v>727</v>
      </c>
    </row>
    <row r="715" spans="1:20" ht="37.5" customHeight="1" x14ac:dyDescent="0.25">
      <c r="A715" s="19" t="s">
        <v>728</v>
      </c>
      <c r="B715">
        <f t="shared" si="82"/>
        <v>29218</v>
      </c>
      <c r="C715">
        <v>4461</v>
      </c>
      <c r="D715">
        <v>24757</v>
      </c>
      <c r="F715">
        <f t="shared" si="77"/>
        <v>550</v>
      </c>
      <c r="G715" s="20">
        <f t="shared" si="83"/>
        <v>710</v>
      </c>
      <c r="H715" s="21">
        <v>66621090116</v>
      </c>
      <c r="I715" s="22">
        <v>968</v>
      </c>
      <c r="J715" s="23"/>
      <c r="K715" s="24">
        <v>28668</v>
      </c>
      <c r="L715" s="23">
        <f t="shared" si="78"/>
        <v>550</v>
      </c>
      <c r="M715" s="24">
        <v>4344</v>
      </c>
      <c r="N715" s="25">
        <f t="shared" si="79"/>
        <v>117</v>
      </c>
      <c r="O715" s="24">
        <v>24324</v>
      </c>
      <c r="P715" s="23">
        <f t="shared" si="80"/>
        <v>433</v>
      </c>
      <c r="Q715" s="26"/>
      <c r="R715" s="23">
        <f t="shared" si="81"/>
        <v>0</v>
      </c>
      <c r="S715" s="27" t="s">
        <v>18</v>
      </c>
      <c r="T715" s="19" t="s">
        <v>728</v>
      </c>
    </row>
    <row r="716" spans="1:20" ht="37.5" customHeight="1" x14ac:dyDescent="0.25">
      <c r="A716" s="19" t="s">
        <v>729</v>
      </c>
      <c r="B716">
        <f t="shared" si="82"/>
        <v>8588</v>
      </c>
      <c r="C716">
        <v>1627</v>
      </c>
      <c r="D716">
        <v>6961</v>
      </c>
      <c r="F716">
        <f t="shared" si="77"/>
        <v>322</v>
      </c>
      <c r="G716" s="20">
        <f t="shared" si="83"/>
        <v>711</v>
      </c>
      <c r="H716" s="21">
        <v>66622040503</v>
      </c>
      <c r="I716" s="22">
        <v>969</v>
      </c>
      <c r="J716" s="23"/>
      <c r="K716" s="24">
        <v>8266</v>
      </c>
      <c r="L716" s="23">
        <f t="shared" si="78"/>
        <v>322</v>
      </c>
      <c r="M716" s="24">
        <v>1559</v>
      </c>
      <c r="N716" s="25">
        <f t="shared" si="79"/>
        <v>68</v>
      </c>
      <c r="O716" s="24">
        <v>6707</v>
      </c>
      <c r="P716" s="23">
        <f t="shared" si="80"/>
        <v>254</v>
      </c>
      <c r="Q716" s="26"/>
      <c r="R716" s="23">
        <f t="shared" si="81"/>
        <v>0</v>
      </c>
      <c r="S716" s="27" t="s">
        <v>18</v>
      </c>
      <c r="T716" s="19" t="s">
        <v>729</v>
      </c>
    </row>
    <row r="717" spans="1:20" ht="37.5" customHeight="1" x14ac:dyDescent="0.25">
      <c r="A717" s="19" t="s">
        <v>730</v>
      </c>
      <c r="B717">
        <f t="shared" si="82"/>
        <v>28920</v>
      </c>
      <c r="C717">
        <v>4810</v>
      </c>
      <c r="D717">
        <v>24110</v>
      </c>
      <c r="F717">
        <f t="shared" si="77"/>
        <v>390</v>
      </c>
      <c r="G717" s="20">
        <f t="shared" si="83"/>
        <v>712</v>
      </c>
      <c r="H717" s="21">
        <v>66621040417</v>
      </c>
      <c r="I717" s="22">
        <v>971</v>
      </c>
      <c r="J717" s="23"/>
      <c r="K717" s="24">
        <v>28530</v>
      </c>
      <c r="L717" s="23">
        <f t="shared" si="78"/>
        <v>390</v>
      </c>
      <c r="M717" s="24">
        <v>4750</v>
      </c>
      <c r="N717" s="25">
        <f t="shared" si="79"/>
        <v>60</v>
      </c>
      <c r="O717" s="24">
        <v>23780</v>
      </c>
      <c r="P717" s="23">
        <f t="shared" si="80"/>
        <v>330</v>
      </c>
      <c r="Q717" s="26"/>
      <c r="R717" s="23">
        <f t="shared" si="81"/>
        <v>0</v>
      </c>
      <c r="S717" s="27" t="s">
        <v>18</v>
      </c>
      <c r="T717" s="19" t="s">
        <v>730</v>
      </c>
    </row>
    <row r="718" spans="1:20" ht="37.5" customHeight="1" x14ac:dyDescent="0.25">
      <c r="A718" s="19" t="s">
        <v>731</v>
      </c>
      <c r="B718">
        <f t="shared" si="82"/>
        <v>62432</v>
      </c>
      <c r="C718">
        <v>9069</v>
      </c>
      <c r="D718">
        <v>53363</v>
      </c>
      <c r="F718">
        <f t="shared" si="77"/>
        <v>721</v>
      </c>
      <c r="G718" s="20">
        <f t="shared" si="83"/>
        <v>713</v>
      </c>
      <c r="H718" s="21">
        <v>88820020427</v>
      </c>
      <c r="I718" s="22">
        <v>973</v>
      </c>
      <c r="J718" s="23"/>
      <c r="K718" s="24">
        <v>61711</v>
      </c>
      <c r="L718" s="23">
        <f t="shared" si="78"/>
        <v>721</v>
      </c>
      <c r="M718" s="24">
        <v>8910</v>
      </c>
      <c r="N718" s="25">
        <f t="shared" si="79"/>
        <v>159</v>
      </c>
      <c r="O718" s="24">
        <v>52801</v>
      </c>
      <c r="P718" s="23">
        <f t="shared" si="80"/>
        <v>562</v>
      </c>
      <c r="Q718" s="26"/>
      <c r="R718" s="23">
        <f t="shared" si="81"/>
        <v>0</v>
      </c>
      <c r="S718" s="27" t="s">
        <v>18</v>
      </c>
      <c r="T718" s="19" t="s">
        <v>731</v>
      </c>
    </row>
    <row r="719" spans="1:20" ht="37.5" customHeight="1" x14ac:dyDescent="0.25">
      <c r="A719" s="19" t="s">
        <v>732</v>
      </c>
      <c r="B719">
        <f t="shared" si="82"/>
        <v>32488</v>
      </c>
      <c r="C719">
        <v>5764</v>
      </c>
      <c r="D719">
        <v>26724</v>
      </c>
      <c r="F719">
        <f t="shared" si="77"/>
        <v>82</v>
      </c>
      <c r="G719" s="20">
        <f t="shared" si="83"/>
        <v>714</v>
      </c>
      <c r="H719" s="21">
        <v>88820020136</v>
      </c>
      <c r="I719" s="22">
        <v>974</v>
      </c>
      <c r="J719" s="23"/>
      <c r="K719" s="24">
        <v>32406</v>
      </c>
      <c r="L719" s="23">
        <f t="shared" si="78"/>
        <v>82</v>
      </c>
      <c r="M719" s="24">
        <v>5731</v>
      </c>
      <c r="N719" s="25">
        <f t="shared" si="79"/>
        <v>33</v>
      </c>
      <c r="O719" s="24">
        <v>26675</v>
      </c>
      <c r="P719" s="23">
        <f t="shared" si="80"/>
        <v>49</v>
      </c>
      <c r="Q719" s="26"/>
      <c r="R719" s="23">
        <f t="shared" si="81"/>
        <v>0</v>
      </c>
      <c r="S719" s="27" t="s">
        <v>18</v>
      </c>
      <c r="T719" s="19" t="s">
        <v>732</v>
      </c>
    </row>
    <row r="720" spans="1:20" ht="37.5" customHeight="1" x14ac:dyDescent="0.25">
      <c r="A720" s="19" t="s">
        <v>733</v>
      </c>
      <c r="B720">
        <f t="shared" si="82"/>
        <v>8104</v>
      </c>
      <c r="C720">
        <v>1501</v>
      </c>
      <c r="D720">
        <v>6603</v>
      </c>
      <c r="E720">
        <v>14935</v>
      </c>
      <c r="F720">
        <f t="shared" si="77"/>
        <v>97</v>
      </c>
      <c r="G720" s="20">
        <f t="shared" si="83"/>
        <v>715</v>
      </c>
      <c r="H720" s="21">
        <v>99623080047</v>
      </c>
      <c r="I720" s="22">
        <v>975</v>
      </c>
      <c r="J720" s="23"/>
      <c r="K720" s="24">
        <f>M720+O720</f>
        <v>8007</v>
      </c>
      <c r="L720" s="23">
        <f t="shared" si="78"/>
        <v>97</v>
      </c>
      <c r="M720" s="24">
        <v>1449</v>
      </c>
      <c r="N720" s="25">
        <f t="shared" si="79"/>
        <v>52</v>
      </c>
      <c r="O720" s="24">
        <v>6558</v>
      </c>
      <c r="P720" s="23">
        <f t="shared" si="80"/>
        <v>45</v>
      </c>
      <c r="Q720" s="26">
        <v>13688</v>
      </c>
      <c r="R720" s="23">
        <f t="shared" si="81"/>
        <v>1247</v>
      </c>
      <c r="S720" s="27" t="s">
        <v>18</v>
      </c>
      <c r="T720" s="19" t="s">
        <v>733</v>
      </c>
    </row>
    <row r="721" spans="1:20" ht="37.5" customHeight="1" x14ac:dyDescent="0.25">
      <c r="A721" s="19" t="s">
        <v>734</v>
      </c>
      <c r="B721">
        <f t="shared" si="82"/>
        <v>78797</v>
      </c>
      <c r="C721">
        <v>12683</v>
      </c>
      <c r="D721">
        <v>66114</v>
      </c>
      <c r="F721">
        <f t="shared" si="77"/>
        <v>388</v>
      </c>
      <c r="G721" s="20">
        <f t="shared" si="83"/>
        <v>716</v>
      </c>
      <c r="H721" s="21">
        <v>23012070176</v>
      </c>
      <c r="I721" s="22">
        <v>976</v>
      </c>
      <c r="J721" s="23"/>
      <c r="K721" s="24">
        <v>78409</v>
      </c>
      <c r="L721" s="23">
        <f t="shared" si="78"/>
        <v>388</v>
      </c>
      <c r="M721" s="24">
        <v>12616</v>
      </c>
      <c r="N721" s="25">
        <f t="shared" si="79"/>
        <v>67</v>
      </c>
      <c r="O721" s="24">
        <v>65793</v>
      </c>
      <c r="P721" s="23">
        <f t="shared" si="80"/>
        <v>321</v>
      </c>
      <c r="Q721" s="26"/>
      <c r="R721" s="23">
        <f t="shared" si="81"/>
        <v>0</v>
      </c>
      <c r="S721" s="27" t="s">
        <v>18</v>
      </c>
      <c r="T721" s="19" t="s">
        <v>734</v>
      </c>
    </row>
    <row r="722" spans="1:20" ht="37.5" customHeight="1" x14ac:dyDescent="0.25">
      <c r="A722" s="19" t="s">
        <v>735</v>
      </c>
      <c r="B722">
        <f t="shared" si="82"/>
        <v>31191</v>
      </c>
      <c r="C722">
        <v>4678</v>
      </c>
      <c r="D722">
        <v>26513</v>
      </c>
      <c r="F722">
        <f t="shared" si="77"/>
        <v>362</v>
      </c>
      <c r="G722" s="20">
        <f t="shared" si="83"/>
        <v>717</v>
      </c>
      <c r="H722" s="21">
        <v>88819020192</v>
      </c>
      <c r="I722" s="22">
        <v>977</v>
      </c>
      <c r="J722" s="23"/>
      <c r="K722" s="24">
        <v>30829</v>
      </c>
      <c r="L722" s="23">
        <f t="shared" si="78"/>
        <v>362</v>
      </c>
      <c r="M722" s="24">
        <v>4623</v>
      </c>
      <c r="N722" s="25">
        <f t="shared" si="79"/>
        <v>55</v>
      </c>
      <c r="O722" s="24">
        <v>26206</v>
      </c>
      <c r="P722" s="23">
        <f t="shared" si="80"/>
        <v>307</v>
      </c>
      <c r="Q722" s="26"/>
      <c r="R722" s="23">
        <f t="shared" si="81"/>
        <v>0</v>
      </c>
      <c r="S722" s="27" t="s">
        <v>18</v>
      </c>
      <c r="T722" s="19" t="s">
        <v>735</v>
      </c>
    </row>
    <row r="723" spans="1:20" ht="37.5" customHeight="1" x14ac:dyDescent="0.25">
      <c r="A723" s="19" t="s">
        <v>736</v>
      </c>
      <c r="B723">
        <f t="shared" si="82"/>
        <v>150313</v>
      </c>
      <c r="C723">
        <v>29660</v>
      </c>
      <c r="D723">
        <v>120653</v>
      </c>
      <c r="F723">
        <f t="shared" si="77"/>
        <v>893</v>
      </c>
      <c r="G723" s="20">
        <f t="shared" si="83"/>
        <v>718</v>
      </c>
      <c r="H723" s="21">
        <v>23010050132</v>
      </c>
      <c r="I723" s="22">
        <v>978</v>
      </c>
      <c r="J723" s="23"/>
      <c r="K723" s="24">
        <v>149420</v>
      </c>
      <c r="L723" s="23">
        <f t="shared" si="78"/>
        <v>893</v>
      </c>
      <c r="M723" s="24">
        <v>29481</v>
      </c>
      <c r="N723" s="25">
        <f t="shared" si="79"/>
        <v>179</v>
      </c>
      <c r="O723" s="24">
        <v>119939</v>
      </c>
      <c r="P723" s="23">
        <f t="shared" si="80"/>
        <v>714</v>
      </c>
      <c r="Q723" s="26"/>
      <c r="R723" s="23">
        <f t="shared" si="81"/>
        <v>0</v>
      </c>
      <c r="S723" s="27" t="s">
        <v>18</v>
      </c>
      <c r="T723" s="19" t="s">
        <v>736</v>
      </c>
    </row>
    <row r="724" spans="1:20" ht="37.5" customHeight="1" x14ac:dyDescent="0.25">
      <c r="A724" s="19" t="s">
        <v>737</v>
      </c>
      <c r="B724">
        <f t="shared" si="82"/>
        <v>3072</v>
      </c>
      <c r="C724">
        <v>926</v>
      </c>
      <c r="D724">
        <v>2146</v>
      </c>
      <c r="E724">
        <v>4072</v>
      </c>
      <c r="F724">
        <f t="shared" si="77"/>
        <v>311</v>
      </c>
      <c r="G724" s="20">
        <f t="shared" si="83"/>
        <v>719</v>
      </c>
      <c r="H724" s="21">
        <v>99624030256</v>
      </c>
      <c r="I724" s="22">
        <v>980</v>
      </c>
      <c r="J724" s="23"/>
      <c r="K724" s="24">
        <f>M724+O724</f>
        <v>2761</v>
      </c>
      <c r="L724" s="23">
        <f t="shared" si="78"/>
        <v>311</v>
      </c>
      <c r="M724" s="24">
        <v>826</v>
      </c>
      <c r="N724" s="25">
        <f t="shared" si="79"/>
        <v>100</v>
      </c>
      <c r="O724" s="24">
        <v>1935</v>
      </c>
      <c r="P724" s="23">
        <f t="shared" si="80"/>
        <v>211</v>
      </c>
      <c r="Q724" s="26">
        <v>3390</v>
      </c>
      <c r="R724" s="23">
        <f t="shared" si="81"/>
        <v>682</v>
      </c>
      <c r="S724" s="27" t="s">
        <v>18</v>
      </c>
      <c r="T724" s="19" t="s">
        <v>737</v>
      </c>
    </row>
    <row r="725" spans="1:20" ht="37.5" customHeight="1" x14ac:dyDescent="0.25">
      <c r="A725" s="19" t="s">
        <v>738</v>
      </c>
      <c r="B725">
        <f t="shared" si="82"/>
        <v>58069</v>
      </c>
      <c r="C725">
        <v>10020</v>
      </c>
      <c r="D725">
        <v>48049</v>
      </c>
      <c r="F725">
        <f t="shared" si="77"/>
        <v>408</v>
      </c>
      <c r="G725" s="20">
        <f t="shared" si="83"/>
        <v>720</v>
      </c>
      <c r="H725" s="21">
        <v>23015010032</v>
      </c>
      <c r="I725" s="22">
        <v>981</v>
      </c>
      <c r="J725" s="23"/>
      <c r="K725" s="24">
        <v>57661</v>
      </c>
      <c r="L725" s="23">
        <f t="shared" si="78"/>
        <v>408</v>
      </c>
      <c r="M725" s="24">
        <v>9956</v>
      </c>
      <c r="N725" s="25">
        <f t="shared" si="79"/>
        <v>64</v>
      </c>
      <c r="O725" s="24">
        <v>47705</v>
      </c>
      <c r="P725" s="23">
        <f t="shared" si="80"/>
        <v>344</v>
      </c>
      <c r="Q725" s="26"/>
      <c r="R725" s="23">
        <f t="shared" si="81"/>
        <v>0</v>
      </c>
      <c r="S725" s="27" t="s">
        <v>18</v>
      </c>
      <c r="T725" s="19" t="s">
        <v>738</v>
      </c>
    </row>
    <row r="726" spans="1:20" ht="37.5" customHeight="1" x14ac:dyDescent="0.25">
      <c r="A726" s="19" t="s">
        <v>739</v>
      </c>
      <c r="B726">
        <f t="shared" si="82"/>
        <v>78163</v>
      </c>
      <c r="C726">
        <v>14439</v>
      </c>
      <c r="D726">
        <v>63724</v>
      </c>
      <c r="F726">
        <f t="shared" si="77"/>
        <v>304</v>
      </c>
      <c r="G726" s="20">
        <f t="shared" si="83"/>
        <v>721</v>
      </c>
      <c r="H726" s="21">
        <v>23011100169</v>
      </c>
      <c r="I726" s="22">
        <v>982</v>
      </c>
      <c r="J726" s="23"/>
      <c r="K726" s="24">
        <v>77859</v>
      </c>
      <c r="L726" s="23">
        <f t="shared" si="78"/>
        <v>304</v>
      </c>
      <c r="M726" s="24">
        <v>14439</v>
      </c>
      <c r="N726" s="25">
        <f t="shared" si="79"/>
        <v>0</v>
      </c>
      <c r="O726" s="24">
        <v>63420</v>
      </c>
      <c r="P726" s="23">
        <f t="shared" si="80"/>
        <v>304</v>
      </c>
      <c r="Q726" s="26"/>
      <c r="R726" s="23">
        <f t="shared" si="81"/>
        <v>0</v>
      </c>
      <c r="S726" s="27" t="s">
        <v>18</v>
      </c>
      <c r="T726" s="19" t="s">
        <v>739</v>
      </c>
    </row>
    <row r="727" spans="1:20" ht="37.5" customHeight="1" x14ac:dyDescent="0.25">
      <c r="A727" s="19" t="s">
        <v>740</v>
      </c>
      <c r="B727">
        <f t="shared" si="82"/>
        <v>39001</v>
      </c>
      <c r="C727">
        <v>6337</v>
      </c>
      <c r="D727">
        <v>32664</v>
      </c>
      <c r="F727">
        <f t="shared" si="77"/>
        <v>229</v>
      </c>
      <c r="G727" s="20">
        <f t="shared" si="83"/>
        <v>722</v>
      </c>
      <c r="H727" s="21">
        <v>66616031383</v>
      </c>
      <c r="I727" s="22">
        <v>983</v>
      </c>
      <c r="J727" s="23"/>
      <c r="K727" s="24">
        <v>38772</v>
      </c>
      <c r="L727" s="23">
        <f t="shared" si="78"/>
        <v>229</v>
      </c>
      <c r="M727" s="24">
        <v>6298</v>
      </c>
      <c r="N727" s="25">
        <f t="shared" si="79"/>
        <v>39</v>
      </c>
      <c r="O727" s="24">
        <v>32474</v>
      </c>
      <c r="P727" s="23">
        <f t="shared" si="80"/>
        <v>190</v>
      </c>
      <c r="Q727" s="26"/>
      <c r="R727" s="23">
        <f t="shared" si="81"/>
        <v>0</v>
      </c>
      <c r="S727" s="27" t="s">
        <v>18</v>
      </c>
      <c r="T727" s="19" t="s">
        <v>740</v>
      </c>
    </row>
    <row r="728" spans="1:20" ht="37.5" customHeight="1" x14ac:dyDescent="0.25">
      <c r="A728" s="19" t="s">
        <v>741</v>
      </c>
      <c r="B728">
        <f t="shared" si="82"/>
        <v>95677</v>
      </c>
      <c r="C728">
        <v>33790</v>
      </c>
      <c r="D728">
        <v>61887</v>
      </c>
      <c r="F728">
        <f t="shared" si="77"/>
        <v>586</v>
      </c>
      <c r="G728" s="20">
        <f t="shared" si="83"/>
        <v>723</v>
      </c>
      <c r="H728" s="21">
        <v>10020155</v>
      </c>
      <c r="I728" s="22">
        <v>984</v>
      </c>
      <c r="J728" s="23"/>
      <c r="K728" s="24">
        <v>95091</v>
      </c>
      <c r="L728" s="23">
        <f t="shared" si="78"/>
        <v>586</v>
      </c>
      <c r="M728" s="24">
        <v>33679</v>
      </c>
      <c r="N728" s="25">
        <f t="shared" si="79"/>
        <v>111</v>
      </c>
      <c r="O728" s="24">
        <v>61412</v>
      </c>
      <c r="P728" s="23">
        <f t="shared" si="80"/>
        <v>475</v>
      </c>
      <c r="Q728" s="26"/>
      <c r="R728" s="23">
        <f t="shared" si="81"/>
        <v>0</v>
      </c>
      <c r="S728" s="27" t="s">
        <v>18</v>
      </c>
      <c r="T728" s="19" t="s">
        <v>741</v>
      </c>
    </row>
    <row r="729" spans="1:20" ht="37.5" customHeight="1" x14ac:dyDescent="0.25">
      <c r="A729" s="19" t="s">
        <v>742</v>
      </c>
      <c r="B729">
        <f t="shared" si="82"/>
        <v>2430</v>
      </c>
      <c r="C729">
        <v>401</v>
      </c>
      <c r="D729">
        <v>2029</v>
      </c>
      <c r="F729">
        <f t="shared" si="77"/>
        <v>288</v>
      </c>
      <c r="G729" s="20">
        <f t="shared" si="83"/>
        <v>724</v>
      </c>
      <c r="H729" s="21">
        <v>66623011420</v>
      </c>
      <c r="I729" s="22">
        <v>985</v>
      </c>
      <c r="J729" s="23"/>
      <c r="K729" s="24">
        <v>2142</v>
      </c>
      <c r="L729" s="23">
        <f t="shared" si="78"/>
        <v>288</v>
      </c>
      <c r="M729" s="24">
        <v>337</v>
      </c>
      <c r="N729" s="25">
        <f t="shared" si="79"/>
        <v>64</v>
      </c>
      <c r="O729" s="24">
        <v>1805</v>
      </c>
      <c r="P729" s="23">
        <f t="shared" si="80"/>
        <v>224</v>
      </c>
      <c r="Q729" s="26"/>
      <c r="R729" s="23">
        <f t="shared" si="81"/>
        <v>0</v>
      </c>
      <c r="S729" s="27" t="s">
        <v>18</v>
      </c>
      <c r="T729" s="19" t="s">
        <v>742</v>
      </c>
    </row>
    <row r="730" spans="1:20" ht="37.5" customHeight="1" x14ac:dyDescent="0.25">
      <c r="A730" s="19" t="s">
        <v>743</v>
      </c>
      <c r="B730">
        <f t="shared" si="82"/>
        <v>28024</v>
      </c>
      <c r="C730">
        <v>5289</v>
      </c>
      <c r="D730">
        <v>22735</v>
      </c>
      <c r="F730">
        <f t="shared" si="77"/>
        <v>139</v>
      </c>
      <c r="G730" s="20">
        <f t="shared" si="83"/>
        <v>725</v>
      </c>
      <c r="H730" s="21">
        <v>88819020484</v>
      </c>
      <c r="I730" s="22">
        <v>986</v>
      </c>
      <c r="J730" s="23"/>
      <c r="K730" s="24">
        <v>27885</v>
      </c>
      <c r="L730" s="23">
        <f t="shared" si="78"/>
        <v>139</v>
      </c>
      <c r="M730" s="24">
        <v>5268</v>
      </c>
      <c r="N730" s="25">
        <f t="shared" si="79"/>
        <v>21</v>
      </c>
      <c r="O730" s="24">
        <v>22617</v>
      </c>
      <c r="P730" s="23">
        <f t="shared" si="80"/>
        <v>118</v>
      </c>
      <c r="Q730" s="26"/>
      <c r="R730" s="23">
        <f t="shared" si="81"/>
        <v>0</v>
      </c>
      <c r="S730" s="27" t="s">
        <v>18</v>
      </c>
      <c r="T730" s="19" t="s">
        <v>743</v>
      </c>
    </row>
    <row r="731" spans="1:20" ht="37.5" customHeight="1" x14ac:dyDescent="0.25">
      <c r="A731" s="19" t="s">
        <v>744</v>
      </c>
      <c r="B731">
        <f t="shared" si="82"/>
        <v>76095</v>
      </c>
      <c r="C731">
        <v>13072</v>
      </c>
      <c r="D731">
        <v>63023</v>
      </c>
      <c r="F731">
        <f t="shared" si="77"/>
        <v>567</v>
      </c>
      <c r="G731" s="20">
        <f t="shared" si="83"/>
        <v>726</v>
      </c>
      <c r="H731" s="21">
        <v>23015011156</v>
      </c>
      <c r="I731" s="22">
        <v>987</v>
      </c>
      <c r="J731" s="23"/>
      <c r="K731" s="24">
        <v>75528</v>
      </c>
      <c r="L731" s="23">
        <f t="shared" si="78"/>
        <v>567</v>
      </c>
      <c r="M731" s="24">
        <v>12996</v>
      </c>
      <c r="N731" s="25">
        <f t="shared" si="79"/>
        <v>76</v>
      </c>
      <c r="O731" s="24">
        <v>62532</v>
      </c>
      <c r="P731" s="23">
        <f t="shared" si="80"/>
        <v>491</v>
      </c>
      <c r="Q731" s="26"/>
      <c r="R731" s="23">
        <f t="shared" si="81"/>
        <v>0</v>
      </c>
      <c r="S731" s="27" t="s">
        <v>18</v>
      </c>
      <c r="T731" s="19" t="s">
        <v>744</v>
      </c>
    </row>
    <row r="732" spans="1:20" ht="37.5" customHeight="1" x14ac:dyDescent="0.25">
      <c r="A732" s="19" t="s">
        <v>745</v>
      </c>
      <c r="B732">
        <f t="shared" si="82"/>
        <v>14822</v>
      </c>
      <c r="C732">
        <v>2579</v>
      </c>
      <c r="D732">
        <v>12243</v>
      </c>
      <c r="F732">
        <f t="shared" si="77"/>
        <v>460</v>
      </c>
      <c r="G732" s="20">
        <f t="shared" si="83"/>
        <v>727</v>
      </c>
      <c r="H732" s="21">
        <v>66622040369</v>
      </c>
      <c r="I732" s="22">
        <v>988</v>
      </c>
      <c r="J732" s="23"/>
      <c r="K732" s="24">
        <v>14362</v>
      </c>
      <c r="L732" s="23">
        <f t="shared" si="78"/>
        <v>460</v>
      </c>
      <c r="M732" s="24">
        <v>2499</v>
      </c>
      <c r="N732" s="25">
        <f t="shared" si="79"/>
        <v>80</v>
      </c>
      <c r="O732" s="24">
        <v>11863</v>
      </c>
      <c r="P732" s="23">
        <f t="shared" si="80"/>
        <v>380</v>
      </c>
      <c r="Q732" s="26"/>
      <c r="R732" s="23">
        <f t="shared" si="81"/>
        <v>0</v>
      </c>
      <c r="S732" s="27" t="s">
        <v>18</v>
      </c>
      <c r="T732" s="19" t="s">
        <v>745</v>
      </c>
    </row>
    <row r="733" spans="1:20" ht="37.5" customHeight="1" x14ac:dyDescent="0.25">
      <c r="A733" s="19" t="s">
        <v>746</v>
      </c>
      <c r="B733">
        <f t="shared" si="82"/>
        <v>13905</v>
      </c>
      <c r="C733">
        <v>2508</v>
      </c>
      <c r="D733">
        <v>11397</v>
      </c>
      <c r="F733">
        <f t="shared" si="77"/>
        <v>118</v>
      </c>
      <c r="G733" s="20">
        <f t="shared" si="83"/>
        <v>728</v>
      </c>
      <c r="H733" s="21">
        <v>66621100142</v>
      </c>
      <c r="I733" s="22">
        <v>989</v>
      </c>
      <c r="J733" s="23"/>
      <c r="K733" s="24">
        <v>13787</v>
      </c>
      <c r="L733" s="23">
        <f t="shared" si="78"/>
        <v>118</v>
      </c>
      <c r="M733" s="24">
        <v>2490</v>
      </c>
      <c r="N733" s="25">
        <f t="shared" si="79"/>
        <v>18</v>
      </c>
      <c r="O733" s="24">
        <v>11297</v>
      </c>
      <c r="P733" s="23">
        <f t="shared" si="80"/>
        <v>100</v>
      </c>
      <c r="Q733" s="26"/>
      <c r="R733" s="23">
        <f t="shared" si="81"/>
        <v>0</v>
      </c>
      <c r="S733" s="27" t="s">
        <v>18</v>
      </c>
      <c r="T733" s="19" t="s">
        <v>746</v>
      </c>
    </row>
    <row r="734" spans="1:20" ht="37.5" customHeight="1" x14ac:dyDescent="0.25">
      <c r="A734" s="19" t="s">
        <v>747</v>
      </c>
      <c r="B734">
        <f t="shared" si="82"/>
        <v>17023</v>
      </c>
      <c r="C734">
        <v>2546</v>
      </c>
      <c r="D734">
        <v>14477</v>
      </c>
      <c r="F734">
        <f t="shared" si="77"/>
        <v>266</v>
      </c>
      <c r="G734" s="20">
        <f t="shared" si="83"/>
        <v>729</v>
      </c>
      <c r="H734" s="21">
        <v>66621030202</v>
      </c>
      <c r="I734" s="22">
        <v>990</v>
      </c>
      <c r="J734" s="23"/>
      <c r="K734" s="24">
        <v>16757</v>
      </c>
      <c r="L734" s="23">
        <f t="shared" si="78"/>
        <v>266</v>
      </c>
      <c r="M734" s="24">
        <v>2496</v>
      </c>
      <c r="N734" s="25">
        <f t="shared" si="79"/>
        <v>50</v>
      </c>
      <c r="O734" s="24">
        <v>14261</v>
      </c>
      <c r="P734" s="23">
        <f t="shared" si="80"/>
        <v>216</v>
      </c>
      <c r="Q734" s="26"/>
      <c r="R734" s="23">
        <f t="shared" si="81"/>
        <v>0</v>
      </c>
      <c r="S734" s="27" t="s">
        <v>18</v>
      </c>
      <c r="T734" s="19" t="s">
        <v>747</v>
      </c>
    </row>
    <row r="735" spans="1:20" ht="37.5" customHeight="1" x14ac:dyDescent="0.25">
      <c r="A735" s="19" t="s">
        <v>748</v>
      </c>
      <c r="B735">
        <f t="shared" si="82"/>
        <v>104166</v>
      </c>
      <c r="C735">
        <v>17573</v>
      </c>
      <c r="D735">
        <v>86593</v>
      </c>
      <c r="F735">
        <f t="shared" si="77"/>
        <v>902</v>
      </c>
      <c r="G735" s="20">
        <f t="shared" si="83"/>
        <v>730</v>
      </c>
      <c r="H735" s="21">
        <v>23012010145</v>
      </c>
      <c r="I735" s="22">
        <v>991</v>
      </c>
      <c r="J735" s="23"/>
      <c r="K735" s="24">
        <v>103264</v>
      </c>
      <c r="L735" s="23">
        <f t="shared" si="78"/>
        <v>902</v>
      </c>
      <c r="M735" s="24">
        <v>17439</v>
      </c>
      <c r="N735" s="25">
        <f t="shared" si="79"/>
        <v>134</v>
      </c>
      <c r="O735" s="24">
        <v>85825</v>
      </c>
      <c r="P735" s="23">
        <f t="shared" si="80"/>
        <v>768</v>
      </c>
      <c r="Q735" s="26"/>
      <c r="R735" s="23">
        <f t="shared" si="81"/>
        <v>0</v>
      </c>
      <c r="S735" s="27" t="s">
        <v>18</v>
      </c>
      <c r="T735" s="19" t="s">
        <v>748</v>
      </c>
    </row>
    <row r="736" spans="1:20" ht="37.5" customHeight="1" x14ac:dyDescent="0.25">
      <c r="A736" s="19" t="s">
        <v>749</v>
      </c>
      <c r="B736">
        <f t="shared" si="82"/>
        <v>3088</v>
      </c>
      <c r="C736">
        <v>559</v>
      </c>
      <c r="D736">
        <v>2529</v>
      </c>
      <c r="F736">
        <f t="shared" si="77"/>
        <v>360</v>
      </c>
      <c r="G736" s="20">
        <f t="shared" si="83"/>
        <v>731</v>
      </c>
      <c r="H736" s="21">
        <v>66624010296</v>
      </c>
      <c r="I736" s="22">
        <v>992</v>
      </c>
      <c r="J736" s="23"/>
      <c r="K736" s="24">
        <v>2728</v>
      </c>
      <c r="L736" s="23">
        <f t="shared" si="78"/>
        <v>360</v>
      </c>
      <c r="M736" s="24">
        <v>501</v>
      </c>
      <c r="N736" s="25">
        <f t="shared" si="79"/>
        <v>58</v>
      </c>
      <c r="O736" s="24">
        <v>2227</v>
      </c>
      <c r="P736" s="23">
        <f t="shared" si="80"/>
        <v>302</v>
      </c>
      <c r="Q736" s="26"/>
      <c r="R736" s="23">
        <f t="shared" si="81"/>
        <v>0</v>
      </c>
      <c r="S736" s="27" t="s">
        <v>18</v>
      </c>
      <c r="T736" s="19" t="s">
        <v>749</v>
      </c>
    </row>
    <row r="737" spans="1:20" ht="37.5" customHeight="1" x14ac:dyDescent="0.25">
      <c r="A737" s="19" t="s">
        <v>750</v>
      </c>
      <c r="B737">
        <f t="shared" si="82"/>
        <v>50039</v>
      </c>
      <c r="C737">
        <v>9070</v>
      </c>
      <c r="D737">
        <v>40969</v>
      </c>
      <c r="F737">
        <f t="shared" si="77"/>
        <v>6</v>
      </c>
      <c r="G737" s="20">
        <f t="shared" si="83"/>
        <v>732</v>
      </c>
      <c r="H737" s="21">
        <v>88820040117</v>
      </c>
      <c r="I737" s="22">
        <v>993</v>
      </c>
      <c r="J737" s="23"/>
      <c r="K737" s="24">
        <v>50033</v>
      </c>
      <c r="L737" s="23">
        <f t="shared" si="78"/>
        <v>6</v>
      </c>
      <c r="M737" s="24">
        <v>9069</v>
      </c>
      <c r="N737" s="25">
        <f t="shared" si="79"/>
        <v>1</v>
      </c>
      <c r="O737" s="24">
        <v>40964</v>
      </c>
      <c r="P737" s="23">
        <f t="shared" si="80"/>
        <v>5</v>
      </c>
      <c r="Q737" s="26"/>
      <c r="R737" s="23">
        <f t="shared" si="81"/>
        <v>0</v>
      </c>
      <c r="S737" s="27" t="s">
        <v>18</v>
      </c>
      <c r="T737" s="19" t="s">
        <v>750</v>
      </c>
    </row>
    <row r="738" spans="1:20" ht="37.5" customHeight="1" x14ac:dyDescent="0.25">
      <c r="A738" s="19" t="s">
        <v>751</v>
      </c>
      <c r="B738">
        <f t="shared" si="82"/>
        <v>3702</v>
      </c>
      <c r="C738">
        <v>797</v>
      </c>
      <c r="D738">
        <v>2905</v>
      </c>
      <c r="E738">
        <v>4158</v>
      </c>
      <c r="F738">
        <f t="shared" si="77"/>
        <v>301</v>
      </c>
      <c r="G738" s="20">
        <f t="shared" si="83"/>
        <v>733</v>
      </c>
      <c r="H738" s="21">
        <v>99624030027</v>
      </c>
      <c r="I738" s="22">
        <v>994</v>
      </c>
      <c r="J738" s="23"/>
      <c r="K738" s="24">
        <f>M738+O738</f>
        <v>3401</v>
      </c>
      <c r="L738" s="23">
        <f t="shared" si="78"/>
        <v>301</v>
      </c>
      <c r="M738" s="24">
        <v>727</v>
      </c>
      <c r="N738" s="25">
        <f t="shared" si="79"/>
        <v>70</v>
      </c>
      <c r="O738" s="24">
        <v>2674</v>
      </c>
      <c r="P738" s="23">
        <f t="shared" si="80"/>
        <v>231</v>
      </c>
      <c r="Q738" s="26">
        <v>3336</v>
      </c>
      <c r="R738" s="23">
        <f t="shared" si="81"/>
        <v>822</v>
      </c>
      <c r="S738" s="27" t="s">
        <v>18</v>
      </c>
      <c r="T738" s="19" t="s">
        <v>751</v>
      </c>
    </row>
    <row r="739" spans="1:20" ht="37.5" customHeight="1" x14ac:dyDescent="0.25">
      <c r="A739" s="19" t="s">
        <v>752</v>
      </c>
      <c r="B739">
        <f t="shared" si="82"/>
        <v>113115</v>
      </c>
      <c r="C739">
        <v>22799</v>
      </c>
      <c r="D739">
        <v>90316</v>
      </c>
      <c r="F739">
        <f t="shared" si="77"/>
        <v>612</v>
      </c>
      <c r="G739" s="20">
        <f t="shared" si="83"/>
        <v>734</v>
      </c>
      <c r="H739" s="21">
        <v>23013010233</v>
      </c>
      <c r="I739" s="22">
        <v>996</v>
      </c>
      <c r="J739" s="23"/>
      <c r="K739" s="24">
        <v>112503</v>
      </c>
      <c r="L739" s="23">
        <f t="shared" si="78"/>
        <v>612</v>
      </c>
      <c r="M739" s="24">
        <v>22628</v>
      </c>
      <c r="N739" s="25">
        <f t="shared" si="79"/>
        <v>171</v>
      </c>
      <c r="O739" s="24">
        <v>89875</v>
      </c>
      <c r="P739" s="23">
        <f t="shared" si="80"/>
        <v>441</v>
      </c>
      <c r="Q739" s="26"/>
      <c r="R739" s="23">
        <f t="shared" si="81"/>
        <v>0</v>
      </c>
      <c r="S739" s="27" t="s">
        <v>18</v>
      </c>
      <c r="T739" s="19" t="s">
        <v>752</v>
      </c>
    </row>
    <row r="740" spans="1:20" ht="37.5" customHeight="1" x14ac:dyDescent="0.25">
      <c r="A740" s="19" t="s">
        <v>753</v>
      </c>
      <c r="B740">
        <f t="shared" si="82"/>
        <v>53071</v>
      </c>
      <c r="C740">
        <v>9152</v>
      </c>
      <c r="D740">
        <v>43919</v>
      </c>
      <c r="F740">
        <f t="shared" si="77"/>
        <v>429</v>
      </c>
      <c r="G740" s="20">
        <f t="shared" si="83"/>
        <v>735</v>
      </c>
      <c r="H740" s="21">
        <v>66617020380</v>
      </c>
      <c r="I740" s="22">
        <v>997</v>
      </c>
      <c r="J740" s="23"/>
      <c r="K740" s="24">
        <v>52642</v>
      </c>
      <c r="L740" s="23">
        <f t="shared" si="78"/>
        <v>429</v>
      </c>
      <c r="M740" s="24">
        <v>9074</v>
      </c>
      <c r="N740" s="25">
        <f t="shared" si="79"/>
        <v>78</v>
      </c>
      <c r="O740" s="24">
        <v>43568</v>
      </c>
      <c r="P740" s="23">
        <f t="shared" si="80"/>
        <v>351</v>
      </c>
      <c r="Q740" s="26"/>
      <c r="R740" s="23">
        <f t="shared" si="81"/>
        <v>0</v>
      </c>
      <c r="S740" s="27" t="s">
        <v>18</v>
      </c>
      <c r="T740" s="19" t="s">
        <v>753</v>
      </c>
    </row>
    <row r="741" spans="1:20" ht="37.5" customHeight="1" x14ac:dyDescent="0.25">
      <c r="A741" s="19" t="s">
        <v>754</v>
      </c>
      <c r="B741">
        <f t="shared" si="82"/>
        <v>31249</v>
      </c>
      <c r="C741">
        <v>5321</v>
      </c>
      <c r="D741">
        <v>25928</v>
      </c>
      <c r="F741">
        <f t="shared" si="77"/>
        <v>389</v>
      </c>
      <c r="G741" s="20">
        <f t="shared" si="83"/>
        <v>736</v>
      </c>
      <c r="H741" s="21">
        <v>66621070399</v>
      </c>
      <c r="I741" s="22">
        <v>998</v>
      </c>
      <c r="J741" s="23"/>
      <c r="K741" s="24">
        <v>30860</v>
      </c>
      <c r="L741" s="23">
        <f t="shared" si="78"/>
        <v>389</v>
      </c>
      <c r="M741" s="24">
        <v>5249</v>
      </c>
      <c r="N741" s="25">
        <f t="shared" si="79"/>
        <v>72</v>
      </c>
      <c r="O741" s="24">
        <v>25611</v>
      </c>
      <c r="P741" s="23">
        <f t="shared" si="80"/>
        <v>317</v>
      </c>
      <c r="Q741" s="26"/>
      <c r="R741" s="23">
        <f t="shared" si="81"/>
        <v>0</v>
      </c>
      <c r="S741" s="27" t="s">
        <v>18</v>
      </c>
      <c r="T741" s="19" t="s">
        <v>754</v>
      </c>
    </row>
    <row r="742" spans="1:20" ht="37.5" customHeight="1" x14ac:dyDescent="0.25">
      <c r="A742" s="19" t="s">
        <v>755</v>
      </c>
      <c r="B742">
        <f t="shared" si="82"/>
        <v>43241</v>
      </c>
      <c r="C742">
        <v>7426</v>
      </c>
      <c r="D742">
        <v>35815</v>
      </c>
      <c r="F742">
        <f t="shared" si="77"/>
        <v>386</v>
      </c>
      <c r="G742" s="20">
        <f t="shared" si="83"/>
        <v>737</v>
      </c>
      <c r="H742" s="21">
        <v>66618010445</v>
      </c>
      <c r="I742" s="22">
        <v>999</v>
      </c>
      <c r="J742" s="23"/>
      <c r="K742" s="24">
        <v>42855</v>
      </c>
      <c r="L742" s="23">
        <f t="shared" si="78"/>
        <v>386</v>
      </c>
      <c r="M742" s="24">
        <v>7358</v>
      </c>
      <c r="N742" s="25">
        <f t="shared" si="79"/>
        <v>68</v>
      </c>
      <c r="O742" s="24">
        <v>35497</v>
      </c>
      <c r="P742" s="23">
        <f t="shared" si="80"/>
        <v>318</v>
      </c>
      <c r="Q742" s="26"/>
      <c r="R742" s="23">
        <f t="shared" si="81"/>
        <v>0</v>
      </c>
      <c r="S742" s="27" t="s">
        <v>18</v>
      </c>
      <c r="T742" s="19" t="s">
        <v>755</v>
      </c>
    </row>
    <row r="743" spans="1:20" ht="37.5" customHeight="1" x14ac:dyDescent="0.25">
      <c r="A743" s="19" t="s">
        <v>756</v>
      </c>
      <c r="B743">
        <f t="shared" si="82"/>
        <v>82020</v>
      </c>
      <c r="C743">
        <v>14657</v>
      </c>
      <c r="D743">
        <v>67363</v>
      </c>
      <c r="F743">
        <f t="shared" si="77"/>
        <v>352</v>
      </c>
      <c r="G743" s="20">
        <f t="shared" si="83"/>
        <v>738</v>
      </c>
      <c r="H743" s="21">
        <v>66616020189</v>
      </c>
      <c r="I743" s="22">
        <v>1001</v>
      </c>
      <c r="J743" s="23"/>
      <c r="K743" s="24">
        <v>81668</v>
      </c>
      <c r="L743" s="23">
        <f t="shared" si="78"/>
        <v>352</v>
      </c>
      <c r="M743" s="24">
        <v>14602</v>
      </c>
      <c r="N743" s="25">
        <f t="shared" si="79"/>
        <v>55</v>
      </c>
      <c r="O743" s="24">
        <v>67066</v>
      </c>
      <c r="P743" s="23">
        <f t="shared" si="80"/>
        <v>297</v>
      </c>
      <c r="Q743" s="26"/>
      <c r="R743" s="23">
        <f t="shared" si="81"/>
        <v>0</v>
      </c>
      <c r="S743" s="27" t="s">
        <v>18</v>
      </c>
      <c r="T743" s="19" t="s">
        <v>756</v>
      </c>
    </row>
    <row r="744" spans="1:20" ht="37.5" customHeight="1" x14ac:dyDescent="0.25">
      <c r="A744" s="19" t="s">
        <v>757</v>
      </c>
      <c r="B744">
        <f t="shared" si="82"/>
        <v>317</v>
      </c>
      <c r="C744">
        <v>85</v>
      </c>
      <c r="D744">
        <v>232</v>
      </c>
      <c r="F744">
        <f t="shared" si="77"/>
        <v>242</v>
      </c>
      <c r="G744" s="20">
        <f t="shared" si="83"/>
        <v>739</v>
      </c>
      <c r="H744" s="21">
        <v>99625010010</v>
      </c>
      <c r="I744" s="22">
        <v>1002</v>
      </c>
      <c r="J744" s="23"/>
      <c r="K744" s="24">
        <f>M744+O744</f>
        <v>75</v>
      </c>
      <c r="L744" s="23">
        <f t="shared" si="78"/>
        <v>242</v>
      </c>
      <c r="M744" s="24">
        <v>20</v>
      </c>
      <c r="N744" s="25">
        <f t="shared" si="79"/>
        <v>65</v>
      </c>
      <c r="O744" s="24">
        <v>55</v>
      </c>
      <c r="P744" s="23">
        <f t="shared" si="80"/>
        <v>177</v>
      </c>
      <c r="Q744" s="26">
        <v>848</v>
      </c>
      <c r="R744" s="23">
        <f t="shared" si="81"/>
        <v>-848</v>
      </c>
      <c r="S744" s="27" t="s">
        <v>18</v>
      </c>
      <c r="T744" s="19" t="s">
        <v>757</v>
      </c>
    </row>
    <row r="745" spans="1:20" ht="37.5" customHeight="1" x14ac:dyDescent="0.25">
      <c r="A745" s="19" t="s">
        <v>758</v>
      </c>
      <c r="B745">
        <f t="shared" si="82"/>
        <v>78308</v>
      </c>
      <c r="C745">
        <v>11486</v>
      </c>
      <c r="D745">
        <v>66822</v>
      </c>
      <c r="F745">
        <f t="shared" si="77"/>
        <v>695</v>
      </c>
      <c r="G745" s="20">
        <f t="shared" si="83"/>
        <v>740</v>
      </c>
      <c r="H745" s="21">
        <v>66601102446</v>
      </c>
      <c r="I745" s="22">
        <v>1004</v>
      </c>
      <c r="J745" s="23"/>
      <c r="K745" s="24">
        <v>77613</v>
      </c>
      <c r="L745" s="23">
        <f t="shared" si="78"/>
        <v>695</v>
      </c>
      <c r="M745" s="24">
        <v>11366</v>
      </c>
      <c r="N745" s="25">
        <f t="shared" si="79"/>
        <v>120</v>
      </c>
      <c r="O745" s="24">
        <v>66247</v>
      </c>
      <c r="P745" s="23">
        <f t="shared" si="80"/>
        <v>575</v>
      </c>
      <c r="Q745" s="26"/>
      <c r="R745" s="23">
        <f t="shared" si="81"/>
        <v>0</v>
      </c>
      <c r="S745" s="27" t="s">
        <v>18</v>
      </c>
      <c r="T745" s="19" t="s">
        <v>758</v>
      </c>
    </row>
    <row r="746" spans="1:20" ht="37.5" customHeight="1" x14ac:dyDescent="0.25">
      <c r="A746" s="19" t="s">
        <v>759</v>
      </c>
      <c r="B746">
        <f t="shared" si="82"/>
        <v>64461</v>
      </c>
      <c r="C746">
        <v>11550</v>
      </c>
      <c r="D746">
        <v>52911</v>
      </c>
      <c r="F746">
        <f t="shared" si="77"/>
        <v>777</v>
      </c>
      <c r="G746" s="20">
        <f t="shared" si="83"/>
        <v>741</v>
      </c>
      <c r="H746" s="21">
        <v>23013010035</v>
      </c>
      <c r="I746" s="22">
        <v>1005</v>
      </c>
      <c r="J746" s="23"/>
      <c r="K746" s="24">
        <v>63684</v>
      </c>
      <c r="L746" s="23">
        <f t="shared" si="78"/>
        <v>777</v>
      </c>
      <c r="M746" s="24">
        <v>11418</v>
      </c>
      <c r="N746" s="25">
        <f t="shared" si="79"/>
        <v>132</v>
      </c>
      <c r="O746" s="24">
        <v>52266</v>
      </c>
      <c r="P746" s="23">
        <f t="shared" si="80"/>
        <v>645</v>
      </c>
      <c r="Q746" s="26"/>
      <c r="R746" s="23">
        <f t="shared" si="81"/>
        <v>0</v>
      </c>
      <c r="S746" s="27" t="s">
        <v>18</v>
      </c>
      <c r="T746" s="19" t="s">
        <v>759</v>
      </c>
    </row>
    <row r="747" spans="1:20" ht="37.5" customHeight="1" x14ac:dyDescent="0.25">
      <c r="A747" s="19" t="s">
        <v>760</v>
      </c>
      <c r="B747">
        <f t="shared" si="82"/>
        <v>31122</v>
      </c>
      <c r="C747">
        <v>5419</v>
      </c>
      <c r="D747">
        <v>25703</v>
      </c>
      <c r="F747">
        <f t="shared" si="77"/>
        <v>306</v>
      </c>
      <c r="G747" s="20">
        <f t="shared" si="83"/>
        <v>742</v>
      </c>
      <c r="H747" s="21">
        <v>23014060128</v>
      </c>
      <c r="I747" s="22">
        <v>1007</v>
      </c>
      <c r="J747" s="23"/>
      <c r="K747" s="24">
        <v>30816</v>
      </c>
      <c r="L747" s="23">
        <f t="shared" si="78"/>
        <v>306</v>
      </c>
      <c r="M747" s="24">
        <v>5359</v>
      </c>
      <c r="N747" s="25">
        <f t="shared" si="79"/>
        <v>60</v>
      </c>
      <c r="O747" s="24">
        <v>25457</v>
      </c>
      <c r="P747" s="23">
        <f t="shared" si="80"/>
        <v>246</v>
      </c>
      <c r="Q747" s="26"/>
      <c r="R747" s="23">
        <f t="shared" si="81"/>
        <v>0</v>
      </c>
      <c r="S747" s="27" t="s">
        <v>18</v>
      </c>
      <c r="T747" s="19" t="s">
        <v>760</v>
      </c>
    </row>
    <row r="748" spans="1:20" ht="37.5" customHeight="1" x14ac:dyDescent="0.25">
      <c r="A748" s="19" t="s">
        <v>761</v>
      </c>
      <c r="B748">
        <f t="shared" si="82"/>
        <v>34198</v>
      </c>
      <c r="C748">
        <v>7282</v>
      </c>
      <c r="D748">
        <v>26916</v>
      </c>
      <c r="F748">
        <f t="shared" si="77"/>
        <v>326</v>
      </c>
      <c r="G748" s="20">
        <f t="shared" si="83"/>
        <v>743</v>
      </c>
      <c r="H748" s="21">
        <v>66616031484</v>
      </c>
      <c r="I748" s="22">
        <v>1008</v>
      </c>
      <c r="J748" s="23"/>
      <c r="K748" s="24">
        <v>33872</v>
      </c>
      <c r="L748" s="23">
        <f t="shared" si="78"/>
        <v>326</v>
      </c>
      <c r="M748" s="24">
        <v>7237</v>
      </c>
      <c r="N748" s="25">
        <f t="shared" si="79"/>
        <v>45</v>
      </c>
      <c r="O748" s="24">
        <v>26635</v>
      </c>
      <c r="P748" s="23">
        <f t="shared" si="80"/>
        <v>281</v>
      </c>
      <c r="Q748" s="26"/>
      <c r="R748" s="23">
        <f t="shared" si="81"/>
        <v>0</v>
      </c>
      <c r="S748" s="27" t="s">
        <v>18</v>
      </c>
      <c r="T748" s="19" t="s">
        <v>761</v>
      </c>
    </row>
    <row r="749" spans="1:20" ht="37.5" customHeight="1" x14ac:dyDescent="0.25">
      <c r="A749" s="19" t="s">
        <v>762</v>
      </c>
      <c r="B749">
        <f t="shared" si="82"/>
        <v>8806</v>
      </c>
      <c r="C749">
        <v>1188</v>
      </c>
      <c r="D749">
        <v>7618</v>
      </c>
      <c r="F749">
        <f t="shared" si="77"/>
        <v>208</v>
      </c>
      <c r="G749" s="20">
        <f t="shared" si="83"/>
        <v>744</v>
      </c>
      <c r="H749" s="21">
        <v>88818020469</v>
      </c>
      <c r="I749" s="22">
        <v>1010</v>
      </c>
      <c r="J749" s="23"/>
      <c r="K749" s="24">
        <v>8598</v>
      </c>
      <c r="L749" s="23">
        <f t="shared" si="78"/>
        <v>208</v>
      </c>
      <c r="M749" s="24">
        <v>1154</v>
      </c>
      <c r="N749" s="25">
        <f t="shared" si="79"/>
        <v>34</v>
      </c>
      <c r="O749" s="24">
        <v>7444</v>
      </c>
      <c r="P749" s="23">
        <f t="shared" si="80"/>
        <v>174</v>
      </c>
      <c r="Q749" s="26"/>
      <c r="R749" s="23">
        <f t="shared" si="81"/>
        <v>0</v>
      </c>
      <c r="S749" s="27" t="s">
        <v>18</v>
      </c>
      <c r="T749" s="19" t="s">
        <v>762</v>
      </c>
    </row>
    <row r="750" spans="1:20" ht="37.5" customHeight="1" x14ac:dyDescent="0.25">
      <c r="A750" s="19" t="s">
        <v>763</v>
      </c>
      <c r="B750">
        <f t="shared" si="82"/>
        <v>26362</v>
      </c>
      <c r="C750">
        <v>4934</v>
      </c>
      <c r="D750">
        <v>21428</v>
      </c>
      <c r="F750">
        <f t="shared" si="77"/>
        <v>140</v>
      </c>
      <c r="G750" s="20">
        <f t="shared" si="83"/>
        <v>745</v>
      </c>
      <c r="H750" s="21">
        <v>66618010118</v>
      </c>
      <c r="I750" s="22">
        <v>1011</v>
      </c>
      <c r="J750" s="23"/>
      <c r="K750" s="24">
        <v>26222</v>
      </c>
      <c r="L750" s="23">
        <f t="shared" si="78"/>
        <v>140</v>
      </c>
      <c r="M750" s="24">
        <v>4903</v>
      </c>
      <c r="N750" s="25">
        <f t="shared" si="79"/>
        <v>31</v>
      </c>
      <c r="O750" s="24">
        <v>21319</v>
      </c>
      <c r="P750" s="23">
        <f t="shared" si="80"/>
        <v>109</v>
      </c>
      <c r="Q750" s="26"/>
      <c r="R750" s="23">
        <f t="shared" si="81"/>
        <v>0</v>
      </c>
      <c r="S750" s="27" t="s">
        <v>18</v>
      </c>
      <c r="T750" s="19" t="s">
        <v>763</v>
      </c>
    </row>
    <row r="751" spans="1:20" ht="37.5" customHeight="1" x14ac:dyDescent="0.25">
      <c r="A751" s="19" t="s">
        <v>764</v>
      </c>
      <c r="B751">
        <f t="shared" si="82"/>
        <v>38132</v>
      </c>
      <c r="C751">
        <v>7391</v>
      </c>
      <c r="D751">
        <v>30741</v>
      </c>
      <c r="F751">
        <f t="shared" si="77"/>
        <v>416</v>
      </c>
      <c r="G751" s="20">
        <f t="shared" si="83"/>
        <v>746</v>
      </c>
      <c r="H751" s="21">
        <v>66617010385</v>
      </c>
      <c r="I751" s="22">
        <v>1012</v>
      </c>
      <c r="J751" s="23"/>
      <c r="K751" s="24">
        <v>37716</v>
      </c>
      <c r="L751" s="23">
        <f t="shared" si="78"/>
        <v>416</v>
      </c>
      <c r="M751" s="24">
        <v>7294</v>
      </c>
      <c r="N751" s="25">
        <f t="shared" si="79"/>
        <v>97</v>
      </c>
      <c r="O751" s="24">
        <v>30422</v>
      </c>
      <c r="P751" s="23">
        <f t="shared" si="80"/>
        <v>319</v>
      </c>
      <c r="Q751" s="26"/>
      <c r="R751" s="23">
        <f t="shared" si="81"/>
        <v>0</v>
      </c>
      <c r="S751" s="27" t="s">
        <v>18</v>
      </c>
      <c r="T751" s="19" t="s">
        <v>764</v>
      </c>
    </row>
    <row r="752" spans="1:20" ht="37.5" customHeight="1" x14ac:dyDescent="0.25">
      <c r="A752" s="19" t="s">
        <v>765</v>
      </c>
      <c r="B752">
        <f t="shared" si="82"/>
        <v>3184</v>
      </c>
      <c r="C752">
        <v>798</v>
      </c>
      <c r="D752">
        <v>2386</v>
      </c>
      <c r="E752">
        <v>3549</v>
      </c>
      <c r="F752">
        <f t="shared" si="77"/>
        <v>216</v>
      </c>
      <c r="G752" s="20">
        <f t="shared" si="83"/>
        <v>747</v>
      </c>
      <c r="H752" s="21">
        <v>99624030275</v>
      </c>
      <c r="I752" s="22">
        <v>1013</v>
      </c>
      <c r="J752" s="23"/>
      <c r="K752" s="24">
        <f>M752+O752</f>
        <v>2968</v>
      </c>
      <c r="L752" s="23">
        <f t="shared" si="78"/>
        <v>216</v>
      </c>
      <c r="M752" s="24">
        <v>730</v>
      </c>
      <c r="N752" s="25">
        <f t="shared" si="79"/>
        <v>68</v>
      </c>
      <c r="O752" s="24">
        <v>2238</v>
      </c>
      <c r="P752" s="23">
        <f t="shared" si="80"/>
        <v>148</v>
      </c>
      <c r="Q752" s="26">
        <v>2842</v>
      </c>
      <c r="R752" s="23">
        <f t="shared" si="81"/>
        <v>707</v>
      </c>
      <c r="S752" s="27" t="s">
        <v>18</v>
      </c>
      <c r="T752" s="19" t="s">
        <v>765</v>
      </c>
    </row>
    <row r="753" spans="1:20" ht="37.5" customHeight="1" x14ac:dyDescent="0.25">
      <c r="A753" s="19" t="s">
        <v>766</v>
      </c>
      <c r="B753">
        <f t="shared" si="82"/>
        <v>54354</v>
      </c>
      <c r="C753">
        <v>8215</v>
      </c>
      <c r="D753">
        <v>46139</v>
      </c>
      <c r="F753">
        <f t="shared" si="77"/>
        <v>469</v>
      </c>
      <c r="G753" s="20">
        <f t="shared" si="83"/>
        <v>748</v>
      </c>
      <c r="H753" s="21">
        <v>23013080491</v>
      </c>
      <c r="I753" s="22">
        <v>1014</v>
      </c>
      <c r="J753" s="23"/>
      <c r="K753" s="24">
        <v>53885</v>
      </c>
      <c r="L753" s="23">
        <f t="shared" si="78"/>
        <v>469</v>
      </c>
      <c r="M753" s="24">
        <v>8148</v>
      </c>
      <c r="N753" s="25">
        <f t="shared" si="79"/>
        <v>67</v>
      </c>
      <c r="O753" s="24">
        <v>45737</v>
      </c>
      <c r="P753" s="23">
        <f t="shared" si="80"/>
        <v>402</v>
      </c>
      <c r="Q753" s="26"/>
      <c r="R753" s="23">
        <f t="shared" si="81"/>
        <v>0</v>
      </c>
      <c r="S753" s="27" t="s">
        <v>18</v>
      </c>
      <c r="T753" s="19" t="s">
        <v>766</v>
      </c>
    </row>
    <row r="754" spans="1:20" ht="37.5" customHeight="1" x14ac:dyDescent="0.25">
      <c r="A754" s="19" t="s">
        <v>767</v>
      </c>
      <c r="B754">
        <f t="shared" si="82"/>
        <v>55630</v>
      </c>
      <c r="C754">
        <v>12573</v>
      </c>
      <c r="D754">
        <v>43057</v>
      </c>
      <c r="F754">
        <f t="shared" si="77"/>
        <v>401</v>
      </c>
      <c r="G754" s="20">
        <f t="shared" si="83"/>
        <v>749</v>
      </c>
      <c r="H754" s="21">
        <v>23011010024</v>
      </c>
      <c r="I754" s="22">
        <v>1017</v>
      </c>
      <c r="J754" s="23"/>
      <c r="K754" s="24">
        <v>55229</v>
      </c>
      <c r="L754" s="23">
        <f t="shared" si="78"/>
        <v>401</v>
      </c>
      <c r="M754" s="24">
        <v>12480</v>
      </c>
      <c r="N754" s="25">
        <f t="shared" si="79"/>
        <v>93</v>
      </c>
      <c r="O754" s="24">
        <v>42749</v>
      </c>
      <c r="P754" s="23">
        <f t="shared" si="80"/>
        <v>308</v>
      </c>
      <c r="Q754" s="26"/>
      <c r="R754" s="23">
        <f t="shared" si="81"/>
        <v>0</v>
      </c>
      <c r="S754" s="27" t="s">
        <v>18</v>
      </c>
      <c r="T754" s="19" t="s">
        <v>767</v>
      </c>
    </row>
    <row r="755" spans="1:20" ht="37.5" customHeight="1" x14ac:dyDescent="0.25">
      <c r="A755" s="19" t="s">
        <v>768</v>
      </c>
      <c r="B755">
        <f t="shared" si="82"/>
        <v>12109</v>
      </c>
      <c r="C755">
        <v>2074</v>
      </c>
      <c r="D755">
        <v>10035</v>
      </c>
      <c r="F755">
        <f t="shared" si="77"/>
        <v>330</v>
      </c>
      <c r="G755" s="20">
        <f t="shared" si="83"/>
        <v>750</v>
      </c>
      <c r="H755" s="21">
        <v>66621070371</v>
      </c>
      <c r="I755" s="22">
        <v>1018</v>
      </c>
      <c r="J755" s="23"/>
      <c r="K755" s="24">
        <v>11779</v>
      </c>
      <c r="L755" s="23">
        <f t="shared" si="78"/>
        <v>330</v>
      </c>
      <c r="M755" s="24">
        <v>2019</v>
      </c>
      <c r="N755" s="25">
        <f t="shared" si="79"/>
        <v>55</v>
      </c>
      <c r="O755" s="24">
        <v>9760</v>
      </c>
      <c r="P755" s="23">
        <f t="shared" si="80"/>
        <v>275</v>
      </c>
      <c r="Q755" s="26"/>
      <c r="R755" s="23">
        <f t="shared" si="81"/>
        <v>0</v>
      </c>
      <c r="S755" s="27" t="s">
        <v>18</v>
      </c>
      <c r="T755" s="19" t="s">
        <v>768</v>
      </c>
    </row>
    <row r="756" spans="1:20" ht="37.5" customHeight="1" x14ac:dyDescent="0.25">
      <c r="A756" s="19" t="s">
        <v>769</v>
      </c>
      <c r="B756">
        <f t="shared" si="82"/>
        <v>895</v>
      </c>
      <c r="C756">
        <v>107</v>
      </c>
      <c r="D756">
        <v>788</v>
      </c>
      <c r="F756">
        <f t="shared" si="77"/>
        <v>45</v>
      </c>
      <c r="G756" s="20">
        <f t="shared" si="83"/>
        <v>751</v>
      </c>
      <c r="H756" s="21">
        <v>66623030451</v>
      </c>
      <c r="I756" s="22">
        <v>1019</v>
      </c>
      <c r="J756" s="23"/>
      <c r="K756" s="24">
        <v>850</v>
      </c>
      <c r="L756" s="23">
        <f t="shared" si="78"/>
        <v>45</v>
      </c>
      <c r="M756" s="24">
        <v>98</v>
      </c>
      <c r="N756" s="25">
        <f t="shared" si="79"/>
        <v>9</v>
      </c>
      <c r="O756" s="24">
        <v>752</v>
      </c>
      <c r="P756" s="23">
        <f t="shared" si="80"/>
        <v>36</v>
      </c>
      <c r="Q756" s="26"/>
      <c r="R756" s="23">
        <f t="shared" si="81"/>
        <v>0</v>
      </c>
      <c r="S756" s="27" t="s">
        <v>18</v>
      </c>
      <c r="T756" s="19" t="s">
        <v>769</v>
      </c>
    </row>
    <row r="757" spans="1:20" ht="37.5" customHeight="1" x14ac:dyDescent="0.25">
      <c r="A757" s="19" t="s">
        <v>770</v>
      </c>
      <c r="B757">
        <f t="shared" si="82"/>
        <v>32303</v>
      </c>
      <c r="C757">
        <v>4864</v>
      </c>
      <c r="D757">
        <v>27439</v>
      </c>
      <c r="F757">
        <f t="shared" si="77"/>
        <v>503</v>
      </c>
      <c r="G757" s="20">
        <f t="shared" si="83"/>
        <v>752</v>
      </c>
      <c r="H757" s="21">
        <v>66618010451</v>
      </c>
      <c r="I757" s="22">
        <v>1020</v>
      </c>
      <c r="J757" s="23"/>
      <c r="K757" s="24">
        <v>31800</v>
      </c>
      <c r="L757" s="23">
        <f t="shared" si="78"/>
        <v>503</v>
      </c>
      <c r="M757" s="24">
        <v>4774</v>
      </c>
      <c r="N757" s="25">
        <f t="shared" si="79"/>
        <v>90</v>
      </c>
      <c r="O757" s="24">
        <v>27026</v>
      </c>
      <c r="P757" s="23">
        <f t="shared" si="80"/>
        <v>413</v>
      </c>
      <c r="Q757" s="26"/>
      <c r="R757" s="23">
        <f t="shared" si="81"/>
        <v>0</v>
      </c>
      <c r="S757" s="27" t="s">
        <v>18</v>
      </c>
      <c r="T757" s="19" t="s">
        <v>770</v>
      </c>
    </row>
    <row r="758" spans="1:20" ht="37.5" customHeight="1" x14ac:dyDescent="0.25">
      <c r="A758" s="19" t="s">
        <v>771</v>
      </c>
      <c r="B758">
        <f t="shared" si="82"/>
        <v>58271</v>
      </c>
      <c r="C758">
        <v>9477</v>
      </c>
      <c r="D758">
        <v>48794</v>
      </c>
      <c r="F758">
        <f t="shared" si="77"/>
        <v>24</v>
      </c>
      <c r="G758" s="20">
        <f t="shared" si="83"/>
        <v>753</v>
      </c>
      <c r="H758" s="21">
        <v>23014040455</v>
      </c>
      <c r="I758" s="22">
        <v>1021</v>
      </c>
      <c r="J758" s="23"/>
      <c r="K758" s="24">
        <v>58247</v>
      </c>
      <c r="L758" s="23">
        <f t="shared" si="78"/>
        <v>24</v>
      </c>
      <c r="M758" s="24">
        <v>9471</v>
      </c>
      <c r="N758" s="25">
        <f t="shared" si="79"/>
        <v>6</v>
      </c>
      <c r="O758" s="24">
        <v>48776</v>
      </c>
      <c r="P758" s="23">
        <f t="shared" si="80"/>
        <v>18</v>
      </c>
      <c r="Q758" s="26"/>
      <c r="R758" s="23">
        <f t="shared" si="81"/>
        <v>0</v>
      </c>
      <c r="S758" s="27" t="s">
        <v>18</v>
      </c>
      <c r="T758" s="19" t="s">
        <v>771</v>
      </c>
    </row>
    <row r="759" spans="1:20" ht="37.5" customHeight="1" x14ac:dyDescent="0.25">
      <c r="A759" s="19" t="s">
        <v>772</v>
      </c>
      <c r="B759">
        <f t="shared" si="82"/>
        <v>152301</v>
      </c>
      <c r="C759">
        <v>24692</v>
      </c>
      <c r="D759">
        <v>127609</v>
      </c>
      <c r="F759">
        <f t="shared" si="77"/>
        <v>1185</v>
      </c>
      <c r="G759" s="20">
        <f t="shared" si="83"/>
        <v>754</v>
      </c>
      <c r="H759" s="21">
        <v>23014090091</v>
      </c>
      <c r="I759" s="22">
        <v>1022</v>
      </c>
      <c r="J759" s="23"/>
      <c r="K759" s="24">
        <v>151116</v>
      </c>
      <c r="L759" s="23">
        <f t="shared" si="78"/>
        <v>1185</v>
      </c>
      <c r="M759" s="24">
        <v>24531</v>
      </c>
      <c r="N759" s="25">
        <f t="shared" si="79"/>
        <v>161</v>
      </c>
      <c r="O759" s="24">
        <v>126585</v>
      </c>
      <c r="P759" s="23">
        <f t="shared" si="80"/>
        <v>1024</v>
      </c>
      <c r="Q759" s="26"/>
      <c r="R759" s="23">
        <f t="shared" si="81"/>
        <v>0</v>
      </c>
      <c r="S759" s="27" t="s">
        <v>18</v>
      </c>
      <c r="T759" s="19" t="s">
        <v>772</v>
      </c>
    </row>
    <row r="760" spans="1:20" ht="37.5" customHeight="1" x14ac:dyDescent="0.25">
      <c r="A760" s="19" t="s">
        <v>773</v>
      </c>
      <c r="B760">
        <f t="shared" si="82"/>
        <v>1186</v>
      </c>
      <c r="C760">
        <v>327</v>
      </c>
      <c r="D760">
        <v>859</v>
      </c>
      <c r="E760">
        <v>3056</v>
      </c>
      <c r="F760">
        <f t="shared" si="77"/>
        <v>269</v>
      </c>
      <c r="G760" s="20">
        <f t="shared" si="83"/>
        <v>755</v>
      </c>
      <c r="H760" s="21">
        <v>99624040305</v>
      </c>
      <c r="I760" s="22">
        <v>1023</v>
      </c>
      <c r="J760" s="23"/>
      <c r="K760" s="24">
        <f>M760+O760</f>
        <v>917</v>
      </c>
      <c r="L760" s="23">
        <f t="shared" si="78"/>
        <v>269</v>
      </c>
      <c r="M760" s="24">
        <v>261</v>
      </c>
      <c r="N760" s="25">
        <f t="shared" si="79"/>
        <v>66</v>
      </c>
      <c r="O760" s="24">
        <v>656</v>
      </c>
      <c r="P760" s="23">
        <f t="shared" si="80"/>
        <v>203</v>
      </c>
      <c r="Q760" s="26">
        <v>2355</v>
      </c>
      <c r="R760" s="23">
        <f t="shared" si="81"/>
        <v>701</v>
      </c>
      <c r="S760" s="27" t="s">
        <v>18</v>
      </c>
      <c r="T760" s="19" t="s">
        <v>773</v>
      </c>
    </row>
    <row r="761" spans="1:20" ht="37.5" customHeight="1" x14ac:dyDescent="0.25">
      <c r="A761" s="19" t="s">
        <v>774</v>
      </c>
      <c r="B761">
        <f t="shared" si="82"/>
        <v>6007</v>
      </c>
      <c r="C761">
        <v>1688</v>
      </c>
      <c r="D761">
        <v>4319</v>
      </c>
      <c r="E761">
        <v>13201</v>
      </c>
      <c r="F761">
        <f t="shared" si="77"/>
        <v>478</v>
      </c>
      <c r="G761" s="20">
        <f t="shared" si="83"/>
        <v>756</v>
      </c>
      <c r="H761" s="21">
        <v>99623080172</v>
      </c>
      <c r="I761" s="22">
        <v>1024</v>
      </c>
      <c r="J761" s="23"/>
      <c r="K761" s="24">
        <f>M761+O761</f>
        <v>5529</v>
      </c>
      <c r="L761" s="23">
        <f t="shared" si="78"/>
        <v>478</v>
      </c>
      <c r="M761" s="24">
        <v>1541</v>
      </c>
      <c r="N761" s="25">
        <f t="shared" si="79"/>
        <v>147</v>
      </c>
      <c r="O761" s="24">
        <v>3988</v>
      </c>
      <c r="P761" s="23">
        <f t="shared" si="80"/>
        <v>331</v>
      </c>
      <c r="Q761" s="26">
        <v>12427</v>
      </c>
      <c r="R761" s="23">
        <f t="shared" si="81"/>
        <v>774</v>
      </c>
      <c r="S761" s="27" t="s">
        <v>18</v>
      </c>
      <c r="T761" s="19" t="s">
        <v>774</v>
      </c>
    </row>
    <row r="762" spans="1:20" ht="37.5" customHeight="1" x14ac:dyDescent="0.25">
      <c r="A762" s="19" t="s">
        <v>775</v>
      </c>
      <c r="B762">
        <f t="shared" si="82"/>
        <v>14177</v>
      </c>
      <c r="C762">
        <v>2168</v>
      </c>
      <c r="D762">
        <v>12009</v>
      </c>
      <c r="F762">
        <f t="shared" si="77"/>
        <v>465</v>
      </c>
      <c r="G762" s="20">
        <f t="shared" si="83"/>
        <v>757</v>
      </c>
      <c r="H762" s="21">
        <v>66622030195</v>
      </c>
      <c r="I762" s="22">
        <v>1025</v>
      </c>
      <c r="J762" s="23"/>
      <c r="K762" s="24">
        <v>13712</v>
      </c>
      <c r="L762" s="23">
        <f t="shared" si="78"/>
        <v>465</v>
      </c>
      <c r="M762" s="24">
        <v>2104</v>
      </c>
      <c r="N762" s="25">
        <f t="shared" si="79"/>
        <v>64</v>
      </c>
      <c r="O762" s="24">
        <v>11608</v>
      </c>
      <c r="P762" s="23">
        <f t="shared" si="80"/>
        <v>401</v>
      </c>
      <c r="Q762" s="26"/>
      <c r="R762" s="23">
        <f t="shared" si="81"/>
        <v>0</v>
      </c>
      <c r="S762" s="27" t="s">
        <v>18</v>
      </c>
      <c r="T762" s="19" t="s">
        <v>775</v>
      </c>
    </row>
    <row r="763" spans="1:20" ht="37.5" customHeight="1" x14ac:dyDescent="0.25">
      <c r="A763" s="19" t="s">
        <v>776</v>
      </c>
      <c r="B763">
        <f t="shared" si="82"/>
        <v>62376</v>
      </c>
      <c r="C763">
        <v>12052</v>
      </c>
      <c r="D763">
        <v>50324</v>
      </c>
      <c r="F763">
        <f t="shared" si="77"/>
        <v>613</v>
      </c>
      <c r="G763" s="20">
        <f t="shared" si="83"/>
        <v>758</v>
      </c>
      <c r="H763" s="21">
        <v>23014090333</v>
      </c>
      <c r="I763" s="22">
        <v>1026</v>
      </c>
      <c r="J763" s="23"/>
      <c r="K763" s="24">
        <v>61763</v>
      </c>
      <c r="L763" s="23">
        <f t="shared" si="78"/>
        <v>613</v>
      </c>
      <c r="M763" s="24">
        <v>11965</v>
      </c>
      <c r="N763" s="25">
        <f t="shared" si="79"/>
        <v>87</v>
      </c>
      <c r="O763" s="24">
        <v>49798</v>
      </c>
      <c r="P763" s="23">
        <f t="shared" si="80"/>
        <v>526</v>
      </c>
      <c r="Q763" s="26"/>
      <c r="R763" s="23">
        <f t="shared" si="81"/>
        <v>0</v>
      </c>
      <c r="S763" s="27" t="s">
        <v>18</v>
      </c>
      <c r="T763" s="19" t="s">
        <v>776</v>
      </c>
    </row>
    <row r="764" spans="1:20" ht="37.5" customHeight="1" x14ac:dyDescent="0.25">
      <c r="A764" s="19" t="s">
        <v>777</v>
      </c>
      <c r="B764">
        <f t="shared" si="82"/>
        <v>5458</v>
      </c>
      <c r="C764">
        <v>767</v>
      </c>
      <c r="D764">
        <v>4691</v>
      </c>
      <c r="F764">
        <f t="shared" si="77"/>
        <v>113</v>
      </c>
      <c r="G764" s="20">
        <f t="shared" si="83"/>
        <v>759</v>
      </c>
      <c r="H764" s="21">
        <v>88821020029</v>
      </c>
      <c r="I764" s="22">
        <v>1027</v>
      </c>
      <c r="J764" s="23"/>
      <c r="K764" s="24">
        <v>5345</v>
      </c>
      <c r="L764" s="23">
        <f t="shared" si="78"/>
        <v>113</v>
      </c>
      <c r="M764" s="24">
        <v>750</v>
      </c>
      <c r="N764" s="25">
        <f t="shared" si="79"/>
        <v>17</v>
      </c>
      <c r="O764" s="24">
        <v>4595</v>
      </c>
      <c r="P764" s="23">
        <f t="shared" si="80"/>
        <v>96</v>
      </c>
      <c r="Q764" s="26"/>
      <c r="R764" s="23">
        <f t="shared" si="81"/>
        <v>0</v>
      </c>
      <c r="S764" s="27" t="s">
        <v>18</v>
      </c>
      <c r="T764" s="19" t="s">
        <v>777</v>
      </c>
    </row>
    <row r="765" spans="1:20" ht="37.5" customHeight="1" x14ac:dyDescent="0.25">
      <c r="A765" s="19" t="s">
        <v>778</v>
      </c>
      <c r="B765">
        <f t="shared" si="82"/>
        <v>83576</v>
      </c>
      <c r="C765">
        <v>20222</v>
      </c>
      <c r="D765">
        <v>63354</v>
      </c>
      <c r="F765">
        <f t="shared" si="77"/>
        <v>352</v>
      </c>
      <c r="G765" s="20">
        <f t="shared" si="83"/>
        <v>760</v>
      </c>
      <c r="H765" s="21">
        <v>23011010038</v>
      </c>
      <c r="I765" s="22">
        <v>1028</v>
      </c>
      <c r="J765" s="23"/>
      <c r="K765" s="24">
        <v>83224</v>
      </c>
      <c r="L765" s="23">
        <f t="shared" si="78"/>
        <v>352</v>
      </c>
      <c r="M765" s="24">
        <v>20124</v>
      </c>
      <c r="N765" s="25">
        <f t="shared" si="79"/>
        <v>98</v>
      </c>
      <c r="O765" s="24">
        <v>63100</v>
      </c>
      <c r="P765" s="23">
        <f t="shared" si="80"/>
        <v>254</v>
      </c>
      <c r="Q765" s="26"/>
      <c r="R765" s="23">
        <f t="shared" si="81"/>
        <v>0</v>
      </c>
      <c r="S765" s="27" t="s">
        <v>18</v>
      </c>
      <c r="T765" s="19" t="s">
        <v>778</v>
      </c>
    </row>
    <row r="766" spans="1:20" ht="37.5" customHeight="1" x14ac:dyDescent="0.25">
      <c r="A766" s="19" t="s">
        <v>779</v>
      </c>
      <c r="B766">
        <f t="shared" si="82"/>
        <v>23856</v>
      </c>
      <c r="C766">
        <v>4152</v>
      </c>
      <c r="D766">
        <v>19704</v>
      </c>
      <c r="F766">
        <f t="shared" si="77"/>
        <v>277</v>
      </c>
      <c r="G766" s="20">
        <f t="shared" si="83"/>
        <v>761</v>
      </c>
      <c r="H766" s="21">
        <v>66617010124</v>
      </c>
      <c r="I766" s="22">
        <v>1029</v>
      </c>
      <c r="J766" s="23"/>
      <c r="K766" s="24">
        <v>23579</v>
      </c>
      <c r="L766" s="23">
        <f t="shared" si="78"/>
        <v>277</v>
      </c>
      <c r="M766" s="24">
        <v>4095</v>
      </c>
      <c r="N766" s="25">
        <f t="shared" si="79"/>
        <v>57</v>
      </c>
      <c r="O766" s="24">
        <v>19484</v>
      </c>
      <c r="P766" s="23">
        <f t="shared" si="80"/>
        <v>220</v>
      </c>
      <c r="Q766" s="26"/>
      <c r="R766" s="23">
        <f t="shared" si="81"/>
        <v>0</v>
      </c>
      <c r="S766" s="27" t="s">
        <v>18</v>
      </c>
      <c r="T766" s="19" t="s">
        <v>779</v>
      </c>
    </row>
    <row r="767" spans="1:20" ht="37.5" customHeight="1" x14ac:dyDescent="0.25">
      <c r="A767" s="19" t="s">
        <v>780</v>
      </c>
      <c r="B767">
        <f t="shared" si="82"/>
        <v>27360</v>
      </c>
      <c r="C767">
        <v>4516</v>
      </c>
      <c r="D767">
        <v>22844</v>
      </c>
      <c r="F767">
        <f t="shared" si="77"/>
        <v>637</v>
      </c>
      <c r="G767" s="20">
        <f t="shared" si="83"/>
        <v>762</v>
      </c>
      <c r="H767" s="21">
        <v>88820030203</v>
      </c>
      <c r="I767" s="22">
        <v>1030</v>
      </c>
      <c r="J767" s="23"/>
      <c r="K767" s="24">
        <v>26723</v>
      </c>
      <c r="L767" s="23">
        <f t="shared" si="78"/>
        <v>637</v>
      </c>
      <c r="M767" s="24">
        <v>4426</v>
      </c>
      <c r="N767" s="25">
        <f t="shared" si="79"/>
        <v>90</v>
      </c>
      <c r="O767" s="24">
        <v>22297</v>
      </c>
      <c r="P767" s="23">
        <f t="shared" si="80"/>
        <v>547</v>
      </c>
      <c r="Q767" s="26"/>
      <c r="R767" s="23">
        <f t="shared" si="81"/>
        <v>0</v>
      </c>
      <c r="S767" s="27" t="s">
        <v>18</v>
      </c>
      <c r="T767" s="19" t="s">
        <v>780</v>
      </c>
    </row>
    <row r="768" spans="1:20" ht="37.5" customHeight="1" x14ac:dyDescent="0.25">
      <c r="A768" s="19" t="s">
        <v>781</v>
      </c>
      <c r="B768">
        <f t="shared" si="82"/>
        <v>68076</v>
      </c>
      <c r="C768">
        <v>12357</v>
      </c>
      <c r="D768">
        <v>55719</v>
      </c>
      <c r="F768">
        <f t="shared" si="77"/>
        <v>455</v>
      </c>
      <c r="G768" s="20">
        <f t="shared" si="83"/>
        <v>763</v>
      </c>
      <c r="H768" s="21">
        <v>23011010095</v>
      </c>
      <c r="I768" s="22">
        <v>1031</v>
      </c>
      <c r="J768" s="23"/>
      <c r="K768" s="24">
        <v>67621</v>
      </c>
      <c r="L768" s="23">
        <f t="shared" si="78"/>
        <v>455</v>
      </c>
      <c r="M768" s="24">
        <v>12268</v>
      </c>
      <c r="N768" s="25">
        <f t="shared" si="79"/>
        <v>89</v>
      </c>
      <c r="O768" s="24">
        <v>55353</v>
      </c>
      <c r="P768" s="23">
        <f t="shared" si="80"/>
        <v>366</v>
      </c>
      <c r="Q768" s="26"/>
      <c r="R768" s="23">
        <f t="shared" si="81"/>
        <v>0</v>
      </c>
      <c r="S768" s="27" t="s">
        <v>18</v>
      </c>
      <c r="T768" s="19" t="s">
        <v>781</v>
      </c>
    </row>
    <row r="769" spans="1:20" ht="37.5" customHeight="1" x14ac:dyDescent="0.25">
      <c r="A769" s="19" t="s">
        <v>782</v>
      </c>
      <c r="B769">
        <f t="shared" si="82"/>
        <v>13587</v>
      </c>
      <c r="C769">
        <v>2176</v>
      </c>
      <c r="D769">
        <v>11411</v>
      </c>
      <c r="F769">
        <f t="shared" si="77"/>
        <v>219</v>
      </c>
      <c r="G769" s="20">
        <f t="shared" si="83"/>
        <v>764</v>
      </c>
      <c r="H769" s="21">
        <v>88819050218</v>
      </c>
      <c r="I769" s="22">
        <v>1032</v>
      </c>
      <c r="J769" s="23"/>
      <c r="K769" s="24">
        <v>13368</v>
      </c>
      <c r="L769" s="23">
        <f t="shared" si="78"/>
        <v>219</v>
      </c>
      <c r="M769" s="24">
        <v>2140</v>
      </c>
      <c r="N769" s="25">
        <f t="shared" si="79"/>
        <v>36</v>
      </c>
      <c r="O769" s="24">
        <v>11228</v>
      </c>
      <c r="P769" s="23">
        <f t="shared" si="80"/>
        <v>183</v>
      </c>
      <c r="Q769" s="26"/>
      <c r="R769" s="23">
        <f t="shared" si="81"/>
        <v>0</v>
      </c>
      <c r="S769" s="27" t="s">
        <v>18</v>
      </c>
      <c r="T769" s="19" t="s">
        <v>782</v>
      </c>
    </row>
    <row r="770" spans="1:20" ht="37.5" customHeight="1" x14ac:dyDescent="0.25">
      <c r="A770" s="19" t="s">
        <v>783</v>
      </c>
      <c r="B770">
        <f t="shared" si="82"/>
        <v>53422</v>
      </c>
      <c r="C770">
        <v>8849</v>
      </c>
      <c r="D770">
        <v>44573</v>
      </c>
      <c r="F770">
        <f t="shared" si="77"/>
        <v>250</v>
      </c>
      <c r="G770" s="20">
        <f t="shared" si="83"/>
        <v>765</v>
      </c>
      <c r="H770" s="21">
        <v>23011120094</v>
      </c>
      <c r="I770" s="22">
        <v>1033</v>
      </c>
      <c r="J770" s="23"/>
      <c r="K770" s="24">
        <v>53172</v>
      </c>
      <c r="L770" s="23">
        <f t="shared" si="78"/>
        <v>250</v>
      </c>
      <c r="M770" s="24">
        <v>8804</v>
      </c>
      <c r="N770" s="25">
        <f t="shared" si="79"/>
        <v>45</v>
      </c>
      <c r="O770" s="24">
        <v>44368</v>
      </c>
      <c r="P770" s="23">
        <f t="shared" si="80"/>
        <v>205</v>
      </c>
      <c r="Q770" s="26"/>
      <c r="R770" s="23">
        <f t="shared" si="81"/>
        <v>0</v>
      </c>
      <c r="S770" s="27" t="s">
        <v>18</v>
      </c>
      <c r="T770" s="19" t="s">
        <v>783</v>
      </c>
    </row>
    <row r="771" spans="1:20" ht="37.5" customHeight="1" x14ac:dyDescent="0.25">
      <c r="A771" s="19" t="s">
        <v>784</v>
      </c>
      <c r="B771">
        <f t="shared" si="82"/>
        <v>18401</v>
      </c>
      <c r="C771">
        <v>2833</v>
      </c>
      <c r="D771">
        <v>15568</v>
      </c>
      <c r="F771">
        <f t="shared" si="77"/>
        <v>244</v>
      </c>
      <c r="G771" s="20">
        <f t="shared" si="83"/>
        <v>766</v>
      </c>
      <c r="H771" s="21">
        <v>66621100100</v>
      </c>
      <c r="I771" s="22">
        <v>1036</v>
      </c>
      <c r="J771" s="23"/>
      <c r="K771" s="24">
        <v>18157</v>
      </c>
      <c r="L771" s="23">
        <f t="shared" si="78"/>
        <v>244</v>
      </c>
      <c r="M771" s="24">
        <v>2787</v>
      </c>
      <c r="N771" s="25">
        <f t="shared" si="79"/>
        <v>46</v>
      </c>
      <c r="O771" s="24">
        <v>15370</v>
      </c>
      <c r="P771" s="23">
        <f t="shared" si="80"/>
        <v>198</v>
      </c>
      <c r="Q771" s="26"/>
      <c r="R771" s="23">
        <f t="shared" si="81"/>
        <v>0</v>
      </c>
      <c r="S771" s="27" t="s">
        <v>18</v>
      </c>
      <c r="T771" s="19" t="s">
        <v>784</v>
      </c>
    </row>
    <row r="772" spans="1:20" ht="37.5" customHeight="1" x14ac:dyDescent="0.25">
      <c r="A772" s="19" t="s">
        <v>785</v>
      </c>
      <c r="B772">
        <f t="shared" si="82"/>
        <v>39945</v>
      </c>
      <c r="C772">
        <v>6974</v>
      </c>
      <c r="D772">
        <v>32971</v>
      </c>
      <c r="F772">
        <f t="shared" si="77"/>
        <v>1312</v>
      </c>
      <c r="G772" s="20">
        <f t="shared" si="83"/>
        <v>767</v>
      </c>
      <c r="H772" s="21">
        <v>88820030272</v>
      </c>
      <c r="I772" s="22">
        <v>1037</v>
      </c>
      <c r="J772" s="23"/>
      <c r="K772" s="24">
        <v>38633</v>
      </c>
      <c r="L772" s="23">
        <f t="shared" si="78"/>
        <v>1312</v>
      </c>
      <c r="M772" s="24">
        <v>6644</v>
      </c>
      <c r="N772" s="25">
        <f t="shared" si="79"/>
        <v>330</v>
      </c>
      <c r="O772" s="24">
        <v>31989</v>
      </c>
      <c r="P772" s="23">
        <f t="shared" si="80"/>
        <v>982</v>
      </c>
      <c r="Q772" s="26"/>
      <c r="R772" s="23">
        <f t="shared" si="81"/>
        <v>0</v>
      </c>
      <c r="S772" s="27" t="s">
        <v>18</v>
      </c>
      <c r="T772" s="19" t="s">
        <v>785</v>
      </c>
    </row>
    <row r="773" spans="1:20" ht="37.5" customHeight="1" x14ac:dyDescent="0.25">
      <c r="A773" s="19" t="s">
        <v>786</v>
      </c>
      <c r="B773">
        <f t="shared" si="82"/>
        <v>4794</v>
      </c>
      <c r="C773">
        <v>965</v>
      </c>
      <c r="D773">
        <v>3829</v>
      </c>
      <c r="E773">
        <v>9177</v>
      </c>
      <c r="F773">
        <f t="shared" ref="F773:F836" si="84">L773</f>
        <v>192</v>
      </c>
      <c r="G773" s="20">
        <f t="shared" si="83"/>
        <v>768</v>
      </c>
      <c r="H773" s="21">
        <v>99623080009</v>
      </c>
      <c r="I773" s="22">
        <v>1038</v>
      </c>
      <c r="J773" s="23"/>
      <c r="K773" s="24">
        <f>M773+O773</f>
        <v>4602</v>
      </c>
      <c r="L773" s="23">
        <f t="shared" si="78"/>
        <v>192</v>
      </c>
      <c r="M773" s="24">
        <v>911</v>
      </c>
      <c r="N773" s="25">
        <f t="shared" si="79"/>
        <v>54</v>
      </c>
      <c r="O773" s="24">
        <v>3691</v>
      </c>
      <c r="P773" s="23">
        <f t="shared" si="80"/>
        <v>138</v>
      </c>
      <c r="Q773" s="26">
        <v>8461</v>
      </c>
      <c r="R773" s="23">
        <f t="shared" si="81"/>
        <v>716</v>
      </c>
      <c r="S773" s="27" t="s">
        <v>18</v>
      </c>
      <c r="T773" s="19" t="s">
        <v>786</v>
      </c>
    </row>
    <row r="774" spans="1:20" ht="37.5" customHeight="1" x14ac:dyDescent="0.25">
      <c r="A774" s="19" t="s">
        <v>787</v>
      </c>
      <c r="B774">
        <f t="shared" si="82"/>
        <v>11597</v>
      </c>
      <c r="C774">
        <v>2014</v>
      </c>
      <c r="D774">
        <v>9583</v>
      </c>
      <c r="F774">
        <f t="shared" si="84"/>
        <v>257</v>
      </c>
      <c r="G774" s="20">
        <f t="shared" si="83"/>
        <v>769</v>
      </c>
      <c r="H774" s="21">
        <v>66622040684</v>
      </c>
      <c r="I774" s="22">
        <v>1039</v>
      </c>
      <c r="J774" s="23"/>
      <c r="K774" s="24">
        <v>11340</v>
      </c>
      <c r="L774" s="23">
        <f t="shared" ref="L774:L837" si="85">B774-K774</f>
        <v>257</v>
      </c>
      <c r="M774" s="24">
        <v>1967</v>
      </c>
      <c r="N774" s="25">
        <f t="shared" ref="N774:N837" si="86">C774-M774</f>
        <v>47</v>
      </c>
      <c r="O774" s="24">
        <v>9373</v>
      </c>
      <c r="P774" s="23">
        <f t="shared" ref="P774:P837" si="87">D774-O774</f>
        <v>210</v>
      </c>
      <c r="Q774" s="26"/>
      <c r="R774" s="23">
        <f t="shared" ref="R774:R837" si="88">E774-Q774</f>
        <v>0</v>
      </c>
      <c r="S774" s="27" t="s">
        <v>18</v>
      </c>
      <c r="T774" s="19" t="s">
        <v>787</v>
      </c>
    </row>
    <row r="775" spans="1:20" ht="37.5" customHeight="1" x14ac:dyDescent="0.25">
      <c r="A775" s="19" t="s">
        <v>788</v>
      </c>
      <c r="B775">
        <f t="shared" ref="B775:B838" si="89">C775+D775</f>
        <v>75308</v>
      </c>
      <c r="C775">
        <v>12463</v>
      </c>
      <c r="D775">
        <v>62845</v>
      </c>
      <c r="F775">
        <f t="shared" si="84"/>
        <v>412</v>
      </c>
      <c r="G775" s="20">
        <f t="shared" si="83"/>
        <v>770</v>
      </c>
      <c r="H775" s="21">
        <v>23012110105</v>
      </c>
      <c r="I775" s="22">
        <v>1042</v>
      </c>
      <c r="J775" s="23"/>
      <c r="K775" s="24">
        <v>74896</v>
      </c>
      <c r="L775" s="23">
        <f t="shared" si="85"/>
        <v>412</v>
      </c>
      <c r="M775" s="24">
        <v>12389</v>
      </c>
      <c r="N775" s="25">
        <f t="shared" si="86"/>
        <v>74</v>
      </c>
      <c r="O775" s="24">
        <v>62507</v>
      </c>
      <c r="P775" s="23">
        <f t="shared" si="87"/>
        <v>338</v>
      </c>
      <c r="Q775" s="26"/>
      <c r="R775" s="23">
        <f t="shared" si="88"/>
        <v>0</v>
      </c>
      <c r="S775" s="27" t="s">
        <v>18</v>
      </c>
      <c r="T775" s="19" t="s">
        <v>788</v>
      </c>
    </row>
    <row r="776" spans="1:20" ht="37.5" customHeight="1" x14ac:dyDescent="0.25">
      <c r="A776" s="19" t="s">
        <v>789</v>
      </c>
      <c r="B776">
        <f t="shared" si="89"/>
        <v>17600</v>
      </c>
      <c r="C776">
        <v>2831</v>
      </c>
      <c r="D776">
        <v>14769</v>
      </c>
      <c r="F776">
        <f t="shared" si="84"/>
        <v>273</v>
      </c>
      <c r="G776" s="20">
        <f t="shared" ref="G776:G839" si="90">G775+1</f>
        <v>771</v>
      </c>
      <c r="H776" s="21">
        <v>66621100141</v>
      </c>
      <c r="I776" s="22">
        <v>1044</v>
      </c>
      <c r="J776" s="23"/>
      <c r="K776" s="24">
        <v>17327</v>
      </c>
      <c r="L776" s="23">
        <f t="shared" si="85"/>
        <v>273</v>
      </c>
      <c r="M776" s="24">
        <v>2789</v>
      </c>
      <c r="N776" s="25">
        <f t="shared" si="86"/>
        <v>42</v>
      </c>
      <c r="O776" s="24">
        <v>14538</v>
      </c>
      <c r="P776" s="23">
        <f t="shared" si="87"/>
        <v>231</v>
      </c>
      <c r="Q776" s="26"/>
      <c r="R776" s="23">
        <f t="shared" si="88"/>
        <v>0</v>
      </c>
      <c r="S776" s="27" t="s">
        <v>18</v>
      </c>
      <c r="T776" s="19" t="s">
        <v>789</v>
      </c>
    </row>
    <row r="777" spans="1:20" ht="37.5" customHeight="1" x14ac:dyDescent="0.25">
      <c r="A777" s="19" t="s">
        <v>790</v>
      </c>
      <c r="B777">
        <f t="shared" si="89"/>
        <v>59439</v>
      </c>
      <c r="C777">
        <v>12654</v>
      </c>
      <c r="D777">
        <v>46785</v>
      </c>
      <c r="F777">
        <f t="shared" si="84"/>
        <v>328</v>
      </c>
      <c r="G777" s="20">
        <f t="shared" si="90"/>
        <v>772</v>
      </c>
      <c r="H777" s="21">
        <v>2311120042</v>
      </c>
      <c r="I777" s="22">
        <v>1045</v>
      </c>
      <c r="J777" s="23"/>
      <c r="K777" s="24">
        <v>59111</v>
      </c>
      <c r="L777" s="23">
        <f t="shared" si="85"/>
        <v>328</v>
      </c>
      <c r="M777" s="24">
        <v>12601</v>
      </c>
      <c r="N777" s="25">
        <f t="shared" si="86"/>
        <v>53</v>
      </c>
      <c r="O777" s="24">
        <v>46510</v>
      </c>
      <c r="P777" s="23">
        <f t="shared" si="87"/>
        <v>275</v>
      </c>
      <c r="Q777" s="26"/>
      <c r="R777" s="23">
        <f t="shared" si="88"/>
        <v>0</v>
      </c>
      <c r="S777" s="27" t="s">
        <v>18</v>
      </c>
      <c r="T777" s="19" t="s">
        <v>790</v>
      </c>
    </row>
    <row r="778" spans="1:20" ht="37.5" customHeight="1" x14ac:dyDescent="0.25">
      <c r="A778" s="19" t="s">
        <v>791</v>
      </c>
      <c r="B778">
        <f t="shared" si="89"/>
        <v>85598</v>
      </c>
      <c r="C778">
        <v>14990</v>
      </c>
      <c r="D778">
        <v>70608</v>
      </c>
      <c r="F778">
        <f t="shared" si="84"/>
        <v>260</v>
      </c>
      <c r="G778" s="20">
        <f t="shared" si="90"/>
        <v>773</v>
      </c>
      <c r="H778" s="21">
        <v>23013080156</v>
      </c>
      <c r="I778" s="22">
        <v>1046</v>
      </c>
      <c r="J778" s="23"/>
      <c r="K778" s="24">
        <v>85338</v>
      </c>
      <c r="L778" s="23">
        <f t="shared" si="85"/>
        <v>260</v>
      </c>
      <c r="M778" s="24">
        <v>14948</v>
      </c>
      <c r="N778" s="25">
        <f t="shared" si="86"/>
        <v>42</v>
      </c>
      <c r="O778" s="24">
        <v>70390</v>
      </c>
      <c r="P778" s="23">
        <f t="shared" si="87"/>
        <v>218</v>
      </c>
      <c r="Q778" s="26"/>
      <c r="R778" s="23">
        <f t="shared" si="88"/>
        <v>0</v>
      </c>
      <c r="S778" s="27" t="s">
        <v>18</v>
      </c>
      <c r="T778" s="19" t="s">
        <v>791</v>
      </c>
    </row>
    <row r="779" spans="1:20" ht="37.5" customHeight="1" x14ac:dyDescent="0.25">
      <c r="A779" s="19" t="s">
        <v>792</v>
      </c>
      <c r="B779">
        <f t="shared" si="89"/>
        <v>53929</v>
      </c>
      <c r="C779">
        <v>9081</v>
      </c>
      <c r="D779">
        <v>44848</v>
      </c>
      <c r="F779">
        <f t="shared" si="84"/>
        <v>490</v>
      </c>
      <c r="G779" s="20">
        <f t="shared" si="90"/>
        <v>774</v>
      </c>
      <c r="H779" s="21">
        <v>23013040373</v>
      </c>
      <c r="I779" s="22">
        <v>1048</v>
      </c>
      <c r="J779" s="23"/>
      <c r="K779" s="24">
        <v>53439</v>
      </c>
      <c r="L779" s="23">
        <f t="shared" si="85"/>
        <v>490</v>
      </c>
      <c r="M779" s="24">
        <v>9006</v>
      </c>
      <c r="N779" s="25">
        <f t="shared" si="86"/>
        <v>75</v>
      </c>
      <c r="O779" s="24">
        <v>44433</v>
      </c>
      <c r="P779" s="23">
        <f t="shared" si="87"/>
        <v>415</v>
      </c>
      <c r="Q779" s="26"/>
      <c r="R779" s="23">
        <f t="shared" si="88"/>
        <v>0</v>
      </c>
      <c r="S779" s="27" t="s">
        <v>18</v>
      </c>
      <c r="T779" s="19" t="s">
        <v>792</v>
      </c>
    </row>
    <row r="780" spans="1:20" ht="37.5" customHeight="1" x14ac:dyDescent="0.25">
      <c r="A780" s="19" t="s">
        <v>793</v>
      </c>
      <c r="B780">
        <f t="shared" si="89"/>
        <v>40602</v>
      </c>
      <c r="C780">
        <v>7178</v>
      </c>
      <c r="D780">
        <v>33424</v>
      </c>
      <c r="F780">
        <f t="shared" si="84"/>
        <v>616</v>
      </c>
      <c r="G780" s="20">
        <f t="shared" si="90"/>
        <v>775</v>
      </c>
      <c r="H780" s="21">
        <v>66621030224</v>
      </c>
      <c r="I780" s="22">
        <v>1049</v>
      </c>
      <c r="J780" s="23"/>
      <c r="K780" s="24">
        <v>39986</v>
      </c>
      <c r="L780" s="23">
        <f t="shared" si="85"/>
        <v>616</v>
      </c>
      <c r="M780" s="24">
        <v>7057</v>
      </c>
      <c r="N780" s="25">
        <f t="shared" si="86"/>
        <v>121</v>
      </c>
      <c r="O780" s="24">
        <v>32929</v>
      </c>
      <c r="P780" s="23">
        <f t="shared" si="87"/>
        <v>495</v>
      </c>
      <c r="Q780" s="26"/>
      <c r="R780" s="23">
        <f t="shared" si="88"/>
        <v>0</v>
      </c>
      <c r="S780" s="27" t="s">
        <v>18</v>
      </c>
      <c r="T780" s="19" t="s">
        <v>793</v>
      </c>
    </row>
    <row r="781" spans="1:20" ht="37.5" customHeight="1" x14ac:dyDescent="0.25">
      <c r="A781" s="19" t="s">
        <v>794</v>
      </c>
      <c r="B781">
        <f t="shared" si="89"/>
        <v>9713</v>
      </c>
      <c r="C781">
        <v>2146</v>
      </c>
      <c r="D781">
        <v>7567</v>
      </c>
      <c r="E781">
        <v>10782</v>
      </c>
      <c r="F781">
        <f t="shared" si="84"/>
        <v>423</v>
      </c>
      <c r="G781" s="20">
        <f t="shared" si="90"/>
        <v>776</v>
      </c>
      <c r="H781" s="21">
        <v>99623080376</v>
      </c>
      <c r="I781" s="22">
        <v>1050</v>
      </c>
      <c r="J781" s="23"/>
      <c r="K781" s="24">
        <f>M781+O781</f>
        <v>9290</v>
      </c>
      <c r="L781" s="23">
        <f t="shared" si="85"/>
        <v>423</v>
      </c>
      <c r="M781" s="24">
        <v>2037</v>
      </c>
      <c r="N781" s="25">
        <f t="shared" si="86"/>
        <v>109</v>
      </c>
      <c r="O781" s="24">
        <v>7253</v>
      </c>
      <c r="P781" s="23">
        <f t="shared" si="87"/>
        <v>314</v>
      </c>
      <c r="Q781" s="26">
        <v>9711</v>
      </c>
      <c r="R781" s="23">
        <f t="shared" si="88"/>
        <v>1071</v>
      </c>
      <c r="S781" s="27" t="s">
        <v>18</v>
      </c>
      <c r="T781" s="19" t="s">
        <v>794</v>
      </c>
    </row>
    <row r="782" spans="1:20" ht="37.5" customHeight="1" x14ac:dyDescent="0.25">
      <c r="A782" s="19" t="s">
        <v>795</v>
      </c>
      <c r="B782">
        <f t="shared" si="89"/>
        <v>53207</v>
      </c>
      <c r="C782">
        <v>11883</v>
      </c>
      <c r="D782">
        <v>41324</v>
      </c>
      <c r="F782">
        <f t="shared" si="84"/>
        <v>289</v>
      </c>
      <c r="G782" s="20">
        <f t="shared" si="90"/>
        <v>777</v>
      </c>
      <c r="H782" s="21">
        <v>66616020342</v>
      </c>
      <c r="I782" s="22">
        <v>1051</v>
      </c>
      <c r="J782" s="23"/>
      <c r="K782" s="24">
        <v>52918</v>
      </c>
      <c r="L782" s="23">
        <f t="shared" si="85"/>
        <v>289</v>
      </c>
      <c r="M782" s="24">
        <v>11824</v>
      </c>
      <c r="N782" s="25">
        <f t="shared" si="86"/>
        <v>59</v>
      </c>
      <c r="O782" s="24">
        <v>41094</v>
      </c>
      <c r="P782" s="23">
        <f t="shared" si="87"/>
        <v>230</v>
      </c>
      <c r="Q782" s="26"/>
      <c r="R782" s="23">
        <f t="shared" si="88"/>
        <v>0</v>
      </c>
      <c r="S782" s="27" t="s">
        <v>18</v>
      </c>
      <c r="T782" s="19" t="s">
        <v>795</v>
      </c>
    </row>
    <row r="783" spans="1:20" ht="37.5" customHeight="1" x14ac:dyDescent="0.25">
      <c r="A783" s="19" t="s">
        <v>796</v>
      </c>
      <c r="B783">
        <f t="shared" si="89"/>
        <v>13653</v>
      </c>
      <c r="C783">
        <v>2120</v>
      </c>
      <c r="D783">
        <v>11533</v>
      </c>
      <c r="F783">
        <f t="shared" si="84"/>
        <v>261</v>
      </c>
      <c r="G783" s="20">
        <f t="shared" si="90"/>
        <v>778</v>
      </c>
      <c r="H783" s="21">
        <v>66621060461</v>
      </c>
      <c r="I783" s="22">
        <v>1052</v>
      </c>
      <c r="J783" s="23"/>
      <c r="K783" s="24">
        <v>13392</v>
      </c>
      <c r="L783" s="23">
        <f t="shared" si="85"/>
        <v>261</v>
      </c>
      <c r="M783" s="24">
        <v>2079</v>
      </c>
      <c r="N783" s="25">
        <f t="shared" si="86"/>
        <v>41</v>
      </c>
      <c r="O783" s="24">
        <v>11313</v>
      </c>
      <c r="P783" s="23">
        <f t="shared" si="87"/>
        <v>220</v>
      </c>
      <c r="Q783" s="26"/>
      <c r="R783" s="23">
        <f t="shared" si="88"/>
        <v>0</v>
      </c>
      <c r="S783" s="27" t="s">
        <v>18</v>
      </c>
      <c r="T783" s="19" t="s">
        <v>796</v>
      </c>
    </row>
    <row r="784" spans="1:20" ht="37.5" customHeight="1" x14ac:dyDescent="0.25">
      <c r="A784" s="19" t="s">
        <v>797</v>
      </c>
      <c r="B784">
        <f t="shared" si="89"/>
        <v>62440</v>
      </c>
      <c r="C784">
        <v>9365</v>
      </c>
      <c r="D784">
        <v>53075</v>
      </c>
      <c r="F784">
        <f t="shared" si="84"/>
        <v>853</v>
      </c>
      <c r="G784" s="20">
        <f t="shared" si="90"/>
        <v>779</v>
      </c>
      <c r="H784" s="21">
        <v>23012100041</v>
      </c>
      <c r="I784" s="22">
        <v>1053</v>
      </c>
      <c r="J784" s="23"/>
      <c r="K784" s="24">
        <v>61587</v>
      </c>
      <c r="L784" s="23">
        <f t="shared" si="85"/>
        <v>853</v>
      </c>
      <c r="M784" s="24">
        <v>9223</v>
      </c>
      <c r="N784" s="25">
        <f t="shared" si="86"/>
        <v>142</v>
      </c>
      <c r="O784" s="24">
        <v>52364</v>
      </c>
      <c r="P784" s="23">
        <f t="shared" si="87"/>
        <v>711</v>
      </c>
      <c r="Q784" s="26"/>
      <c r="R784" s="23">
        <f t="shared" si="88"/>
        <v>0</v>
      </c>
      <c r="S784" s="27" t="s">
        <v>18</v>
      </c>
      <c r="T784" s="19" t="s">
        <v>797</v>
      </c>
    </row>
    <row r="785" spans="1:20" ht="37.5" customHeight="1" x14ac:dyDescent="0.25">
      <c r="A785" s="19" t="s">
        <v>798</v>
      </c>
      <c r="B785">
        <f t="shared" si="89"/>
        <v>2188</v>
      </c>
      <c r="C785">
        <v>450</v>
      </c>
      <c r="D785">
        <v>1738</v>
      </c>
      <c r="E785">
        <v>3210</v>
      </c>
      <c r="F785">
        <f t="shared" si="84"/>
        <v>384</v>
      </c>
      <c r="G785" s="20">
        <f t="shared" si="90"/>
        <v>780</v>
      </c>
      <c r="H785" s="21">
        <v>99624040059</v>
      </c>
      <c r="I785" s="22">
        <v>1054</v>
      </c>
      <c r="J785" s="23"/>
      <c r="K785" s="24">
        <f>M785+O785</f>
        <v>1804</v>
      </c>
      <c r="L785" s="23">
        <f t="shared" si="85"/>
        <v>384</v>
      </c>
      <c r="M785" s="24">
        <v>364</v>
      </c>
      <c r="N785" s="25">
        <f t="shared" si="86"/>
        <v>86</v>
      </c>
      <c r="O785" s="24">
        <v>1440</v>
      </c>
      <c r="P785" s="23">
        <f t="shared" si="87"/>
        <v>298</v>
      </c>
      <c r="Q785" s="26">
        <v>2622</v>
      </c>
      <c r="R785" s="23">
        <f t="shared" si="88"/>
        <v>588</v>
      </c>
      <c r="S785" s="27" t="s">
        <v>18</v>
      </c>
      <c r="T785" s="19" t="s">
        <v>798</v>
      </c>
    </row>
    <row r="786" spans="1:20" ht="37.5" customHeight="1" x14ac:dyDescent="0.25">
      <c r="A786" s="19" t="s">
        <v>799</v>
      </c>
      <c r="B786">
        <f t="shared" si="89"/>
        <v>28456</v>
      </c>
      <c r="C786">
        <v>4764</v>
      </c>
      <c r="D786">
        <v>23692</v>
      </c>
      <c r="F786">
        <f t="shared" si="84"/>
        <v>304</v>
      </c>
      <c r="G786" s="20">
        <f t="shared" si="90"/>
        <v>781</v>
      </c>
      <c r="H786" s="21">
        <v>66621090170</v>
      </c>
      <c r="I786" s="22">
        <v>1056</v>
      </c>
      <c r="J786" s="23"/>
      <c r="K786" s="24">
        <v>28152</v>
      </c>
      <c r="L786" s="23">
        <f t="shared" si="85"/>
        <v>304</v>
      </c>
      <c r="M786" s="24">
        <v>4715</v>
      </c>
      <c r="N786" s="25">
        <f t="shared" si="86"/>
        <v>49</v>
      </c>
      <c r="O786" s="24">
        <v>23437</v>
      </c>
      <c r="P786" s="23">
        <f t="shared" si="87"/>
        <v>255</v>
      </c>
      <c r="Q786" s="26"/>
      <c r="R786" s="23">
        <f t="shared" si="88"/>
        <v>0</v>
      </c>
      <c r="S786" s="27" t="s">
        <v>18</v>
      </c>
      <c r="T786" s="19" t="s">
        <v>799</v>
      </c>
    </row>
    <row r="787" spans="1:20" ht="37.5" customHeight="1" x14ac:dyDescent="0.25">
      <c r="A787" s="19" t="s">
        <v>800</v>
      </c>
      <c r="B787">
        <f t="shared" si="89"/>
        <v>60137</v>
      </c>
      <c r="C787">
        <v>9592</v>
      </c>
      <c r="D787">
        <v>50545</v>
      </c>
      <c r="F787">
        <f t="shared" si="84"/>
        <v>425</v>
      </c>
      <c r="G787" s="20">
        <f t="shared" si="90"/>
        <v>782</v>
      </c>
      <c r="H787" s="21">
        <v>23014060172</v>
      </c>
      <c r="I787" s="22">
        <v>1057</v>
      </c>
      <c r="J787" s="23"/>
      <c r="K787" s="24">
        <v>59712</v>
      </c>
      <c r="L787" s="23">
        <f t="shared" si="85"/>
        <v>425</v>
      </c>
      <c r="M787" s="24">
        <v>9515</v>
      </c>
      <c r="N787" s="25">
        <f t="shared" si="86"/>
        <v>77</v>
      </c>
      <c r="O787" s="24">
        <v>50197</v>
      </c>
      <c r="P787" s="23">
        <f t="shared" si="87"/>
        <v>348</v>
      </c>
      <c r="Q787" s="26"/>
      <c r="R787" s="23">
        <f t="shared" si="88"/>
        <v>0</v>
      </c>
      <c r="S787" s="27" t="s">
        <v>18</v>
      </c>
      <c r="T787" s="19" t="s">
        <v>800</v>
      </c>
    </row>
    <row r="788" spans="1:20" ht="37.5" customHeight="1" x14ac:dyDescent="0.25">
      <c r="A788" s="19" t="s">
        <v>801</v>
      </c>
      <c r="B788">
        <f t="shared" si="89"/>
        <v>31195</v>
      </c>
      <c r="C788">
        <v>5332</v>
      </c>
      <c r="D788">
        <v>25863</v>
      </c>
      <c r="F788">
        <f t="shared" si="84"/>
        <v>333</v>
      </c>
      <c r="G788" s="20">
        <f t="shared" si="90"/>
        <v>783</v>
      </c>
      <c r="H788" s="21">
        <v>88820020131</v>
      </c>
      <c r="I788" s="22">
        <v>1058</v>
      </c>
      <c r="J788" s="23"/>
      <c r="K788" s="24">
        <v>30862</v>
      </c>
      <c r="L788" s="23">
        <f t="shared" si="85"/>
        <v>333</v>
      </c>
      <c r="M788" s="24">
        <v>5278</v>
      </c>
      <c r="N788" s="25">
        <f t="shared" si="86"/>
        <v>54</v>
      </c>
      <c r="O788" s="24">
        <v>25584</v>
      </c>
      <c r="P788" s="23">
        <f t="shared" si="87"/>
        <v>279</v>
      </c>
      <c r="Q788" s="26"/>
      <c r="R788" s="23">
        <f t="shared" si="88"/>
        <v>0</v>
      </c>
      <c r="S788" s="27" t="s">
        <v>18</v>
      </c>
      <c r="T788" s="19" t="s">
        <v>801</v>
      </c>
    </row>
    <row r="789" spans="1:20" ht="37.5" customHeight="1" x14ac:dyDescent="0.25">
      <c r="A789" s="19" t="s">
        <v>802</v>
      </c>
      <c r="B789">
        <f t="shared" si="89"/>
        <v>4428</v>
      </c>
      <c r="C789">
        <v>1018</v>
      </c>
      <c r="D789">
        <v>3410</v>
      </c>
      <c r="E789">
        <v>4070</v>
      </c>
      <c r="F789">
        <f t="shared" si="84"/>
        <v>462</v>
      </c>
      <c r="G789" s="20">
        <f t="shared" si="90"/>
        <v>784</v>
      </c>
      <c r="H789" s="21">
        <v>99624020209</v>
      </c>
      <c r="I789" s="22">
        <v>1059</v>
      </c>
      <c r="J789" s="23"/>
      <c r="K789" s="24">
        <f>M789+O789</f>
        <v>3966</v>
      </c>
      <c r="L789" s="23">
        <f t="shared" si="85"/>
        <v>462</v>
      </c>
      <c r="M789" s="24">
        <v>909</v>
      </c>
      <c r="N789" s="25">
        <f t="shared" si="86"/>
        <v>109</v>
      </c>
      <c r="O789" s="24">
        <v>3057</v>
      </c>
      <c r="P789" s="23">
        <f t="shared" si="87"/>
        <v>353</v>
      </c>
      <c r="Q789" s="26">
        <v>3545</v>
      </c>
      <c r="R789" s="23">
        <f t="shared" si="88"/>
        <v>525</v>
      </c>
      <c r="S789" s="27" t="s">
        <v>18</v>
      </c>
      <c r="T789" s="19" t="s">
        <v>802</v>
      </c>
    </row>
    <row r="790" spans="1:20" ht="37.5" customHeight="1" x14ac:dyDescent="0.25">
      <c r="A790" s="19" t="s">
        <v>803</v>
      </c>
      <c r="B790">
        <f t="shared" si="89"/>
        <v>19166</v>
      </c>
      <c r="C790">
        <v>3408</v>
      </c>
      <c r="D790">
        <v>15758</v>
      </c>
      <c r="F790">
        <f t="shared" si="84"/>
        <v>291</v>
      </c>
      <c r="G790" s="20">
        <f t="shared" si="90"/>
        <v>785</v>
      </c>
      <c r="H790" s="21">
        <v>66621070372</v>
      </c>
      <c r="I790" s="22">
        <v>1060</v>
      </c>
      <c r="J790" s="23"/>
      <c r="K790" s="24">
        <v>18875</v>
      </c>
      <c r="L790" s="23">
        <f t="shared" si="85"/>
        <v>291</v>
      </c>
      <c r="M790" s="24">
        <v>3356</v>
      </c>
      <c r="N790" s="25">
        <f t="shared" si="86"/>
        <v>52</v>
      </c>
      <c r="O790" s="24">
        <v>15519</v>
      </c>
      <c r="P790" s="23">
        <f t="shared" si="87"/>
        <v>239</v>
      </c>
      <c r="Q790" s="26"/>
      <c r="R790" s="23">
        <f t="shared" si="88"/>
        <v>0</v>
      </c>
      <c r="S790" s="27" t="s">
        <v>18</v>
      </c>
      <c r="T790" s="19" t="s">
        <v>803</v>
      </c>
    </row>
    <row r="791" spans="1:20" ht="37.5" customHeight="1" x14ac:dyDescent="0.25">
      <c r="A791" s="19" t="s">
        <v>804</v>
      </c>
      <c r="B791">
        <f t="shared" si="89"/>
        <v>18776</v>
      </c>
      <c r="C791">
        <v>3062</v>
      </c>
      <c r="D791">
        <v>15714</v>
      </c>
      <c r="F791">
        <f t="shared" si="84"/>
        <v>326</v>
      </c>
      <c r="G791" s="20">
        <f t="shared" si="90"/>
        <v>786</v>
      </c>
      <c r="H791" s="21">
        <v>66621060320</v>
      </c>
      <c r="I791" s="22">
        <v>1061</v>
      </c>
      <c r="J791" s="23"/>
      <c r="K791" s="24">
        <v>18450</v>
      </c>
      <c r="L791" s="23">
        <f t="shared" si="85"/>
        <v>326</v>
      </c>
      <c r="M791" s="24">
        <v>2979</v>
      </c>
      <c r="N791" s="25">
        <f t="shared" si="86"/>
        <v>83</v>
      </c>
      <c r="O791" s="24">
        <v>15471</v>
      </c>
      <c r="P791" s="23">
        <f t="shared" si="87"/>
        <v>243</v>
      </c>
      <c r="Q791" s="26"/>
      <c r="R791" s="23">
        <f t="shared" si="88"/>
        <v>0</v>
      </c>
      <c r="S791" s="27" t="s">
        <v>18</v>
      </c>
      <c r="T791" s="19" t="s">
        <v>804</v>
      </c>
    </row>
    <row r="792" spans="1:20" ht="37.5" customHeight="1" x14ac:dyDescent="0.25">
      <c r="A792" s="19" t="s">
        <v>805</v>
      </c>
      <c r="B792">
        <f t="shared" si="89"/>
        <v>738</v>
      </c>
      <c r="C792">
        <v>197</v>
      </c>
      <c r="D792">
        <v>541</v>
      </c>
      <c r="E792">
        <v>3120</v>
      </c>
      <c r="F792">
        <f t="shared" si="84"/>
        <v>391</v>
      </c>
      <c r="G792" s="20">
        <f t="shared" si="90"/>
        <v>787</v>
      </c>
      <c r="H792" s="21">
        <v>99624050214</v>
      </c>
      <c r="I792" s="22">
        <v>1062</v>
      </c>
      <c r="J792" s="23"/>
      <c r="K792" s="24">
        <f>M792+O792</f>
        <v>347</v>
      </c>
      <c r="L792" s="23">
        <f t="shared" si="85"/>
        <v>391</v>
      </c>
      <c r="M792" s="24">
        <v>118</v>
      </c>
      <c r="N792" s="25">
        <f t="shared" si="86"/>
        <v>79</v>
      </c>
      <c r="O792" s="24">
        <v>229</v>
      </c>
      <c r="P792" s="23">
        <f t="shared" si="87"/>
        <v>312</v>
      </c>
      <c r="Q792" s="26">
        <v>1975</v>
      </c>
      <c r="R792" s="23">
        <f t="shared" si="88"/>
        <v>1145</v>
      </c>
      <c r="S792" s="27" t="s">
        <v>18</v>
      </c>
      <c r="T792" s="19" t="s">
        <v>805</v>
      </c>
    </row>
    <row r="793" spans="1:20" ht="37.5" customHeight="1" x14ac:dyDescent="0.25">
      <c r="A793" s="19" t="s">
        <v>806</v>
      </c>
      <c r="B793">
        <f t="shared" si="89"/>
        <v>22220</v>
      </c>
      <c r="C793">
        <v>3750</v>
      </c>
      <c r="D793">
        <v>18470</v>
      </c>
      <c r="F793">
        <f t="shared" si="84"/>
        <v>497</v>
      </c>
      <c r="G793" s="20">
        <f t="shared" si="90"/>
        <v>788</v>
      </c>
      <c r="H793" s="21">
        <v>88820050152</v>
      </c>
      <c r="I793" s="22">
        <v>1065</v>
      </c>
      <c r="J793" s="23"/>
      <c r="K793" s="24">
        <v>21723</v>
      </c>
      <c r="L793" s="23">
        <f t="shared" si="85"/>
        <v>497</v>
      </c>
      <c r="M793" s="24">
        <v>3670</v>
      </c>
      <c r="N793" s="25">
        <f t="shared" si="86"/>
        <v>80</v>
      </c>
      <c r="O793" s="24">
        <v>18053</v>
      </c>
      <c r="P793" s="23">
        <f t="shared" si="87"/>
        <v>417</v>
      </c>
      <c r="Q793" s="26"/>
      <c r="R793" s="23">
        <f t="shared" si="88"/>
        <v>0</v>
      </c>
      <c r="S793" s="27" t="s">
        <v>18</v>
      </c>
      <c r="T793" s="19" t="s">
        <v>806</v>
      </c>
    </row>
    <row r="794" spans="1:20" ht="37.5" customHeight="1" x14ac:dyDescent="0.25">
      <c r="A794" s="19" t="s">
        <v>807</v>
      </c>
      <c r="B794">
        <f t="shared" si="89"/>
        <v>5707</v>
      </c>
      <c r="C794">
        <v>1374</v>
      </c>
      <c r="D794">
        <v>4333</v>
      </c>
      <c r="E794">
        <v>11110</v>
      </c>
      <c r="F794">
        <f t="shared" si="84"/>
        <v>284</v>
      </c>
      <c r="G794" s="20">
        <f t="shared" si="90"/>
        <v>789</v>
      </c>
      <c r="H794" s="21">
        <v>99623080435</v>
      </c>
      <c r="I794" s="22">
        <v>1066</v>
      </c>
      <c r="J794" s="23"/>
      <c r="K794" s="24">
        <f>M794+O794</f>
        <v>5423</v>
      </c>
      <c r="L794" s="23">
        <f t="shared" si="85"/>
        <v>284</v>
      </c>
      <c r="M794" s="24">
        <v>1297</v>
      </c>
      <c r="N794" s="25">
        <f t="shared" si="86"/>
        <v>77</v>
      </c>
      <c r="O794" s="24">
        <v>4126</v>
      </c>
      <c r="P794" s="23">
        <f t="shared" si="87"/>
        <v>207</v>
      </c>
      <c r="Q794" s="26">
        <v>10168</v>
      </c>
      <c r="R794" s="23">
        <f t="shared" si="88"/>
        <v>942</v>
      </c>
      <c r="S794" s="27" t="s">
        <v>18</v>
      </c>
      <c r="T794" s="19" t="s">
        <v>807</v>
      </c>
    </row>
    <row r="795" spans="1:20" ht="37.5" customHeight="1" x14ac:dyDescent="0.25">
      <c r="A795" s="19" t="s">
        <v>808</v>
      </c>
      <c r="B795">
        <f t="shared" si="89"/>
        <v>36022</v>
      </c>
      <c r="C795">
        <v>5748</v>
      </c>
      <c r="D795">
        <v>30274</v>
      </c>
      <c r="F795">
        <f t="shared" si="84"/>
        <v>362</v>
      </c>
      <c r="G795" s="20">
        <f t="shared" si="90"/>
        <v>790</v>
      </c>
      <c r="H795" s="21">
        <v>66617010247</v>
      </c>
      <c r="I795" s="22">
        <v>1067</v>
      </c>
      <c r="J795" s="23"/>
      <c r="K795" s="24">
        <v>35660</v>
      </c>
      <c r="L795" s="23">
        <f t="shared" si="85"/>
        <v>362</v>
      </c>
      <c r="M795" s="24">
        <v>5682</v>
      </c>
      <c r="N795" s="25">
        <f t="shared" si="86"/>
        <v>66</v>
      </c>
      <c r="O795" s="24">
        <v>29978</v>
      </c>
      <c r="P795" s="23">
        <f t="shared" si="87"/>
        <v>296</v>
      </c>
      <c r="Q795" s="26"/>
      <c r="R795" s="23">
        <f t="shared" si="88"/>
        <v>0</v>
      </c>
      <c r="S795" s="27" t="s">
        <v>18</v>
      </c>
      <c r="T795" s="19" t="s">
        <v>808</v>
      </c>
    </row>
    <row r="796" spans="1:20" ht="37.5" customHeight="1" x14ac:dyDescent="0.25">
      <c r="A796" s="19" t="s">
        <v>809</v>
      </c>
      <c r="B796">
        <f t="shared" si="89"/>
        <v>44328</v>
      </c>
      <c r="C796">
        <v>7730</v>
      </c>
      <c r="D796">
        <v>36598</v>
      </c>
      <c r="F796">
        <f t="shared" si="84"/>
        <v>355</v>
      </c>
      <c r="G796" s="20">
        <f t="shared" si="90"/>
        <v>791</v>
      </c>
      <c r="H796" s="21">
        <v>23014060101</v>
      </c>
      <c r="I796" s="22">
        <v>1068</v>
      </c>
      <c r="J796" s="23"/>
      <c r="K796" s="24">
        <v>43973</v>
      </c>
      <c r="L796" s="23">
        <f t="shared" si="85"/>
        <v>355</v>
      </c>
      <c r="M796" s="24">
        <v>7669</v>
      </c>
      <c r="N796" s="25">
        <f t="shared" si="86"/>
        <v>61</v>
      </c>
      <c r="O796" s="24">
        <v>36304</v>
      </c>
      <c r="P796" s="23">
        <f t="shared" si="87"/>
        <v>294</v>
      </c>
      <c r="Q796" s="26"/>
      <c r="R796" s="23">
        <f t="shared" si="88"/>
        <v>0</v>
      </c>
      <c r="S796" s="27" t="s">
        <v>18</v>
      </c>
      <c r="T796" s="19" t="s">
        <v>809</v>
      </c>
    </row>
    <row r="797" spans="1:20" ht="37.5" customHeight="1" x14ac:dyDescent="0.25">
      <c r="A797" s="19" t="s">
        <v>810</v>
      </c>
      <c r="B797">
        <f t="shared" si="89"/>
        <v>3381</v>
      </c>
      <c r="C797">
        <v>725</v>
      </c>
      <c r="D797">
        <v>2656</v>
      </c>
      <c r="E797">
        <v>7452</v>
      </c>
      <c r="F797">
        <f t="shared" si="84"/>
        <v>182</v>
      </c>
      <c r="G797" s="20">
        <f t="shared" si="90"/>
        <v>792</v>
      </c>
      <c r="H797" s="21">
        <v>99623080433</v>
      </c>
      <c r="I797" s="22">
        <v>1069</v>
      </c>
      <c r="J797" s="23"/>
      <c r="K797" s="24">
        <f>M797+O797</f>
        <v>3199</v>
      </c>
      <c r="L797" s="23">
        <f t="shared" si="85"/>
        <v>182</v>
      </c>
      <c r="M797" s="24">
        <v>671</v>
      </c>
      <c r="N797" s="25">
        <f t="shared" si="86"/>
        <v>54</v>
      </c>
      <c r="O797" s="24">
        <v>2528</v>
      </c>
      <c r="P797" s="23">
        <f t="shared" si="87"/>
        <v>128</v>
      </c>
      <c r="Q797" s="26">
        <v>6783</v>
      </c>
      <c r="R797" s="23">
        <f t="shared" si="88"/>
        <v>669</v>
      </c>
      <c r="S797" s="27" t="s">
        <v>18</v>
      </c>
      <c r="T797" s="19" t="s">
        <v>810</v>
      </c>
    </row>
    <row r="798" spans="1:20" ht="37.5" customHeight="1" x14ac:dyDescent="0.25">
      <c r="A798" s="19" t="s">
        <v>811</v>
      </c>
      <c r="B798">
        <f t="shared" si="89"/>
        <v>52736</v>
      </c>
      <c r="C798">
        <v>16160</v>
      </c>
      <c r="D798">
        <v>36576</v>
      </c>
      <c r="F798">
        <f t="shared" si="84"/>
        <v>38</v>
      </c>
      <c r="G798" s="20">
        <f t="shared" si="90"/>
        <v>793</v>
      </c>
      <c r="H798" s="21">
        <v>23010050024</v>
      </c>
      <c r="I798" s="22">
        <v>1070</v>
      </c>
      <c r="J798" s="23"/>
      <c r="K798" s="24">
        <v>52698</v>
      </c>
      <c r="L798" s="23">
        <f t="shared" si="85"/>
        <v>38</v>
      </c>
      <c r="M798" s="24">
        <v>16153</v>
      </c>
      <c r="N798" s="25">
        <f t="shared" si="86"/>
        <v>7</v>
      </c>
      <c r="O798" s="24">
        <v>36545</v>
      </c>
      <c r="P798" s="23">
        <f t="shared" si="87"/>
        <v>31</v>
      </c>
      <c r="Q798" s="26"/>
      <c r="R798" s="23">
        <f t="shared" si="88"/>
        <v>0</v>
      </c>
      <c r="S798" s="27" t="s">
        <v>18</v>
      </c>
      <c r="T798" s="19" t="s">
        <v>811</v>
      </c>
    </row>
    <row r="799" spans="1:20" ht="37.5" customHeight="1" x14ac:dyDescent="0.25">
      <c r="A799" s="19" t="s">
        <v>812</v>
      </c>
      <c r="B799">
        <f t="shared" si="89"/>
        <v>186</v>
      </c>
      <c r="C799">
        <v>60</v>
      </c>
      <c r="D799">
        <v>126</v>
      </c>
      <c r="E799">
        <v>1816</v>
      </c>
      <c r="F799">
        <f t="shared" si="84"/>
        <v>91</v>
      </c>
      <c r="G799" s="20">
        <f t="shared" si="90"/>
        <v>794</v>
      </c>
      <c r="H799" s="21">
        <v>99624050263</v>
      </c>
      <c r="I799" s="22">
        <v>1071</v>
      </c>
      <c r="J799" s="23"/>
      <c r="K799" s="24">
        <f>M799+O799</f>
        <v>95</v>
      </c>
      <c r="L799" s="23">
        <f t="shared" si="85"/>
        <v>91</v>
      </c>
      <c r="M799" s="24">
        <v>32</v>
      </c>
      <c r="N799" s="25">
        <f t="shared" si="86"/>
        <v>28</v>
      </c>
      <c r="O799" s="24">
        <v>63</v>
      </c>
      <c r="P799" s="23">
        <f t="shared" si="87"/>
        <v>63</v>
      </c>
      <c r="Q799" s="26">
        <v>1137</v>
      </c>
      <c r="R799" s="23">
        <f t="shared" si="88"/>
        <v>679</v>
      </c>
      <c r="S799" s="27" t="s">
        <v>18</v>
      </c>
      <c r="T799" s="19" t="s">
        <v>812</v>
      </c>
    </row>
    <row r="800" spans="1:20" ht="37.5" customHeight="1" x14ac:dyDescent="0.25">
      <c r="A800" s="19" t="s">
        <v>813</v>
      </c>
      <c r="B800">
        <f t="shared" si="89"/>
        <v>33226</v>
      </c>
      <c r="C800">
        <v>5592</v>
      </c>
      <c r="D800">
        <v>27634</v>
      </c>
      <c r="F800">
        <f t="shared" si="84"/>
        <v>461</v>
      </c>
      <c r="G800" s="20">
        <f t="shared" si="90"/>
        <v>795</v>
      </c>
      <c r="H800" s="21">
        <v>88818020235</v>
      </c>
      <c r="I800" s="22">
        <v>1072</v>
      </c>
      <c r="J800" s="23"/>
      <c r="K800" s="24">
        <v>32765</v>
      </c>
      <c r="L800" s="23">
        <f t="shared" si="85"/>
        <v>461</v>
      </c>
      <c r="M800" s="24">
        <v>5500</v>
      </c>
      <c r="N800" s="25">
        <f t="shared" si="86"/>
        <v>92</v>
      </c>
      <c r="O800" s="24">
        <v>27265</v>
      </c>
      <c r="P800" s="23">
        <f t="shared" si="87"/>
        <v>369</v>
      </c>
      <c r="Q800" s="26"/>
      <c r="R800" s="23">
        <f t="shared" si="88"/>
        <v>0</v>
      </c>
      <c r="S800" s="27" t="s">
        <v>18</v>
      </c>
      <c r="T800" s="19" t="s">
        <v>813</v>
      </c>
    </row>
    <row r="801" spans="1:20" ht="37.5" customHeight="1" x14ac:dyDescent="0.25">
      <c r="A801" s="19" t="s">
        <v>814</v>
      </c>
      <c r="B801">
        <f t="shared" si="89"/>
        <v>12127</v>
      </c>
      <c r="C801">
        <v>1686</v>
      </c>
      <c r="D801">
        <v>10441</v>
      </c>
      <c r="F801">
        <f t="shared" si="84"/>
        <v>186</v>
      </c>
      <c r="G801" s="20">
        <f t="shared" si="90"/>
        <v>796</v>
      </c>
      <c r="H801" s="21">
        <v>66616020049</v>
      </c>
      <c r="I801" s="22">
        <v>1073</v>
      </c>
      <c r="J801" s="23"/>
      <c r="K801" s="24">
        <v>11941</v>
      </c>
      <c r="L801" s="23">
        <f t="shared" si="85"/>
        <v>186</v>
      </c>
      <c r="M801" s="24">
        <v>1656</v>
      </c>
      <c r="N801" s="25">
        <f t="shared" si="86"/>
        <v>30</v>
      </c>
      <c r="O801" s="24">
        <v>10285</v>
      </c>
      <c r="P801" s="23">
        <f t="shared" si="87"/>
        <v>156</v>
      </c>
      <c r="Q801" s="26"/>
      <c r="R801" s="23">
        <f t="shared" si="88"/>
        <v>0</v>
      </c>
      <c r="S801" s="27" t="s">
        <v>18</v>
      </c>
      <c r="T801" s="19" t="s">
        <v>814</v>
      </c>
    </row>
    <row r="802" spans="1:20" ht="37.5" customHeight="1" x14ac:dyDescent="0.25">
      <c r="A802" s="19" t="s">
        <v>815</v>
      </c>
      <c r="B802">
        <f t="shared" si="89"/>
        <v>8383</v>
      </c>
      <c r="C802">
        <v>742</v>
      </c>
      <c r="D802">
        <v>7641</v>
      </c>
      <c r="E802">
        <v>7468</v>
      </c>
      <c r="F802">
        <f t="shared" si="84"/>
        <v>520</v>
      </c>
      <c r="G802" s="20">
        <f t="shared" si="90"/>
        <v>797</v>
      </c>
      <c r="H802" s="21">
        <v>99623080370</v>
      </c>
      <c r="I802" s="22">
        <v>1074</v>
      </c>
      <c r="J802" s="23"/>
      <c r="K802" s="24">
        <f>M802+O802</f>
        <v>7863</v>
      </c>
      <c r="L802" s="23">
        <f t="shared" si="85"/>
        <v>520</v>
      </c>
      <c r="M802" s="24">
        <v>668</v>
      </c>
      <c r="N802" s="25">
        <f t="shared" si="86"/>
        <v>74</v>
      </c>
      <c r="O802" s="24">
        <v>7195</v>
      </c>
      <c r="P802" s="23">
        <f t="shared" si="87"/>
        <v>446</v>
      </c>
      <c r="Q802" s="26">
        <v>7022</v>
      </c>
      <c r="R802" s="23">
        <f t="shared" si="88"/>
        <v>446</v>
      </c>
      <c r="S802" s="27" t="s">
        <v>18</v>
      </c>
      <c r="T802" s="19" t="s">
        <v>815</v>
      </c>
    </row>
    <row r="803" spans="1:20" ht="37.5" customHeight="1" x14ac:dyDescent="0.25">
      <c r="A803" s="19" t="s">
        <v>816</v>
      </c>
      <c r="B803">
        <f t="shared" si="89"/>
        <v>6735</v>
      </c>
      <c r="C803">
        <v>1361</v>
      </c>
      <c r="D803">
        <v>5374</v>
      </c>
      <c r="F803">
        <f t="shared" si="84"/>
        <v>301</v>
      </c>
      <c r="G803" s="20">
        <f t="shared" si="90"/>
        <v>798</v>
      </c>
      <c r="H803" s="21">
        <v>66623010356</v>
      </c>
      <c r="I803" s="22">
        <v>1075</v>
      </c>
      <c r="J803" s="23"/>
      <c r="K803" s="24">
        <v>6434</v>
      </c>
      <c r="L803" s="23">
        <f t="shared" si="85"/>
        <v>301</v>
      </c>
      <c r="M803" s="24">
        <v>1299</v>
      </c>
      <c r="N803" s="25">
        <f t="shared" si="86"/>
        <v>62</v>
      </c>
      <c r="O803" s="24">
        <v>5135</v>
      </c>
      <c r="P803" s="23">
        <f t="shared" si="87"/>
        <v>239</v>
      </c>
      <c r="Q803" s="26"/>
      <c r="R803" s="23">
        <f t="shared" si="88"/>
        <v>0</v>
      </c>
      <c r="S803" s="27" t="s">
        <v>18</v>
      </c>
      <c r="T803" s="19" t="s">
        <v>816</v>
      </c>
    </row>
    <row r="804" spans="1:20" ht="37.5" customHeight="1" x14ac:dyDescent="0.25">
      <c r="A804" s="19" t="s">
        <v>817</v>
      </c>
      <c r="B804">
        <f t="shared" si="89"/>
        <v>44150</v>
      </c>
      <c r="C804">
        <v>14459</v>
      </c>
      <c r="D804">
        <v>29691</v>
      </c>
      <c r="F804">
        <f t="shared" si="84"/>
        <v>568</v>
      </c>
      <c r="G804" s="20">
        <f t="shared" si="90"/>
        <v>799</v>
      </c>
      <c r="H804" s="21">
        <v>23010050195</v>
      </c>
      <c r="I804" s="22">
        <v>1076</v>
      </c>
      <c r="J804" s="23"/>
      <c r="K804" s="24">
        <v>43582</v>
      </c>
      <c r="L804" s="23">
        <f t="shared" si="85"/>
        <v>568</v>
      </c>
      <c r="M804" s="24">
        <v>14365</v>
      </c>
      <c r="N804" s="25">
        <f t="shared" si="86"/>
        <v>94</v>
      </c>
      <c r="O804" s="24">
        <v>29217</v>
      </c>
      <c r="P804" s="23">
        <f t="shared" si="87"/>
        <v>474</v>
      </c>
      <c r="Q804" s="26"/>
      <c r="R804" s="23">
        <f t="shared" si="88"/>
        <v>0</v>
      </c>
      <c r="S804" s="27" t="s">
        <v>18</v>
      </c>
      <c r="T804" s="19" t="s">
        <v>817</v>
      </c>
    </row>
    <row r="805" spans="1:20" ht="37.5" customHeight="1" x14ac:dyDescent="0.25">
      <c r="A805" s="19" t="s">
        <v>818</v>
      </c>
      <c r="B805">
        <f t="shared" si="89"/>
        <v>44066</v>
      </c>
      <c r="C805">
        <v>8820</v>
      </c>
      <c r="D805">
        <v>35246</v>
      </c>
      <c r="F805">
        <f t="shared" si="84"/>
        <v>346</v>
      </c>
      <c r="G805" s="20">
        <f t="shared" si="90"/>
        <v>800</v>
      </c>
      <c r="H805" s="21">
        <v>88820003481</v>
      </c>
      <c r="I805" s="22">
        <v>1077</v>
      </c>
      <c r="J805" s="23"/>
      <c r="K805" s="24">
        <v>43720</v>
      </c>
      <c r="L805" s="23">
        <f t="shared" si="85"/>
        <v>346</v>
      </c>
      <c r="M805" s="24">
        <v>8774</v>
      </c>
      <c r="N805" s="25">
        <f t="shared" si="86"/>
        <v>46</v>
      </c>
      <c r="O805" s="24">
        <v>34946</v>
      </c>
      <c r="P805" s="23">
        <f t="shared" si="87"/>
        <v>300</v>
      </c>
      <c r="Q805" s="26"/>
      <c r="R805" s="23">
        <f t="shared" si="88"/>
        <v>0</v>
      </c>
      <c r="S805" s="27" t="s">
        <v>18</v>
      </c>
      <c r="T805" s="19" t="s">
        <v>818</v>
      </c>
    </row>
    <row r="806" spans="1:20" ht="37.5" customHeight="1" x14ac:dyDescent="0.25">
      <c r="A806" s="19" t="s">
        <v>819</v>
      </c>
      <c r="B806">
        <f t="shared" si="89"/>
        <v>4353</v>
      </c>
      <c r="C806">
        <v>1359</v>
      </c>
      <c r="D806">
        <v>2994</v>
      </c>
      <c r="E806">
        <v>7227</v>
      </c>
      <c r="F806">
        <f t="shared" si="84"/>
        <v>362</v>
      </c>
      <c r="G806" s="20">
        <f t="shared" si="90"/>
        <v>801</v>
      </c>
      <c r="H806" s="21">
        <v>99624030044</v>
      </c>
      <c r="I806" s="22">
        <v>1078</v>
      </c>
      <c r="J806" s="23"/>
      <c r="K806" s="24">
        <f>M806+O806</f>
        <v>3991</v>
      </c>
      <c r="L806" s="23">
        <f t="shared" si="85"/>
        <v>362</v>
      </c>
      <c r="M806" s="24">
        <v>1281</v>
      </c>
      <c r="N806" s="25">
        <f t="shared" si="86"/>
        <v>78</v>
      </c>
      <c r="O806" s="24">
        <v>2710</v>
      </c>
      <c r="P806" s="23">
        <f t="shared" si="87"/>
        <v>284</v>
      </c>
      <c r="Q806" s="26">
        <v>6165</v>
      </c>
      <c r="R806" s="23">
        <f t="shared" si="88"/>
        <v>1062</v>
      </c>
      <c r="S806" s="27" t="s">
        <v>18</v>
      </c>
      <c r="T806" s="19" t="s">
        <v>819</v>
      </c>
    </row>
    <row r="807" spans="1:20" ht="37.5" customHeight="1" x14ac:dyDescent="0.25">
      <c r="A807" s="19" t="s">
        <v>820</v>
      </c>
      <c r="B807">
        <f t="shared" si="89"/>
        <v>91474</v>
      </c>
      <c r="C807">
        <v>14284</v>
      </c>
      <c r="D807">
        <v>77190</v>
      </c>
      <c r="F807">
        <f t="shared" si="84"/>
        <v>338</v>
      </c>
      <c r="G807" s="20">
        <f t="shared" si="90"/>
        <v>802</v>
      </c>
      <c r="H807" s="21">
        <v>23014010086</v>
      </c>
      <c r="I807" s="22">
        <v>1079</v>
      </c>
      <c r="J807" s="23"/>
      <c r="K807" s="24">
        <v>91136</v>
      </c>
      <c r="L807" s="23">
        <f t="shared" si="85"/>
        <v>338</v>
      </c>
      <c r="M807" s="24">
        <v>14224</v>
      </c>
      <c r="N807" s="25">
        <f t="shared" si="86"/>
        <v>60</v>
      </c>
      <c r="O807" s="24">
        <v>76912</v>
      </c>
      <c r="P807" s="23">
        <f t="shared" si="87"/>
        <v>278</v>
      </c>
      <c r="Q807" s="26"/>
      <c r="R807" s="23">
        <f t="shared" si="88"/>
        <v>0</v>
      </c>
      <c r="S807" s="27" t="s">
        <v>18</v>
      </c>
      <c r="T807" s="19" t="s">
        <v>820</v>
      </c>
    </row>
    <row r="808" spans="1:20" ht="37.5" customHeight="1" x14ac:dyDescent="0.25">
      <c r="A808" s="19" t="s">
        <v>821</v>
      </c>
      <c r="B808">
        <f t="shared" si="89"/>
        <v>85439</v>
      </c>
      <c r="C808">
        <v>13700</v>
      </c>
      <c r="D808">
        <v>71739</v>
      </c>
      <c r="F808">
        <f t="shared" si="84"/>
        <v>496</v>
      </c>
      <c r="G808" s="20">
        <f t="shared" si="90"/>
        <v>803</v>
      </c>
      <c r="H808" s="21">
        <v>23011120056</v>
      </c>
      <c r="I808" s="22" t="s">
        <v>822</v>
      </c>
      <c r="J808" s="23"/>
      <c r="K808" s="24">
        <v>84943</v>
      </c>
      <c r="L808" s="23">
        <f t="shared" si="85"/>
        <v>496</v>
      </c>
      <c r="M808" s="24">
        <v>13619</v>
      </c>
      <c r="N808" s="25">
        <f t="shared" si="86"/>
        <v>81</v>
      </c>
      <c r="O808" s="24">
        <v>71324</v>
      </c>
      <c r="P808" s="23">
        <f t="shared" si="87"/>
        <v>415</v>
      </c>
      <c r="Q808" s="26"/>
      <c r="R808" s="23">
        <f t="shared" si="88"/>
        <v>0</v>
      </c>
      <c r="S808" s="27" t="s">
        <v>18</v>
      </c>
      <c r="T808" s="19" t="s">
        <v>821</v>
      </c>
    </row>
    <row r="809" spans="1:20" ht="37.5" customHeight="1" x14ac:dyDescent="0.25">
      <c r="A809" s="19" t="s">
        <v>823</v>
      </c>
      <c r="B809">
        <f t="shared" si="89"/>
        <v>39580</v>
      </c>
      <c r="C809">
        <v>6894</v>
      </c>
      <c r="D809">
        <v>32686</v>
      </c>
      <c r="F809">
        <f t="shared" si="84"/>
        <v>1037</v>
      </c>
      <c r="G809" s="20">
        <f t="shared" si="90"/>
        <v>804</v>
      </c>
      <c r="H809" s="21">
        <v>66622010178</v>
      </c>
      <c r="I809" s="22" t="s">
        <v>824</v>
      </c>
      <c r="J809" s="23"/>
      <c r="K809" s="24">
        <v>38543</v>
      </c>
      <c r="L809" s="23">
        <f t="shared" si="85"/>
        <v>1037</v>
      </c>
      <c r="M809" s="24">
        <v>6737</v>
      </c>
      <c r="N809" s="25">
        <f t="shared" si="86"/>
        <v>157</v>
      </c>
      <c r="O809" s="24">
        <v>31806</v>
      </c>
      <c r="P809" s="23">
        <f t="shared" si="87"/>
        <v>880</v>
      </c>
      <c r="Q809" s="26"/>
      <c r="R809" s="23">
        <f t="shared" si="88"/>
        <v>0</v>
      </c>
      <c r="S809" s="27" t="s">
        <v>18</v>
      </c>
      <c r="T809" s="19" t="s">
        <v>823</v>
      </c>
    </row>
    <row r="810" spans="1:20" ht="37.5" customHeight="1" x14ac:dyDescent="0.25">
      <c r="A810" s="19" t="s">
        <v>825</v>
      </c>
      <c r="B810">
        <f t="shared" si="89"/>
        <v>26363</v>
      </c>
      <c r="C810">
        <v>3399</v>
      </c>
      <c r="D810">
        <v>22964</v>
      </c>
      <c r="F810">
        <f t="shared" si="84"/>
        <v>324</v>
      </c>
      <c r="G810" s="20">
        <f t="shared" si="90"/>
        <v>805</v>
      </c>
      <c r="H810" s="21">
        <v>88820030086</v>
      </c>
      <c r="I810" s="22" t="s">
        <v>826</v>
      </c>
      <c r="J810" s="23"/>
      <c r="K810" s="24">
        <v>26039</v>
      </c>
      <c r="L810" s="23">
        <f t="shared" si="85"/>
        <v>324</v>
      </c>
      <c r="M810" s="24">
        <v>3336</v>
      </c>
      <c r="N810" s="25">
        <f t="shared" si="86"/>
        <v>63</v>
      </c>
      <c r="O810" s="24">
        <v>22703</v>
      </c>
      <c r="P810" s="23">
        <f t="shared" si="87"/>
        <v>261</v>
      </c>
      <c r="Q810" s="26"/>
      <c r="R810" s="23">
        <f t="shared" si="88"/>
        <v>0</v>
      </c>
      <c r="S810" s="27" t="s">
        <v>18</v>
      </c>
      <c r="T810" s="19" t="s">
        <v>825</v>
      </c>
    </row>
    <row r="811" spans="1:20" ht="37.5" customHeight="1" x14ac:dyDescent="0.25">
      <c r="A811" s="19" t="s">
        <v>827</v>
      </c>
      <c r="B811">
        <f t="shared" si="89"/>
        <v>121107</v>
      </c>
      <c r="C811">
        <v>31016</v>
      </c>
      <c r="D811">
        <v>90091</v>
      </c>
      <c r="F811">
        <f t="shared" si="84"/>
        <v>542</v>
      </c>
      <c r="G811" s="20">
        <f t="shared" si="90"/>
        <v>806</v>
      </c>
      <c r="H811" s="21">
        <v>9070139</v>
      </c>
      <c r="I811" s="22" t="s">
        <v>828</v>
      </c>
      <c r="J811" s="23"/>
      <c r="K811" s="24">
        <v>120565</v>
      </c>
      <c r="L811" s="23">
        <f t="shared" si="85"/>
        <v>542</v>
      </c>
      <c r="M811" s="24">
        <v>30922</v>
      </c>
      <c r="N811" s="25">
        <f t="shared" si="86"/>
        <v>94</v>
      </c>
      <c r="O811" s="24">
        <v>89643</v>
      </c>
      <c r="P811" s="23">
        <f t="shared" si="87"/>
        <v>448</v>
      </c>
      <c r="Q811" s="26"/>
      <c r="R811" s="23">
        <f t="shared" si="88"/>
        <v>0</v>
      </c>
      <c r="S811" s="27" t="s">
        <v>18</v>
      </c>
      <c r="T811" s="19" t="s">
        <v>827</v>
      </c>
    </row>
    <row r="812" spans="1:20" ht="37.5" customHeight="1" x14ac:dyDescent="0.25">
      <c r="A812" s="19" t="s">
        <v>829</v>
      </c>
      <c r="B812">
        <f t="shared" si="89"/>
        <v>1461</v>
      </c>
      <c r="C812">
        <v>333</v>
      </c>
      <c r="D812">
        <v>1128</v>
      </c>
      <c r="E812">
        <v>2436</v>
      </c>
      <c r="F812">
        <f t="shared" si="84"/>
        <v>265</v>
      </c>
      <c r="G812" s="20">
        <f t="shared" si="90"/>
        <v>807</v>
      </c>
      <c r="H812" s="21">
        <v>99624050101</v>
      </c>
      <c r="I812" s="22">
        <v>1079</v>
      </c>
      <c r="J812" s="23"/>
      <c r="K812" s="24">
        <f>M812+O812</f>
        <v>1196</v>
      </c>
      <c r="L812" s="23">
        <f t="shared" si="85"/>
        <v>265</v>
      </c>
      <c r="M812" s="24">
        <v>282</v>
      </c>
      <c r="N812" s="25">
        <f t="shared" si="86"/>
        <v>51</v>
      </c>
      <c r="O812" s="24">
        <v>914</v>
      </c>
      <c r="P812" s="23">
        <f t="shared" si="87"/>
        <v>214</v>
      </c>
      <c r="Q812" s="26">
        <v>1712</v>
      </c>
      <c r="R812" s="23">
        <f t="shared" si="88"/>
        <v>724</v>
      </c>
      <c r="S812" s="27" t="s">
        <v>18</v>
      </c>
      <c r="T812" s="19" t="s">
        <v>829</v>
      </c>
    </row>
    <row r="813" spans="1:20" ht="37.5" customHeight="1" x14ac:dyDescent="0.25">
      <c r="A813" s="19" t="s">
        <v>830</v>
      </c>
      <c r="B813">
        <f t="shared" si="89"/>
        <v>38216</v>
      </c>
      <c r="C813">
        <v>5924</v>
      </c>
      <c r="D813">
        <v>32292</v>
      </c>
      <c r="F813">
        <f t="shared" si="84"/>
        <v>273</v>
      </c>
      <c r="G813" s="20">
        <f t="shared" si="90"/>
        <v>808</v>
      </c>
      <c r="H813" s="21">
        <v>66617010045</v>
      </c>
      <c r="I813" s="22" t="s">
        <v>831</v>
      </c>
      <c r="J813" s="23"/>
      <c r="K813" s="24">
        <v>37943</v>
      </c>
      <c r="L813" s="23">
        <f t="shared" si="85"/>
        <v>273</v>
      </c>
      <c r="M813" s="24">
        <v>5868</v>
      </c>
      <c r="N813" s="25">
        <f t="shared" si="86"/>
        <v>56</v>
      </c>
      <c r="O813" s="24">
        <v>32075</v>
      </c>
      <c r="P813" s="23">
        <f t="shared" si="87"/>
        <v>217</v>
      </c>
      <c r="Q813" s="26"/>
      <c r="R813" s="23">
        <f t="shared" si="88"/>
        <v>0</v>
      </c>
      <c r="S813" s="27" t="s">
        <v>18</v>
      </c>
      <c r="T813" s="19" t="s">
        <v>830</v>
      </c>
    </row>
    <row r="814" spans="1:20" ht="37.5" customHeight="1" x14ac:dyDescent="0.25">
      <c r="A814" s="19" t="s">
        <v>832</v>
      </c>
      <c r="B814">
        <f t="shared" si="89"/>
        <v>3009</v>
      </c>
      <c r="C814">
        <v>999</v>
      </c>
      <c r="D814">
        <v>2010</v>
      </c>
      <c r="E814">
        <v>3522</v>
      </c>
      <c r="F814">
        <f t="shared" si="84"/>
        <v>248</v>
      </c>
      <c r="G814" s="20">
        <f t="shared" si="90"/>
        <v>809</v>
      </c>
      <c r="H814" s="21">
        <v>99624030152</v>
      </c>
      <c r="I814" s="22">
        <v>1079</v>
      </c>
      <c r="J814" s="23"/>
      <c r="K814" s="24">
        <f>M814+O814</f>
        <v>2761</v>
      </c>
      <c r="L814" s="23">
        <f t="shared" si="85"/>
        <v>248</v>
      </c>
      <c r="M814" s="24">
        <v>925</v>
      </c>
      <c r="N814" s="25">
        <f t="shared" si="86"/>
        <v>74</v>
      </c>
      <c r="O814" s="24">
        <v>1836</v>
      </c>
      <c r="P814" s="23">
        <f t="shared" si="87"/>
        <v>174</v>
      </c>
      <c r="Q814" s="26">
        <v>2990</v>
      </c>
      <c r="R814" s="23">
        <f t="shared" si="88"/>
        <v>532</v>
      </c>
      <c r="S814" s="27" t="s">
        <v>18</v>
      </c>
      <c r="T814" s="19" t="s">
        <v>832</v>
      </c>
    </row>
    <row r="815" spans="1:20" ht="37.5" customHeight="1" x14ac:dyDescent="0.25">
      <c r="A815" s="19" t="s">
        <v>833</v>
      </c>
      <c r="B815">
        <f t="shared" si="89"/>
        <v>5305</v>
      </c>
      <c r="C815">
        <v>1211</v>
      </c>
      <c r="D815">
        <v>4094</v>
      </c>
      <c r="E815">
        <v>4780</v>
      </c>
      <c r="F815">
        <f t="shared" si="84"/>
        <v>445</v>
      </c>
      <c r="G815" s="20">
        <f t="shared" si="90"/>
        <v>810</v>
      </c>
      <c r="H815" s="21">
        <v>99624020182</v>
      </c>
      <c r="I815" s="22">
        <v>1079</v>
      </c>
      <c r="J815" s="23"/>
      <c r="K815" s="24">
        <f>M815+O815</f>
        <v>4860</v>
      </c>
      <c r="L815" s="23">
        <f t="shared" si="85"/>
        <v>445</v>
      </c>
      <c r="M815" s="24">
        <v>1096</v>
      </c>
      <c r="N815" s="25">
        <f t="shared" si="86"/>
        <v>115</v>
      </c>
      <c r="O815" s="24">
        <v>3764</v>
      </c>
      <c r="P815" s="23">
        <f t="shared" si="87"/>
        <v>330</v>
      </c>
      <c r="Q815" s="26">
        <v>4157</v>
      </c>
      <c r="R815" s="23">
        <f t="shared" si="88"/>
        <v>623</v>
      </c>
      <c r="S815" s="27" t="s">
        <v>18</v>
      </c>
      <c r="T815" s="19" t="s">
        <v>833</v>
      </c>
    </row>
    <row r="816" spans="1:20" ht="37.5" customHeight="1" x14ac:dyDescent="0.25">
      <c r="A816" s="19" t="s">
        <v>834</v>
      </c>
      <c r="B816">
        <f t="shared" si="89"/>
        <v>12746</v>
      </c>
      <c r="C816">
        <v>2387</v>
      </c>
      <c r="D816">
        <v>10359</v>
      </c>
      <c r="F816">
        <f t="shared" si="84"/>
        <v>320</v>
      </c>
      <c r="G816" s="20">
        <f t="shared" si="90"/>
        <v>811</v>
      </c>
      <c r="H816" s="21">
        <v>88820050427</v>
      </c>
      <c r="I816" s="22">
        <v>1081</v>
      </c>
      <c r="J816" s="23"/>
      <c r="K816" s="24">
        <v>12426</v>
      </c>
      <c r="L816" s="23">
        <f t="shared" si="85"/>
        <v>320</v>
      </c>
      <c r="M816" s="24">
        <v>2330</v>
      </c>
      <c r="N816" s="25">
        <f t="shared" si="86"/>
        <v>57</v>
      </c>
      <c r="O816" s="24">
        <v>10096</v>
      </c>
      <c r="P816" s="23">
        <f t="shared" si="87"/>
        <v>263</v>
      </c>
      <c r="Q816" s="26"/>
      <c r="R816" s="23">
        <f t="shared" si="88"/>
        <v>0</v>
      </c>
      <c r="S816" s="27" t="s">
        <v>18</v>
      </c>
      <c r="T816" s="19" t="s">
        <v>834</v>
      </c>
    </row>
    <row r="817" spans="1:20" ht="37.5" customHeight="1" x14ac:dyDescent="0.25">
      <c r="A817" s="19" t="s">
        <v>835</v>
      </c>
      <c r="B817">
        <f t="shared" si="89"/>
        <v>27596</v>
      </c>
      <c r="C817">
        <v>8455</v>
      </c>
      <c r="D817">
        <v>19141</v>
      </c>
      <c r="F817">
        <f t="shared" si="84"/>
        <v>31</v>
      </c>
      <c r="G817" s="20">
        <f t="shared" si="90"/>
        <v>812</v>
      </c>
      <c r="H817" s="21">
        <v>23010090172</v>
      </c>
      <c r="I817" s="22">
        <v>1082</v>
      </c>
      <c r="J817" s="23"/>
      <c r="K817" s="24">
        <v>27565</v>
      </c>
      <c r="L817" s="23">
        <f t="shared" si="85"/>
        <v>31</v>
      </c>
      <c r="M817" s="24">
        <v>8453</v>
      </c>
      <c r="N817" s="25">
        <f t="shared" si="86"/>
        <v>2</v>
      </c>
      <c r="O817" s="24">
        <v>19112</v>
      </c>
      <c r="P817" s="23">
        <f t="shared" si="87"/>
        <v>29</v>
      </c>
      <c r="Q817" s="26"/>
      <c r="R817" s="23">
        <f t="shared" si="88"/>
        <v>0</v>
      </c>
      <c r="S817" s="27" t="s">
        <v>18</v>
      </c>
      <c r="T817" s="19" t="s">
        <v>835</v>
      </c>
    </row>
    <row r="818" spans="1:20" ht="37.5" customHeight="1" x14ac:dyDescent="0.25">
      <c r="A818" s="19" t="s">
        <v>836</v>
      </c>
      <c r="B818">
        <f t="shared" si="89"/>
        <v>22560</v>
      </c>
      <c r="C818">
        <v>4461</v>
      </c>
      <c r="D818">
        <v>18099</v>
      </c>
      <c r="F818">
        <f t="shared" si="84"/>
        <v>103</v>
      </c>
      <c r="G818" s="20">
        <f t="shared" si="90"/>
        <v>813</v>
      </c>
      <c r="H818" s="21">
        <v>66621030223</v>
      </c>
      <c r="I818" s="22">
        <v>1083</v>
      </c>
      <c r="J818" s="23"/>
      <c r="K818" s="24">
        <v>22457</v>
      </c>
      <c r="L818" s="23">
        <f t="shared" si="85"/>
        <v>103</v>
      </c>
      <c r="M818" s="24">
        <v>4441</v>
      </c>
      <c r="N818" s="25">
        <f t="shared" si="86"/>
        <v>20</v>
      </c>
      <c r="O818" s="24">
        <v>18016</v>
      </c>
      <c r="P818" s="23">
        <f t="shared" si="87"/>
        <v>83</v>
      </c>
      <c r="Q818" s="26"/>
      <c r="R818" s="23">
        <f t="shared" si="88"/>
        <v>0</v>
      </c>
      <c r="S818" s="27" t="s">
        <v>18</v>
      </c>
      <c r="T818" s="19" t="s">
        <v>836</v>
      </c>
    </row>
    <row r="819" spans="1:20" ht="37.5" customHeight="1" x14ac:dyDescent="0.25">
      <c r="A819" s="19" t="s">
        <v>837</v>
      </c>
      <c r="B819">
        <f t="shared" si="89"/>
        <v>13042</v>
      </c>
      <c r="C819">
        <v>1972</v>
      </c>
      <c r="D819">
        <v>11070</v>
      </c>
      <c r="F819">
        <f t="shared" si="84"/>
        <v>378</v>
      </c>
      <c r="G819" s="20">
        <f t="shared" si="90"/>
        <v>814</v>
      </c>
      <c r="H819" s="21">
        <v>66621010067</v>
      </c>
      <c r="I819" s="22">
        <v>1084</v>
      </c>
      <c r="J819" s="23"/>
      <c r="K819" s="24">
        <v>12664</v>
      </c>
      <c r="L819" s="23">
        <f t="shared" si="85"/>
        <v>378</v>
      </c>
      <c r="M819" s="24">
        <v>1906</v>
      </c>
      <c r="N819" s="25">
        <f t="shared" si="86"/>
        <v>66</v>
      </c>
      <c r="O819" s="24">
        <v>10758</v>
      </c>
      <c r="P819" s="23">
        <f t="shared" si="87"/>
        <v>312</v>
      </c>
      <c r="Q819" s="26"/>
      <c r="R819" s="23">
        <f t="shared" si="88"/>
        <v>0</v>
      </c>
      <c r="S819" s="27" t="s">
        <v>18</v>
      </c>
      <c r="T819" s="19" t="s">
        <v>837</v>
      </c>
    </row>
    <row r="820" spans="1:20" ht="37.5" customHeight="1" x14ac:dyDescent="0.25">
      <c r="A820" s="19" t="s">
        <v>838</v>
      </c>
      <c r="B820">
        <f t="shared" si="89"/>
        <v>26472</v>
      </c>
      <c r="C820">
        <v>5033</v>
      </c>
      <c r="D820">
        <v>21439</v>
      </c>
      <c r="F820">
        <f t="shared" si="84"/>
        <v>400</v>
      </c>
      <c r="G820" s="20">
        <f t="shared" si="90"/>
        <v>815</v>
      </c>
      <c r="H820" s="21">
        <v>23015100999</v>
      </c>
      <c r="I820" s="22">
        <v>1086</v>
      </c>
      <c r="J820" s="23"/>
      <c r="K820" s="24">
        <v>26072</v>
      </c>
      <c r="L820" s="23">
        <f t="shared" si="85"/>
        <v>400</v>
      </c>
      <c r="M820" s="24">
        <v>4957</v>
      </c>
      <c r="N820" s="25">
        <f t="shared" si="86"/>
        <v>76</v>
      </c>
      <c r="O820" s="24">
        <v>21115</v>
      </c>
      <c r="P820" s="23">
        <f t="shared" si="87"/>
        <v>324</v>
      </c>
      <c r="Q820" s="26"/>
      <c r="R820" s="23">
        <f t="shared" si="88"/>
        <v>0</v>
      </c>
      <c r="S820" s="27" t="s">
        <v>18</v>
      </c>
      <c r="T820" s="19" t="s">
        <v>838</v>
      </c>
    </row>
    <row r="821" spans="1:20" ht="37.5" customHeight="1" x14ac:dyDescent="0.25">
      <c r="A821" s="19" t="s">
        <v>839</v>
      </c>
      <c r="B821">
        <f t="shared" si="89"/>
        <v>7278</v>
      </c>
      <c r="C821">
        <v>1831</v>
      </c>
      <c r="D821">
        <v>5447</v>
      </c>
      <c r="E821">
        <v>6163</v>
      </c>
      <c r="F821">
        <f t="shared" si="84"/>
        <v>516</v>
      </c>
      <c r="G821" s="20">
        <f t="shared" si="90"/>
        <v>816</v>
      </c>
      <c r="H821" s="21">
        <v>99624020119</v>
      </c>
      <c r="I821" s="22">
        <v>1087</v>
      </c>
      <c r="J821" s="23"/>
      <c r="K821" s="24">
        <f>M821+O821</f>
        <v>6762</v>
      </c>
      <c r="L821" s="23">
        <f t="shared" si="85"/>
        <v>516</v>
      </c>
      <c r="M821" s="24">
        <v>1661</v>
      </c>
      <c r="N821" s="25">
        <f t="shared" si="86"/>
        <v>170</v>
      </c>
      <c r="O821" s="24">
        <v>5101</v>
      </c>
      <c r="P821" s="23">
        <f t="shared" si="87"/>
        <v>346</v>
      </c>
      <c r="Q821" s="26">
        <v>5426</v>
      </c>
      <c r="R821" s="23">
        <f t="shared" si="88"/>
        <v>737</v>
      </c>
      <c r="S821" s="27" t="s">
        <v>18</v>
      </c>
      <c r="T821" s="19" t="s">
        <v>839</v>
      </c>
    </row>
    <row r="822" spans="1:20" ht="37.5" customHeight="1" x14ac:dyDescent="0.25">
      <c r="A822" s="19" t="s">
        <v>840</v>
      </c>
      <c r="B822">
        <f t="shared" si="89"/>
        <v>16775</v>
      </c>
      <c r="C822">
        <v>2965</v>
      </c>
      <c r="D822">
        <v>13810</v>
      </c>
      <c r="F822">
        <f t="shared" si="84"/>
        <v>338</v>
      </c>
      <c r="G822" s="20">
        <f t="shared" si="90"/>
        <v>817</v>
      </c>
      <c r="H822" s="21">
        <v>66622010434</v>
      </c>
      <c r="I822" s="22">
        <v>1088</v>
      </c>
      <c r="J822" s="23"/>
      <c r="K822" s="24">
        <v>16437</v>
      </c>
      <c r="L822" s="23">
        <f t="shared" si="85"/>
        <v>338</v>
      </c>
      <c r="M822" s="24">
        <v>2901</v>
      </c>
      <c r="N822" s="25">
        <f t="shared" si="86"/>
        <v>64</v>
      </c>
      <c r="O822" s="24">
        <v>13536</v>
      </c>
      <c r="P822" s="23">
        <f t="shared" si="87"/>
        <v>274</v>
      </c>
      <c r="Q822" s="26"/>
      <c r="R822" s="23">
        <f t="shared" si="88"/>
        <v>0</v>
      </c>
      <c r="S822" s="27" t="s">
        <v>18</v>
      </c>
      <c r="T822" s="19" t="s">
        <v>840</v>
      </c>
    </row>
    <row r="823" spans="1:20" ht="37.5" customHeight="1" x14ac:dyDescent="0.25">
      <c r="A823" s="19" t="s">
        <v>841</v>
      </c>
      <c r="B823">
        <f t="shared" si="89"/>
        <v>61712</v>
      </c>
      <c r="C823">
        <v>10636</v>
      </c>
      <c r="D823">
        <v>51076</v>
      </c>
      <c r="F823">
        <f t="shared" si="84"/>
        <v>396</v>
      </c>
      <c r="G823" s="20">
        <f t="shared" si="90"/>
        <v>818</v>
      </c>
      <c r="H823" s="21">
        <v>23013080289</v>
      </c>
      <c r="I823" s="22">
        <v>1089</v>
      </c>
      <c r="J823" s="23"/>
      <c r="K823" s="24">
        <v>61316</v>
      </c>
      <c r="L823" s="23">
        <f t="shared" si="85"/>
        <v>396</v>
      </c>
      <c r="M823" s="24">
        <v>10575</v>
      </c>
      <c r="N823" s="25">
        <f t="shared" si="86"/>
        <v>61</v>
      </c>
      <c r="O823" s="24">
        <v>50741</v>
      </c>
      <c r="P823" s="23">
        <f t="shared" si="87"/>
        <v>335</v>
      </c>
      <c r="Q823" s="26"/>
      <c r="R823" s="23">
        <f t="shared" si="88"/>
        <v>0</v>
      </c>
      <c r="S823" s="27" t="s">
        <v>18</v>
      </c>
      <c r="T823" s="19" t="s">
        <v>841</v>
      </c>
    </row>
    <row r="824" spans="1:20" ht="37.5" customHeight="1" x14ac:dyDescent="0.25">
      <c r="A824" s="19" t="s">
        <v>842</v>
      </c>
      <c r="B824">
        <f t="shared" si="89"/>
        <v>40962</v>
      </c>
      <c r="C824">
        <v>8326</v>
      </c>
      <c r="D824">
        <v>32636</v>
      </c>
      <c r="F824">
        <f t="shared" si="84"/>
        <v>788</v>
      </c>
      <c r="G824" s="20">
        <f t="shared" si="90"/>
        <v>819</v>
      </c>
      <c r="H824" s="21">
        <v>88818020446</v>
      </c>
      <c r="I824" s="22">
        <v>1090</v>
      </c>
      <c r="J824" s="23"/>
      <c r="K824" s="24">
        <v>40174</v>
      </c>
      <c r="L824" s="23">
        <f t="shared" si="85"/>
        <v>788</v>
      </c>
      <c r="M824" s="24">
        <v>8193</v>
      </c>
      <c r="N824" s="25">
        <f t="shared" si="86"/>
        <v>133</v>
      </c>
      <c r="O824" s="24">
        <v>31981</v>
      </c>
      <c r="P824" s="23">
        <f t="shared" si="87"/>
        <v>655</v>
      </c>
      <c r="Q824" s="26"/>
      <c r="R824" s="23">
        <f t="shared" si="88"/>
        <v>0</v>
      </c>
      <c r="S824" s="27" t="s">
        <v>18</v>
      </c>
      <c r="T824" s="19" t="s">
        <v>842</v>
      </c>
    </row>
    <row r="825" spans="1:20" ht="37.5" customHeight="1" x14ac:dyDescent="0.25">
      <c r="A825" s="19" t="s">
        <v>843</v>
      </c>
      <c r="B825">
        <f t="shared" si="89"/>
        <v>6132</v>
      </c>
      <c r="C825">
        <v>1421</v>
      </c>
      <c r="D825">
        <v>4711</v>
      </c>
      <c r="E825">
        <v>7993</v>
      </c>
      <c r="F825">
        <f t="shared" si="84"/>
        <v>264</v>
      </c>
      <c r="G825" s="20">
        <f t="shared" si="90"/>
        <v>820</v>
      </c>
      <c r="H825" s="21">
        <v>99623080337</v>
      </c>
      <c r="I825" s="22">
        <v>1091</v>
      </c>
      <c r="J825" s="23"/>
      <c r="K825" s="24">
        <f t="shared" ref="K825:K830" si="91">M825+O825</f>
        <v>5868</v>
      </c>
      <c r="L825" s="23">
        <f t="shared" si="85"/>
        <v>264</v>
      </c>
      <c r="M825" s="24">
        <v>1356</v>
      </c>
      <c r="N825" s="25">
        <f t="shared" si="86"/>
        <v>65</v>
      </c>
      <c r="O825" s="24">
        <v>4512</v>
      </c>
      <c r="P825" s="23">
        <f t="shared" si="87"/>
        <v>199</v>
      </c>
      <c r="Q825" s="26">
        <v>7258</v>
      </c>
      <c r="R825" s="23">
        <f t="shared" si="88"/>
        <v>735</v>
      </c>
      <c r="S825" s="27" t="s">
        <v>18</v>
      </c>
      <c r="T825" s="19" t="s">
        <v>843</v>
      </c>
    </row>
    <row r="826" spans="1:20" ht="37.5" customHeight="1" x14ac:dyDescent="0.25">
      <c r="A826" s="19" t="s">
        <v>844</v>
      </c>
      <c r="B826">
        <f t="shared" si="89"/>
        <v>4792</v>
      </c>
      <c r="C826">
        <v>1043</v>
      </c>
      <c r="D826">
        <v>3749</v>
      </c>
      <c r="E826">
        <v>10512</v>
      </c>
      <c r="F826">
        <f t="shared" si="84"/>
        <v>256</v>
      </c>
      <c r="G826" s="20">
        <f t="shared" si="90"/>
        <v>821</v>
      </c>
      <c r="H826" s="21">
        <v>99623080414</v>
      </c>
      <c r="I826" s="22">
        <v>1093</v>
      </c>
      <c r="J826" s="23"/>
      <c r="K826" s="24">
        <f t="shared" si="91"/>
        <v>4536</v>
      </c>
      <c r="L826" s="23">
        <f t="shared" si="85"/>
        <v>256</v>
      </c>
      <c r="M826" s="24">
        <v>982</v>
      </c>
      <c r="N826" s="25">
        <f t="shared" si="86"/>
        <v>61</v>
      </c>
      <c r="O826" s="24">
        <v>3554</v>
      </c>
      <c r="P826" s="23">
        <f t="shared" si="87"/>
        <v>195</v>
      </c>
      <c r="Q826" s="26">
        <v>9556</v>
      </c>
      <c r="R826" s="23">
        <f t="shared" si="88"/>
        <v>956</v>
      </c>
      <c r="S826" s="27" t="s">
        <v>18</v>
      </c>
      <c r="T826" s="19" t="s">
        <v>844</v>
      </c>
    </row>
    <row r="827" spans="1:20" ht="37.5" customHeight="1" x14ac:dyDescent="0.25">
      <c r="A827" s="19" t="s">
        <v>845</v>
      </c>
      <c r="B827">
        <f t="shared" si="89"/>
        <v>3130</v>
      </c>
      <c r="C827">
        <v>502</v>
      </c>
      <c r="D827">
        <v>2628</v>
      </c>
      <c r="E827">
        <v>3344</v>
      </c>
      <c r="F827">
        <f t="shared" si="84"/>
        <v>358</v>
      </c>
      <c r="G827" s="20">
        <f t="shared" si="90"/>
        <v>822</v>
      </c>
      <c r="H827" s="21">
        <v>99624030381</v>
      </c>
      <c r="I827" s="22">
        <v>1094</v>
      </c>
      <c r="J827" s="23"/>
      <c r="K827" s="24">
        <f t="shared" si="91"/>
        <v>2772</v>
      </c>
      <c r="L827" s="23">
        <f t="shared" si="85"/>
        <v>358</v>
      </c>
      <c r="M827" s="24">
        <v>434</v>
      </c>
      <c r="N827" s="25">
        <f t="shared" si="86"/>
        <v>68</v>
      </c>
      <c r="O827" s="24">
        <v>2338</v>
      </c>
      <c r="P827" s="23">
        <f t="shared" si="87"/>
        <v>290</v>
      </c>
      <c r="Q827" s="26">
        <v>2743</v>
      </c>
      <c r="R827" s="23">
        <f t="shared" si="88"/>
        <v>601</v>
      </c>
      <c r="S827" s="27" t="s">
        <v>18</v>
      </c>
      <c r="T827" s="19" t="s">
        <v>845</v>
      </c>
    </row>
    <row r="828" spans="1:20" ht="37.5" customHeight="1" x14ac:dyDescent="0.25">
      <c r="A828" s="19" t="s">
        <v>846</v>
      </c>
      <c r="B828">
        <f t="shared" si="89"/>
        <v>4782</v>
      </c>
      <c r="C828">
        <v>881</v>
      </c>
      <c r="D828">
        <v>3901</v>
      </c>
      <c r="E828">
        <v>11106</v>
      </c>
      <c r="F828">
        <f t="shared" si="84"/>
        <v>185</v>
      </c>
      <c r="G828" s="20">
        <f t="shared" si="90"/>
        <v>823</v>
      </c>
      <c r="H828" s="21">
        <v>99623080501</v>
      </c>
      <c r="I828" s="22">
        <v>1095</v>
      </c>
      <c r="J828" s="23"/>
      <c r="K828" s="24">
        <f t="shared" si="91"/>
        <v>4597</v>
      </c>
      <c r="L828" s="23">
        <f t="shared" si="85"/>
        <v>185</v>
      </c>
      <c r="M828" s="24">
        <v>823</v>
      </c>
      <c r="N828" s="25">
        <f t="shared" si="86"/>
        <v>58</v>
      </c>
      <c r="O828" s="24">
        <v>3774</v>
      </c>
      <c r="P828" s="23">
        <f t="shared" si="87"/>
        <v>127</v>
      </c>
      <c r="Q828" s="26">
        <v>9983</v>
      </c>
      <c r="R828" s="23">
        <f t="shared" si="88"/>
        <v>1123</v>
      </c>
      <c r="S828" s="27" t="s">
        <v>18</v>
      </c>
      <c r="T828" s="19" t="s">
        <v>846</v>
      </c>
    </row>
    <row r="829" spans="1:20" ht="37.5" customHeight="1" x14ac:dyDescent="0.25">
      <c r="A829" s="19" t="s">
        <v>847</v>
      </c>
      <c r="B829">
        <f t="shared" si="89"/>
        <v>418</v>
      </c>
      <c r="C829">
        <v>115</v>
      </c>
      <c r="D829">
        <v>303</v>
      </c>
      <c r="E829">
        <v>1022</v>
      </c>
      <c r="F829">
        <f t="shared" si="84"/>
        <v>418</v>
      </c>
      <c r="G829" s="20">
        <f t="shared" si="90"/>
        <v>824</v>
      </c>
      <c r="H829" s="21">
        <v>99625010157</v>
      </c>
      <c r="I829" s="22">
        <v>1096</v>
      </c>
      <c r="J829" s="23"/>
      <c r="K829" s="24">
        <v>0</v>
      </c>
      <c r="L829" s="23">
        <f t="shared" si="85"/>
        <v>418</v>
      </c>
      <c r="M829" s="24">
        <v>0</v>
      </c>
      <c r="N829" s="25">
        <f t="shared" si="86"/>
        <v>115</v>
      </c>
      <c r="O829" s="24">
        <v>0</v>
      </c>
      <c r="P829" s="23">
        <f t="shared" si="87"/>
        <v>303</v>
      </c>
      <c r="Q829" s="26">
        <v>0</v>
      </c>
      <c r="R829" s="23">
        <f t="shared" si="88"/>
        <v>1022</v>
      </c>
      <c r="S829" s="27" t="s">
        <v>18</v>
      </c>
      <c r="T829" s="19" t="s">
        <v>847</v>
      </c>
    </row>
    <row r="830" spans="1:20" ht="37.5" customHeight="1" x14ac:dyDescent="0.25">
      <c r="A830" s="19" t="s">
        <v>848</v>
      </c>
      <c r="B830">
        <f t="shared" si="89"/>
        <v>173</v>
      </c>
      <c r="C830">
        <v>42</v>
      </c>
      <c r="D830">
        <v>131</v>
      </c>
      <c r="E830">
        <v>619</v>
      </c>
      <c r="F830">
        <f t="shared" si="84"/>
        <v>173</v>
      </c>
      <c r="G830" s="20">
        <f t="shared" si="90"/>
        <v>825</v>
      </c>
      <c r="H830" s="21">
        <v>99624020015</v>
      </c>
      <c r="I830" s="22">
        <v>1097</v>
      </c>
      <c r="J830" s="23"/>
      <c r="K830" s="24">
        <f t="shared" si="91"/>
        <v>0</v>
      </c>
      <c r="L830" s="23">
        <f t="shared" si="85"/>
        <v>173</v>
      </c>
      <c r="M830" s="24"/>
      <c r="N830" s="25">
        <f t="shared" si="86"/>
        <v>42</v>
      </c>
      <c r="O830" s="24"/>
      <c r="P830" s="23">
        <f t="shared" si="87"/>
        <v>131</v>
      </c>
      <c r="Q830" s="26"/>
      <c r="R830" s="23">
        <f t="shared" si="88"/>
        <v>619</v>
      </c>
      <c r="S830" s="27" t="s">
        <v>18</v>
      </c>
      <c r="T830" s="19" t="s">
        <v>848</v>
      </c>
    </row>
    <row r="831" spans="1:20" ht="37.5" customHeight="1" x14ac:dyDescent="0.25">
      <c r="A831" s="19" t="s">
        <v>849</v>
      </c>
      <c r="B831">
        <f t="shared" si="89"/>
        <v>54676</v>
      </c>
      <c r="C831">
        <v>9995</v>
      </c>
      <c r="D831">
        <v>44681</v>
      </c>
      <c r="F831">
        <f t="shared" si="84"/>
        <v>673</v>
      </c>
      <c r="G831" s="20">
        <f t="shared" si="90"/>
        <v>826</v>
      </c>
      <c r="H831" s="21">
        <v>88819010212</v>
      </c>
      <c r="I831" s="22">
        <v>1099</v>
      </c>
      <c r="J831" s="23"/>
      <c r="K831" s="24">
        <v>54003</v>
      </c>
      <c r="L831" s="23">
        <f t="shared" si="85"/>
        <v>673</v>
      </c>
      <c r="M831" s="24">
        <v>9881</v>
      </c>
      <c r="N831" s="25">
        <f t="shared" si="86"/>
        <v>114</v>
      </c>
      <c r="O831" s="24">
        <v>44122</v>
      </c>
      <c r="P831" s="23">
        <f t="shared" si="87"/>
        <v>559</v>
      </c>
      <c r="Q831" s="26"/>
      <c r="R831" s="23">
        <f t="shared" si="88"/>
        <v>0</v>
      </c>
      <c r="S831" s="27" t="s">
        <v>18</v>
      </c>
      <c r="T831" s="19" t="s">
        <v>849</v>
      </c>
    </row>
    <row r="832" spans="1:20" ht="37.5" customHeight="1" x14ac:dyDescent="0.25">
      <c r="A832" s="19" t="s">
        <v>850</v>
      </c>
      <c r="B832">
        <f t="shared" si="89"/>
        <v>54948</v>
      </c>
      <c r="C832">
        <v>9340</v>
      </c>
      <c r="D832">
        <v>45608</v>
      </c>
      <c r="F832">
        <f t="shared" si="84"/>
        <v>760</v>
      </c>
      <c r="G832" s="20">
        <f t="shared" si="90"/>
        <v>827</v>
      </c>
      <c r="H832" s="21">
        <v>23013010385</v>
      </c>
      <c r="I832" s="22">
        <v>1100</v>
      </c>
      <c r="J832" s="23"/>
      <c r="K832" s="24">
        <v>54188</v>
      </c>
      <c r="L832" s="23">
        <f t="shared" si="85"/>
        <v>760</v>
      </c>
      <c r="M832" s="24">
        <v>9186</v>
      </c>
      <c r="N832" s="25">
        <f t="shared" si="86"/>
        <v>154</v>
      </c>
      <c r="O832" s="24">
        <v>45002</v>
      </c>
      <c r="P832" s="23">
        <f t="shared" si="87"/>
        <v>606</v>
      </c>
      <c r="Q832" s="26"/>
      <c r="R832" s="23">
        <f t="shared" si="88"/>
        <v>0</v>
      </c>
      <c r="S832" s="27" t="s">
        <v>18</v>
      </c>
      <c r="T832" s="19" t="s">
        <v>850</v>
      </c>
    </row>
    <row r="833" spans="1:20" ht="37.5" customHeight="1" x14ac:dyDescent="0.25">
      <c r="A833" s="19" t="s">
        <v>851</v>
      </c>
      <c r="B833">
        <f t="shared" si="89"/>
        <v>24372</v>
      </c>
      <c r="C833">
        <v>4729</v>
      </c>
      <c r="D833">
        <v>19643</v>
      </c>
      <c r="F833">
        <f t="shared" si="84"/>
        <v>410</v>
      </c>
      <c r="G833" s="20">
        <f t="shared" si="90"/>
        <v>828</v>
      </c>
      <c r="H833" s="21">
        <v>88820020120</v>
      </c>
      <c r="I833" s="22">
        <v>1101</v>
      </c>
      <c r="J833" s="23"/>
      <c r="K833" s="24">
        <v>23962</v>
      </c>
      <c r="L833" s="23">
        <f t="shared" si="85"/>
        <v>410</v>
      </c>
      <c r="M833" s="24">
        <v>4650</v>
      </c>
      <c r="N833" s="25">
        <f t="shared" si="86"/>
        <v>79</v>
      </c>
      <c r="O833" s="24">
        <v>19312</v>
      </c>
      <c r="P833" s="23">
        <f t="shared" si="87"/>
        <v>331</v>
      </c>
      <c r="Q833" s="26"/>
      <c r="R833" s="23">
        <f t="shared" si="88"/>
        <v>0</v>
      </c>
      <c r="S833" s="27" t="s">
        <v>18</v>
      </c>
      <c r="T833" s="19" t="s">
        <v>851</v>
      </c>
    </row>
    <row r="834" spans="1:20" ht="37.5" customHeight="1" x14ac:dyDescent="0.25">
      <c r="A834" s="19" t="s">
        <v>852</v>
      </c>
      <c r="B834">
        <f t="shared" si="89"/>
        <v>22145</v>
      </c>
      <c r="C834">
        <v>3709</v>
      </c>
      <c r="D834">
        <v>18436</v>
      </c>
      <c r="F834">
        <f t="shared" si="84"/>
        <v>430</v>
      </c>
      <c r="G834" s="20">
        <f t="shared" si="90"/>
        <v>829</v>
      </c>
      <c r="H834" s="21">
        <v>88819010384</v>
      </c>
      <c r="I834" s="22">
        <v>1102</v>
      </c>
      <c r="J834" s="23"/>
      <c r="K834" s="24">
        <v>21715</v>
      </c>
      <c r="L834" s="23">
        <f t="shared" si="85"/>
        <v>430</v>
      </c>
      <c r="M834" s="24">
        <v>3625</v>
      </c>
      <c r="N834" s="25">
        <f t="shared" si="86"/>
        <v>84</v>
      </c>
      <c r="O834" s="24">
        <v>18090</v>
      </c>
      <c r="P834" s="23">
        <f t="shared" si="87"/>
        <v>346</v>
      </c>
      <c r="Q834" s="26"/>
      <c r="R834" s="23">
        <f t="shared" si="88"/>
        <v>0</v>
      </c>
      <c r="S834" s="27" t="s">
        <v>18</v>
      </c>
      <c r="T834" s="19" t="s">
        <v>852</v>
      </c>
    </row>
    <row r="835" spans="1:20" ht="37.5" customHeight="1" x14ac:dyDescent="0.25">
      <c r="A835" s="19" t="s">
        <v>853</v>
      </c>
      <c r="B835">
        <f t="shared" si="89"/>
        <v>87136</v>
      </c>
      <c r="C835">
        <v>23557</v>
      </c>
      <c r="D835">
        <v>63579</v>
      </c>
      <c r="F835">
        <f t="shared" si="84"/>
        <v>252</v>
      </c>
      <c r="G835" s="20">
        <f t="shared" si="90"/>
        <v>830</v>
      </c>
      <c r="H835" s="21">
        <v>23011010045</v>
      </c>
      <c r="I835" s="22">
        <v>1103</v>
      </c>
      <c r="J835" s="23"/>
      <c r="K835" s="24">
        <v>86884</v>
      </c>
      <c r="L835" s="23">
        <f t="shared" si="85"/>
        <v>252</v>
      </c>
      <c r="M835" s="24">
        <v>23608</v>
      </c>
      <c r="N835" s="25">
        <f t="shared" si="86"/>
        <v>-51</v>
      </c>
      <c r="O835" s="24">
        <v>63276</v>
      </c>
      <c r="P835" s="23">
        <f t="shared" si="87"/>
        <v>303</v>
      </c>
      <c r="Q835" s="26"/>
      <c r="R835" s="23">
        <f t="shared" si="88"/>
        <v>0</v>
      </c>
      <c r="S835" s="27" t="s">
        <v>18</v>
      </c>
      <c r="T835" s="19" t="s">
        <v>853</v>
      </c>
    </row>
    <row r="836" spans="1:20" ht="37.5" customHeight="1" x14ac:dyDescent="0.25">
      <c r="A836" s="19" t="s">
        <v>854</v>
      </c>
      <c r="B836">
        <f t="shared" si="89"/>
        <v>57174</v>
      </c>
      <c r="C836">
        <v>9714</v>
      </c>
      <c r="D836">
        <v>47460</v>
      </c>
      <c r="F836">
        <f t="shared" si="84"/>
        <v>250</v>
      </c>
      <c r="G836" s="20">
        <f t="shared" si="90"/>
        <v>831</v>
      </c>
      <c r="H836" s="21">
        <v>23014090110</v>
      </c>
      <c r="I836" s="22">
        <v>1104</v>
      </c>
      <c r="J836" s="23"/>
      <c r="K836" s="24">
        <v>56924</v>
      </c>
      <c r="L836" s="23">
        <f t="shared" si="85"/>
        <v>250</v>
      </c>
      <c r="M836" s="24">
        <v>9666</v>
      </c>
      <c r="N836" s="25">
        <f t="shared" si="86"/>
        <v>48</v>
      </c>
      <c r="O836" s="24">
        <v>47258</v>
      </c>
      <c r="P836" s="23">
        <f t="shared" si="87"/>
        <v>202</v>
      </c>
      <c r="Q836" s="26"/>
      <c r="R836" s="23">
        <f t="shared" si="88"/>
        <v>0</v>
      </c>
      <c r="S836" s="27" t="s">
        <v>18</v>
      </c>
      <c r="T836" s="19" t="s">
        <v>854</v>
      </c>
    </row>
    <row r="837" spans="1:20" ht="37.5" customHeight="1" x14ac:dyDescent="0.25">
      <c r="A837" s="19" t="s">
        <v>855</v>
      </c>
      <c r="B837">
        <f t="shared" si="89"/>
        <v>20016</v>
      </c>
      <c r="C837">
        <v>3387</v>
      </c>
      <c r="D837">
        <v>16629</v>
      </c>
      <c r="F837">
        <f t="shared" ref="F837:F900" si="92">L837</f>
        <v>320</v>
      </c>
      <c r="G837" s="20">
        <f t="shared" si="90"/>
        <v>832</v>
      </c>
      <c r="H837" s="21">
        <v>66622020297</v>
      </c>
      <c r="I837" s="22">
        <v>1105</v>
      </c>
      <c r="J837" s="23"/>
      <c r="K837" s="24">
        <v>19696</v>
      </c>
      <c r="L837" s="23">
        <f t="shared" si="85"/>
        <v>320</v>
      </c>
      <c r="M837" s="24">
        <v>3323</v>
      </c>
      <c r="N837" s="25">
        <f t="shared" si="86"/>
        <v>64</v>
      </c>
      <c r="O837" s="24">
        <v>16373</v>
      </c>
      <c r="P837" s="23">
        <f t="shared" si="87"/>
        <v>256</v>
      </c>
      <c r="Q837" s="26"/>
      <c r="R837" s="23">
        <f t="shared" si="88"/>
        <v>0</v>
      </c>
      <c r="S837" s="27" t="s">
        <v>18</v>
      </c>
      <c r="T837" s="19" t="s">
        <v>855</v>
      </c>
    </row>
    <row r="838" spans="1:20" ht="37.5" customHeight="1" x14ac:dyDescent="0.25">
      <c r="A838" s="19" t="s">
        <v>856</v>
      </c>
      <c r="B838">
        <f t="shared" si="89"/>
        <v>8609</v>
      </c>
      <c r="C838">
        <v>1450</v>
      </c>
      <c r="D838">
        <v>7159</v>
      </c>
      <c r="F838">
        <f t="shared" si="92"/>
        <v>187</v>
      </c>
      <c r="G838" s="20">
        <f t="shared" si="90"/>
        <v>833</v>
      </c>
      <c r="H838" s="21">
        <v>66621090006</v>
      </c>
      <c r="I838" s="22">
        <v>1106</v>
      </c>
      <c r="J838" s="23"/>
      <c r="K838" s="24">
        <v>8422</v>
      </c>
      <c r="L838" s="23">
        <f t="shared" ref="L838:L901" si="93">B838-K838</f>
        <v>187</v>
      </c>
      <c r="M838" s="24">
        <v>1411</v>
      </c>
      <c r="N838" s="25">
        <f t="shared" ref="N838:N901" si="94">C838-M838</f>
        <v>39</v>
      </c>
      <c r="O838" s="24">
        <v>7011</v>
      </c>
      <c r="P838" s="23">
        <f t="shared" ref="P838:P901" si="95">D838-O838</f>
        <v>148</v>
      </c>
      <c r="Q838" s="26"/>
      <c r="R838" s="23">
        <f t="shared" ref="R838:R901" si="96">E838-Q838</f>
        <v>0</v>
      </c>
      <c r="S838" s="27" t="s">
        <v>18</v>
      </c>
      <c r="T838" s="19" t="s">
        <v>856</v>
      </c>
    </row>
    <row r="839" spans="1:20" ht="37.5" customHeight="1" x14ac:dyDescent="0.25">
      <c r="A839" s="19" t="s">
        <v>857</v>
      </c>
      <c r="B839">
        <f t="shared" ref="B839:B902" si="97">C839+D839</f>
        <v>21642</v>
      </c>
      <c r="C839">
        <v>4410</v>
      </c>
      <c r="D839">
        <v>17232</v>
      </c>
      <c r="F839">
        <f t="shared" si="92"/>
        <v>1</v>
      </c>
      <c r="G839" s="20">
        <f t="shared" si="90"/>
        <v>834</v>
      </c>
      <c r="H839" s="21">
        <v>23015100824</v>
      </c>
      <c r="I839" s="22">
        <v>1107</v>
      </c>
      <c r="J839" s="23"/>
      <c r="K839" s="24">
        <v>21641</v>
      </c>
      <c r="L839" s="23">
        <f t="shared" si="93"/>
        <v>1</v>
      </c>
      <c r="M839" s="24">
        <v>4410</v>
      </c>
      <c r="N839" s="25">
        <f t="shared" si="94"/>
        <v>0</v>
      </c>
      <c r="O839" s="24">
        <v>17231</v>
      </c>
      <c r="P839" s="23">
        <f t="shared" si="95"/>
        <v>1</v>
      </c>
      <c r="Q839" s="26"/>
      <c r="R839" s="23">
        <f t="shared" si="96"/>
        <v>0</v>
      </c>
      <c r="S839" s="27" t="s">
        <v>18</v>
      </c>
      <c r="T839" s="19" t="s">
        <v>857</v>
      </c>
    </row>
    <row r="840" spans="1:20" ht="37.5" customHeight="1" x14ac:dyDescent="0.25">
      <c r="A840" s="19" t="s">
        <v>858</v>
      </c>
      <c r="B840">
        <f t="shared" si="97"/>
        <v>108</v>
      </c>
      <c r="C840">
        <v>15</v>
      </c>
      <c r="D840">
        <v>93</v>
      </c>
      <c r="F840">
        <f t="shared" si="92"/>
        <v>16</v>
      </c>
      <c r="G840" s="20">
        <f t="shared" ref="G840:G903" si="98">G839+1</f>
        <v>835</v>
      </c>
      <c r="H840" s="21">
        <v>88823020192</v>
      </c>
      <c r="I840" s="22" t="s">
        <v>859</v>
      </c>
      <c r="J840" s="23"/>
      <c r="K840" s="24">
        <v>92</v>
      </c>
      <c r="L840" s="23">
        <f t="shared" si="93"/>
        <v>16</v>
      </c>
      <c r="M840" s="24">
        <v>12</v>
      </c>
      <c r="N840" s="25">
        <f t="shared" si="94"/>
        <v>3</v>
      </c>
      <c r="O840" s="24">
        <v>80</v>
      </c>
      <c r="P840" s="23">
        <f t="shared" si="95"/>
        <v>13</v>
      </c>
      <c r="Q840" s="26"/>
      <c r="R840" s="23">
        <f t="shared" si="96"/>
        <v>0</v>
      </c>
      <c r="S840" s="27" t="s">
        <v>860</v>
      </c>
      <c r="T840" s="19" t="s">
        <v>858</v>
      </c>
    </row>
    <row r="841" spans="1:20" ht="37.5" customHeight="1" x14ac:dyDescent="0.25">
      <c r="A841" s="19" t="s">
        <v>861</v>
      </c>
      <c r="B841">
        <f t="shared" si="97"/>
        <v>113</v>
      </c>
      <c r="C841">
        <v>7</v>
      </c>
      <c r="D841">
        <v>106</v>
      </c>
      <c r="F841">
        <f t="shared" si="92"/>
        <v>29</v>
      </c>
      <c r="G841" s="20">
        <f t="shared" si="98"/>
        <v>836</v>
      </c>
      <c r="H841" s="21">
        <v>88821080282</v>
      </c>
      <c r="I841" s="22" t="s">
        <v>862</v>
      </c>
      <c r="J841" s="23"/>
      <c r="K841" s="24">
        <v>84</v>
      </c>
      <c r="L841" s="23">
        <f t="shared" si="93"/>
        <v>29</v>
      </c>
      <c r="M841" s="24">
        <v>5</v>
      </c>
      <c r="N841" s="25">
        <f t="shared" si="94"/>
        <v>2</v>
      </c>
      <c r="O841" s="24">
        <v>79</v>
      </c>
      <c r="P841" s="23">
        <f t="shared" si="95"/>
        <v>27</v>
      </c>
      <c r="Q841" s="26"/>
      <c r="R841" s="23">
        <f t="shared" si="96"/>
        <v>0</v>
      </c>
      <c r="S841" s="27" t="s">
        <v>860</v>
      </c>
      <c r="T841" s="19" t="s">
        <v>861</v>
      </c>
    </row>
    <row r="842" spans="1:20" ht="37.5" customHeight="1" x14ac:dyDescent="0.25">
      <c r="A842" s="19" t="s">
        <v>863</v>
      </c>
      <c r="B842">
        <f t="shared" si="97"/>
        <v>2374</v>
      </c>
      <c r="C842">
        <v>345</v>
      </c>
      <c r="D842">
        <v>2029</v>
      </c>
      <c r="F842">
        <f t="shared" si="92"/>
        <v>95</v>
      </c>
      <c r="G842" s="20">
        <f t="shared" si="98"/>
        <v>837</v>
      </c>
      <c r="H842" s="21">
        <v>66622050213</v>
      </c>
      <c r="I842" s="22" t="s">
        <v>864</v>
      </c>
      <c r="J842" s="23"/>
      <c r="K842" s="24">
        <v>2279</v>
      </c>
      <c r="L842" s="23">
        <f t="shared" si="93"/>
        <v>95</v>
      </c>
      <c r="M842" s="24">
        <v>332</v>
      </c>
      <c r="N842" s="25">
        <f t="shared" si="94"/>
        <v>13</v>
      </c>
      <c r="O842" s="24">
        <v>1947</v>
      </c>
      <c r="P842" s="23">
        <f t="shared" si="95"/>
        <v>82</v>
      </c>
      <c r="Q842" s="26"/>
      <c r="R842" s="23">
        <f t="shared" si="96"/>
        <v>0</v>
      </c>
      <c r="S842" s="27" t="s">
        <v>860</v>
      </c>
      <c r="T842" s="19" t="s">
        <v>863</v>
      </c>
    </row>
    <row r="843" spans="1:20" ht="37.5" customHeight="1" x14ac:dyDescent="0.25">
      <c r="A843" s="19" t="s">
        <v>865</v>
      </c>
      <c r="B843">
        <f t="shared" si="97"/>
        <v>335</v>
      </c>
      <c r="C843">
        <v>31</v>
      </c>
      <c r="D843">
        <v>304</v>
      </c>
      <c r="F843">
        <f t="shared" si="92"/>
        <v>0</v>
      </c>
      <c r="G843" s="20">
        <f t="shared" si="98"/>
        <v>838</v>
      </c>
      <c r="H843" s="21">
        <v>66616031427</v>
      </c>
      <c r="I843" s="22" t="s">
        <v>866</v>
      </c>
      <c r="J843" s="23"/>
      <c r="K843" s="24">
        <v>335</v>
      </c>
      <c r="L843" s="23">
        <f t="shared" si="93"/>
        <v>0</v>
      </c>
      <c r="M843" s="24">
        <v>31</v>
      </c>
      <c r="N843" s="25">
        <f t="shared" si="94"/>
        <v>0</v>
      </c>
      <c r="O843" s="24">
        <v>304</v>
      </c>
      <c r="P843" s="23">
        <f t="shared" si="95"/>
        <v>0</v>
      </c>
      <c r="Q843" s="26"/>
      <c r="R843" s="23">
        <f t="shared" si="96"/>
        <v>0</v>
      </c>
      <c r="S843" s="27" t="s">
        <v>860</v>
      </c>
      <c r="T843" s="19" t="s">
        <v>865</v>
      </c>
    </row>
    <row r="844" spans="1:20" ht="37.5" customHeight="1" x14ac:dyDescent="0.25">
      <c r="A844" s="19" t="s">
        <v>867</v>
      </c>
      <c r="B844">
        <f t="shared" si="97"/>
        <v>251</v>
      </c>
      <c r="C844">
        <v>32</v>
      </c>
      <c r="D844">
        <v>219</v>
      </c>
      <c r="F844">
        <f t="shared" si="92"/>
        <v>0</v>
      </c>
      <c r="G844" s="20">
        <f t="shared" si="98"/>
        <v>839</v>
      </c>
      <c r="H844" s="21">
        <v>66621100074</v>
      </c>
      <c r="I844" s="22" t="s">
        <v>868</v>
      </c>
      <c r="J844" s="23"/>
      <c r="K844" s="24">
        <v>251</v>
      </c>
      <c r="L844" s="23">
        <f t="shared" si="93"/>
        <v>0</v>
      </c>
      <c r="M844" s="24">
        <v>32</v>
      </c>
      <c r="N844" s="25">
        <f t="shared" si="94"/>
        <v>0</v>
      </c>
      <c r="O844" s="24">
        <v>219</v>
      </c>
      <c r="P844" s="23">
        <f t="shared" si="95"/>
        <v>0</v>
      </c>
      <c r="Q844" s="26"/>
      <c r="R844" s="23">
        <f t="shared" si="96"/>
        <v>0</v>
      </c>
      <c r="S844" s="27" t="s">
        <v>860</v>
      </c>
      <c r="T844" s="19" t="s">
        <v>867</v>
      </c>
    </row>
    <row r="845" spans="1:20" ht="37.5" customHeight="1" x14ac:dyDescent="0.25">
      <c r="A845" s="19" t="s">
        <v>869</v>
      </c>
      <c r="B845">
        <f t="shared" si="97"/>
        <v>6074</v>
      </c>
      <c r="C845">
        <v>805</v>
      </c>
      <c r="D845">
        <v>5269</v>
      </c>
      <c r="F845">
        <f t="shared" si="92"/>
        <v>75</v>
      </c>
      <c r="G845" s="20">
        <f t="shared" si="98"/>
        <v>840</v>
      </c>
      <c r="H845" s="21">
        <v>66622050605</v>
      </c>
      <c r="I845" s="22" t="s">
        <v>870</v>
      </c>
      <c r="J845" s="23"/>
      <c r="K845" s="24">
        <v>5999</v>
      </c>
      <c r="L845" s="23">
        <f t="shared" si="93"/>
        <v>75</v>
      </c>
      <c r="M845" s="24">
        <v>792</v>
      </c>
      <c r="N845" s="25">
        <f t="shared" si="94"/>
        <v>13</v>
      </c>
      <c r="O845" s="24">
        <v>5207</v>
      </c>
      <c r="P845" s="23">
        <f t="shared" si="95"/>
        <v>62</v>
      </c>
      <c r="Q845" s="26"/>
      <c r="R845" s="23">
        <f t="shared" si="96"/>
        <v>0</v>
      </c>
      <c r="S845" s="27" t="s">
        <v>860</v>
      </c>
      <c r="T845" s="19" t="s">
        <v>869</v>
      </c>
    </row>
    <row r="846" spans="1:20" ht="37.5" customHeight="1" x14ac:dyDescent="0.25">
      <c r="A846" s="19" t="s">
        <v>871</v>
      </c>
      <c r="B846">
        <f t="shared" si="97"/>
        <v>167</v>
      </c>
      <c r="C846">
        <v>47</v>
      </c>
      <c r="D846">
        <v>120</v>
      </c>
      <c r="F846">
        <f t="shared" si="92"/>
        <v>0</v>
      </c>
      <c r="G846" s="20">
        <f t="shared" si="98"/>
        <v>841</v>
      </c>
      <c r="H846" s="21">
        <v>66621090206</v>
      </c>
      <c r="I846" s="22" t="s">
        <v>872</v>
      </c>
      <c r="J846" s="23"/>
      <c r="K846" s="24">
        <v>167</v>
      </c>
      <c r="L846" s="23">
        <f t="shared" si="93"/>
        <v>0</v>
      </c>
      <c r="M846" s="24">
        <v>47</v>
      </c>
      <c r="N846" s="25">
        <f t="shared" si="94"/>
        <v>0</v>
      </c>
      <c r="O846" s="24">
        <v>120</v>
      </c>
      <c r="P846" s="23">
        <f t="shared" si="95"/>
        <v>0</v>
      </c>
      <c r="Q846" s="26"/>
      <c r="R846" s="23">
        <f t="shared" si="96"/>
        <v>0</v>
      </c>
      <c r="S846" s="27" t="s">
        <v>860</v>
      </c>
      <c r="T846" s="19" t="s">
        <v>871</v>
      </c>
    </row>
    <row r="847" spans="1:20" ht="37.5" customHeight="1" x14ac:dyDescent="0.25">
      <c r="A847" s="19" t="s">
        <v>873</v>
      </c>
      <c r="B847">
        <f t="shared" si="97"/>
        <v>55261</v>
      </c>
      <c r="C847">
        <v>9476</v>
      </c>
      <c r="D847">
        <v>45785</v>
      </c>
      <c r="F847">
        <f t="shared" si="92"/>
        <v>188</v>
      </c>
      <c r="G847" s="20">
        <f t="shared" si="98"/>
        <v>842</v>
      </c>
      <c r="H847" s="21">
        <v>66617020249</v>
      </c>
      <c r="I847" s="22" t="s">
        <v>874</v>
      </c>
      <c r="J847" s="23"/>
      <c r="K847" s="24">
        <v>55073</v>
      </c>
      <c r="L847" s="23">
        <f t="shared" si="93"/>
        <v>188</v>
      </c>
      <c r="M847" s="24">
        <v>9466</v>
      </c>
      <c r="N847" s="25">
        <f t="shared" si="94"/>
        <v>10</v>
      </c>
      <c r="O847" s="24">
        <v>45607</v>
      </c>
      <c r="P847" s="23">
        <f t="shared" si="95"/>
        <v>178</v>
      </c>
      <c r="Q847" s="26"/>
      <c r="R847" s="23">
        <f t="shared" si="96"/>
        <v>0</v>
      </c>
      <c r="S847" s="27" t="s">
        <v>860</v>
      </c>
      <c r="T847" s="19" t="s">
        <v>873</v>
      </c>
    </row>
    <row r="848" spans="1:20" ht="37.5" customHeight="1" x14ac:dyDescent="0.25">
      <c r="A848" s="19" t="s">
        <v>875</v>
      </c>
      <c r="B848">
        <f t="shared" si="97"/>
        <v>11881</v>
      </c>
      <c r="C848">
        <v>1932</v>
      </c>
      <c r="D848">
        <v>9949</v>
      </c>
      <c r="F848">
        <f t="shared" si="92"/>
        <v>336</v>
      </c>
      <c r="G848" s="20">
        <f t="shared" si="98"/>
        <v>843</v>
      </c>
      <c r="H848" s="21">
        <v>66622060131</v>
      </c>
      <c r="I848" s="22" t="s">
        <v>876</v>
      </c>
      <c r="J848" s="23"/>
      <c r="K848" s="24">
        <v>11545</v>
      </c>
      <c r="L848" s="23">
        <f t="shared" si="93"/>
        <v>336</v>
      </c>
      <c r="M848" s="24">
        <v>1866</v>
      </c>
      <c r="N848" s="25">
        <f t="shared" si="94"/>
        <v>66</v>
      </c>
      <c r="O848" s="24">
        <v>9679</v>
      </c>
      <c r="P848" s="23">
        <f t="shared" si="95"/>
        <v>270</v>
      </c>
      <c r="Q848" s="26"/>
      <c r="R848" s="23">
        <f t="shared" si="96"/>
        <v>0</v>
      </c>
      <c r="S848" s="27" t="s">
        <v>18</v>
      </c>
      <c r="T848" s="19" t="s">
        <v>875</v>
      </c>
    </row>
    <row r="849" spans="1:20" ht="37.5" customHeight="1" x14ac:dyDescent="0.25">
      <c r="A849" s="19" t="s">
        <v>877</v>
      </c>
      <c r="B849">
        <f t="shared" si="97"/>
        <v>8388</v>
      </c>
      <c r="C849">
        <v>1262</v>
      </c>
      <c r="D849">
        <v>7126</v>
      </c>
      <c r="F849">
        <f t="shared" si="92"/>
        <v>336</v>
      </c>
      <c r="G849" s="20">
        <f t="shared" si="98"/>
        <v>844</v>
      </c>
      <c r="H849" s="21">
        <v>66622060134</v>
      </c>
      <c r="I849" s="22" t="s">
        <v>878</v>
      </c>
      <c r="J849" s="23"/>
      <c r="K849" s="24">
        <v>8052</v>
      </c>
      <c r="L849" s="23">
        <f t="shared" si="93"/>
        <v>336</v>
      </c>
      <c r="M849" s="24">
        <v>1205</v>
      </c>
      <c r="N849" s="25">
        <f t="shared" si="94"/>
        <v>57</v>
      </c>
      <c r="O849" s="24">
        <v>6847</v>
      </c>
      <c r="P849" s="23">
        <f t="shared" si="95"/>
        <v>279</v>
      </c>
      <c r="Q849" s="26"/>
      <c r="R849" s="23">
        <f t="shared" si="96"/>
        <v>0</v>
      </c>
      <c r="S849" s="27" t="s">
        <v>18</v>
      </c>
      <c r="T849" s="19" t="s">
        <v>877</v>
      </c>
    </row>
    <row r="850" spans="1:20" ht="37.5" customHeight="1" x14ac:dyDescent="0.25">
      <c r="A850" s="19" t="s">
        <v>879</v>
      </c>
      <c r="B850">
        <f t="shared" si="97"/>
        <v>14679</v>
      </c>
      <c r="C850">
        <v>2524</v>
      </c>
      <c r="D850">
        <v>12155</v>
      </c>
      <c r="F850">
        <f t="shared" si="92"/>
        <v>390</v>
      </c>
      <c r="G850" s="20">
        <f t="shared" si="98"/>
        <v>845</v>
      </c>
      <c r="H850" s="21">
        <v>66622060132</v>
      </c>
      <c r="I850" s="22" t="s">
        <v>880</v>
      </c>
      <c r="J850" s="23"/>
      <c r="K850" s="24">
        <v>14289</v>
      </c>
      <c r="L850" s="23">
        <f t="shared" si="93"/>
        <v>390</v>
      </c>
      <c r="M850" s="24">
        <v>2445</v>
      </c>
      <c r="N850" s="25">
        <f t="shared" si="94"/>
        <v>79</v>
      </c>
      <c r="O850" s="24">
        <v>11844</v>
      </c>
      <c r="P850" s="23">
        <f t="shared" si="95"/>
        <v>311</v>
      </c>
      <c r="Q850" s="26"/>
      <c r="R850" s="23">
        <f t="shared" si="96"/>
        <v>0</v>
      </c>
      <c r="S850" s="27" t="s">
        <v>18</v>
      </c>
      <c r="T850" s="19" t="s">
        <v>879</v>
      </c>
    </row>
    <row r="851" spans="1:20" ht="37.5" customHeight="1" x14ac:dyDescent="0.25">
      <c r="A851" s="19" t="s">
        <v>881</v>
      </c>
      <c r="B851">
        <f t="shared" si="97"/>
        <v>27604</v>
      </c>
      <c r="C851">
        <v>4580</v>
      </c>
      <c r="D851">
        <v>23024</v>
      </c>
      <c r="F851">
        <f t="shared" si="92"/>
        <v>712</v>
      </c>
      <c r="G851" s="20">
        <f t="shared" si="98"/>
        <v>846</v>
      </c>
      <c r="H851" s="21">
        <v>66622060133</v>
      </c>
      <c r="I851" s="22" t="s">
        <v>882</v>
      </c>
      <c r="J851" s="23"/>
      <c r="K851" s="24">
        <v>26892</v>
      </c>
      <c r="L851" s="23">
        <f t="shared" si="93"/>
        <v>712</v>
      </c>
      <c r="M851" s="24">
        <v>4467</v>
      </c>
      <c r="N851" s="25">
        <f t="shared" si="94"/>
        <v>113</v>
      </c>
      <c r="O851" s="24">
        <v>22425</v>
      </c>
      <c r="P851" s="23">
        <f t="shared" si="95"/>
        <v>599</v>
      </c>
      <c r="Q851" s="26"/>
      <c r="R851" s="23">
        <f t="shared" si="96"/>
        <v>0</v>
      </c>
      <c r="S851" s="27" t="s">
        <v>18</v>
      </c>
      <c r="T851" s="19" t="s">
        <v>881</v>
      </c>
    </row>
    <row r="852" spans="1:20" ht="37.5" customHeight="1" x14ac:dyDescent="0.25">
      <c r="A852" s="19" t="s">
        <v>883</v>
      </c>
      <c r="B852">
        <f t="shared" si="97"/>
        <v>5316</v>
      </c>
      <c r="C852">
        <v>876</v>
      </c>
      <c r="D852">
        <v>4440</v>
      </c>
      <c r="F852">
        <f t="shared" si="92"/>
        <v>0</v>
      </c>
      <c r="G852" s="20">
        <f t="shared" si="98"/>
        <v>847</v>
      </c>
      <c r="H852" s="21">
        <v>88820060174</v>
      </c>
      <c r="I852" s="22" t="s">
        <v>884</v>
      </c>
      <c r="J852" s="23"/>
      <c r="K852" s="24">
        <v>5316</v>
      </c>
      <c r="L852" s="23">
        <f t="shared" si="93"/>
        <v>0</v>
      </c>
      <c r="M852" s="24">
        <v>876</v>
      </c>
      <c r="N852" s="25">
        <f t="shared" si="94"/>
        <v>0</v>
      </c>
      <c r="O852" s="24">
        <v>4440</v>
      </c>
      <c r="P852" s="23">
        <f t="shared" si="95"/>
        <v>0</v>
      </c>
      <c r="Q852" s="26"/>
      <c r="R852" s="23">
        <f t="shared" si="96"/>
        <v>0</v>
      </c>
      <c r="S852" s="27" t="s">
        <v>860</v>
      </c>
      <c r="T852" s="19" t="s">
        <v>883</v>
      </c>
    </row>
    <row r="853" spans="1:20" ht="37.5" customHeight="1" x14ac:dyDescent="0.25">
      <c r="A853" s="19" t="s">
        <v>885</v>
      </c>
      <c r="B853">
        <f t="shared" si="97"/>
        <v>846</v>
      </c>
      <c r="C853">
        <v>154</v>
      </c>
      <c r="D853">
        <v>692</v>
      </c>
      <c r="F853">
        <f t="shared" si="92"/>
        <v>19</v>
      </c>
      <c r="G853" s="20">
        <f t="shared" si="98"/>
        <v>848</v>
      </c>
      <c r="H853" s="21">
        <v>66622060135</v>
      </c>
      <c r="I853" s="22" t="s">
        <v>886</v>
      </c>
      <c r="J853" s="23"/>
      <c r="K853" s="24">
        <v>827</v>
      </c>
      <c r="L853" s="23">
        <f t="shared" si="93"/>
        <v>19</v>
      </c>
      <c r="M853" s="24">
        <v>151</v>
      </c>
      <c r="N853" s="25">
        <f t="shared" si="94"/>
        <v>3</v>
      </c>
      <c r="O853" s="24">
        <v>676</v>
      </c>
      <c r="P853" s="23">
        <f t="shared" si="95"/>
        <v>16</v>
      </c>
      <c r="Q853" s="26"/>
      <c r="R853" s="23">
        <f t="shared" si="96"/>
        <v>0</v>
      </c>
      <c r="S853" s="27" t="s">
        <v>860</v>
      </c>
      <c r="T853" s="19" t="s">
        <v>885</v>
      </c>
    </row>
    <row r="854" spans="1:20" ht="37.5" customHeight="1" x14ac:dyDescent="0.25">
      <c r="A854" s="19" t="s">
        <v>887</v>
      </c>
      <c r="B854">
        <f t="shared" si="97"/>
        <v>2502</v>
      </c>
      <c r="C854">
        <v>328</v>
      </c>
      <c r="D854">
        <v>2174</v>
      </c>
      <c r="F854">
        <f t="shared" si="92"/>
        <v>78</v>
      </c>
      <c r="G854" s="20">
        <f t="shared" si="98"/>
        <v>849</v>
      </c>
      <c r="H854" s="21">
        <v>66622040307</v>
      </c>
      <c r="I854" s="22" t="s">
        <v>888</v>
      </c>
      <c r="J854" s="23"/>
      <c r="K854" s="24">
        <v>2424</v>
      </c>
      <c r="L854" s="23">
        <f t="shared" si="93"/>
        <v>78</v>
      </c>
      <c r="M854" s="24">
        <v>317</v>
      </c>
      <c r="N854" s="25">
        <f t="shared" si="94"/>
        <v>11</v>
      </c>
      <c r="O854" s="24">
        <v>2107</v>
      </c>
      <c r="P854" s="23">
        <f t="shared" si="95"/>
        <v>67</v>
      </c>
      <c r="Q854" s="26"/>
      <c r="R854" s="23">
        <f t="shared" si="96"/>
        <v>0</v>
      </c>
      <c r="S854" s="27" t="s">
        <v>860</v>
      </c>
      <c r="T854" s="19" t="s">
        <v>887</v>
      </c>
    </row>
    <row r="855" spans="1:20" ht="37.5" customHeight="1" x14ac:dyDescent="0.25">
      <c r="A855" s="19" t="s">
        <v>889</v>
      </c>
      <c r="B855">
        <f t="shared" si="97"/>
        <v>541</v>
      </c>
      <c r="C855">
        <v>58</v>
      </c>
      <c r="D855">
        <v>483</v>
      </c>
      <c r="F855">
        <f t="shared" si="92"/>
        <v>29</v>
      </c>
      <c r="G855" s="20">
        <f t="shared" si="98"/>
        <v>850</v>
      </c>
      <c r="H855" s="21">
        <v>66622040562</v>
      </c>
      <c r="I855" s="22" t="s">
        <v>890</v>
      </c>
      <c r="J855" s="23"/>
      <c r="K855" s="24">
        <v>512</v>
      </c>
      <c r="L855" s="23">
        <f t="shared" si="93"/>
        <v>29</v>
      </c>
      <c r="M855" s="24">
        <v>55</v>
      </c>
      <c r="N855" s="25">
        <f t="shared" si="94"/>
        <v>3</v>
      </c>
      <c r="O855" s="24">
        <v>457</v>
      </c>
      <c r="P855" s="23">
        <f t="shared" si="95"/>
        <v>26</v>
      </c>
      <c r="Q855" s="26"/>
      <c r="R855" s="23">
        <f t="shared" si="96"/>
        <v>0</v>
      </c>
      <c r="S855" s="27" t="s">
        <v>860</v>
      </c>
      <c r="T855" s="19" t="s">
        <v>889</v>
      </c>
    </row>
    <row r="856" spans="1:20" ht="37.5" customHeight="1" x14ac:dyDescent="0.25">
      <c r="A856" s="19" t="s">
        <v>891</v>
      </c>
      <c r="B856">
        <f t="shared" si="97"/>
        <v>35911</v>
      </c>
      <c r="C856">
        <v>5423</v>
      </c>
      <c r="D856">
        <v>30488</v>
      </c>
      <c r="F856">
        <f t="shared" si="92"/>
        <v>192</v>
      </c>
      <c r="G856" s="20">
        <f t="shared" si="98"/>
        <v>851</v>
      </c>
      <c r="H856" s="21">
        <v>23014090125</v>
      </c>
      <c r="I856" s="22" t="s">
        <v>892</v>
      </c>
      <c r="J856" s="23"/>
      <c r="K856" s="24">
        <v>35719</v>
      </c>
      <c r="L856" s="23">
        <f t="shared" si="93"/>
        <v>192</v>
      </c>
      <c r="M856" s="24">
        <v>5400</v>
      </c>
      <c r="N856" s="25">
        <f t="shared" si="94"/>
        <v>23</v>
      </c>
      <c r="O856" s="24">
        <v>30319</v>
      </c>
      <c r="P856" s="23">
        <f t="shared" si="95"/>
        <v>169</v>
      </c>
      <c r="Q856" s="26"/>
      <c r="R856" s="23">
        <f t="shared" si="96"/>
        <v>0</v>
      </c>
      <c r="S856" s="27" t="s">
        <v>18</v>
      </c>
      <c r="T856" s="19" t="s">
        <v>891</v>
      </c>
    </row>
    <row r="857" spans="1:20" ht="37.5" customHeight="1" x14ac:dyDescent="0.25">
      <c r="A857" s="19" t="s">
        <v>893</v>
      </c>
      <c r="B857">
        <f t="shared" si="97"/>
        <v>15938</v>
      </c>
      <c r="C857">
        <v>2722</v>
      </c>
      <c r="D857">
        <v>13216</v>
      </c>
      <c r="F857">
        <f t="shared" si="92"/>
        <v>57</v>
      </c>
      <c r="G857" s="20">
        <f t="shared" si="98"/>
        <v>852</v>
      </c>
      <c r="H857" s="21">
        <v>23014090126</v>
      </c>
      <c r="I857" s="22" t="s">
        <v>894</v>
      </c>
      <c r="J857" s="23"/>
      <c r="K857" s="24">
        <v>15881</v>
      </c>
      <c r="L857" s="23">
        <f t="shared" si="93"/>
        <v>57</v>
      </c>
      <c r="M857" s="24">
        <v>2712</v>
      </c>
      <c r="N857" s="25">
        <f t="shared" si="94"/>
        <v>10</v>
      </c>
      <c r="O857" s="24">
        <v>13169</v>
      </c>
      <c r="P857" s="23">
        <f t="shared" si="95"/>
        <v>47</v>
      </c>
      <c r="Q857" s="26"/>
      <c r="R857" s="23">
        <f t="shared" si="96"/>
        <v>0</v>
      </c>
      <c r="S857" s="27" t="s">
        <v>18</v>
      </c>
      <c r="T857" s="19" t="s">
        <v>893</v>
      </c>
    </row>
    <row r="858" spans="1:20" ht="37.5" customHeight="1" x14ac:dyDescent="0.25">
      <c r="A858" s="19" t="s">
        <v>895</v>
      </c>
      <c r="B858">
        <f t="shared" si="97"/>
        <v>101101</v>
      </c>
      <c r="C858">
        <v>23215</v>
      </c>
      <c r="D858">
        <v>77886</v>
      </c>
      <c r="F858">
        <f t="shared" si="92"/>
        <v>483</v>
      </c>
      <c r="G858" s="20">
        <f t="shared" si="98"/>
        <v>853</v>
      </c>
      <c r="H858" s="21">
        <v>23013040374</v>
      </c>
      <c r="I858" s="22" t="s">
        <v>896</v>
      </c>
      <c r="J858" s="23"/>
      <c r="K858" s="24">
        <v>100618</v>
      </c>
      <c r="L858" s="23">
        <f t="shared" si="93"/>
        <v>483</v>
      </c>
      <c r="M858" s="24">
        <v>23112</v>
      </c>
      <c r="N858" s="25">
        <f t="shared" si="94"/>
        <v>103</v>
      </c>
      <c r="O858" s="24">
        <v>77506</v>
      </c>
      <c r="P858" s="23">
        <f t="shared" si="95"/>
        <v>380</v>
      </c>
      <c r="Q858" s="26"/>
      <c r="R858" s="23">
        <f t="shared" si="96"/>
        <v>0</v>
      </c>
      <c r="S858" s="27" t="s">
        <v>860</v>
      </c>
      <c r="T858" s="19" t="s">
        <v>895</v>
      </c>
    </row>
    <row r="859" spans="1:20" ht="37.5" customHeight="1" x14ac:dyDescent="0.25">
      <c r="A859" s="19" t="s">
        <v>897</v>
      </c>
      <c r="B859">
        <f t="shared" si="97"/>
        <v>385038</v>
      </c>
      <c r="C859">
        <v>94574</v>
      </c>
      <c r="D859">
        <v>290464</v>
      </c>
      <c r="F859">
        <f t="shared" si="92"/>
        <v>0</v>
      </c>
      <c r="G859" s="20">
        <f t="shared" si="98"/>
        <v>854</v>
      </c>
      <c r="H859" s="21">
        <v>23015100003</v>
      </c>
      <c r="I859" s="22" t="s">
        <v>898</v>
      </c>
      <c r="J859" s="23"/>
      <c r="K859" s="24">
        <v>385038</v>
      </c>
      <c r="L859" s="23">
        <f t="shared" si="93"/>
        <v>0</v>
      </c>
      <c r="M859" s="24">
        <v>94574</v>
      </c>
      <c r="N859" s="25">
        <f t="shared" si="94"/>
        <v>0</v>
      </c>
      <c r="O859" s="24">
        <v>290464</v>
      </c>
      <c r="P859" s="23">
        <f t="shared" si="95"/>
        <v>0</v>
      </c>
      <c r="Q859" s="26"/>
      <c r="R859" s="23">
        <f t="shared" si="96"/>
        <v>0</v>
      </c>
      <c r="S859" s="27" t="s">
        <v>860</v>
      </c>
      <c r="T859" s="19" t="s">
        <v>897</v>
      </c>
    </row>
    <row r="860" spans="1:20" ht="37.5" customHeight="1" x14ac:dyDescent="0.25">
      <c r="A860" s="19" t="s">
        <v>899</v>
      </c>
      <c r="B860">
        <f t="shared" si="97"/>
        <v>89920</v>
      </c>
      <c r="C860">
        <v>11759</v>
      </c>
      <c r="D860">
        <v>78161</v>
      </c>
      <c r="F860">
        <f t="shared" si="92"/>
        <v>41</v>
      </c>
      <c r="G860" s="20">
        <f t="shared" si="98"/>
        <v>855</v>
      </c>
      <c r="H860" s="21">
        <v>66617010106</v>
      </c>
      <c r="I860" s="22" t="s">
        <v>900</v>
      </c>
      <c r="J860" s="23"/>
      <c r="K860" s="24">
        <v>89879</v>
      </c>
      <c r="L860" s="23">
        <f t="shared" si="93"/>
        <v>41</v>
      </c>
      <c r="M860" s="24">
        <v>11754</v>
      </c>
      <c r="N860" s="25">
        <f t="shared" si="94"/>
        <v>5</v>
      </c>
      <c r="O860" s="24">
        <v>78125</v>
      </c>
      <c r="P860" s="23">
        <f t="shared" si="95"/>
        <v>36</v>
      </c>
      <c r="Q860" s="26"/>
      <c r="R860" s="23">
        <f t="shared" si="96"/>
        <v>0</v>
      </c>
      <c r="S860" s="27" t="s">
        <v>860</v>
      </c>
      <c r="T860" s="19" t="s">
        <v>899</v>
      </c>
    </row>
    <row r="861" spans="1:20" ht="37.5" customHeight="1" x14ac:dyDescent="0.25">
      <c r="A861" s="19" t="s">
        <v>901</v>
      </c>
      <c r="B861">
        <f t="shared" si="97"/>
        <v>57769</v>
      </c>
      <c r="C861">
        <v>7107</v>
      </c>
      <c r="D861">
        <v>50662</v>
      </c>
      <c r="F861">
        <f t="shared" si="92"/>
        <v>13</v>
      </c>
      <c r="G861" s="20">
        <f t="shared" si="98"/>
        <v>856</v>
      </c>
      <c r="H861" s="21">
        <v>66617010059</v>
      </c>
      <c r="I861" s="22" t="s">
        <v>902</v>
      </c>
      <c r="J861" s="23"/>
      <c r="K861" s="24">
        <v>57756</v>
      </c>
      <c r="L861" s="23">
        <f t="shared" si="93"/>
        <v>13</v>
      </c>
      <c r="M861" s="24">
        <v>7105</v>
      </c>
      <c r="N861" s="25">
        <f t="shared" si="94"/>
        <v>2</v>
      </c>
      <c r="O861" s="24">
        <v>50651</v>
      </c>
      <c r="P861" s="23">
        <f t="shared" si="95"/>
        <v>11</v>
      </c>
      <c r="Q861" s="26"/>
      <c r="R861" s="23">
        <f t="shared" si="96"/>
        <v>0</v>
      </c>
      <c r="S861" s="27" t="s">
        <v>860</v>
      </c>
      <c r="T861" s="19" t="s">
        <v>901</v>
      </c>
    </row>
    <row r="862" spans="1:20" ht="37.5" customHeight="1" x14ac:dyDescent="0.25">
      <c r="A862" s="19" t="s">
        <v>903</v>
      </c>
      <c r="B862">
        <f t="shared" si="97"/>
        <v>92792</v>
      </c>
      <c r="C862">
        <v>14753</v>
      </c>
      <c r="D862">
        <v>78039</v>
      </c>
      <c r="F862">
        <f t="shared" si="92"/>
        <v>37</v>
      </c>
      <c r="G862" s="20">
        <f t="shared" si="98"/>
        <v>857</v>
      </c>
      <c r="H862" s="21">
        <v>23014010421</v>
      </c>
      <c r="I862" s="22" t="s">
        <v>904</v>
      </c>
      <c r="J862" s="23"/>
      <c r="K862" s="24">
        <v>92755</v>
      </c>
      <c r="L862" s="23">
        <f t="shared" si="93"/>
        <v>37</v>
      </c>
      <c r="M862" s="24">
        <v>14750</v>
      </c>
      <c r="N862" s="25">
        <f t="shared" si="94"/>
        <v>3</v>
      </c>
      <c r="O862" s="24">
        <v>78005</v>
      </c>
      <c r="P862" s="23">
        <f t="shared" si="95"/>
        <v>34</v>
      </c>
      <c r="Q862" s="26"/>
      <c r="R862" s="23">
        <f t="shared" si="96"/>
        <v>0</v>
      </c>
      <c r="S862" s="27" t="s">
        <v>860</v>
      </c>
      <c r="T862" s="19" t="s">
        <v>903</v>
      </c>
    </row>
    <row r="863" spans="1:20" ht="37.5" customHeight="1" x14ac:dyDescent="0.25">
      <c r="A863" s="19" t="s">
        <v>905</v>
      </c>
      <c r="B863">
        <f t="shared" si="97"/>
        <v>1851</v>
      </c>
      <c r="C863">
        <v>273</v>
      </c>
      <c r="D863">
        <v>1578</v>
      </c>
      <c r="F863">
        <f t="shared" si="92"/>
        <v>85</v>
      </c>
      <c r="G863" s="20">
        <f t="shared" si="98"/>
        <v>858</v>
      </c>
      <c r="H863" s="21">
        <v>66622040395</v>
      </c>
      <c r="I863" s="22" t="s">
        <v>906</v>
      </c>
      <c r="J863" s="23"/>
      <c r="K863" s="24">
        <v>1766</v>
      </c>
      <c r="L863" s="23">
        <f t="shared" si="93"/>
        <v>85</v>
      </c>
      <c r="M863" s="24">
        <v>262</v>
      </c>
      <c r="N863" s="25">
        <f t="shared" si="94"/>
        <v>11</v>
      </c>
      <c r="O863" s="24">
        <v>1504</v>
      </c>
      <c r="P863" s="23">
        <f t="shared" si="95"/>
        <v>74</v>
      </c>
      <c r="Q863" s="26"/>
      <c r="R863" s="23">
        <f t="shared" si="96"/>
        <v>0</v>
      </c>
      <c r="S863" s="27" t="s">
        <v>18</v>
      </c>
      <c r="T863" s="19" t="s">
        <v>905</v>
      </c>
    </row>
    <row r="864" spans="1:20" ht="37.5" customHeight="1" x14ac:dyDescent="0.25">
      <c r="A864" s="19" t="s">
        <v>907</v>
      </c>
      <c r="B864">
        <f t="shared" si="97"/>
        <v>2204</v>
      </c>
      <c r="C864">
        <v>242</v>
      </c>
      <c r="D864">
        <v>1962</v>
      </c>
      <c r="F864">
        <f t="shared" si="92"/>
        <v>147</v>
      </c>
      <c r="G864" s="20">
        <f t="shared" si="98"/>
        <v>859</v>
      </c>
      <c r="H864" s="21">
        <v>66622040396</v>
      </c>
      <c r="I864" s="22" t="s">
        <v>908</v>
      </c>
      <c r="J864" s="23"/>
      <c r="K864" s="24">
        <v>2057</v>
      </c>
      <c r="L864" s="23">
        <f t="shared" si="93"/>
        <v>147</v>
      </c>
      <c r="M864" s="24">
        <v>233</v>
      </c>
      <c r="N864" s="25">
        <f t="shared" si="94"/>
        <v>9</v>
      </c>
      <c r="O864" s="24">
        <v>1824</v>
      </c>
      <c r="P864" s="23">
        <f t="shared" si="95"/>
        <v>138</v>
      </c>
      <c r="Q864" s="26"/>
      <c r="R864" s="23">
        <f t="shared" si="96"/>
        <v>0</v>
      </c>
      <c r="S864" s="27" t="s">
        <v>18</v>
      </c>
      <c r="T864" s="19" t="s">
        <v>907</v>
      </c>
    </row>
    <row r="865" spans="1:20" ht="37.5" customHeight="1" x14ac:dyDescent="0.25">
      <c r="A865" s="19" t="s">
        <v>909</v>
      </c>
      <c r="B865">
        <f t="shared" si="97"/>
        <v>2007</v>
      </c>
      <c r="C865">
        <v>376</v>
      </c>
      <c r="D865">
        <v>1631</v>
      </c>
      <c r="F865">
        <f t="shared" si="92"/>
        <v>60</v>
      </c>
      <c r="G865" s="20">
        <f t="shared" si="98"/>
        <v>860</v>
      </c>
      <c r="H865" s="21">
        <v>66622040397</v>
      </c>
      <c r="I865" s="22" t="s">
        <v>910</v>
      </c>
      <c r="J865" s="23"/>
      <c r="K865" s="24">
        <v>1947</v>
      </c>
      <c r="L865" s="23">
        <f t="shared" si="93"/>
        <v>60</v>
      </c>
      <c r="M865" s="24">
        <v>365</v>
      </c>
      <c r="N865" s="25">
        <f t="shared" si="94"/>
        <v>11</v>
      </c>
      <c r="O865" s="24">
        <v>1582</v>
      </c>
      <c r="P865" s="23">
        <f t="shared" si="95"/>
        <v>49</v>
      </c>
      <c r="Q865" s="26"/>
      <c r="R865" s="23">
        <f t="shared" si="96"/>
        <v>0</v>
      </c>
      <c r="S865" s="27" t="s">
        <v>18</v>
      </c>
      <c r="T865" s="19" t="s">
        <v>909</v>
      </c>
    </row>
    <row r="866" spans="1:20" ht="37.5" customHeight="1" x14ac:dyDescent="0.25">
      <c r="A866" s="19" t="s">
        <v>911</v>
      </c>
      <c r="B866">
        <f t="shared" si="97"/>
        <v>2771</v>
      </c>
      <c r="C866">
        <v>424</v>
      </c>
      <c r="D866">
        <v>2347</v>
      </c>
      <c r="F866">
        <f t="shared" si="92"/>
        <v>0</v>
      </c>
      <c r="G866" s="20">
        <f t="shared" si="98"/>
        <v>861</v>
      </c>
      <c r="H866" s="21">
        <v>66622040393</v>
      </c>
      <c r="I866" s="22" t="s">
        <v>912</v>
      </c>
      <c r="J866" s="23"/>
      <c r="K866" s="24">
        <v>2771</v>
      </c>
      <c r="L866" s="23">
        <f t="shared" si="93"/>
        <v>0</v>
      </c>
      <c r="M866" s="24">
        <v>424</v>
      </c>
      <c r="N866" s="25">
        <f t="shared" si="94"/>
        <v>0</v>
      </c>
      <c r="O866" s="24">
        <v>2347</v>
      </c>
      <c r="P866" s="23">
        <f t="shared" si="95"/>
        <v>0</v>
      </c>
      <c r="Q866" s="26"/>
      <c r="R866" s="23">
        <f t="shared" si="96"/>
        <v>0</v>
      </c>
      <c r="S866" s="27" t="s">
        <v>18</v>
      </c>
      <c r="T866" s="19" t="s">
        <v>911</v>
      </c>
    </row>
    <row r="867" spans="1:20" ht="37.5" customHeight="1" x14ac:dyDescent="0.25">
      <c r="A867" s="19" t="s">
        <v>913</v>
      </c>
      <c r="B867">
        <f t="shared" si="97"/>
        <v>506</v>
      </c>
      <c r="C867">
        <v>91</v>
      </c>
      <c r="D867">
        <v>415</v>
      </c>
      <c r="F867">
        <f t="shared" si="92"/>
        <v>6</v>
      </c>
      <c r="G867" s="20">
        <f t="shared" si="98"/>
        <v>862</v>
      </c>
      <c r="H867" s="21">
        <v>66622040394</v>
      </c>
      <c r="I867" s="22" t="s">
        <v>914</v>
      </c>
      <c r="J867" s="23"/>
      <c r="K867" s="24">
        <v>500</v>
      </c>
      <c r="L867" s="23">
        <f t="shared" si="93"/>
        <v>6</v>
      </c>
      <c r="M867" s="24">
        <v>90</v>
      </c>
      <c r="N867" s="25">
        <f t="shared" si="94"/>
        <v>1</v>
      </c>
      <c r="O867" s="24">
        <v>410</v>
      </c>
      <c r="P867" s="23">
        <f t="shared" si="95"/>
        <v>5</v>
      </c>
      <c r="Q867" s="26"/>
      <c r="R867" s="23">
        <f t="shared" si="96"/>
        <v>0</v>
      </c>
      <c r="S867" s="27" t="s">
        <v>18</v>
      </c>
      <c r="T867" s="19" t="s">
        <v>913</v>
      </c>
    </row>
    <row r="868" spans="1:20" ht="37.5" customHeight="1" x14ac:dyDescent="0.25">
      <c r="A868" s="19" t="s">
        <v>915</v>
      </c>
      <c r="B868">
        <f t="shared" si="97"/>
        <v>33699</v>
      </c>
      <c r="C868">
        <v>9004</v>
      </c>
      <c r="D868">
        <v>24695</v>
      </c>
      <c r="F868">
        <f t="shared" si="92"/>
        <v>1153</v>
      </c>
      <c r="G868" s="20">
        <f t="shared" si="98"/>
        <v>863</v>
      </c>
      <c r="H868" s="21">
        <v>66621050160</v>
      </c>
      <c r="I868" s="22" t="s">
        <v>916</v>
      </c>
      <c r="J868" s="23"/>
      <c r="K868" s="24">
        <v>32546</v>
      </c>
      <c r="L868" s="23">
        <f t="shared" si="93"/>
        <v>1153</v>
      </c>
      <c r="M868" s="24">
        <v>8468</v>
      </c>
      <c r="N868" s="25">
        <f t="shared" si="94"/>
        <v>536</v>
      </c>
      <c r="O868" s="24">
        <v>24078</v>
      </c>
      <c r="P868" s="23">
        <f t="shared" si="95"/>
        <v>617</v>
      </c>
      <c r="Q868" s="26"/>
      <c r="R868" s="23">
        <f t="shared" si="96"/>
        <v>0</v>
      </c>
      <c r="S868" s="27" t="s">
        <v>860</v>
      </c>
      <c r="T868" s="19" t="s">
        <v>915</v>
      </c>
    </row>
    <row r="869" spans="1:20" ht="37.5" customHeight="1" x14ac:dyDescent="0.25">
      <c r="A869" s="19" t="s">
        <v>917</v>
      </c>
      <c r="B869">
        <f t="shared" si="97"/>
        <v>4726</v>
      </c>
      <c r="C869">
        <v>1356</v>
      </c>
      <c r="D869">
        <v>3370</v>
      </c>
      <c r="F869">
        <f t="shared" si="92"/>
        <v>35</v>
      </c>
      <c r="G869" s="20">
        <f t="shared" si="98"/>
        <v>864</v>
      </c>
      <c r="H869" s="21">
        <v>66622040391</v>
      </c>
      <c r="I869" s="22" t="s">
        <v>918</v>
      </c>
      <c r="J869" s="23"/>
      <c r="K869" s="24">
        <v>4691</v>
      </c>
      <c r="L869" s="23">
        <f t="shared" si="93"/>
        <v>35</v>
      </c>
      <c r="M869" s="24">
        <v>1346</v>
      </c>
      <c r="N869" s="25">
        <f t="shared" si="94"/>
        <v>10</v>
      </c>
      <c r="O869" s="24">
        <v>3345</v>
      </c>
      <c r="P869" s="23">
        <f t="shared" si="95"/>
        <v>25</v>
      </c>
      <c r="Q869" s="26"/>
      <c r="R869" s="23">
        <f t="shared" si="96"/>
        <v>0</v>
      </c>
      <c r="S869" s="27" t="s">
        <v>860</v>
      </c>
      <c r="T869" s="19" t="s">
        <v>917</v>
      </c>
    </row>
    <row r="870" spans="1:20" ht="37.5" customHeight="1" x14ac:dyDescent="0.25">
      <c r="A870" s="19" t="s">
        <v>919</v>
      </c>
      <c r="B870">
        <f t="shared" si="97"/>
        <v>75</v>
      </c>
      <c r="C870">
        <v>15</v>
      </c>
      <c r="D870">
        <v>60</v>
      </c>
      <c r="F870">
        <f t="shared" si="92"/>
        <v>0</v>
      </c>
      <c r="G870" s="20">
        <f t="shared" si="98"/>
        <v>865</v>
      </c>
      <c r="H870" s="21">
        <v>66622040392</v>
      </c>
      <c r="I870" s="22" t="s">
        <v>920</v>
      </c>
      <c r="J870" s="23"/>
      <c r="K870" s="24">
        <v>75</v>
      </c>
      <c r="L870" s="23">
        <f t="shared" si="93"/>
        <v>0</v>
      </c>
      <c r="M870" s="24">
        <v>15</v>
      </c>
      <c r="N870" s="25">
        <f t="shared" si="94"/>
        <v>0</v>
      </c>
      <c r="O870" s="24">
        <v>60</v>
      </c>
      <c r="P870" s="23">
        <f t="shared" si="95"/>
        <v>0</v>
      </c>
      <c r="Q870" s="26"/>
      <c r="R870" s="23">
        <f t="shared" si="96"/>
        <v>0</v>
      </c>
      <c r="S870" s="27" t="s">
        <v>860</v>
      </c>
      <c r="T870" s="19" t="s">
        <v>919</v>
      </c>
    </row>
    <row r="871" spans="1:20" ht="37.5" customHeight="1" x14ac:dyDescent="0.25">
      <c r="A871" s="19" t="s">
        <v>921</v>
      </c>
      <c r="B871">
        <f t="shared" si="97"/>
        <v>20773</v>
      </c>
      <c r="C871">
        <v>3490</v>
      </c>
      <c r="D871">
        <v>17283</v>
      </c>
      <c r="F871">
        <f t="shared" si="92"/>
        <v>779</v>
      </c>
      <c r="G871" s="20">
        <f t="shared" si="98"/>
        <v>866</v>
      </c>
      <c r="H871" s="21">
        <v>66621010162</v>
      </c>
      <c r="I871" s="22" t="s">
        <v>922</v>
      </c>
      <c r="J871" s="23"/>
      <c r="K871" s="24">
        <v>19994</v>
      </c>
      <c r="L871" s="23">
        <f t="shared" si="93"/>
        <v>779</v>
      </c>
      <c r="M871" s="24">
        <v>3359</v>
      </c>
      <c r="N871" s="25">
        <f t="shared" si="94"/>
        <v>131</v>
      </c>
      <c r="O871" s="24">
        <v>16635</v>
      </c>
      <c r="P871" s="23">
        <f t="shared" si="95"/>
        <v>648</v>
      </c>
      <c r="Q871" s="26"/>
      <c r="R871" s="23">
        <f t="shared" si="96"/>
        <v>0</v>
      </c>
      <c r="S871" s="27" t="s">
        <v>860</v>
      </c>
      <c r="T871" s="19" t="s">
        <v>921</v>
      </c>
    </row>
    <row r="872" spans="1:20" ht="37.5" customHeight="1" x14ac:dyDescent="0.25">
      <c r="A872" s="19" t="s">
        <v>923</v>
      </c>
      <c r="B872">
        <f t="shared" si="97"/>
        <v>36180</v>
      </c>
      <c r="C872">
        <v>6105</v>
      </c>
      <c r="D872">
        <v>30075</v>
      </c>
      <c r="F872">
        <f t="shared" si="92"/>
        <v>89</v>
      </c>
      <c r="G872" s="20">
        <f t="shared" si="98"/>
        <v>867</v>
      </c>
      <c r="H872" s="21">
        <v>88818020271</v>
      </c>
      <c r="I872" s="22" t="s">
        <v>924</v>
      </c>
      <c r="J872" s="23"/>
      <c r="K872" s="24">
        <v>36091</v>
      </c>
      <c r="L872" s="23">
        <f t="shared" si="93"/>
        <v>89</v>
      </c>
      <c r="M872" s="24">
        <v>6091</v>
      </c>
      <c r="N872" s="25">
        <f t="shared" si="94"/>
        <v>14</v>
      </c>
      <c r="O872" s="24">
        <v>30000</v>
      </c>
      <c r="P872" s="23">
        <f t="shared" si="95"/>
        <v>75</v>
      </c>
      <c r="Q872" s="26"/>
      <c r="R872" s="23">
        <f t="shared" si="96"/>
        <v>0</v>
      </c>
      <c r="S872" s="27" t="s">
        <v>860</v>
      </c>
      <c r="T872" s="19" t="s">
        <v>923</v>
      </c>
    </row>
    <row r="873" spans="1:20" ht="37.5" customHeight="1" x14ac:dyDescent="0.25">
      <c r="A873" s="19" t="s">
        <v>925</v>
      </c>
      <c r="B873">
        <f t="shared" si="97"/>
        <v>18798</v>
      </c>
      <c r="C873">
        <v>2823</v>
      </c>
      <c r="D873">
        <v>15975</v>
      </c>
      <c r="F873">
        <f t="shared" si="92"/>
        <v>411</v>
      </c>
      <c r="G873" s="20">
        <f t="shared" si="98"/>
        <v>868</v>
      </c>
      <c r="H873" s="21">
        <v>66621070267</v>
      </c>
      <c r="I873" s="22" t="s">
        <v>926</v>
      </c>
      <c r="J873" s="23"/>
      <c r="K873" s="24">
        <v>18387</v>
      </c>
      <c r="L873" s="23">
        <f t="shared" si="93"/>
        <v>411</v>
      </c>
      <c r="M873" s="24">
        <v>2764</v>
      </c>
      <c r="N873" s="25">
        <f t="shared" si="94"/>
        <v>59</v>
      </c>
      <c r="O873" s="24">
        <v>15623</v>
      </c>
      <c r="P873" s="23">
        <f t="shared" si="95"/>
        <v>352</v>
      </c>
      <c r="Q873" s="26"/>
      <c r="R873" s="23">
        <f t="shared" si="96"/>
        <v>0</v>
      </c>
      <c r="S873" s="27" t="s">
        <v>18</v>
      </c>
      <c r="T873" s="19" t="s">
        <v>925</v>
      </c>
    </row>
    <row r="874" spans="1:20" ht="37.5" customHeight="1" x14ac:dyDescent="0.25">
      <c r="A874" s="19" t="s">
        <v>927</v>
      </c>
      <c r="B874">
        <f t="shared" si="97"/>
        <v>28213</v>
      </c>
      <c r="C874">
        <v>4777</v>
      </c>
      <c r="D874">
        <v>23436</v>
      </c>
      <c r="F874">
        <f t="shared" si="92"/>
        <v>412</v>
      </c>
      <c r="G874" s="20">
        <f t="shared" si="98"/>
        <v>869</v>
      </c>
      <c r="H874" s="21">
        <v>66621070266</v>
      </c>
      <c r="I874" s="22" t="s">
        <v>928</v>
      </c>
      <c r="J874" s="23"/>
      <c r="K874" s="24">
        <v>27801</v>
      </c>
      <c r="L874" s="23">
        <f t="shared" si="93"/>
        <v>412</v>
      </c>
      <c r="M874" s="24">
        <v>4711</v>
      </c>
      <c r="N874" s="25">
        <f t="shared" si="94"/>
        <v>66</v>
      </c>
      <c r="O874" s="24">
        <v>23090</v>
      </c>
      <c r="P874" s="23">
        <f t="shared" si="95"/>
        <v>346</v>
      </c>
      <c r="Q874" s="26"/>
      <c r="R874" s="23">
        <f t="shared" si="96"/>
        <v>0</v>
      </c>
      <c r="S874" s="27" t="s">
        <v>18</v>
      </c>
      <c r="T874" s="19" t="s">
        <v>927</v>
      </c>
    </row>
    <row r="875" spans="1:20" ht="37.5" customHeight="1" x14ac:dyDescent="0.25">
      <c r="A875" s="19" t="s">
        <v>929</v>
      </c>
      <c r="B875">
        <f t="shared" si="97"/>
        <v>26715</v>
      </c>
      <c r="C875">
        <v>8980</v>
      </c>
      <c r="D875">
        <v>17735</v>
      </c>
      <c r="F875">
        <f t="shared" si="92"/>
        <v>326</v>
      </c>
      <c r="G875" s="20">
        <f t="shared" si="98"/>
        <v>870</v>
      </c>
      <c r="H875" s="21">
        <v>88819020107</v>
      </c>
      <c r="I875" s="22" t="s">
        <v>930</v>
      </c>
      <c r="J875" s="23"/>
      <c r="K875" s="24">
        <v>26389</v>
      </c>
      <c r="L875" s="23">
        <f t="shared" si="93"/>
        <v>326</v>
      </c>
      <c r="M875" s="24">
        <v>8756</v>
      </c>
      <c r="N875" s="25">
        <f t="shared" si="94"/>
        <v>224</v>
      </c>
      <c r="O875" s="24">
        <v>17633</v>
      </c>
      <c r="P875" s="23">
        <f t="shared" si="95"/>
        <v>102</v>
      </c>
      <c r="Q875" s="26"/>
      <c r="R875" s="23">
        <f t="shared" si="96"/>
        <v>0</v>
      </c>
      <c r="S875" s="27" t="s">
        <v>860</v>
      </c>
      <c r="T875" s="19" t="s">
        <v>929</v>
      </c>
    </row>
    <row r="876" spans="1:20" ht="37.5" customHeight="1" x14ac:dyDescent="0.25">
      <c r="A876" s="19" t="s">
        <v>931</v>
      </c>
      <c r="B876">
        <f t="shared" si="97"/>
        <v>28099</v>
      </c>
      <c r="C876">
        <v>8669</v>
      </c>
      <c r="D876">
        <v>19430</v>
      </c>
      <c r="F876">
        <f t="shared" si="92"/>
        <v>271</v>
      </c>
      <c r="G876" s="20">
        <f t="shared" si="98"/>
        <v>871</v>
      </c>
      <c r="H876" s="21">
        <v>66621070265</v>
      </c>
      <c r="I876" s="22" t="s">
        <v>932</v>
      </c>
      <c r="J876" s="23"/>
      <c r="K876" s="24">
        <v>27828</v>
      </c>
      <c r="L876" s="23">
        <f t="shared" si="93"/>
        <v>271</v>
      </c>
      <c r="M876" s="24">
        <v>8593</v>
      </c>
      <c r="N876" s="25">
        <f t="shared" si="94"/>
        <v>76</v>
      </c>
      <c r="O876" s="24">
        <v>19235</v>
      </c>
      <c r="P876" s="23">
        <f t="shared" si="95"/>
        <v>195</v>
      </c>
      <c r="Q876" s="26"/>
      <c r="R876" s="23">
        <f t="shared" si="96"/>
        <v>0</v>
      </c>
      <c r="S876" s="27" t="s">
        <v>860</v>
      </c>
      <c r="T876" s="19" t="s">
        <v>931</v>
      </c>
    </row>
    <row r="877" spans="1:20" ht="37.5" customHeight="1" x14ac:dyDescent="0.25">
      <c r="A877" s="19" t="s">
        <v>933</v>
      </c>
      <c r="B877">
        <f t="shared" si="97"/>
        <v>26268</v>
      </c>
      <c r="C877">
        <v>3938</v>
      </c>
      <c r="D877">
        <v>22330</v>
      </c>
      <c r="F877">
        <f t="shared" si="92"/>
        <v>241</v>
      </c>
      <c r="G877" s="20">
        <f t="shared" si="98"/>
        <v>872</v>
      </c>
      <c r="H877" s="21">
        <v>23014060020</v>
      </c>
      <c r="I877" s="22" t="s">
        <v>934</v>
      </c>
      <c r="J877" s="23"/>
      <c r="K877" s="24">
        <v>26027</v>
      </c>
      <c r="L877" s="23">
        <f t="shared" si="93"/>
        <v>241</v>
      </c>
      <c r="M877" s="24">
        <v>3895</v>
      </c>
      <c r="N877" s="25">
        <f t="shared" si="94"/>
        <v>43</v>
      </c>
      <c r="O877" s="24">
        <v>22132</v>
      </c>
      <c r="P877" s="23">
        <f t="shared" si="95"/>
        <v>198</v>
      </c>
      <c r="Q877" s="26"/>
      <c r="R877" s="23">
        <f t="shared" si="96"/>
        <v>0</v>
      </c>
      <c r="S877" s="27" t="s">
        <v>18</v>
      </c>
      <c r="T877" s="19" t="s">
        <v>933</v>
      </c>
    </row>
    <row r="878" spans="1:20" ht="37.5" customHeight="1" x14ac:dyDescent="0.25">
      <c r="A878" s="19" t="s">
        <v>935</v>
      </c>
      <c r="B878">
        <f t="shared" si="97"/>
        <v>71871</v>
      </c>
      <c r="C878">
        <v>19164</v>
      </c>
      <c r="D878">
        <v>52707</v>
      </c>
      <c r="F878">
        <f t="shared" si="92"/>
        <v>368</v>
      </c>
      <c r="G878" s="20">
        <f t="shared" si="98"/>
        <v>873</v>
      </c>
      <c r="H878" s="21">
        <v>23014060018</v>
      </c>
      <c r="I878" s="22" t="s">
        <v>936</v>
      </c>
      <c r="J878" s="23"/>
      <c r="K878" s="24">
        <v>71503</v>
      </c>
      <c r="L878" s="23">
        <f t="shared" si="93"/>
        <v>368</v>
      </c>
      <c r="M878" s="24">
        <v>19070</v>
      </c>
      <c r="N878" s="25">
        <f t="shared" si="94"/>
        <v>94</v>
      </c>
      <c r="O878" s="24">
        <v>52433</v>
      </c>
      <c r="P878" s="23">
        <f t="shared" si="95"/>
        <v>274</v>
      </c>
      <c r="Q878" s="26"/>
      <c r="R878" s="23">
        <f t="shared" si="96"/>
        <v>0</v>
      </c>
      <c r="S878" s="27" t="s">
        <v>860</v>
      </c>
      <c r="T878" s="19" t="s">
        <v>935</v>
      </c>
    </row>
    <row r="879" spans="1:20" ht="37.5" customHeight="1" x14ac:dyDescent="0.25">
      <c r="A879" s="19" t="s">
        <v>937</v>
      </c>
      <c r="B879">
        <f t="shared" si="97"/>
        <v>26991</v>
      </c>
      <c r="C879">
        <v>8113</v>
      </c>
      <c r="D879">
        <v>18878</v>
      </c>
      <c r="F879">
        <f t="shared" si="92"/>
        <v>507</v>
      </c>
      <c r="G879" s="20">
        <f t="shared" si="98"/>
        <v>874</v>
      </c>
      <c r="H879" s="21">
        <v>23014060146</v>
      </c>
      <c r="I879" s="22" t="s">
        <v>938</v>
      </c>
      <c r="J879" s="23"/>
      <c r="K879" s="24">
        <v>26484</v>
      </c>
      <c r="L879" s="23">
        <f t="shared" si="93"/>
        <v>507</v>
      </c>
      <c r="M879" s="24">
        <v>7928</v>
      </c>
      <c r="N879" s="25">
        <f t="shared" si="94"/>
        <v>185</v>
      </c>
      <c r="O879" s="24">
        <v>18556</v>
      </c>
      <c r="P879" s="23">
        <f t="shared" si="95"/>
        <v>322</v>
      </c>
      <c r="Q879" s="26"/>
      <c r="R879" s="23">
        <f t="shared" si="96"/>
        <v>0</v>
      </c>
      <c r="S879" s="27" t="s">
        <v>860</v>
      </c>
      <c r="T879" s="19" t="s">
        <v>937</v>
      </c>
    </row>
    <row r="880" spans="1:20" ht="37.5" customHeight="1" x14ac:dyDescent="0.25">
      <c r="A880" s="19" t="s">
        <v>939</v>
      </c>
      <c r="B880">
        <f t="shared" si="97"/>
        <v>73904</v>
      </c>
      <c r="C880">
        <v>23958</v>
      </c>
      <c r="D880">
        <v>49946</v>
      </c>
      <c r="F880">
        <f t="shared" si="92"/>
        <v>132</v>
      </c>
      <c r="G880" s="20">
        <f t="shared" si="98"/>
        <v>875</v>
      </c>
      <c r="H880" s="21">
        <v>23012110136</v>
      </c>
      <c r="I880" s="22" t="s">
        <v>940</v>
      </c>
      <c r="J880" s="23"/>
      <c r="K880" s="24">
        <v>73772</v>
      </c>
      <c r="L880" s="23">
        <f t="shared" si="93"/>
        <v>132</v>
      </c>
      <c r="M880" s="24">
        <v>23920</v>
      </c>
      <c r="N880" s="25">
        <f t="shared" si="94"/>
        <v>38</v>
      </c>
      <c r="O880" s="24">
        <v>49852</v>
      </c>
      <c r="P880" s="23">
        <f t="shared" si="95"/>
        <v>94</v>
      </c>
      <c r="Q880" s="26"/>
      <c r="R880" s="23">
        <f t="shared" si="96"/>
        <v>0</v>
      </c>
      <c r="S880" s="27" t="s">
        <v>860</v>
      </c>
      <c r="T880" s="19" t="s">
        <v>939</v>
      </c>
    </row>
    <row r="881" spans="1:20" ht="37.5" customHeight="1" x14ac:dyDescent="0.25">
      <c r="A881" s="19" t="s">
        <v>941</v>
      </c>
      <c r="B881">
        <f t="shared" si="97"/>
        <v>25333</v>
      </c>
      <c r="C881">
        <v>4625</v>
      </c>
      <c r="D881">
        <v>20708</v>
      </c>
      <c r="F881">
        <f t="shared" si="92"/>
        <v>68</v>
      </c>
      <c r="G881" s="20">
        <f t="shared" si="98"/>
        <v>876</v>
      </c>
      <c r="H881" s="21">
        <v>88821080208</v>
      </c>
      <c r="I881" s="22" t="s">
        <v>942</v>
      </c>
      <c r="J881" s="23"/>
      <c r="K881" s="24">
        <v>25265</v>
      </c>
      <c r="L881" s="23">
        <f t="shared" si="93"/>
        <v>68</v>
      </c>
      <c r="M881" s="24">
        <v>4616</v>
      </c>
      <c r="N881" s="25">
        <f t="shared" si="94"/>
        <v>9</v>
      </c>
      <c r="O881" s="24">
        <v>20649</v>
      </c>
      <c r="P881" s="23">
        <f t="shared" si="95"/>
        <v>59</v>
      </c>
      <c r="Q881" s="26"/>
      <c r="R881" s="23">
        <f t="shared" si="96"/>
        <v>0</v>
      </c>
      <c r="S881" s="27" t="s">
        <v>860</v>
      </c>
      <c r="T881" s="19" t="s">
        <v>941</v>
      </c>
    </row>
    <row r="882" spans="1:20" ht="37.5" customHeight="1" x14ac:dyDescent="0.25">
      <c r="A882" s="19" t="s">
        <v>943</v>
      </c>
      <c r="B882">
        <f t="shared" si="97"/>
        <v>311</v>
      </c>
      <c r="C882">
        <v>95</v>
      </c>
      <c r="D882">
        <v>216</v>
      </c>
      <c r="F882">
        <f t="shared" si="92"/>
        <v>27</v>
      </c>
      <c r="G882" s="20">
        <f t="shared" si="98"/>
        <v>877</v>
      </c>
      <c r="H882" s="21">
        <v>66624020077</v>
      </c>
      <c r="I882" s="22" t="s">
        <v>944</v>
      </c>
      <c r="J882" s="23"/>
      <c r="K882" s="24">
        <v>284</v>
      </c>
      <c r="L882" s="23">
        <f t="shared" si="93"/>
        <v>27</v>
      </c>
      <c r="M882" s="24">
        <v>88</v>
      </c>
      <c r="N882" s="25">
        <f t="shared" si="94"/>
        <v>7</v>
      </c>
      <c r="O882" s="24">
        <v>196</v>
      </c>
      <c r="P882" s="23">
        <f t="shared" si="95"/>
        <v>20</v>
      </c>
      <c r="Q882" s="26"/>
      <c r="R882" s="23">
        <f t="shared" si="96"/>
        <v>0</v>
      </c>
      <c r="S882" s="27" t="s">
        <v>860</v>
      </c>
      <c r="T882" s="19" t="s">
        <v>943</v>
      </c>
    </row>
    <row r="883" spans="1:20" ht="37.5" customHeight="1" x14ac:dyDescent="0.25">
      <c r="A883" s="19" t="s">
        <v>945</v>
      </c>
      <c r="B883">
        <f t="shared" si="97"/>
        <v>28915</v>
      </c>
      <c r="C883">
        <v>4708</v>
      </c>
      <c r="D883">
        <v>24207</v>
      </c>
      <c r="F883">
        <f t="shared" si="92"/>
        <v>90</v>
      </c>
      <c r="G883" s="20">
        <f t="shared" si="98"/>
        <v>878</v>
      </c>
      <c r="H883" s="21">
        <v>88818030360</v>
      </c>
      <c r="I883" s="22" t="s">
        <v>946</v>
      </c>
      <c r="J883" s="23"/>
      <c r="K883" s="24">
        <v>28825</v>
      </c>
      <c r="L883" s="23">
        <f t="shared" si="93"/>
        <v>90</v>
      </c>
      <c r="M883" s="24">
        <v>4703</v>
      </c>
      <c r="N883" s="25">
        <f t="shared" si="94"/>
        <v>5</v>
      </c>
      <c r="O883" s="24">
        <v>24122</v>
      </c>
      <c r="P883" s="23">
        <f t="shared" si="95"/>
        <v>85</v>
      </c>
      <c r="Q883" s="26"/>
      <c r="R883" s="23">
        <f t="shared" si="96"/>
        <v>0</v>
      </c>
      <c r="S883" s="27" t="s">
        <v>860</v>
      </c>
      <c r="T883" s="19" t="s">
        <v>945</v>
      </c>
    </row>
    <row r="884" spans="1:20" ht="37.5" customHeight="1" x14ac:dyDescent="0.25">
      <c r="A884" s="19" t="s">
        <v>947</v>
      </c>
      <c r="B884">
        <f t="shared" si="97"/>
        <v>404</v>
      </c>
      <c r="C884">
        <v>172</v>
      </c>
      <c r="D884">
        <v>232</v>
      </c>
      <c r="F884">
        <f t="shared" si="92"/>
        <v>404</v>
      </c>
      <c r="G884" s="20">
        <f t="shared" si="98"/>
        <v>879</v>
      </c>
      <c r="H884" s="21">
        <v>66625010179</v>
      </c>
      <c r="I884" s="22" t="s">
        <v>948</v>
      </c>
      <c r="J884" s="23"/>
      <c r="K884" s="24"/>
      <c r="L884" s="23">
        <f t="shared" si="93"/>
        <v>404</v>
      </c>
      <c r="M884" s="24"/>
      <c r="N884" s="25">
        <f t="shared" si="94"/>
        <v>172</v>
      </c>
      <c r="O884" s="24"/>
      <c r="P884" s="23">
        <f t="shared" si="95"/>
        <v>232</v>
      </c>
      <c r="Q884" s="26"/>
      <c r="R884" s="23">
        <f t="shared" si="96"/>
        <v>0</v>
      </c>
      <c r="S884" s="27" t="s">
        <v>860</v>
      </c>
      <c r="T884" s="19" t="s">
        <v>947</v>
      </c>
    </row>
    <row r="885" spans="1:20" ht="37.5" customHeight="1" x14ac:dyDescent="0.25">
      <c r="A885" s="19" t="s">
        <v>949</v>
      </c>
      <c r="B885">
        <f t="shared" si="97"/>
        <v>28691</v>
      </c>
      <c r="C885">
        <v>4852</v>
      </c>
      <c r="D885">
        <v>23839</v>
      </c>
      <c r="F885">
        <f t="shared" si="92"/>
        <v>396</v>
      </c>
      <c r="G885" s="20">
        <f t="shared" si="98"/>
        <v>880</v>
      </c>
      <c r="H885" s="21">
        <v>66622010368</v>
      </c>
      <c r="I885" s="22" t="s">
        <v>950</v>
      </c>
      <c r="J885" s="23"/>
      <c r="K885" s="24">
        <v>28295</v>
      </c>
      <c r="L885" s="23">
        <f t="shared" si="93"/>
        <v>396</v>
      </c>
      <c r="M885" s="24">
        <v>4783</v>
      </c>
      <c r="N885" s="25">
        <f t="shared" si="94"/>
        <v>69</v>
      </c>
      <c r="O885" s="24">
        <v>23512</v>
      </c>
      <c r="P885" s="23">
        <f t="shared" si="95"/>
        <v>327</v>
      </c>
      <c r="Q885" s="26"/>
      <c r="R885" s="23">
        <f t="shared" si="96"/>
        <v>0</v>
      </c>
      <c r="S885" s="27" t="s">
        <v>18</v>
      </c>
      <c r="T885" s="19" t="s">
        <v>949</v>
      </c>
    </row>
    <row r="886" spans="1:20" ht="37.5" customHeight="1" x14ac:dyDescent="0.25">
      <c r="A886" s="19" t="s">
        <v>951</v>
      </c>
      <c r="B886">
        <f t="shared" si="97"/>
        <v>60218</v>
      </c>
      <c r="C886">
        <v>9970</v>
      </c>
      <c r="D886">
        <v>50248</v>
      </c>
      <c r="F886">
        <f t="shared" si="92"/>
        <v>42</v>
      </c>
      <c r="G886" s="20">
        <f t="shared" si="98"/>
        <v>881</v>
      </c>
      <c r="H886" s="21">
        <v>88819030489</v>
      </c>
      <c r="I886" s="22" t="s">
        <v>952</v>
      </c>
      <c r="J886" s="23"/>
      <c r="K886" s="24">
        <v>60176</v>
      </c>
      <c r="L886" s="23">
        <f t="shared" si="93"/>
        <v>42</v>
      </c>
      <c r="M886" s="24">
        <v>9964</v>
      </c>
      <c r="N886" s="25">
        <f t="shared" si="94"/>
        <v>6</v>
      </c>
      <c r="O886" s="24">
        <v>50212</v>
      </c>
      <c r="P886" s="23">
        <f t="shared" si="95"/>
        <v>36</v>
      </c>
      <c r="Q886" s="26"/>
      <c r="R886" s="23">
        <f t="shared" si="96"/>
        <v>0</v>
      </c>
      <c r="S886" s="27" t="s">
        <v>18</v>
      </c>
      <c r="T886" s="19" t="s">
        <v>951</v>
      </c>
    </row>
    <row r="887" spans="1:20" ht="37.5" customHeight="1" x14ac:dyDescent="0.25">
      <c r="A887" s="19" t="s">
        <v>953</v>
      </c>
      <c r="B887">
        <f t="shared" si="97"/>
        <v>89241</v>
      </c>
      <c r="C887">
        <v>23458</v>
      </c>
      <c r="D887">
        <v>65783</v>
      </c>
      <c r="F887">
        <f t="shared" si="92"/>
        <v>927</v>
      </c>
      <c r="G887" s="20">
        <f t="shared" si="98"/>
        <v>882</v>
      </c>
      <c r="H887" s="21">
        <v>23012110120</v>
      </c>
      <c r="I887" s="22" t="s">
        <v>954</v>
      </c>
      <c r="J887" s="23"/>
      <c r="K887" s="24">
        <v>88314</v>
      </c>
      <c r="L887" s="23">
        <f t="shared" si="93"/>
        <v>927</v>
      </c>
      <c r="M887" s="24">
        <v>23249</v>
      </c>
      <c r="N887" s="25">
        <f t="shared" si="94"/>
        <v>209</v>
      </c>
      <c r="O887" s="24">
        <v>65065</v>
      </c>
      <c r="P887" s="23">
        <f t="shared" si="95"/>
        <v>718</v>
      </c>
      <c r="Q887" s="26"/>
      <c r="R887" s="23">
        <f t="shared" si="96"/>
        <v>0</v>
      </c>
      <c r="S887" s="27" t="s">
        <v>860</v>
      </c>
      <c r="T887" s="19" t="s">
        <v>953</v>
      </c>
    </row>
    <row r="888" spans="1:20" ht="37.5" customHeight="1" x14ac:dyDescent="0.25">
      <c r="A888" s="19" t="s">
        <v>955</v>
      </c>
      <c r="B888">
        <f t="shared" si="97"/>
        <v>3408</v>
      </c>
      <c r="C888">
        <v>440</v>
      </c>
      <c r="D888">
        <v>2968</v>
      </c>
      <c r="F888">
        <f t="shared" si="92"/>
        <v>106</v>
      </c>
      <c r="G888" s="20">
        <f t="shared" si="98"/>
        <v>883</v>
      </c>
      <c r="H888" s="21">
        <v>66622040084</v>
      </c>
      <c r="I888" s="22" t="s">
        <v>956</v>
      </c>
      <c r="J888" s="23"/>
      <c r="K888" s="24">
        <v>3302</v>
      </c>
      <c r="L888" s="23">
        <f t="shared" si="93"/>
        <v>106</v>
      </c>
      <c r="M888" s="24">
        <v>421</v>
      </c>
      <c r="N888" s="25">
        <f t="shared" si="94"/>
        <v>19</v>
      </c>
      <c r="O888" s="24">
        <v>2881</v>
      </c>
      <c r="P888" s="23">
        <f t="shared" si="95"/>
        <v>87</v>
      </c>
      <c r="Q888" s="26"/>
      <c r="R888" s="23">
        <f t="shared" si="96"/>
        <v>0</v>
      </c>
      <c r="S888" s="27" t="s">
        <v>860</v>
      </c>
      <c r="T888" s="19" t="s">
        <v>955</v>
      </c>
    </row>
    <row r="889" spans="1:20" ht="37.5" customHeight="1" x14ac:dyDescent="0.25">
      <c r="A889" s="19" t="s">
        <v>957</v>
      </c>
      <c r="B889">
        <f t="shared" si="97"/>
        <v>144294</v>
      </c>
      <c r="C889">
        <v>49758</v>
      </c>
      <c r="D889">
        <v>94536</v>
      </c>
      <c r="F889">
        <f t="shared" si="92"/>
        <v>127</v>
      </c>
      <c r="G889" s="20">
        <f t="shared" si="98"/>
        <v>884</v>
      </c>
      <c r="H889" s="21">
        <v>23013010045</v>
      </c>
      <c r="I889" s="22" t="s">
        <v>958</v>
      </c>
      <c r="J889" s="23"/>
      <c r="K889" s="24">
        <v>144167</v>
      </c>
      <c r="L889" s="23">
        <f t="shared" si="93"/>
        <v>127</v>
      </c>
      <c r="M889" s="24">
        <v>49726</v>
      </c>
      <c r="N889" s="25">
        <f t="shared" si="94"/>
        <v>32</v>
      </c>
      <c r="O889" s="24">
        <v>94441</v>
      </c>
      <c r="P889" s="23">
        <f t="shared" si="95"/>
        <v>95</v>
      </c>
      <c r="Q889" s="26"/>
      <c r="R889" s="23">
        <f t="shared" si="96"/>
        <v>0</v>
      </c>
      <c r="S889" s="27" t="s">
        <v>860</v>
      </c>
      <c r="T889" s="19" t="s">
        <v>957</v>
      </c>
    </row>
    <row r="890" spans="1:20" ht="37.5" customHeight="1" x14ac:dyDescent="0.25">
      <c r="A890" s="19" t="s">
        <v>959</v>
      </c>
      <c r="B890">
        <f t="shared" si="97"/>
        <v>44013</v>
      </c>
      <c r="C890">
        <v>12491</v>
      </c>
      <c r="D890">
        <v>31522</v>
      </c>
      <c r="F890">
        <f t="shared" si="92"/>
        <v>634</v>
      </c>
      <c r="G890" s="20">
        <f t="shared" si="98"/>
        <v>885</v>
      </c>
      <c r="H890" s="21">
        <v>23015010785</v>
      </c>
      <c r="I890" s="22" t="s">
        <v>960</v>
      </c>
      <c r="J890" s="23"/>
      <c r="K890" s="24">
        <v>43379</v>
      </c>
      <c r="L890" s="23">
        <f t="shared" si="93"/>
        <v>634</v>
      </c>
      <c r="M890" s="24">
        <v>12242</v>
      </c>
      <c r="N890" s="25">
        <f t="shared" si="94"/>
        <v>249</v>
      </c>
      <c r="O890" s="24">
        <v>31137</v>
      </c>
      <c r="P890" s="23">
        <f t="shared" si="95"/>
        <v>385</v>
      </c>
      <c r="Q890" s="26"/>
      <c r="R890" s="23">
        <f t="shared" si="96"/>
        <v>0</v>
      </c>
      <c r="S890" s="27" t="s">
        <v>860</v>
      </c>
      <c r="T890" s="19" t="s">
        <v>959</v>
      </c>
    </row>
    <row r="891" spans="1:20" ht="37.5" customHeight="1" x14ac:dyDescent="0.25">
      <c r="A891" s="19" t="s">
        <v>961</v>
      </c>
      <c r="B891">
        <f t="shared" si="97"/>
        <v>54849</v>
      </c>
      <c r="C891">
        <v>14213</v>
      </c>
      <c r="D891">
        <v>40636</v>
      </c>
      <c r="F891">
        <f t="shared" si="92"/>
        <v>1604</v>
      </c>
      <c r="G891" s="20">
        <f t="shared" si="98"/>
        <v>886</v>
      </c>
      <c r="H891" s="21">
        <v>66622030188</v>
      </c>
      <c r="I891" s="22" t="s">
        <v>962</v>
      </c>
      <c r="J891" s="23"/>
      <c r="K891" s="24">
        <v>53245</v>
      </c>
      <c r="L891" s="23">
        <f t="shared" si="93"/>
        <v>1604</v>
      </c>
      <c r="M891" s="24">
        <v>13802</v>
      </c>
      <c r="N891" s="25">
        <f t="shared" si="94"/>
        <v>411</v>
      </c>
      <c r="O891" s="24">
        <v>39443</v>
      </c>
      <c r="P891" s="23">
        <f t="shared" si="95"/>
        <v>1193</v>
      </c>
      <c r="Q891" s="26"/>
      <c r="R891" s="23">
        <f t="shared" si="96"/>
        <v>0</v>
      </c>
      <c r="S891" s="27" t="s">
        <v>860</v>
      </c>
      <c r="T891" s="19" t="s">
        <v>961</v>
      </c>
    </row>
    <row r="892" spans="1:20" ht="37.5" customHeight="1" x14ac:dyDescent="0.25">
      <c r="A892" s="19" t="s">
        <v>963</v>
      </c>
      <c r="B892">
        <f t="shared" si="97"/>
        <v>36119</v>
      </c>
      <c r="C892">
        <v>7879</v>
      </c>
      <c r="D892">
        <v>28240</v>
      </c>
      <c r="F892">
        <f t="shared" si="92"/>
        <v>94</v>
      </c>
      <c r="G892" s="20">
        <f t="shared" si="98"/>
        <v>887</v>
      </c>
      <c r="H892" s="21">
        <v>23015010725</v>
      </c>
      <c r="I892" s="22" t="s">
        <v>964</v>
      </c>
      <c r="J892" s="23"/>
      <c r="K892" s="24">
        <v>36025</v>
      </c>
      <c r="L892" s="23">
        <f t="shared" si="93"/>
        <v>94</v>
      </c>
      <c r="M892" s="24">
        <v>7789</v>
      </c>
      <c r="N892" s="25">
        <f t="shared" si="94"/>
        <v>90</v>
      </c>
      <c r="O892" s="24">
        <v>28236</v>
      </c>
      <c r="P892" s="23">
        <f t="shared" si="95"/>
        <v>4</v>
      </c>
      <c r="Q892" s="26"/>
      <c r="R892" s="23">
        <f t="shared" si="96"/>
        <v>0</v>
      </c>
      <c r="S892" s="27" t="s">
        <v>860</v>
      </c>
      <c r="T892" s="19" t="s">
        <v>963</v>
      </c>
    </row>
    <row r="893" spans="1:20" ht="37.5" customHeight="1" x14ac:dyDescent="0.25">
      <c r="A893" s="19" t="s">
        <v>965</v>
      </c>
      <c r="B893">
        <f t="shared" si="97"/>
        <v>2512</v>
      </c>
      <c r="C893">
        <v>358</v>
      </c>
      <c r="D893">
        <v>2154</v>
      </c>
      <c r="F893">
        <f t="shared" si="92"/>
        <v>401</v>
      </c>
      <c r="G893" s="20">
        <f t="shared" si="98"/>
        <v>888</v>
      </c>
      <c r="H893" s="21">
        <v>66622050294</v>
      </c>
      <c r="I893" s="22" t="s">
        <v>966</v>
      </c>
      <c r="J893" s="23"/>
      <c r="K893" s="24">
        <v>2111</v>
      </c>
      <c r="L893" s="23">
        <f t="shared" si="93"/>
        <v>401</v>
      </c>
      <c r="M893" s="24">
        <v>296</v>
      </c>
      <c r="N893" s="25">
        <f t="shared" si="94"/>
        <v>62</v>
      </c>
      <c r="O893" s="24">
        <v>1815</v>
      </c>
      <c r="P893" s="23">
        <f t="shared" si="95"/>
        <v>339</v>
      </c>
      <c r="Q893" s="26"/>
      <c r="R893" s="23">
        <f t="shared" si="96"/>
        <v>0</v>
      </c>
      <c r="S893" s="27" t="s">
        <v>860</v>
      </c>
      <c r="T893" s="19" t="s">
        <v>965</v>
      </c>
    </row>
    <row r="894" spans="1:20" ht="37.5" customHeight="1" x14ac:dyDescent="0.25">
      <c r="A894" s="19" t="s">
        <v>967</v>
      </c>
      <c r="B894">
        <f t="shared" si="97"/>
        <v>6208</v>
      </c>
      <c r="C894">
        <v>27</v>
      </c>
      <c r="D894">
        <v>6181</v>
      </c>
      <c r="F894">
        <f t="shared" si="92"/>
        <v>60</v>
      </c>
      <c r="G894" s="20">
        <f t="shared" si="98"/>
        <v>889</v>
      </c>
      <c r="H894" s="21">
        <v>88820040076</v>
      </c>
      <c r="I894" s="22" t="s">
        <v>968</v>
      </c>
      <c r="J894" s="23"/>
      <c r="K894" s="24">
        <v>6148</v>
      </c>
      <c r="L894" s="23">
        <f t="shared" si="93"/>
        <v>60</v>
      </c>
      <c r="M894" s="24">
        <v>27</v>
      </c>
      <c r="N894" s="25">
        <f t="shared" si="94"/>
        <v>0</v>
      </c>
      <c r="O894" s="24">
        <v>6121</v>
      </c>
      <c r="P894" s="23">
        <f t="shared" si="95"/>
        <v>60</v>
      </c>
      <c r="Q894" s="26"/>
      <c r="R894" s="23">
        <f t="shared" si="96"/>
        <v>0</v>
      </c>
      <c r="S894" s="27" t="s">
        <v>860</v>
      </c>
      <c r="T894" s="19" t="s">
        <v>967</v>
      </c>
    </row>
    <row r="895" spans="1:20" ht="37.5" customHeight="1" x14ac:dyDescent="0.25">
      <c r="A895" s="19" t="s">
        <v>969</v>
      </c>
      <c r="B895">
        <f t="shared" si="97"/>
        <v>41784</v>
      </c>
      <c r="C895">
        <v>9413</v>
      </c>
      <c r="D895">
        <v>32371</v>
      </c>
      <c r="F895">
        <f t="shared" si="92"/>
        <v>951</v>
      </c>
      <c r="G895" s="20">
        <f t="shared" si="98"/>
        <v>890</v>
      </c>
      <c r="H895" s="21">
        <v>88820030466</v>
      </c>
      <c r="I895" s="22" t="s">
        <v>970</v>
      </c>
      <c r="J895" s="23"/>
      <c r="K895" s="24">
        <v>40833</v>
      </c>
      <c r="L895" s="23">
        <f t="shared" si="93"/>
        <v>951</v>
      </c>
      <c r="M895" s="24">
        <v>9132</v>
      </c>
      <c r="N895" s="25">
        <f t="shared" si="94"/>
        <v>281</v>
      </c>
      <c r="O895" s="24">
        <v>31701</v>
      </c>
      <c r="P895" s="23">
        <f t="shared" si="95"/>
        <v>670</v>
      </c>
      <c r="Q895" s="26"/>
      <c r="R895" s="23">
        <f t="shared" si="96"/>
        <v>0</v>
      </c>
      <c r="S895" s="27" t="s">
        <v>860</v>
      </c>
      <c r="T895" s="19" t="s">
        <v>969</v>
      </c>
    </row>
    <row r="896" spans="1:20" ht="37.5" customHeight="1" x14ac:dyDescent="0.25">
      <c r="A896" s="19" t="s">
        <v>971</v>
      </c>
      <c r="B896">
        <f t="shared" si="97"/>
        <v>2886</v>
      </c>
      <c r="C896">
        <v>470</v>
      </c>
      <c r="D896">
        <v>2416</v>
      </c>
      <c r="F896">
        <f t="shared" si="92"/>
        <v>222</v>
      </c>
      <c r="G896" s="20">
        <f t="shared" si="98"/>
        <v>891</v>
      </c>
      <c r="H896" s="21">
        <v>66623030341</v>
      </c>
      <c r="I896" s="22" t="s">
        <v>972</v>
      </c>
      <c r="J896" s="23"/>
      <c r="K896" s="24">
        <v>2664</v>
      </c>
      <c r="L896" s="23">
        <f t="shared" si="93"/>
        <v>222</v>
      </c>
      <c r="M896" s="24">
        <v>435</v>
      </c>
      <c r="N896" s="25">
        <f t="shared" si="94"/>
        <v>35</v>
      </c>
      <c r="O896" s="24">
        <v>2229</v>
      </c>
      <c r="P896" s="23">
        <f t="shared" si="95"/>
        <v>187</v>
      </c>
      <c r="Q896" s="26"/>
      <c r="R896" s="23">
        <f t="shared" si="96"/>
        <v>0</v>
      </c>
      <c r="S896" s="27" t="s">
        <v>860</v>
      </c>
      <c r="T896" s="19" t="s">
        <v>971</v>
      </c>
    </row>
    <row r="897" spans="1:20" ht="37.5" customHeight="1" x14ac:dyDescent="0.25">
      <c r="A897" s="19" t="s">
        <v>973</v>
      </c>
      <c r="B897">
        <f t="shared" si="97"/>
        <v>22693</v>
      </c>
      <c r="C897">
        <v>4306</v>
      </c>
      <c r="D897">
        <v>18387</v>
      </c>
      <c r="F897">
        <f t="shared" si="92"/>
        <v>702</v>
      </c>
      <c r="G897" s="20">
        <f t="shared" si="98"/>
        <v>892</v>
      </c>
      <c r="H897" s="21">
        <v>66621090297</v>
      </c>
      <c r="I897" s="22" t="s">
        <v>974</v>
      </c>
      <c r="J897" s="23"/>
      <c r="K897" s="24">
        <v>21991</v>
      </c>
      <c r="L897" s="23">
        <f t="shared" si="93"/>
        <v>702</v>
      </c>
      <c r="M897" s="24">
        <v>4168</v>
      </c>
      <c r="N897" s="25">
        <f t="shared" si="94"/>
        <v>138</v>
      </c>
      <c r="O897" s="24">
        <v>17823</v>
      </c>
      <c r="P897" s="23">
        <f t="shared" si="95"/>
        <v>564</v>
      </c>
      <c r="Q897" s="26"/>
      <c r="R897" s="23">
        <f t="shared" si="96"/>
        <v>0</v>
      </c>
      <c r="S897" s="27" t="s">
        <v>860</v>
      </c>
      <c r="T897" s="19" t="s">
        <v>973</v>
      </c>
    </row>
    <row r="898" spans="1:20" ht="37.5" customHeight="1" x14ac:dyDescent="0.25">
      <c r="A898" s="19" t="s">
        <v>975</v>
      </c>
      <c r="B898">
        <f t="shared" si="97"/>
        <v>2164</v>
      </c>
      <c r="C898">
        <v>380</v>
      </c>
      <c r="D898">
        <v>1784</v>
      </c>
      <c r="F898">
        <f t="shared" si="92"/>
        <v>5</v>
      </c>
      <c r="G898" s="20">
        <f t="shared" si="98"/>
        <v>893</v>
      </c>
      <c r="H898" s="21">
        <v>66623011076</v>
      </c>
      <c r="I898" s="22" t="s">
        <v>976</v>
      </c>
      <c r="J898" s="23"/>
      <c r="K898" s="24">
        <v>2159</v>
      </c>
      <c r="L898" s="23">
        <f t="shared" si="93"/>
        <v>5</v>
      </c>
      <c r="M898" s="24">
        <v>379</v>
      </c>
      <c r="N898" s="25">
        <f t="shared" si="94"/>
        <v>1</v>
      </c>
      <c r="O898" s="24">
        <v>1780</v>
      </c>
      <c r="P898" s="23">
        <f t="shared" si="95"/>
        <v>4</v>
      </c>
      <c r="Q898" s="26"/>
      <c r="R898" s="23">
        <f t="shared" si="96"/>
        <v>0</v>
      </c>
      <c r="S898" s="27" t="s">
        <v>860</v>
      </c>
      <c r="T898" s="19" t="s">
        <v>975</v>
      </c>
    </row>
    <row r="899" spans="1:20" ht="37.5" customHeight="1" x14ac:dyDescent="0.25">
      <c r="A899" s="19" t="s">
        <v>977</v>
      </c>
      <c r="B899">
        <f t="shared" si="97"/>
        <v>45568</v>
      </c>
      <c r="C899">
        <v>9928</v>
      </c>
      <c r="D899">
        <v>35640</v>
      </c>
      <c r="F899">
        <f t="shared" si="92"/>
        <v>409</v>
      </c>
      <c r="G899" s="20">
        <f t="shared" si="98"/>
        <v>894</v>
      </c>
      <c r="H899" s="21">
        <v>66601102553</v>
      </c>
      <c r="I899" s="22" t="s">
        <v>978</v>
      </c>
      <c r="J899" s="23"/>
      <c r="K899" s="24">
        <v>45159</v>
      </c>
      <c r="L899" s="23">
        <f t="shared" si="93"/>
        <v>409</v>
      </c>
      <c r="M899" s="24">
        <v>9811</v>
      </c>
      <c r="N899" s="25">
        <f t="shared" si="94"/>
        <v>117</v>
      </c>
      <c r="O899" s="24">
        <v>35348</v>
      </c>
      <c r="P899" s="23">
        <f t="shared" si="95"/>
        <v>292</v>
      </c>
      <c r="Q899" s="26"/>
      <c r="R899" s="23">
        <f t="shared" si="96"/>
        <v>0</v>
      </c>
      <c r="S899" s="27" t="s">
        <v>860</v>
      </c>
      <c r="T899" s="19" t="s">
        <v>977</v>
      </c>
    </row>
    <row r="900" spans="1:20" ht="37.5" customHeight="1" x14ac:dyDescent="0.25">
      <c r="A900" s="19" t="s">
        <v>979</v>
      </c>
      <c r="B900">
        <f t="shared" si="97"/>
        <v>38363</v>
      </c>
      <c r="C900">
        <v>18434</v>
      </c>
      <c r="D900">
        <v>19929</v>
      </c>
      <c r="F900">
        <f t="shared" si="92"/>
        <v>241</v>
      </c>
      <c r="G900" s="20">
        <f t="shared" si="98"/>
        <v>895</v>
      </c>
      <c r="H900" s="21">
        <v>66617010319</v>
      </c>
      <c r="I900" s="22" t="s">
        <v>980</v>
      </c>
      <c r="J900" s="23"/>
      <c r="K900" s="24">
        <v>38122</v>
      </c>
      <c r="L900" s="23">
        <f t="shared" si="93"/>
        <v>241</v>
      </c>
      <c r="M900" s="24">
        <v>18376</v>
      </c>
      <c r="N900" s="25">
        <f t="shared" si="94"/>
        <v>58</v>
      </c>
      <c r="O900" s="24">
        <v>19746</v>
      </c>
      <c r="P900" s="23">
        <f t="shared" si="95"/>
        <v>183</v>
      </c>
      <c r="Q900" s="26"/>
      <c r="R900" s="23">
        <f t="shared" si="96"/>
        <v>0</v>
      </c>
      <c r="S900" s="27" t="s">
        <v>860</v>
      </c>
      <c r="T900" s="19" t="s">
        <v>979</v>
      </c>
    </row>
    <row r="901" spans="1:20" ht="37.5" customHeight="1" x14ac:dyDescent="0.25">
      <c r="A901" s="19" t="s">
        <v>981</v>
      </c>
      <c r="B901">
        <f t="shared" si="97"/>
        <v>10602</v>
      </c>
      <c r="C901">
        <v>1271</v>
      </c>
      <c r="D901">
        <v>9331</v>
      </c>
      <c r="F901">
        <f t="shared" ref="F901:F947" si="99">L901</f>
        <v>253</v>
      </c>
      <c r="G901" s="20">
        <f t="shared" si="98"/>
        <v>896</v>
      </c>
      <c r="H901" s="21">
        <v>66601102456</v>
      </c>
      <c r="I901" s="22" t="s">
        <v>982</v>
      </c>
      <c r="J901" s="23"/>
      <c r="K901" s="24">
        <v>10349</v>
      </c>
      <c r="L901" s="23">
        <f t="shared" si="93"/>
        <v>253</v>
      </c>
      <c r="M901" s="24">
        <v>1224</v>
      </c>
      <c r="N901" s="25">
        <f t="shared" si="94"/>
        <v>47</v>
      </c>
      <c r="O901" s="24">
        <v>9125</v>
      </c>
      <c r="P901" s="23">
        <f t="shared" si="95"/>
        <v>206</v>
      </c>
      <c r="Q901" s="26"/>
      <c r="R901" s="23">
        <f t="shared" si="96"/>
        <v>0</v>
      </c>
      <c r="S901" s="27" t="s">
        <v>18</v>
      </c>
      <c r="T901" s="19" t="s">
        <v>981</v>
      </c>
    </row>
    <row r="902" spans="1:20" ht="37.5" customHeight="1" x14ac:dyDescent="0.25">
      <c r="A902" s="19" t="s">
        <v>983</v>
      </c>
      <c r="B902">
        <f t="shared" si="97"/>
        <v>10347</v>
      </c>
      <c r="C902">
        <v>2410</v>
      </c>
      <c r="D902">
        <v>7937</v>
      </c>
      <c r="F902">
        <f t="shared" si="99"/>
        <v>10</v>
      </c>
      <c r="G902" s="20">
        <f t="shared" si="98"/>
        <v>897</v>
      </c>
      <c r="H902" s="21">
        <v>88818020201</v>
      </c>
      <c r="I902" s="22" t="s">
        <v>984</v>
      </c>
      <c r="J902" s="23"/>
      <c r="K902" s="24">
        <v>10337</v>
      </c>
      <c r="L902" s="23">
        <f t="shared" ref="L902:L947" si="100">B902-K902</f>
        <v>10</v>
      </c>
      <c r="M902" s="24">
        <v>2405</v>
      </c>
      <c r="N902" s="25">
        <f t="shared" ref="N902:N947" si="101">C902-M902</f>
        <v>5</v>
      </c>
      <c r="O902" s="24">
        <v>7932</v>
      </c>
      <c r="P902" s="23">
        <f t="shared" ref="P902:P947" si="102">D902-O902</f>
        <v>5</v>
      </c>
      <c r="Q902" s="26"/>
      <c r="R902" s="23">
        <f t="shared" ref="R902:R947" si="103">E902-Q902</f>
        <v>0</v>
      </c>
      <c r="S902" s="27" t="s">
        <v>860</v>
      </c>
      <c r="T902" s="19" t="s">
        <v>983</v>
      </c>
    </row>
    <row r="903" spans="1:20" ht="37.5" customHeight="1" x14ac:dyDescent="0.25">
      <c r="A903" s="19" t="s">
        <v>985</v>
      </c>
      <c r="B903">
        <f t="shared" ref="B903:B946" si="104">C903+D903</f>
        <v>56089</v>
      </c>
      <c r="C903">
        <v>15581</v>
      </c>
      <c r="D903">
        <v>40508</v>
      </c>
      <c r="F903">
        <f t="shared" si="99"/>
        <v>42</v>
      </c>
      <c r="G903" s="20">
        <f t="shared" si="98"/>
        <v>898</v>
      </c>
      <c r="H903" s="21">
        <v>66601102566</v>
      </c>
      <c r="I903" s="22" t="s">
        <v>986</v>
      </c>
      <c r="J903" s="23"/>
      <c r="K903" s="24">
        <v>56047</v>
      </c>
      <c r="L903" s="23">
        <f t="shared" si="100"/>
        <v>42</v>
      </c>
      <c r="M903" s="24">
        <v>15552</v>
      </c>
      <c r="N903" s="25">
        <f t="shared" si="101"/>
        <v>29</v>
      </c>
      <c r="O903" s="24">
        <v>40495</v>
      </c>
      <c r="P903" s="23">
        <f t="shared" si="102"/>
        <v>13</v>
      </c>
      <c r="Q903" s="26"/>
      <c r="R903" s="23">
        <f t="shared" si="103"/>
        <v>0</v>
      </c>
      <c r="S903" s="27" t="s">
        <v>860</v>
      </c>
      <c r="T903" s="19" t="s">
        <v>985</v>
      </c>
    </row>
    <row r="904" spans="1:20" ht="37.5" customHeight="1" x14ac:dyDescent="0.25">
      <c r="A904" s="19" t="s">
        <v>987</v>
      </c>
      <c r="B904">
        <f t="shared" si="104"/>
        <v>79187</v>
      </c>
      <c r="C904">
        <v>16880</v>
      </c>
      <c r="D904">
        <v>62307</v>
      </c>
      <c r="F904">
        <f t="shared" si="99"/>
        <v>1762</v>
      </c>
      <c r="G904" s="20">
        <f t="shared" ref="G904:G947" si="105">G903+1</f>
        <v>899</v>
      </c>
      <c r="H904" s="21">
        <v>66621030204</v>
      </c>
      <c r="I904" s="22" t="s">
        <v>988</v>
      </c>
      <c r="J904" s="23"/>
      <c r="K904" s="24">
        <v>77425</v>
      </c>
      <c r="L904" s="23">
        <f t="shared" si="100"/>
        <v>1762</v>
      </c>
      <c r="M904" s="24">
        <v>16461</v>
      </c>
      <c r="N904" s="25">
        <f t="shared" si="101"/>
        <v>419</v>
      </c>
      <c r="O904" s="24">
        <v>60964</v>
      </c>
      <c r="P904" s="23">
        <f t="shared" si="102"/>
        <v>1343</v>
      </c>
      <c r="Q904" s="26"/>
      <c r="R904" s="23">
        <f t="shared" si="103"/>
        <v>0</v>
      </c>
      <c r="S904" s="27" t="s">
        <v>860</v>
      </c>
      <c r="T904" s="19" t="s">
        <v>987</v>
      </c>
    </row>
    <row r="905" spans="1:20" ht="37.5" customHeight="1" x14ac:dyDescent="0.25">
      <c r="A905" s="19" t="s">
        <v>989</v>
      </c>
      <c r="B905">
        <f t="shared" si="104"/>
        <v>25801</v>
      </c>
      <c r="C905">
        <v>6226</v>
      </c>
      <c r="D905">
        <v>19575</v>
      </c>
      <c r="F905">
        <f t="shared" si="99"/>
        <v>727</v>
      </c>
      <c r="G905" s="20">
        <f t="shared" si="105"/>
        <v>900</v>
      </c>
      <c r="H905" s="21">
        <v>66622030035</v>
      </c>
      <c r="I905" s="22" t="s">
        <v>990</v>
      </c>
      <c r="J905" s="23"/>
      <c r="K905" s="24">
        <v>25074</v>
      </c>
      <c r="L905" s="23">
        <f t="shared" si="100"/>
        <v>727</v>
      </c>
      <c r="M905" s="24">
        <v>6023</v>
      </c>
      <c r="N905" s="25">
        <f t="shared" si="101"/>
        <v>203</v>
      </c>
      <c r="O905" s="24">
        <v>19051</v>
      </c>
      <c r="P905" s="23">
        <f t="shared" si="102"/>
        <v>524</v>
      </c>
      <c r="Q905" s="26"/>
      <c r="R905" s="23">
        <f t="shared" si="103"/>
        <v>0</v>
      </c>
      <c r="S905" s="27" t="s">
        <v>860</v>
      </c>
      <c r="T905" s="19" t="s">
        <v>989</v>
      </c>
    </row>
    <row r="906" spans="1:20" ht="37.5" customHeight="1" x14ac:dyDescent="0.25">
      <c r="A906" s="19" t="s">
        <v>991</v>
      </c>
      <c r="B906">
        <f t="shared" si="104"/>
        <v>8484</v>
      </c>
      <c r="C906">
        <v>1035</v>
      </c>
      <c r="D906">
        <v>7449</v>
      </c>
      <c r="F906">
        <f t="shared" si="99"/>
        <v>66</v>
      </c>
      <c r="G906" s="20">
        <f t="shared" si="105"/>
        <v>901</v>
      </c>
      <c r="H906" s="21">
        <v>66621100119</v>
      </c>
      <c r="I906" s="22" t="s">
        <v>992</v>
      </c>
      <c r="J906" s="23"/>
      <c r="K906" s="24">
        <v>8418</v>
      </c>
      <c r="L906" s="23">
        <f t="shared" si="100"/>
        <v>66</v>
      </c>
      <c r="M906" s="24">
        <v>1031</v>
      </c>
      <c r="N906" s="25">
        <f t="shared" si="101"/>
        <v>4</v>
      </c>
      <c r="O906" s="24">
        <v>7387</v>
      </c>
      <c r="P906" s="23">
        <f t="shared" si="102"/>
        <v>62</v>
      </c>
      <c r="Q906" s="26"/>
      <c r="R906" s="23">
        <f t="shared" si="103"/>
        <v>0</v>
      </c>
      <c r="S906" s="27" t="s">
        <v>860</v>
      </c>
      <c r="T906" s="19" t="s">
        <v>991</v>
      </c>
    </row>
    <row r="907" spans="1:20" ht="37.5" customHeight="1" x14ac:dyDescent="0.25">
      <c r="A907" s="19" t="s">
        <v>993</v>
      </c>
      <c r="B907">
        <f t="shared" si="104"/>
        <v>40228</v>
      </c>
      <c r="C907">
        <v>10451</v>
      </c>
      <c r="D907">
        <v>29777</v>
      </c>
      <c r="F907">
        <f t="shared" si="99"/>
        <v>947</v>
      </c>
      <c r="G907" s="20">
        <f t="shared" si="105"/>
        <v>902</v>
      </c>
      <c r="H907" s="21">
        <v>88818010286</v>
      </c>
      <c r="I907" s="22" t="s">
        <v>994</v>
      </c>
      <c r="J907" s="23"/>
      <c r="K907" s="24">
        <v>39281</v>
      </c>
      <c r="L907" s="23">
        <f t="shared" si="100"/>
        <v>947</v>
      </c>
      <c r="M907" s="24">
        <v>10206</v>
      </c>
      <c r="N907" s="25">
        <f t="shared" si="101"/>
        <v>245</v>
      </c>
      <c r="O907" s="24">
        <v>29075</v>
      </c>
      <c r="P907" s="23">
        <f t="shared" si="102"/>
        <v>702</v>
      </c>
      <c r="Q907" s="26"/>
      <c r="R907" s="23">
        <f t="shared" si="103"/>
        <v>0</v>
      </c>
      <c r="S907" s="27" t="s">
        <v>860</v>
      </c>
      <c r="T907" s="19" t="s">
        <v>993</v>
      </c>
    </row>
    <row r="908" spans="1:20" ht="37.5" customHeight="1" x14ac:dyDescent="0.25">
      <c r="A908" s="19" t="s">
        <v>995</v>
      </c>
      <c r="B908">
        <f t="shared" si="104"/>
        <v>55480</v>
      </c>
      <c r="C908">
        <v>13191</v>
      </c>
      <c r="D908">
        <v>42289</v>
      </c>
      <c r="F908">
        <f t="shared" si="99"/>
        <v>715</v>
      </c>
      <c r="G908" s="20">
        <f t="shared" si="105"/>
        <v>903</v>
      </c>
      <c r="H908" s="21">
        <v>66617010011</v>
      </c>
      <c r="I908" s="22" t="s">
        <v>996</v>
      </c>
      <c r="J908" s="23"/>
      <c r="K908" s="24">
        <v>54765</v>
      </c>
      <c r="L908" s="23">
        <f t="shared" si="100"/>
        <v>715</v>
      </c>
      <c r="M908" s="24">
        <v>12994</v>
      </c>
      <c r="N908" s="25">
        <f t="shared" si="101"/>
        <v>197</v>
      </c>
      <c r="O908" s="24">
        <v>41771</v>
      </c>
      <c r="P908" s="23">
        <f t="shared" si="102"/>
        <v>518</v>
      </c>
      <c r="Q908" s="26"/>
      <c r="R908" s="23">
        <f t="shared" si="103"/>
        <v>0</v>
      </c>
      <c r="S908" s="27" t="s">
        <v>860</v>
      </c>
      <c r="T908" s="19" t="s">
        <v>995</v>
      </c>
    </row>
    <row r="909" spans="1:20" ht="37.5" customHeight="1" x14ac:dyDescent="0.25">
      <c r="A909" s="19" t="s">
        <v>997</v>
      </c>
      <c r="B909">
        <f t="shared" si="104"/>
        <v>12495</v>
      </c>
      <c r="C909">
        <v>1618</v>
      </c>
      <c r="D909">
        <v>10877</v>
      </c>
      <c r="F909">
        <f t="shared" si="99"/>
        <v>531</v>
      </c>
      <c r="G909" s="20">
        <f t="shared" si="105"/>
        <v>904</v>
      </c>
      <c r="H909" s="21">
        <v>66622060285</v>
      </c>
      <c r="I909" s="22" t="s">
        <v>998</v>
      </c>
      <c r="J909" s="23"/>
      <c r="K909" s="24">
        <v>11964</v>
      </c>
      <c r="L909" s="23">
        <f t="shared" si="100"/>
        <v>531</v>
      </c>
      <c r="M909" s="24">
        <v>1514</v>
      </c>
      <c r="N909" s="25">
        <f t="shared" si="101"/>
        <v>104</v>
      </c>
      <c r="O909" s="24">
        <v>10450</v>
      </c>
      <c r="P909" s="23">
        <f t="shared" si="102"/>
        <v>427</v>
      </c>
      <c r="Q909" s="26"/>
      <c r="R909" s="23">
        <f t="shared" si="103"/>
        <v>0</v>
      </c>
      <c r="S909" s="27" t="s">
        <v>18</v>
      </c>
      <c r="T909" s="19" t="s">
        <v>997</v>
      </c>
    </row>
    <row r="910" spans="1:20" ht="37.5" customHeight="1" x14ac:dyDescent="0.25">
      <c r="A910" s="19" t="s">
        <v>999</v>
      </c>
      <c r="B910">
        <f t="shared" si="104"/>
        <v>23121</v>
      </c>
      <c r="C910">
        <v>5008</v>
      </c>
      <c r="D910">
        <v>18113</v>
      </c>
      <c r="F910">
        <f t="shared" si="99"/>
        <v>350</v>
      </c>
      <c r="G910" s="20">
        <f t="shared" si="105"/>
        <v>905</v>
      </c>
      <c r="H910" s="21">
        <v>66622060574</v>
      </c>
      <c r="I910" s="22" t="s">
        <v>1000</v>
      </c>
      <c r="J910" s="23"/>
      <c r="K910" s="24">
        <v>22771</v>
      </c>
      <c r="L910" s="23">
        <f t="shared" si="100"/>
        <v>350</v>
      </c>
      <c r="M910" s="24">
        <v>4930</v>
      </c>
      <c r="N910" s="25">
        <f t="shared" si="101"/>
        <v>78</v>
      </c>
      <c r="O910" s="24">
        <v>17841</v>
      </c>
      <c r="P910" s="23">
        <f t="shared" si="102"/>
        <v>272</v>
      </c>
      <c r="Q910" s="26"/>
      <c r="R910" s="23">
        <f t="shared" si="103"/>
        <v>0</v>
      </c>
      <c r="S910" s="27" t="s">
        <v>860</v>
      </c>
      <c r="T910" s="19" t="s">
        <v>999</v>
      </c>
    </row>
    <row r="911" spans="1:20" ht="37.5" customHeight="1" x14ac:dyDescent="0.25">
      <c r="A911" s="19" t="s">
        <v>1001</v>
      </c>
      <c r="B911">
        <f t="shared" si="104"/>
        <v>3222</v>
      </c>
      <c r="C911">
        <v>1436</v>
      </c>
      <c r="D911">
        <v>1786</v>
      </c>
      <c r="F911">
        <f t="shared" si="99"/>
        <v>118</v>
      </c>
      <c r="G911" s="20">
        <f t="shared" si="105"/>
        <v>906</v>
      </c>
      <c r="H911" s="21">
        <v>66622060284</v>
      </c>
      <c r="I911" s="22" t="s">
        <v>1002</v>
      </c>
      <c r="J911" s="23"/>
      <c r="K911" s="24">
        <v>3104</v>
      </c>
      <c r="L911" s="23">
        <f t="shared" si="100"/>
        <v>118</v>
      </c>
      <c r="M911" s="24">
        <v>1383</v>
      </c>
      <c r="N911" s="25">
        <f t="shared" si="101"/>
        <v>53</v>
      </c>
      <c r="O911" s="24">
        <v>1721</v>
      </c>
      <c r="P911" s="23">
        <f t="shared" si="102"/>
        <v>65</v>
      </c>
      <c r="Q911" s="26"/>
      <c r="R911" s="23">
        <f t="shared" si="103"/>
        <v>0</v>
      </c>
      <c r="S911" s="27" t="s">
        <v>860</v>
      </c>
      <c r="T911" s="19" t="s">
        <v>1001</v>
      </c>
    </row>
    <row r="912" spans="1:20" ht="37.5" customHeight="1" x14ac:dyDescent="0.25">
      <c r="A912" s="19" t="s">
        <v>1003</v>
      </c>
      <c r="B912">
        <f t="shared" si="104"/>
        <v>103936</v>
      </c>
      <c r="C912">
        <v>27340</v>
      </c>
      <c r="D912">
        <v>76596</v>
      </c>
      <c r="F912">
        <f t="shared" si="99"/>
        <v>1809</v>
      </c>
      <c r="G912" s="20">
        <f t="shared" si="105"/>
        <v>907</v>
      </c>
      <c r="H912" s="21">
        <v>88820040070</v>
      </c>
      <c r="I912" s="22" t="s">
        <v>1004</v>
      </c>
      <c r="J912" s="23"/>
      <c r="K912" s="24">
        <v>102127</v>
      </c>
      <c r="L912" s="23">
        <f t="shared" si="100"/>
        <v>1809</v>
      </c>
      <c r="M912" s="24">
        <v>26878</v>
      </c>
      <c r="N912" s="25">
        <f t="shared" si="101"/>
        <v>462</v>
      </c>
      <c r="O912" s="24">
        <v>75249</v>
      </c>
      <c r="P912" s="23">
        <f t="shared" si="102"/>
        <v>1347</v>
      </c>
      <c r="Q912" s="26"/>
      <c r="R912" s="23">
        <f t="shared" si="103"/>
        <v>0</v>
      </c>
      <c r="S912" s="27" t="s">
        <v>860</v>
      </c>
      <c r="T912" s="19" t="s">
        <v>1003</v>
      </c>
    </row>
    <row r="913" spans="1:20" ht="37.5" customHeight="1" x14ac:dyDescent="0.25">
      <c r="A913" s="19" t="s">
        <v>1005</v>
      </c>
      <c r="B913">
        <f t="shared" si="104"/>
        <v>33613</v>
      </c>
      <c r="C913">
        <v>7659</v>
      </c>
      <c r="D913">
        <v>25954</v>
      </c>
      <c r="F913">
        <f t="shared" si="99"/>
        <v>529</v>
      </c>
      <c r="G913" s="20">
        <f t="shared" si="105"/>
        <v>908</v>
      </c>
      <c r="H913" s="21">
        <v>66621010021</v>
      </c>
      <c r="I913" s="22" t="s">
        <v>1006</v>
      </c>
      <c r="J913" s="23"/>
      <c r="K913" s="24">
        <v>33084</v>
      </c>
      <c r="L913" s="23">
        <f t="shared" si="100"/>
        <v>529</v>
      </c>
      <c r="M913" s="24">
        <v>7490</v>
      </c>
      <c r="N913" s="25">
        <f t="shared" si="101"/>
        <v>169</v>
      </c>
      <c r="O913" s="24">
        <v>25594</v>
      </c>
      <c r="P913" s="23">
        <f t="shared" si="102"/>
        <v>360</v>
      </c>
      <c r="Q913" s="26"/>
      <c r="R913" s="23">
        <f t="shared" si="103"/>
        <v>0</v>
      </c>
      <c r="S913" s="27" t="s">
        <v>860</v>
      </c>
      <c r="T913" s="19" t="s">
        <v>1005</v>
      </c>
    </row>
    <row r="914" spans="1:20" ht="37.5" customHeight="1" x14ac:dyDescent="0.25">
      <c r="A914" s="19" t="s">
        <v>1007</v>
      </c>
      <c r="B914">
        <f t="shared" si="104"/>
        <v>5086</v>
      </c>
      <c r="C914">
        <v>803</v>
      </c>
      <c r="D914">
        <v>4283</v>
      </c>
      <c r="F914">
        <f t="shared" si="99"/>
        <v>9</v>
      </c>
      <c r="G914" s="20">
        <f t="shared" si="105"/>
        <v>909</v>
      </c>
      <c r="H914" s="21">
        <v>66621040377</v>
      </c>
      <c r="I914" s="22" t="s">
        <v>1008</v>
      </c>
      <c r="J914" s="23"/>
      <c r="K914" s="24">
        <v>5077</v>
      </c>
      <c r="L914" s="23">
        <f t="shared" si="100"/>
        <v>9</v>
      </c>
      <c r="M914" s="24">
        <v>800</v>
      </c>
      <c r="N914" s="25">
        <f t="shared" si="101"/>
        <v>3</v>
      </c>
      <c r="O914" s="24">
        <v>4277</v>
      </c>
      <c r="P914" s="23">
        <f t="shared" si="102"/>
        <v>6</v>
      </c>
      <c r="Q914" s="26"/>
      <c r="R914" s="23">
        <f t="shared" si="103"/>
        <v>0</v>
      </c>
      <c r="S914" s="27" t="s">
        <v>18</v>
      </c>
      <c r="T914" s="19" t="s">
        <v>1007</v>
      </c>
    </row>
    <row r="915" spans="1:20" ht="37.5" customHeight="1" x14ac:dyDescent="0.25">
      <c r="A915" s="19" t="s">
        <v>1009</v>
      </c>
      <c r="B915">
        <f t="shared" si="104"/>
        <v>10701</v>
      </c>
      <c r="C915">
        <v>2090</v>
      </c>
      <c r="D915">
        <v>8611</v>
      </c>
      <c r="F915">
        <f t="shared" si="99"/>
        <v>133</v>
      </c>
      <c r="G915" s="20">
        <f t="shared" si="105"/>
        <v>910</v>
      </c>
      <c r="H915" s="21">
        <v>66621040376</v>
      </c>
      <c r="I915" s="22" t="s">
        <v>1010</v>
      </c>
      <c r="J915" s="23"/>
      <c r="K915" s="24">
        <v>10568</v>
      </c>
      <c r="L915" s="23">
        <f t="shared" si="100"/>
        <v>133</v>
      </c>
      <c r="M915" s="24">
        <v>2069</v>
      </c>
      <c r="N915" s="25">
        <f t="shared" si="101"/>
        <v>21</v>
      </c>
      <c r="O915" s="24">
        <v>8499</v>
      </c>
      <c r="P915" s="23">
        <f t="shared" si="102"/>
        <v>112</v>
      </c>
      <c r="Q915" s="26"/>
      <c r="R915" s="23">
        <f t="shared" si="103"/>
        <v>0</v>
      </c>
      <c r="S915" s="27" t="s">
        <v>18</v>
      </c>
      <c r="T915" s="19" t="s">
        <v>1009</v>
      </c>
    </row>
    <row r="916" spans="1:20" ht="37.5" customHeight="1" x14ac:dyDescent="0.25">
      <c r="A916" s="19" t="s">
        <v>1011</v>
      </c>
      <c r="B916">
        <f t="shared" si="104"/>
        <v>13282</v>
      </c>
      <c r="C916">
        <v>3426</v>
      </c>
      <c r="D916">
        <v>9856</v>
      </c>
      <c r="F916">
        <f t="shared" si="99"/>
        <v>105</v>
      </c>
      <c r="G916" s="20">
        <f t="shared" si="105"/>
        <v>911</v>
      </c>
      <c r="H916" s="21">
        <v>88819020111</v>
      </c>
      <c r="I916" s="22" t="s">
        <v>1012</v>
      </c>
      <c r="J916" s="23"/>
      <c r="K916" s="24">
        <v>13177</v>
      </c>
      <c r="L916" s="23">
        <f t="shared" si="100"/>
        <v>105</v>
      </c>
      <c r="M916" s="24">
        <v>3385</v>
      </c>
      <c r="N916" s="25">
        <f t="shared" si="101"/>
        <v>41</v>
      </c>
      <c r="O916" s="24">
        <v>9792</v>
      </c>
      <c r="P916" s="23">
        <f t="shared" si="102"/>
        <v>64</v>
      </c>
      <c r="Q916" s="26"/>
      <c r="R916" s="23">
        <f t="shared" si="103"/>
        <v>0</v>
      </c>
      <c r="S916" s="27" t="s">
        <v>860</v>
      </c>
      <c r="T916" s="19" t="s">
        <v>1011</v>
      </c>
    </row>
    <row r="917" spans="1:20" ht="37.5" customHeight="1" x14ac:dyDescent="0.25">
      <c r="A917" s="19" t="s">
        <v>1013</v>
      </c>
      <c r="B917">
        <f t="shared" si="104"/>
        <v>3978</v>
      </c>
      <c r="C917">
        <v>1278</v>
      </c>
      <c r="D917">
        <v>2700</v>
      </c>
      <c r="F917">
        <f t="shared" si="99"/>
        <v>0</v>
      </c>
      <c r="G917" s="20">
        <f t="shared" si="105"/>
        <v>912</v>
      </c>
      <c r="H917" s="21">
        <v>66621040379</v>
      </c>
      <c r="I917" s="22" t="s">
        <v>1014</v>
      </c>
      <c r="J917" s="23"/>
      <c r="K917" s="24">
        <v>3978</v>
      </c>
      <c r="L917" s="23">
        <f t="shared" si="100"/>
        <v>0</v>
      </c>
      <c r="M917" s="24">
        <v>1278</v>
      </c>
      <c r="N917" s="25">
        <f t="shared" si="101"/>
        <v>0</v>
      </c>
      <c r="O917" s="24">
        <v>2700</v>
      </c>
      <c r="P917" s="23">
        <f t="shared" si="102"/>
        <v>0</v>
      </c>
      <c r="Q917" s="26"/>
      <c r="R917" s="23">
        <f t="shared" si="103"/>
        <v>0</v>
      </c>
      <c r="S917" s="27" t="s">
        <v>860</v>
      </c>
      <c r="T917" s="19" t="s">
        <v>1013</v>
      </c>
    </row>
    <row r="918" spans="1:20" ht="37.5" customHeight="1" x14ac:dyDescent="0.25">
      <c r="A918" s="19" t="s">
        <v>1015</v>
      </c>
      <c r="B918">
        <f t="shared" si="104"/>
        <v>1616</v>
      </c>
      <c r="C918">
        <v>361</v>
      </c>
      <c r="D918">
        <v>1255</v>
      </c>
      <c r="F918">
        <f t="shared" si="99"/>
        <v>3</v>
      </c>
      <c r="G918" s="20">
        <f t="shared" si="105"/>
        <v>913</v>
      </c>
      <c r="H918" s="21">
        <v>66621040378</v>
      </c>
      <c r="I918" s="22" t="s">
        <v>1016</v>
      </c>
      <c r="J918" s="23"/>
      <c r="K918" s="24">
        <v>1613</v>
      </c>
      <c r="L918" s="23">
        <f t="shared" si="100"/>
        <v>3</v>
      </c>
      <c r="M918" s="24">
        <v>360</v>
      </c>
      <c r="N918" s="25">
        <f t="shared" si="101"/>
        <v>1</v>
      </c>
      <c r="O918" s="24">
        <v>1253</v>
      </c>
      <c r="P918" s="23">
        <f t="shared" si="102"/>
        <v>2</v>
      </c>
      <c r="Q918" s="26"/>
      <c r="R918" s="23">
        <f t="shared" si="103"/>
        <v>0</v>
      </c>
      <c r="S918" s="27" t="s">
        <v>860</v>
      </c>
      <c r="T918" s="19" t="s">
        <v>1015</v>
      </c>
    </row>
    <row r="919" spans="1:20" ht="37.5" customHeight="1" x14ac:dyDescent="0.25">
      <c r="A919" s="19" t="s">
        <v>1017</v>
      </c>
      <c r="B919">
        <f t="shared" si="104"/>
        <v>27882</v>
      </c>
      <c r="C919">
        <v>7381</v>
      </c>
      <c r="D919">
        <v>20501</v>
      </c>
      <c r="F919">
        <f t="shared" si="99"/>
        <v>731</v>
      </c>
      <c r="G919" s="20">
        <f t="shared" si="105"/>
        <v>914</v>
      </c>
      <c r="H919" s="21">
        <v>88820020234</v>
      </c>
      <c r="I919" s="22" t="s">
        <v>1018</v>
      </c>
      <c r="J919" s="23"/>
      <c r="K919" s="24">
        <v>27151</v>
      </c>
      <c r="L919" s="23">
        <f t="shared" si="100"/>
        <v>731</v>
      </c>
      <c r="M919" s="24">
        <v>7072</v>
      </c>
      <c r="N919" s="25">
        <f t="shared" si="101"/>
        <v>309</v>
      </c>
      <c r="O919" s="24">
        <v>20079</v>
      </c>
      <c r="P919" s="23">
        <f t="shared" si="102"/>
        <v>422</v>
      </c>
      <c r="Q919" s="26"/>
      <c r="R919" s="23">
        <f t="shared" si="103"/>
        <v>0</v>
      </c>
      <c r="S919" s="27" t="s">
        <v>860</v>
      </c>
      <c r="T919" s="19" t="s">
        <v>1017</v>
      </c>
    </row>
    <row r="920" spans="1:20" ht="37.5" customHeight="1" x14ac:dyDescent="0.25">
      <c r="A920" s="19" t="s">
        <v>1019</v>
      </c>
      <c r="B920">
        <f t="shared" si="104"/>
        <v>36549</v>
      </c>
      <c r="C920">
        <v>12401</v>
      </c>
      <c r="D920">
        <v>24148</v>
      </c>
      <c r="F920">
        <f t="shared" si="99"/>
        <v>781</v>
      </c>
      <c r="G920" s="20">
        <f t="shared" si="105"/>
        <v>915</v>
      </c>
      <c r="H920" s="21">
        <v>88820030074</v>
      </c>
      <c r="I920" s="22" t="s">
        <v>1020</v>
      </c>
      <c r="J920" s="23"/>
      <c r="K920" s="24">
        <v>35768</v>
      </c>
      <c r="L920" s="23">
        <f t="shared" si="100"/>
        <v>781</v>
      </c>
      <c r="M920" s="24">
        <v>12146</v>
      </c>
      <c r="N920" s="25">
        <f t="shared" si="101"/>
        <v>255</v>
      </c>
      <c r="O920" s="24">
        <v>23622</v>
      </c>
      <c r="P920" s="23">
        <f t="shared" si="102"/>
        <v>526</v>
      </c>
      <c r="Q920" s="26"/>
      <c r="R920" s="23">
        <f t="shared" si="103"/>
        <v>0</v>
      </c>
      <c r="S920" s="27" t="s">
        <v>860</v>
      </c>
      <c r="T920" s="19" t="s">
        <v>1019</v>
      </c>
    </row>
    <row r="921" spans="1:20" ht="37.5" customHeight="1" x14ac:dyDescent="0.25">
      <c r="A921" s="19" t="s">
        <v>1021</v>
      </c>
      <c r="B921">
        <f t="shared" si="104"/>
        <v>79480</v>
      </c>
      <c r="C921">
        <v>22823</v>
      </c>
      <c r="D921">
        <v>56657</v>
      </c>
      <c r="F921">
        <f t="shared" si="99"/>
        <v>570</v>
      </c>
      <c r="G921" s="20">
        <f t="shared" si="105"/>
        <v>916</v>
      </c>
      <c r="H921" s="21">
        <v>23015010412</v>
      </c>
      <c r="I921" s="22" t="s">
        <v>1022</v>
      </c>
      <c r="J921" s="23"/>
      <c r="K921" s="24">
        <v>78910</v>
      </c>
      <c r="L921" s="23">
        <f t="shared" si="100"/>
        <v>570</v>
      </c>
      <c r="M921" s="24">
        <v>22596</v>
      </c>
      <c r="N921" s="25">
        <f t="shared" si="101"/>
        <v>227</v>
      </c>
      <c r="O921" s="24">
        <v>56314</v>
      </c>
      <c r="P921" s="23">
        <f t="shared" si="102"/>
        <v>343</v>
      </c>
      <c r="Q921" s="26"/>
      <c r="R921" s="23">
        <f t="shared" si="103"/>
        <v>0</v>
      </c>
      <c r="S921" s="27" t="s">
        <v>860</v>
      </c>
      <c r="T921" s="19" t="s">
        <v>1021</v>
      </c>
    </row>
    <row r="922" spans="1:20" ht="37.5" customHeight="1" x14ac:dyDescent="0.25">
      <c r="A922" s="19" t="s">
        <v>1023</v>
      </c>
      <c r="B922">
        <f t="shared" si="104"/>
        <v>4080</v>
      </c>
      <c r="C922">
        <v>310</v>
      </c>
      <c r="D922">
        <v>3770</v>
      </c>
      <c r="F922">
        <f t="shared" si="99"/>
        <v>120</v>
      </c>
      <c r="G922" s="20">
        <f t="shared" si="105"/>
        <v>917</v>
      </c>
      <c r="H922" s="21">
        <v>66623011228</v>
      </c>
      <c r="I922" s="22" t="s">
        <v>1024</v>
      </c>
      <c r="J922" s="23"/>
      <c r="K922" s="24">
        <v>3960</v>
      </c>
      <c r="L922" s="23">
        <f t="shared" si="100"/>
        <v>120</v>
      </c>
      <c r="M922" s="24">
        <v>303</v>
      </c>
      <c r="N922" s="25">
        <f t="shared" si="101"/>
        <v>7</v>
      </c>
      <c r="O922" s="24">
        <v>3657</v>
      </c>
      <c r="P922" s="23">
        <f t="shared" si="102"/>
        <v>113</v>
      </c>
      <c r="Q922" s="26"/>
      <c r="R922" s="23">
        <f t="shared" si="103"/>
        <v>0</v>
      </c>
      <c r="S922" s="27" t="s">
        <v>18</v>
      </c>
      <c r="T922" s="19" t="s">
        <v>1023</v>
      </c>
    </row>
    <row r="923" spans="1:20" ht="37.5" customHeight="1" x14ac:dyDescent="0.25">
      <c r="A923" s="19" t="s">
        <v>1025</v>
      </c>
      <c r="B923">
        <f t="shared" si="104"/>
        <v>21297</v>
      </c>
      <c r="C923">
        <v>3083</v>
      </c>
      <c r="D923">
        <v>18214</v>
      </c>
      <c r="F923">
        <f t="shared" si="99"/>
        <v>480</v>
      </c>
      <c r="G923" s="20">
        <f t="shared" si="105"/>
        <v>918</v>
      </c>
      <c r="H923" s="21">
        <v>66621050151</v>
      </c>
      <c r="I923" s="22" t="s">
        <v>1026</v>
      </c>
      <c r="J923" s="23"/>
      <c r="K923" s="24">
        <v>20817</v>
      </c>
      <c r="L923" s="23">
        <f t="shared" si="100"/>
        <v>480</v>
      </c>
      <c r="M923" s="24">
        <v>3046</v>
      </c>
      <c r="N923" s="25">
        <f t="shared" si="101"/>
        <v>37</v>
      </c>
      <c r="O923" s="24">
        <v>17771</v>
      </c>
      <c r="P923" s="23">
        <f t="shared" si="102"/>
        <v>443</v>
      </c>
      <c r="Q923" s="26"/>
      <c r="R923" s="23">
        <f t="shared" si="103"/>
        <v>0</v>
      </c>
      <c r="S923" s="27" t="s">
        <v>860</v>
      </c>
      <c r="T923" s="19" t="s">
        <v>1025</v>
      </c>
    </row>
    <row r="924" spans="1:20" ht="37.5" customHeight="1" x14ac:dyDescent="0.25">
      <c r="A924" s="19" t="s">
        <v>1027</v>
      </c>
      <c r="B924">
        <f t="shared" si="104"/>
        <v>1382</v>
      </c>
      <c r="C924">
        <v>333</v>
      </c>
      <c r="D924">
        <v>1049</v>
      </c>
      <c r="F924">
        <f t="shared" si="99"/>
        <v>210</v>
      </c>
      <c r="G924" s="20">
        <f t="shared" si="105"/>
        <v>919</v>
      </c>
      <c r="H924" s="21">
        <v>66623030458</v>
      </c>
      <c r="I924" s="22" t="s">
        <v>1028</v>
      </c>
      <c r="J924" s="23"/>
      <c r="K924" s="24">
        <v>1172</v>
      </c>
      <c r="L924" s="23">
        <f t="shared" si="100"/>
        <v>210</v>
      </c>
      <c r="M924" s="24">
        <v>281</v>
      </c>
      <c r="N924" s="25">
        <f t="shared" si="101"/>
        <v>52</v>
      </c>
      <c r="O924" s="24">
        <v>891</v>
      </c>
      <c r="P924" s="23">
        <f t="shared" si="102"/>
        <v>158</v>
      </c>
      <c r="Q924" s="26"/>
      <c r="R924" s="23">
        <f t="shared" si="103"/>
        <v>0</v>
      </c>
      <c r="S924" s="27" t="s">
        <v>860</v>
      </c>
      <c r="T924" s="19" t="s">
        <v>1027</v>
      </c>
    </row>
    <row r="925" spans="1:20" ht="37.5" customHeight="1" x14ac:dyDescent="0.25">
      <c r="A925" s="19" t="s">
        <v>1029</v>
      </c>
      <c r="B925">
        <f t="shared" si="104"/>
        <v>33704</v>
      </c>
      <c r="C925">
        <v>8207</v>
      </c>
      <c r="D925">
        <v>25497</v>
      </c>
      <c r="F925">
        <f t="shared" si="99"/>
        <v>558</v>
      </c>
      <c r="G925" s="20">
        <f t="shared" si="105"/>
        <v>920</v>
      </c>
      <c r="H925" s="21">
        <v>88820040242</v>
      </c>
      <c r="I925" s="22" t="s">
        <v>1030</v>
      </c>
      <c r="J925" s="23"/>
      <c r="K925" s="24">
        <v>33146</v>
      </c>
      <c r="L925" s="23">
        <f t="shared" si="100"/>
        <v>558</v>
      </c>
      <c r="M925" s="24">
        <v>8043</v>
      </c>
      <c r="N925" s="25">
        <f t="shared" si="101"/>
        <v>164</v>
      </c>
      <c r="O925" s="24">
        <v>25103</v>
      </c>
      <c r="P925" s="23">
        <f t="shared" si="102"/>
        <v>394</v>
      </c>
      <c r="Q925" s="26"/>
      <c r="R925" s="23">
        <f t="shared" si="103"/>
        <v>0</v>
      </c>
      <c r="S925" s="27" t="s">
        <v>860</v>
      </c>
      <c r="T925" s="19" t="s">
        <v>1029</v>
      </c>
    </row>
    <row r="926" spans="1:20" ht="37.5" customHeight="1" x14ac:dyDescent="0.25">
      <c r="A926" s="19" t="s">
        <v>1031</v>
      </c>
      <c r="B926">
        <f t="shared" si="104"/>
        <v>61150</v>
      </c>
      <c r="C926">
        <v>13299</v>
      </c>
      <c r="D926">
        <v>47851</v>
      </c>
      <c r="F926">
        <f t="shared" si="99"/>
        <v>470</v>
      </c>
      <c r="G926" s="20">
        <f t="shared" si="105"/>
        <v>921</v>
      </c>
      <c r="H926" s="21">
        <v>23013040424</v>
      </c>
      <c r="I926" s="22" t="s">
        <v>1032</v>
      </c>
      <c r="J926" s="23"/>
      <c r="K926" s="24">
        <v>60680</v>
      </c>
      <c r="L926" s="23">
        <f t="shared" si="100"/>
        <v>470</v>
      </c>
      <c r="M926" s="24">
        <v>13219</v>
      </c>
      <c r="N926" s="25">
        <f t="shared" si="101"/>
        <v>80</v>
      </c>
      <c r="O926" s="24">
        <v>47461</v>
      </c>
      <c r="P926" s="23">
        <f t="shared" si="102"/>
        <v>390</v>
      </c>
      <c r="Q926" s="26"/>
      <c r="R926" s="23">
        <f t="shared" si="103"/>
        <v>0</v>
      </c>
      <c r="S926" s="27" t="s">
        <v>860</v>
      </c>
      <c r="T926" s="19" t="s">
        <v>1031</v>
      </c>
    </row>
    <row r="927" spans="1:20" ht="37.5" customHeight="1" x14ac:dyDescent="0.25">
      <c r="A927" s="19" t="s">
        <v>1033</v>
      </c>
      <c r="B927">
        <f t="shared" si="104"/>
        <v>83384</v>
      </c>
      <c r="C927">
        <v>18087</v>
      </c>
      <c r="D927">
        <v>65297</v>
      </c>
      <c r="F927">
        <f t="shared" si="99"/>
        <v>871</v>
      </c>
      <c r="G927" s="20">
        <f t="shared" si="105"/>
        <v>922</v>
      </c>
      <c r="H927" s="21">
        <v>88818020301</v>
      </c>
      <c r="I927" s="22" t="s">
        <v>1034</v>
      </c>
      <c r="J927" s="23"/>
      <c r="K927" s="24">
        <v>82513</v>
      </c>
      <c r="L927" s="23">
        <f t="shared" si="100"/>
        <v>871</v>
      </c>
      <c r="M927" s="24">
        <v>17965</v>
      </c>
      <c r="N927" s="25">
        <f t="shared" si="101"/>
        <v>122</v>
      </c>
      <c r="O927" s="24">
        <v>64548</v>
      </c>
      <c r="P927" s="23">
        <f t="shared" si="102"/>
        <v>749</v>
      </c>
      <c r="Q927" s="26"/>
      <c r="R927" s="23">
        <f t="shared" si="103"/>
        <v>0</v>
      </c>
      <c r="S927" s="27" t="s">
        <v>860</v>
      </c>
      <c r="T927" s="19" t="s">
        <v>1033</v>
      </c>
    </row>
    <row r="928" spans="1:20" ht="37.5" customHeight="1" x14ac:dyDescent="0.25">
      <c r="A928" s="19" t="s">
        <v>1035</v>
      </c>
      <c r="B928">
        <f t="shared" si="104"/>
        <v>2667</v>
      </c>
      <c r="C928">
        <v>421</v>
      </c>
      <c r="D928">
        <v>2246</v>
      </c>
      <c r="F928">
        <f t="shared" si="99"/>
        <v>52</v>
      </c>
      <c r="G928" s="20">
        <f t="shared" si="105"/>
        <v>923</v>
      </c>
      <c r="H928" s="21">
        <v>66622050601</v>
      </c>
      <c r="I928" s="22" t="s">
        <v>1036</v>
      </c>
      <c r="J928" s="23"/>
      <c r="K928" s="24">
        <v>2615</v>
      </c>
      <c r="L928" s="23">
        <f t="shared" si="100"/>
        <v>52</v>
      </c>
      <c r="M928" s="24">
        <v>409</v>
      </c>
      <c r="N928" s="25">
        <f t="shared" si="101"/>
        <v>12</v>
      </c>
      <c r="O928" s="24">
        <v>2206</v>
      </c>
      <c r="P928" s="23">
        <f t="shared" si="102"/>
        <v>40</v>
      </c>
      <c r="Q928" s="26"/>
      <c r="R928" s="23">
        <f t="shared" si="103"/>
        <v>0</v>
      </c>
      <c r="S928" s="27" t="s">
        <v>860</v>
      </c>
      <c r="T928" s="19" t="s">
        <v>1035</v>
      </c>
    </row>
    <row r="929" spans="1:20" ht="37.5" customHeight="1" x14ac:dyDescent="0.25">
      <c r="A929" s="19" t="s">
        <v>1037</v>
      </c>
      <c r="B929">
        <f t="shared" si="104"/>
        <v>27799</v>
      </c>
      <c r="C929">
        <v>4031</v>
      </c>
      <c r="D929">
        <v>23768</v>
      </c>
      <c r="F929">
        <f t="shared" si="99"/>
        <v>1236</v>
      </c>
      <c r="G929" s="20">
        <f t="shared" si="105"/>
        <v>924</v>
      </c>
      <c r="H929" s="21">
        <v>66623010119</v>
      </c>
      <c r="I929" s="22" t="s">
        <v>1038</v>
      </c>
      <c r="J929" s="23"/>
      <c r="K929" s="24">
        <v>26563</v>
      </c>
      <c r="L929" s="23">
        <f t="shared" si="100"/>
        <v>1236</v>
      </c>
      <c r="M929" s="24">
        <v>3773</v>
      </c>
      <c r="N929" s="25">
        <f t="shared" si="101"/>
        <v>258</v>
      </c>
      <c r="O929" s="24">
        <v>22790</v>
      </c>
      <c r="P929" s="23">
        <f t="shared" si="102"/>
        <v>978</v>
      </c>
      <c r="Q929" s="26"/>
      <c r="R929" s="23">
        <f t="shared" si="103"/>
        <v>0</v>
      </c>
      <c r="S929" s="27" t="s">
        <v>860</v>
      </c>
      <c r="T929" s="19" t="s">
        <v>1037</v>
      </c>
    </row>
    <row r="930" spans="1:20" ht="37.5" customHeight="1" x14ac:dyDescent="0.25">
      <c r="A930" s="19" t="s">
        <v>1039</v>
      </c>
      <c r="B930">
        <f t="shared" si="104"/>
        <v>36365</v>
      </c>
      <c r="C930">
        <v>5396</v>
      </c>
      <c r="D930">
        <v>30969</v>
      </c>
      <c r="F930">
        <f t="shared" si="99"/>
        <v>195</v>
      </c>
      <c r="G930" s="20">
        <f t="shared" si="105"/>
        <v>925</v>
      </c>
      <c r="H930" s="21">
        <v>88819020129</v>
      </c>
      <c r="I930" s="22" t="s">
        <v>1040</v>
      </c>
      <c r="J930" s="23"/>
      <c r="K930" s="24">
        <v>36170</v>
      </c>
      <c r="L930" s="23">
        <f t="shared" si="100"/>
        <v>195</v>
      </c>
      <c r="M930" s="24">
        <v>5369</v>
      </c>
      <c r="N930" s="25">
        <f t="shared" si="101"/>
        <v>27</v>
      </c>
      <c r="O930" s="24">
        <v>30801</v>
      </c>
      <c r="P930" s="23">
        <f t="shared" si="102"/>
        <v>168</v>
      </c>
      <c r="Q930" s="26"/>
      <c r="R930" s="23">
        <f t="shared" si="103"/>
        <v>0</v>
      </c>
      <c r="S930" s="27" t="s">
        <v>18</v>
      </c>
      <c r="T930" s="19" t="s">
        <v>1039</v>
      </c>
    </row>
    <row r="931" spans="1:20" ht="37.5" customHeight="1" x14ac:dyDescent="0.25">
      <c r="A931" s="19" t="s">
        <v>1041</v>
      </c>
      <c r="B931">
        <f t="shared" si="104"/>
        <v>10572</v>
      </c>
      <c r="C931">
        <v>1865</v>
      </c>
      <c r="D931">
        <v>8707</v>
      </c>
      <c r="F931">
        <f t="shared" si="99"/>
        <v>4</v>
      </c>
      <c r="G931" s="20">
        <f t="shared" si="105"/>
        <v>926</v>
      </c>
      <c r="H931" s="21">
        <v>66616031298</v>
      </c>
      <c r="I931" s="22" t="s">
        <v>1042</v>
      </c>
      <c r="J931" s="23"/>
      <c r="K931" s="24">
        <v>10568</v>
      </c>
      <c r="L931" s="23">
        <f t="shared" si="100"/>
        <v>4</v>
      </c>
      <c r="M931" s="24">
        <v>1865</v>
      </c>
      <c r="N931" s="25">
        <f t="shared" si="101"/>
        <v>0</v>
      </c>
      <c r="O931" s="24">
        <v>8703</v>
      </c>
      <c r="P931" s="23">
        <f t="shared" si="102"/>
        <v>4</v>
      </c>
      <c r="Q931" s="26"/>
      <c r="R931" s="23">
        <f t="shared" si="103"/>
        <v>0</v>
      </c>
      <c r="S931" s="27" t="s">
        <v>860</v>
      </c>
      <c r="T931" s="19" t="s">
        <v>1041</v>
      </c>
    </row>
    <row r="932" spans="1:20" ht="37.5" customHeight="1" x14ac:dyDescent="0.25">
      <c r="A932" s="19" t="s">
        <v>1043</v>
      </c>
      <c r="B932">
        <f t="shared" si="104"/>
        <v>13203</v>
      </c>
      <c r="C932">
        <v>2170</v>
      </c>
      <c r="D932">
        <v>11033</v>
      </c>
      <c r="F932">
        <f t="shared" si="99"/>
        <v>0</v>
      </c>
      <c r="G932" s="20">
        <f t="shared" si="105"/>
        <v>927</v>
      </c>
      <c r="H932" s="21">
        <v>66617010303</v>
      </c>
      <c r="I932" s="22" t="s">
        <v>1044</v>
      </c>
      <c r="J932" s="23"/>
      <c r="K932" s="24">
        <v>13203</v>
      </c>
      <c r="L932" s="23">
        <f t="shared" si="100"/>
        <v>0</v>
      </c>
      <c r="M932" s="24">
        <v>2170</v>
      </c>
      <c r="N932" s="25">
        <f t="shared" si="101"/>
        <v>0</v>
      </c>
      <c r="O932" s="24">
        <v>11033</v>
      </c>
      <c r="P932" s="23">
        <f t="shared" si="102"/>
        <v>0</v>
      </c>
      <c r="Q932" s="26"/>
      <c r="R932" s="23">
        <f t="shared" si="103"/>
        <v>0</v>
      </c>
      <c r="S932" s="27" t="s">
        <v>860</v>
      </c>
      <c r="T932" s="19" t="s">
        <v>1043</v>
      </c>
    </row>
    <row r="933" spans="1:20" ht="37.5" customHeight="1" x14ac:dyDescent="0.25">
      <c r="A933" s="19" t="s">
        <v>1045</v>
      </c>
      <c r="B933">
        <f t="shared" si="104"/>
        <v>13648</v>
      </c>
      <c r="C933">
        <v>1859</v>
      </c>
      <c r="D933">
        <v>11789</v>
      </c>
      <c r="F933">
        <f t="shared" si="99"/>
        <v>173</v>
      </c>
      <c r="G933" s="20">
        <f t="shared" si="105"/>
        <v>928</v>
      </c>
      <c r="H933" s="21">
        <v>88819030288</v>
      </c>
      <c r="I933" s="22" t="s">
        <v>1046</v>
      </c>
      <c r="J933" s="23"/>
      <c r="K933" s="24">
        <v>13475</v>
      </c>
      <c r="L933" s="23">
        <f t="shared" si="100"/>
        <v>173</v>
      </c>
      <c r="M933" s="24">
        <v>1835</v>
      </c>
      <c r="N933" s="25">
        <f t="shared" si="101"/>
        <v>24</v>
      </c>
      <c r="O933" s="24">
        <v>11640</v>
      </c>
      <c r="P933" s="23">
        <f t="shared" si="102"/>
        <v>149</v>
      </c>
      <c r="Q933" s="26"/>
      <c r="R933" s="23">
        <f t="shared" si="103"/>
        <v>0</v>
      </c>
      <c r="S933" s="27" t="s">
        <v>860</v>
      </c>
      <c r="T933" s="19" t="s">
        <v>1045</v>
      </c>
    </row>
    <row r="934" spans="1:20" ht="37.5" customHeight="1" x14ac:dyDescent="0.25">
      <c r="A934" s="19" t="s">
        <v>1047</v>
      </c>
      <c r="B934">
        <f t="shared" si="104"/>
        <v>20951</v>
      </c>
      <c r="C934">
        <v>4049</v>
      </c>
      <c r="D934">
        <v>16902</v>
      </c>
      <c r="F934">
        <f t="shared" si="99"/>
        <v>111</v>
      </c>
      <c r="G934" s="20">
        <f t="shared" si="105"/>
        <v>929</v>
      </c>
      <c r="H934" s="21">
        <v>88821080189</v>
      </c>
      <c r="I934" s="22" t="s">
        <v>1048</v>
      </c>
      <c r="J934" s="23"/>
      <c r="K934" s="24">
        <v>20840</v>
      </c>
      <c r="L934" s="23">
        <f t="shared" si="100"/>
        <v>111</v>
      </c>
      <c r="M934" s="24">
        <v>4020</v>
      </c>
      <c r="N934" s="25">
        <f t="shared" si="101"/>
        <v>29</v>
      </c>
      <c r="O934" s="24">
        <v>16820</v>
      </c>
      <c r="P934" s="23">
        <f t="shared" si="102"/>
        <v>82</v>
      </c>
      <c r="Q934" s="26"/>
      <c r="R934" s="23">
        <f t="shared" si="103"/>
        <v>0</v>
      </c>
      <c r="S934" s="27" t="s">
        <v>860</v>
      </c>
      <c r="T934" s="19" t="s">
        <v>1047</v>
      </c>
    </row>
    <row r="935" spans="1:20" ht="37.5" customHeight="1" x14ac:dyDescent="0.25">
      <c r="A935" s="19" t="s">
        <v>1049</v>
      </c>
      <c r="B935">
        <f t="shared" si="104"/>
        <v>8120</v>
      </c>
      <c r="C935">
        <v>2512</v>
      </c>
      <c r="D935">
        <v>5608</v>
      </c>
      <c r="F935">
        <f t="shared" si="99"/>
        <v>15</v>
      </c>
      <c r="G935" s="20">
        <f t="shared" si="105"/>
        <v>930</v>
      </c>
      <c r="H935" s="21">
        <v>23013010212</v>
      </c>
      <c r="I935" s="22" t="s">
        <v>1050</v>
      </c>
      <c r="J935" s="23"/>
      <c r="K935" s="24">
        <v>8105</v>
      </c>
      <c r="L935" s="23">
        <f t="shared" si="100"/>
        <v>15</v>
      </c>
      <c r="M935" s="24">
        <v>2512</v>
      </c>
      <c r="N935" s="25">
        <f t="shared" si="101"/>
        <v>0</v>
      </c>
      <c r="O935" s="24">
        <v>5593</v>
      </c>
      <c r="P935" s="23">
        <f t="shared" si="102"/>
        <v>15</v>
      </c>
      <c r="Q935" s="26"/>
      <c r="R935" s="23">
        <f t="shared" si="103"/>
        <v>0</v>
      </c>
      <c r="S935" s="27" t="s">
        <v>860</v>
      </c>
      <c r="T935" s="19" t="s">
        <v>1049</v>
      </c>
    </row>
    <row r="936" spans="1:20" ht="37.5" customHeight="1" x14ac:dyDescent="0.25">
      <c r="A936" s="19" t="s">
        <v>1051</v>
      </c>
      <c r="B936">
        <f t="shared" si="104"/>
        <v>14208</v>
      </c>
      <c r="C936">
        <v>2895</v>
      </c>
      <c r="D936">
        <v>11313</v>
      </c>
      <c r="F936">
        <f t="shared" si="99"/>
        <v>191</v>
      </c>
      <c r="G936" s="20">
        <f t="shared" si="105"/>
        <v>931</v>
      </c>
      <c r="H936" s="21">
        <v>66622060112</v>
      </c>
      <c r="I936" s="22" t="s">
        <v>1052</v>
      </c>
      <c r="J936" s="23"/>
      <c r="K936" s="24">
        <v>14017</v>
      </c>
      <c r="L936" s="23">
        <f t="shared" si="100"/>
        <v>191</v>
      </c>
      <c r="M936" s="24">
        <v>2865</v>
      </c>
      <c r="N936" s="25">
        <f t="shared" si="101"/>
        <v>30</v>
      </c>
      <c r="O936" s="24">
        <v>11152</v>
      </c>
      <c r="P936" s="23">
        <f t="shared" si="102"/>
        <v>161</v>
      </c>
      <c r="Q936" s="26"/>
      <c r="R936" s="23">
        <f t="shared" si="103"/>
        <v>0</v>
      </c>
      <c r="S936" s="27" t="s">
        <v>18</v>
      </c>
      <c r="T936" s="19" t="s">
        <v>1051</v>
      </c>
    </row>
    <row r="937" spans="1:20" ht="37.5" customHeight="1" x14ac:dyDescent="0.25">
      <c r="A937" s="19" t="s">
        <v>1053</v>
      </c>
      <c r="B937">
        <f t="shared" si="104"/>
        <v>69191</v>
      </c>
      <c r="C937">
        <v>7142</v>
      </c>
      <c r="D937">
        <v>62049</v>
      </c>
      <c r="F937">
        <f t="shared" si="99"/>
        <v>885</v>
      </c>
      <c r="G937" s="20">
        <f t="shared" si="105"/>
        <v>932</v>
      </c>
      <c r="H937" s="21">
        <v>23013010240</v>
      </c>
      <c r="I937" s="22" t="s">
        <v>1054</v>
      </c>
      <c r="J937" s="23"/>
      <c r="K937" s="24">
        <v>68306</v>
      </c>
      <c r="L937" s="23">
        <f t="shared" si="100"/>
        <v>885</v>
      </c>
      <c r="M937" s="24">
        <v>7084</v>
      </c>
      <c r="N937" s="25">
        <f t="shared" si="101"/>
        <v>58</v>
      </c>
      <c r="O937" s="24">
        <v>61222</v>
      </c>
      <c r="P937" s="23">
        <f t="shared" si="102"/>
        <v>827</v>
      </c>
      <c r="Q937" s="26"/>
      <c r="R937" s="23">
        <f t="shared" si="103"/>
        <v>0</v>
      </c>
      <c r="S937" s="27" t="s">
        <v>860</v>
      </c>
      <c r="T937" s="19" t="s">
        <v>1053</v>
      </c>
    </row>
    <row r="938" spans="1:20" ht="37.5" customHeight="1" x14ac:dyDescent="0.25">
      <c r="A938" s="19" t="s">
        <v>1055</v>
      </c>
      <c r="B938">
        <f t="shared" si="104"/>
        <v>118755</v>
      </c>
      <c r="C938">
        <v>19944</v>
      </c>
      <c r="D938">
        <v>98811</v>
      </c>
      <c r="F938">
        <f t="shared" si="99"/>
        <v>405</v>
      </c>
      <c r="G938" s="20">
        <f t="shared" si="105"/>
        <v>933</v>
      </c>
      <c r="H938" s="21">
        <v>23015101263</v>
      </c>
      <c r="I938" s="22" t="s">
        <v>1056</v>
      </c>
      <c r="J938" s="23"/>
      <c r="K938" s="24">
        <v>118350</v>
      </c>
      <c r="L938" s="23">
        <f t="shared" si="100"/>
        <v>405</v>
      </c>
      <c r="M938" s="24">
        <v>19936</v>
      </c>
      <c r="N938" s="25">
        <f t="shared" si="101"/>
        <v>8</v>
      </c>
      <c r="O938" s="24">
        <v>98414</v>
      </c>
      <c r="P938" s="23">
        <f t="shared" si="102"/>
        <v>397</v>
      </c>
      <c r="Q938" s="26"/>
      <c r="R938" s="23">
        <f t="shared" si="103"/>
        <v>0</v>
      </c>
      <c r="S938" s="27" t="s">
        <v>1057</v>
      </c>
      <c r="T938" s="19" t="s">
        <v>1055</v>
      </c>
    </row>
    <row r="939" spans="1:20" ht="37.5" customHeight="1" x14ac:dyDescent="0.25">
      <c r="A939" s="19" t="s">
        <v>1058</v>
      </c>
      <c r="B939">
        <v>84443</v>
      </c>
      <c r="F939">
        <f t="shared" si="99"/>
        <v>110</v>
      </c>
      <c r="G939" s="20">
        <f t="shared" si="105"/>
        <v>934</v>
      </c>
      <c r="H939" s="21">
        <v>11</v>
      </c>
      <c r="I939" s="22" t="s">
        <v>1059</v>
      </c>
      <c r="J939" s="23"/>
      <c r="K939" s="24">
        <v>84333</v>
      </c>
      <c r="L939" s="23">
        <f t="shared" si="100"/>
        <v>110</v>
      </c>
      <c r="M939" s="24"/>
      <c r="N939" s="25">
        <f t="shared" si="101"/>
        <v>0</v>
      </c>
      <c r="O939" s="24"/>
      <c r="P939" s="23">
        <f t="shared" si="102"/>
        <v>0</v>
      </c>
      <c r="Q939" s="26"/>
      <c r="R939" s="23">
        <f t="shared" si="103"/>
        <v>0</v>
      </c>
      <c r="S939" s="27" t="s">
        <v>1057</v>
      </c>
      <c r="T939" s="19" t="s">
        <v>1058</v>
      </c>
    </row>
    <row r="940" spans="1:20" ht="37.5" customHeight="1" x14ac:dyDescent="0.25">
      <c r="A940" s="19" t="s">
        <v>1060</v>
      </c>
      <c r="B940">
        <v>4948</v>
      </c>
      <c r="F940">
        <f t="shared" si="99"/>
        <v>188</v>
      </c>
      <c r="G940" s="20">
        <f t="shared" si="105"/>
        <v>935</v>
      </c>
      <c r="H940" s="21">
        <v>11818020189</v>
      </c>
      <c r="I940" s="22" t="s">
        <v>1061</v>
      </c>
      <c r="J940" s="23"/>
      <c r="K940" s="24">
        <v>4760</v>
      </c>
      <c r="L940" s="23">
        <f t="shared" si="100"/>
        <v>188</v>
      </c>
      <c r="M940" s="24"/>
      <c r="N940" s="25">
        <f t="shared" si="101"/>
        <v>0</v>
      </c>
      <c r="O940" s="24"/>
      <c r="P940" s="23">
        <f t="shared" si="102"/>
        <v>0</v>
      </c>
      <c r="Q940" s="26"/>
      <c r="R940" s="23">
        <f t="shared" si="103"/>
        <v>0</v>
      </c>
      <c r="S940" s="27" t="s">
        <v>1057</v>
      </c>
      <c r="T940" s="19" t="s">
        <v>1060</v>
      </c>
    </row>
    <row r="941" spans="1:20" ht="37.5" customHeight="1" x14ac:dyDescent="0.25">
      <c r="A941" s="19" t="s">
        <v>1062</v>
      </c>
      <c r="B941">
        <v>99603</v>
      </c>
      <c r="F941">
        <f t="shared" si="99"/>
        <v>2066</v>
      </c>
      <c r="G941" s="20">
        <f t="shared" si="105"/>
        <v>936</v>
      </c>
      <c r="H941" s="21">
        <v>128</v>
      </c>
      <c r="I941" s="22" t="s">
        <v>1063</v>
      </c>
      <c r="J941" s="23"/>
      <c r="K941" s="24">
        <v>97537</v>
      </c>
      <c r="L941" s="23">
        <f t="shared" si="100"/>
        <v>2066</v>
      </c>
      <c r="M941" s="24"/>
      <c r="N941" s="25">
        <f t="shared" si="101"/>
        <v>0</v>
      </c>
      <c r="O941" s="24"/>
      <c r="P941" s="23">
        <f t="shared" si="102"/>
        <v>0</v>
      </c>
      <c r="Q941" s="26"/>
      <c r="R941" s="23">
        <f t="shared" si="103"/>
        <v>0</v>
      </c>
      <c r="S941" s="27" t="s">
        <v>1057</v>
      </c>
      <c r="T941" s="19" t="s">
        <v>1062</v>
      </c>
    </row>
    <row r="942" spans="1:20" ht="37.5" customHeight="1" x14ac:dyDescent="0.25">
      <c r="A942" s="19" t="s">
        <v>1064</v>
      </c>
      <c r="B942">
        <f t="shared" si="104"/>
        <v>187425</v>
      </c>
      <c r="C942">
        <v>65627</v>
      </c>
      <c r="D942">
        <v>121798</v>
      </c>
      <c r="F942">
        <f t="shared" si="99"/>
        <v>1991</v>
      </c>
      <c r="G942" s="20">
        <f t="shared" si="105"/>
        <v>937</v>
      </c>
      <c r="H942" s="21">
        <v>23014060990</v>
      </c>
      <c r="I942" s="22" t="s">
        <v>1065</v>
      </c>
      <c r="J942" s="23"/>
      <c r="K942" s="24">
        <v>185434</v>
      </c>
      <c r="L942" s="23">
        <f t="shared" si="100"/>
        <v>1991</v>
      </c>
      <c r="M942" s="24">
        <v>64858</v>
      </c>
      <c r="N942" s="25">
        <f t="shared" si="101"/>
        <v>769</v>
      </c>
      <c r="O942" s="24">
        <v>120576</v>
      </c>
      <c r="P942" s="23">
        <f t="shared" si="102"/>
        <v>1222</v>
      </c>
      <c r="Q942" s="26"/>
      <c r="R942" s="23">
        <f t="shared" si="103"/>
        <v>0</v>
      </c>
      <c r="S942" s="27" t="s">
        <v>1057</v>
      </c>
      <c r="T942" s="19" t="s">
        <v>1064</v>
      </c>
    </row>
    <row r="943" spans="1:20" ht="37.5" customHeight="1" x14ac:dyDescent="0.25">
      <c r="A943" s="19" t="s">
        <v>1066</v>
      </c>
      <c r="B943">
        <f t="shared" si="104"/>
        <v>7847</v>
      </c>
      <c r="C943">
        <v>2458</v>
      </c>
      <c r="D943">
        <v>5389</v>
      </c>
      <c r="F943">
        <f t="shared" si="99"/>
        <v>79</v>
      </c>
      <c r="G943" s="20">
        <f t="shared" si="105"/>
        <v>938</v>
      </c>
      <c r="H943" s="21">
        <v>68228106739</v>
      </c>
      <c r="I943" s="22" t="s">
        <v>1067</v>
      </c>
      <c r="J943" s="23"/>
      <c r="K943" s="24">
        <v>7768</v>
      </c>
      <c r="L943" s="23">
        <f t="shared" si="100"/>
        <v>79</v>
      </c>
      <c r="M943" s="24">
        <v>2435</v>
      </c>
      <c r="N943" s="25">
        <f t="shared" si="101"/>
        <v>23</v>
      </c>
      <c r="O943" s="24">
        <v>5333</v>
      </c>
      <c r="P943" s="23">
        <f t="shared" si="102"/>
        <v>56</v>
      </c>
      <c r="Q943" s="26"/>
      <c r="R943" s="23">
        <f t="shared" si="103"/>
        <v>0</v>
      </c>
      <c r="S943" s="27" t="s">
        <v>1057</v>
      </c>
      <c r="T943" s="19" t="s">
        <v>1066</v>
      </c>
    </row>
    <row r="944" spans="1:20" ht="37.5" customHeight="1" x14ac:dyDescent="0.25">
      <c r="A944" s="19" t="s">
        <v>1068</v>
      </c>
      <c r="B944">
        <f t="shared" si="104"/>
        <v>44339</v>
      </c>
      <c r="C944">
        <v>12202</v>
      </c>
      <c r="D944">
        <v>32137</v>
      </c>
      <c r="F944">
        <f t="shared" si="99"/>
        <v>2808</v>
      </c>
      <c r="G944" s="20">
        <f t="shared" si="105"/>
        <v>939</v>
      </c>
      <c r="H944" s="21">
        <v>66621100245</v>
      </c>
      <c r="I944" s="22" t="s">
        <v>1069</v>
      </c>
      <c r="J944" s="23"/>
      <c r="K944" s="24">
        <v>41531</v>
      </c>
      <c r="L944" s="23">
        <f t="shared" si="100"/>
        <v>2808</v>
      </c>
      <c r="M944" s="24">
        <v>11353</v>
      </c>
      <c r="N944" s="25">
        <f t="shared" si="101"/>
        <v>849</v>
      </c>
      <c r="O944" s="24">
        <v>30178</v>
      </c>
      <c r="P944" s="23">
        <f t="shared" si="102"/>
        <v>1959</v>
      </c>
      <c r="Q944" s="26"/>
      <c r="R944" s="23">
        <f t="shared" si="103"/>
        <v>0</v>
      </c>
      <c r="S944" s="27" t="s">
        <v>1057</v>
      </c>
      <c r="T944" s="19" t="s">
        <v>1068</v>
      </c>
    </row>
    <row r="945" spans="1:20" ht="37.5" customHeight="1" x14ac:dyDescent="0.25">
      <c r="A945" s="19" t="s">
        <v>1070</v>
      </c>
      <c r="F945">
        <f t="shared" si="99"/>
        <v>-150666</v>
      </c>
      <c r="G945" s="20">
        <f t="shared" si="105"/>
        <v>940</v>
      </c>
      <c r="H945" s="21">
        <v>23014010585</v>
      </c>
      <c r="I945" s="22" t="s">
        <v>1071</v>
      </c>
      <c r="J945" s="23"/>
      <c r="K945" s="24">
        <v>150666</v>
      </c>
      <c r="L945" s="23">
        <f t="shared" si="100"/>
        <v>-150666</v>
      </c>
      <c r="M945" s="24"/>
      <c r="N945" s="25">
        <f t="shared" si="101"/>
        <v>0</v>
      </c>
      <c r="O945" s="24"/>
      <c r="P945" s="23">
        <f t="shared" si="102"/>
        <v>0</v>
      </c>
      <c r="Q945" s="26"/>
      <c r="R945" s="23">
        <f t="shared" si="103"/>
        <v>0</v>
      </c>
      <c r="S945" s="27" t="s">
        <v>1057</v>
      </c>
      <c r="T945" s="19" t="s">
        <v>1070</v>
      </c>
    </row>
    <row r="946" spans="1:20" ht="37.5" customHeight="1" x14ac:dyDescent="0.25">
      <c r="A946" s="19" t="s">
        <v>1072</v>
      </c>
      <c r="B946">
        <f t="shared" si="104"/>
        <v>36640</v>
      </c>
      <c r="C946">
        <v>6786</v>
      </c>
      <c r="D946">
        <v>29854</v>
      </c>
      <c r="F946">
        <f t="shared" si="99"/>
        <v>30</v>
      </c>
      <c r="G946" s="20">
        <f t="shared" si="105"/>
        <v>941</v>
      </c>
      <c r="H946" s="21">
        <v>23014090436</v>
      </c>
      <c r="I946" s="22" t="s">
        <v>1073</v>
      </c>
      <c r="J946" s="23"/>
      <c r="K946" s="24">
        <v>36610</v>
      </c>
      <c r="L946" s="23">
        <f t="shared" si="100"/>
        <v>30</v>
      </c>
      <c r="M946" s="24">
        <v>6786</v>
      </c>
      <c r="N946" s="25">
        <f t="shared" si="101"/>
        <v>0</v>
      </c>
      <c r="O946" s="24">
        <v>29824</v>
      </c>
      <c r="P946" s="23">
        <f t="shared" si="102"/>
        <v>30</v>
      </c>
      <c r="Q946" s="26"/>
      <c r="R946" s="23">
        <f t="shared" si="103"/>
        <v>0</v>
      </c>
      <c r="S946" s="27" t="s">
        <v>1057</v>
      </c>
      <c r="T946" s="19" t="s">
        <v>1072</v>
      </c>
    </row>
    <row r="947" spans="1:20" ht="37.5" customHeight="1" x14ac:dyDescent="0.25">
      <c r="A947" s="19" t="s">
        <v>1074</v>
      </c>
      <c r="B947">
        <v>24727</v>
      </c>
      <c r="F947">
        <f t="shared" si="99"/>
        <v>21</v>
      </c>
      <c r="G947" s="20">
        <f t="shared" si="105"/>
        <v>942</v>
      </c>
      <c r="H947" s="21">
        <v>9</v>
      </c>
      <c r="I947" s="22" t="s">
        <v>1075</v>
      </c>
      <c r="J947" s="23"/>
      <c r="K947" s="24">
        <v>24706</v>
      </c>
      <c r="L947" s="23">
        <f t="shared" si="100"/>
        <v>21</v>
      </c>
      <c r="M947" s="24"/>
      <c r="N947" s="25">
        <f t="shared" si="101"/>
        <v>0</v>
      </c>
      <c r="O947" s="24"/>
      <c r="P947" s="23">
        <f t="shared" si="102"/>
        <v>0</v>
      </c>
      <c r="Q947" s="26"/>
      <c r="R947" s="23">
        <f t="shared" si="103"/>
        <v>0</v>
      </c>
      <c r="S947" s="27" t="s">
        <v>1057</v>
      </c>
      <c r="T947" s="19" t="s">
        <v>1074</v>
      </c>
    </row>
    <row r="948" spans="1:20" ht="33.75" customHeight="1" x14ac:dyDescent="0.25"/>
    <row r="949" spans="1:20" ht="33.75" customHeight="1" x14ac:dyDescent="0.25"/>
    <row r="950" spans="1:20" ht="33.75" customHeight="1" x14ac:dyDescent="0.25"/>
    <row r="951" spans="1:20" ht="33.75" customHeight="1" x14ac:dyDescent="0.25"/>
    <row r="952" spans="1:20" ht="33.75" customHeight="1" x14ac:dyDescent="0.25"/>
    <row r="953" spans="1:20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F1:F1048576 L1:L1048576 N1:N1048576 P1:P1048576 R1:R1048576">
    <cfRule type="cellIs" dxfId="12" priority="7" operator="lessThan">
      <formula>0</formula>
    </cfRule>
  </conditionalFormatting>
  <conditionalFormatting sqref="F1:F1048576">
    <cfRule type="cellIs" dxfId="0" priority="6" operator="greaterThan">
      <formula>2000</formula>
    </cfRule>
    <cfRule type="cellIs" dxfId="1" priority="5" operator="greaterThan">
      <formula>4000</formula>
    </cfRule>
    <cfRule type="cellIs" dxfId="2" priority="1" operator="equal">
      <formula>0</formula>
    </cfRule>
  </conditionalFormatting>
  <conditionalFormatting sqref="R1:R1048576">
    <cfRule type="cellIs" dxfId="11" priority="4" operator="greaterThan">
      <formula>2000</formula>
    </cfRule>
    <cfRule type="cellIs" dxfId="10" priority="3" operator="greaterThan">
      <formula>4000</formula>
    </cfRule>
  </conditionalFormatting>
  <conditionalFormatting sqref="H1:H1048576">
    <cfRule type="beginsWith" dxfId="9" priority="2" operator="beginsWith" text="99">
      <formula>LEFT(H1,LEN("99"))="99"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Umar</vt:lpstr>
      <vt:lpstr>Umar!Print_Area</vt:lpstr>
      <vt:lpstr>Umar!Print_Titles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2025-04-22T04:43:11Z</dcterms:created>
  <dcterms:modified xsi:type="dcterms:W3CDTF">2025-04-23T06:50:43Z</dcterms:modified>
</cp:coreProperties>
</file>