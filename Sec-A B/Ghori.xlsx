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mad\Desktop\Import Reading\02-Checked\"/>
    </mc:Choice>
  </mc:AlternateContent>
  <bookViews>
    <workbookView xWindow="0" yWindow="0" windowWidth="24000" windowHeight="9735"/>
  </bookViews>
  <sheets>
    <sheet name="Ghori" sheetId="1" r:id="rId1"/>
  </sheets>
  <definedNames>
    <definedName name="_xlnm.Print_Area" localSheetId="0">Ghori!$A$1:$T$270</definedName>
    <definedName name="_xlnm.Print_Titles" localSheetId="0">Ghori!$4:$5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4" i="1" l="1"/>
  <c r="B204" i="1"/>
  <c r="R270" i="1" l="1"/>
  <c r="P270" i="1"/>
  <c r="N270" i="1"/>
  <c r="B270" i="1"/>
  <c r="L270" i="1" s="1"/>
  <c r="F270" i="1" s="1"/>
  <c r="R269" i="1"/>
  <c r="P269" i="1"/>
  <c r="N269" i="1"/>
  <c r="L269" i="1"/>
  <c r="F269" i="1" s="1"/>
  <c r="B269" i="1"/>
  <c r="R268" i="1"/>
  <c r="P268" i="1"/>
  <c r="N268" i="1"/>
  <c r="B268" i="1"/>
  <c r="L268" i="1" s="1"/>
  <c r="F268" i="1" s="1"/>
  <c r="R267" i="1"/>
  <c r="P267" i="1"/>
  <c r="N267" i="1"/>
  <c r="L267" i="1"/>
  <c r="F267" i="1" s="1"/>
  <c r="R266" i="1"/>
  <c r="P266" i="1"/>
  <c r="N266" i="1"/>
  <c r="B266" i="1"/>
  <c r="L266" i="1" s="1"/>
  <c r="F266" i="1" s="1"/>
  <c r="R265" i="1"/>
  <c r="P265" i="1"/>
  <c r="N265" i="1"/>
  <c r="B265" i="1"/>
  <c r="L265" i="1" s="1"/>
  <c r="F265" i="1" s="1"/>
  <c r="R264" i="1"/>
  <c r="P264" i="1"/>
  <c r="N264" i="1"/>
  <c r="L264" i="1"/>
  <c r="F264" i="1" s="1"/>
  <c r="R263" i="1"/>
  <c r="P263" i="1"/>
  <c r="N263" i="1"/>
  <c r="B263" i="1"/>
  <c r="L263" i="1" s="1"/>
  <c r="F263" i="1" s="1"/>
  <c r="R262" i="1"/>
  <c r="P262" i="1"/>
  <c r="N262" i="1"/>
  <c r="B262" i="1"/>
  <c r="L262" i="1" s="1"/>
  <c r="F262" i="1" s="1"/>
  <c r="R261" i="1"/>
  <c r="P261" i="1"/>
  <c r="N261" i="1"/>
  <c r="L261" i="1"/>
  <c r="F261" i="1" s="1"/>
  <c r="R260" i="1"/>
  <c r="P260" i="1"/>
  <c r="N260" i="1"/>
  <c r="B260" i="1"/>
  <c r="L260" i="1" s="1"/>
  <c r="F260" i="1" s="1"/>
  <c r="R259" i="1"/>
  <c r="P259" i="1"/>
  <c r="N259" i="1"/>
  <c r="B259" i="1"/>
  <c r="L259" i="1" s="1"/>
  <c r="F259" i="1" s="1"/>
  <c r="R258" i="1"/>
  <c r="P258" i="1"/>
  <c r="N258" i="1"/>
  <c r="B258" i="1"/>
  <c r="L258" i="1" s="1"/>
  <c r="F258" i="1" s="1"/>
  <c r="R257" i="1"/>
  <c r="P257" i="1"/>
  <c r="N257" i="1"/>
  <c r="L257" i="1"/>
  <c r="F257" i="1" s="1"/>
  <c r="R256" i="1"/>
  <c r="P256" i="1"/>
  <c r="N256" i="1"/>
  <c r="L256" i="1"/>
  <c r="F256" i="1" s="1"/>
  <c r="R255" i="1"/>
  <c r="P255" i="1"/>
  <c r="N255" i="1"/>
  <c r="L255" i="1"/>
  <c r="F255" i="1" s="1"/>
  <c r="R254" i="1"/>
  <c r="P254" i="1"/>
  <c r="N254" i="1"/>
  <c r="L254" i="1"/>
  <c r="F254" i="1" s="1"/>
  <c r="R253" i="1"/>
  <c r="P253" i="1"/>
  <c r="N253" i="1"/>
  <c r="L253" i="1"/>
  <c r="F253" i="1" s="1"/>
  <c r="R252" i="1"/>
  <c r="P252" i="1"/>
  <c r="N252" i="1"/>
  <c r="F252" i="1"/>
  <c r="L252" i="1"/>
  <c r="R251" i="1"/>
  <c r="P251" i="1"/>
  <c r="N251" i="1"/>
  <c r="L251" i="1"/>
  <c r="F251" i="1" s="1"/>
  <c r="R250" i="1"/>
  <c r="P250" i="1"/>
  <c r="N250" i="1"/>
  <c r="L250" i="1"/>
  <c r="F250" i="1" s="1"/>
  <c r="R249" i="1"/>
  <c r="P249" i="1"/>
  <c r="N249" i="1"/>
  <c r="L249" i="1"/>
  <c r="F249" i="1" s="1"/>
  <c r="R248" i="1"/>
  <c r="P248" i="1"/>
  <c r="N248" i="1"/>
  <c r="L248" i="1"/>
  <c r="F248" i="1" s="1"/>
  <c r="R247" i="1"/>
  <c r="P247" i="1"/>
  <c r="N247" i="1"/>
  <c r="L247" i="1"/>
  <c r="F247" i="1" s="1"/>
  <c r="R246" i="1"/>
  <c r="P246" i="1"/>
  <c r="N246" i="1"/>
  <c r="L246" i="1"/>
  <c r="F246" i="1" s="1"/>
  <c r="R245" i="1"/>
  <c r="P245" i="1"/>
  <c r="N245" i="1"/>
  <c r="L245" i="1"/>
  <c r="F245" i="1" s="1"/>
  <c r="R244" i="1"/>
  <c r="P244" i="1"/>
  <c r="N244" i="1"/>
  <c r="L244" i="1"/>
  <c r="F244" i="1" s="1"/>
  <c r="R243" i="1"/>
  <c r="P243" i="1"/>
  <c r="N243" i="1"/>
  <c r="L243" i="1"/>
  <c r="F243" i="1" s="1"/>
  <c r="R242" i="1"/>
  <c r="P242" i="1"/>
  <c r="N242" i="1"/>
  <c r="L242" i="1"/>
  <c r="F242" i="1" s="1"/>
  <c r="R241" i="1"/>
  <c r="P241" i="1"/>
  <c r="N241" i="1"/>
  <c r="L241" i="1"/>
  <c r="F241" i="1" s="1"/>
  <c r="R240" i="1"/>
  <c r="P240" i="1"/>
  <c r="N240" i="1"/>
  <c r="L240" i="1"/>
  <c r="F240" i="1" s="1"/>
  <c r="R239" i="1"/>
  <c r="P239" i="1"/>
  <c r="N239" i="1"/>
  <c r="L239" i="1"/>
  <c r="F239" i="1" s="1"/>
  <c r="R238" i="1"/>
  <c r="P238" i="1"/>
  <c r="N238" i="1"/>
  <c r="L238" i="1"/>
  <c r="F238" i="1" s="1"/>
  <c r="R237" i="1"/>
  <c r="P237" i="1"/>
  <c r="N237" i="1"/>
  <c r="L237" i="1"/>
  <c r="F237" i="1" s="1"/>
  <c r="R236" i="1"/>
  <c r="P236" i="1"/>
  <c r="N236" i="1"/>
  <c r="L236" i="1"/>
  <c r="F236" i="1" s="1"/>
  <c r="R235" i="1"/>
  <c r="P235" i="1"/>
  <c r="N235" i="1"/>
  <c r="L235" i="1"/>
  <c r="F235" i="1" s="1"/>
  <c r="R234" i="1"/>
  <c r="P234" i="1"/>
  <c r="N234" i="1"/>
  <c r="L234" i="1"/>
  <c r="F234" i="1" s="1"/>
  <c r="R233" i="1"/>
  <c r="P233" i="1"/>
  <c r="N233" i="1"/>
  <c r="L233" i="1"/>
  <c r="F233" i="1" s="1"/>
  <c r="R232" i="1"/>
  <c r="P232" i="1"/>
  <c r="N232" i="1"/>
  <c r="L232" i="1"/>
  <c r="F232" i="1" s="1"/>
  <c r="R231" i="1"/>
  <c r="P231" i="1"/>
  <c r="N231" i="1"/>
  <c r="K231" i="1"/>
  <c r="B231" i="1"/>
  <c r="L231" i="1" s="1"/>
  <c r="F231" i="1" s="1"/>
  <c r="R230" i="1"/>
  <c r="P230" i="1"/>
  <c r="N230" i="1"/>
  <c r="K230" i="1"/>
  <c r="B230" i="1"/>
  <c r="R229" i="1"/>
  <c r="P229" i="1"/>
  <c r="N229" i="1"/>
  <c r="K229" i="1"/>
  <c r="B229" i="1"/>
  <c r="L229" i="1" s="1"/>
  <c r="F229" i="1" s="1"/>
  <c r="R228" i="1"/>
  <c r="P228" i="1"/>
  <c r="N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B225" i="1"/>
  <c r="L225" i="1" s="1"/>
  <c r="F225" i="1" s="1"/>
  <c r="R224" i="1"/>
  <c r="P224" i="1"/>
  <c r="N224" i="1"/>
  <c r="K224" i="1"/>
  <c r="B224" i="1"/>
  <c r="R223" i="1"/>
  <c r="P223" i="1"/>
  <c r="N223" i="1"/>
  <c r="K223" i="1"/>
  <c r="B223" i="1"/>
  <c r="R222" i="1"/>
  <c r="P222" i="1"/>
  <c r="N222" i="1"/>
  <c r="B222" i="1"/>
  <c r="L222" i="1" s="1"/>
  <c r="F222" i="1" s="1"/>
  <c r="R221" i="1"/>
  <c r="P221" i="1"/>
  <c r="N221" i="1"/>
  <c r="K221" i="1"/>
  <c r="B221" i="1"/>
  <c r="L221" i="1" s="1"/>
  <c r="F221" i="1" s="1"/>
  <c r="R220" i="1"/>
  <c r="P220" i="1"/>
  <c r="N220" i="1"/>
  <c r="B220" i="1"/>
  <c r="L220" i="1" s="1"/>
  <c r="F220" i="1" s="1"/>
  <c r="R219" i="1"/>
  <c r="P219" i="1"/>
  <c r="N219" i="1"/>
  <c r="B219" i="1"/>
  <c r="L219" i="1" s="1"/>
  <c r="F219" i="1" s="1"/>
  <c r="R218" i="1"/>
  <c r="P218" i="1"/>
  <c r="N218" i="1"/>
  <c r="B218" i="1"/>
  <c r="L218" i="1" s="1"/>
  <c r="F218" i="1" s="1"/>
  <c r="R217" i="1"/>
  <c r="P217" i="1"/>
  <c r="N217" i="1"/>
  <c r="B217" i="1"/>
  <c r="L217" i="1" s="1"/>
  <c r="F217" i="1" s="1"/>
  <c r="R216" i="1"/>
  <c r="P216" i="1"/>
  <c r="N216" i="1"/>
  <c r="L216" i="1"/>
  <c r="F216" i="1" s="1"/>
  <c r="B216" i="1"/>
  <c r="R215" i="1"/>
  <c r="P215" i="1"/>
  <c r="N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B213" i="1"/>
  <c r="L213" i="1" s="1"/>
  <c r="F213" i="1" s="1"/>
  <c r="R212" i="1"/>
  <c r="P212" i="1"/>
  <c r="N212" i="1"/>
  <c r="B212" i="1"/>
  <c r="L212" i="1" s="1"/>
  <c r="F212" i="1" s="1"/>
  <c r="R211" i="1"/>
  <c r="P211" i="1"/>
  <c r="N211" i="1"/>
  <c r="B211" i="1"/>
  <c r="L211" i="1" s="1"/>
  <c r="F211" i="1" s="1"/>
  <c r="R210" i="1"/>
  <c r="P210" i="1"/>
  <c r="N210" i="1"/>
  <c r="B210" i="1"/>
  <c r="L210" i="1" s="1"/>
  <c r="F210" i="1" s="1"/>
  <c r="R209" i="1"/>
  <c r="P209" i="1"/>
  <c r="N209" i="1"/>
  <c r="B209" i="1"/>
  <c r="L209" i="1" s="1"/>
  <c r="F209" i="1" s="1"/>
  <c r="R208" i="1"/>
  <c r="P208" i="1"/>
  <c r="N208" i="1"/>
  <c r="K208" i="1"/>
  <c r="B208" i="1"/>
  <c r="L208" i="1" s="1"/>
  <c r="F208" i="1" s="1"/>
  <c r="R207" i="1"/>
  <c r="P207" i="1"/>
  <c r="N207" i="1"/>
  <c r="K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B205" i="1"/>
  <c r="L205" i="1" s="1"/>
  <c r="F205" i="1" s="1"/>
  <c r="R204" i="1"/>
  <c r="P204" i="1"/>
  <c r="N204" i="1"/>
  <c r="L204" i="1"/>
  <c r="R203" i="1"/>
  <c r="P203" i="1"/>
  <c r="N203" i="1"/>
  <c r="F203" i="1"/>
  <c r="B203" i="1"/>
  <c r="L203" i="1" s="1"/>
  <c r="R202" i="1"/>
  <c r="P202" i="1"/>
  <c r="N202" i="1"/>
  <c r="B202" i="1"/>
  <c r="L202" i="1" s="1"/>
  <c r="F202" i="1" s="1"/>
  <c r="R201" i="1"/>
  <c r="P201" i="1"/>
  <c r="N201" i="1"/>
  <c r="L201" i="1"/>
  <c r="F201" i="1" s="1"/>
  <c r="B201" i="1"/>
  <c r="R200" i="1"/>
  <c r="P200" i="1"/>
  <c r="N200" i="1"/>
  <c r="B200" i="1"/>
  <c r="L200" i="1" s="1"/>
  <c r="F200" i="1" s="1"/>
  <c r="R199" i="1"/>
  <c r="P199" i="1"/>
  <c r="N199" i="1"/>
  <c r="B199" i="1"/>
  <c r="L199" i="1" s="1"/>
  <c r="F199" i="1" s="1"/>
  <c r="R198" i="1"/>
  <c r="P198" i="1"/>
  <c r="N198" i="1"/>
  <c r="K198" i="1"/>
  <c r="B198" i="1"/>
  <c r="L198" i="1" s="1"/>
  <c r="F198" i="1" s="1"/>
  <c r="R197" i="1"/>
  <c r="P197" i="1"/>
  <c r="N197" i="1"/>
  <c r="L197" i="1"/>
  <c r="F197" i="1" s="1"/>
  <c r="B197" i="1"/>
  <c r="R196" i="1"/>
  <c r="P196" i="1"/>
  <c r="N196" i="1"/>
  <c r="B196" i="1"/>
  <c r="L196" i="1" s="1"/>
  <c r="F196" i="1" s="1"/>
  <c r="R195" i="1"/>
  <c r="P195" i="1"/>
  <c r="N195" i="1"/>
  <c r="F195" i="1"/>
  <c r="B195" i="1"/>
  <c r="L195" i="1" s="1"/>
  <c r="R194" i="1"/>
  <c r="P194" i="1"/>
  <c r="N194" i="1"/>
  <c r="B194" i="1"/>
  <c r="L194" i="1" s="1"/>
  <c r="F194" i="1" s="1"/>
  <c r="R193" i="1"/>
  <c r="P193" i="1"/>
  <c r="N193" i="1"/>
  <c r="K193" i="1"/>
  <c r="B193" i="1"/>
  <c r="L193" i="1" s="1"/>
  <c r="F193" i="1" s="1"/>
  <c r="R192" i="1"/>
  <c r="P192" i="1"/>
  <c r="N192" i="1"/>
  <c r="K192" i="1"/>
  <c r="B192" i="1"/>
  <c r="R191" i="1"/>
  <c r="P191" i="1"/>
  <c r="N191" i="1"/>
  <c r="B191" i="1"/>
  <c r="L191" i="1" s="1"/>
  <c r="F191" i="1" s="1"/>
  <c r="R190" i="1"/>
  <c r="P190" i="1"/>
  <c r="N190" i="1"/>
  <c r="B190" i="1"/>
  <c r="L190" i="1" s="1"/>
  <c r="F190" i="1" s="1"/>
  <c r="R189" i="1"/>
  <c r="P189" i="1"/>
  <c r="N189" i="1"/>
  <c r="B189" i="1"/>
  <c r="R188" i="1"/>
  <c r="P188" i="1"/>
  <c r="N188" i="1"/>
  <c r="B188" i="1"/>
  <c r="L188" i="1" s="1"/>
  <c r="F188" i="1" s="1"/>
  <c r="R187" i="1"/>
  <c r="P187" i="1"/>
  <c r="N187" i="1"/>
  <c r="K187" i="1"/>
  <c r="B187" i="1"/>
  <c r="R186" i="1"/>
  <c r="P186" i="1"/>
  <c r="N186" i="1"/>
  <c r="B186" i="1"/>
  <c r="L186" i="1" s="1"/>
  <c r="F186" i="1" s="1"/>
  <c r="R185" i="1"/>
  <c r="P185" i="1"/>
  <c r="N185" i="1"/>
  <c r="K185" i="1"/>
  <c r="B185" i="1"/>
  <c r="R184" i="1"/>
  <c r="P184" i="1"/>
  <c r="N184" i="1"/>
  <c r="B184" i="1"/>
  <c r="L184" i="1" s="1"/>
  <c r="F184" i="1" s="1"/>
  <c r="R183" i="1"/>
  <c r="P183" i="1"/>
  <c r="N183" i="1"/>
  <c r="B183" i="1"/>
  <c r="L183" i="1" s="1"/>
  <c r="F183" i="1" s="1"/>
  <c r="R182" i="1"/>
  <c r="P182" i="1"/>
  <c r="N182" i="1"/>
  <c r="K182" i="1"/>
  <c r="B182" i="1"/>
  <c r="L182" i="1" s="1"/>
  <c r="F182" i="1" s="1"/>
  <c r="R181" i="1"/>
  <c r="P181" i="1"/>
  <c r="N181" i="1"/>
  <c r="F181" i="1"/>
  <c r="B181" i="1"/>
  <c r="L181" i="1" s="1"/>
  <c r="R180" i="1"/>
  <c r="P180" i="1"/>
  <c r="N180" i="1"/>
  <c r="K180" i="1"/>
  <c r="B180" i="1"/>
  <c r="L180" i="1" s="1"/>
  <c r="F180" i="1" s="1"/>
  <c r="R179" i="1"/>
  <c r="P179" i="1"/>
  <c r="N179" i="1"/>
  <c r="K179" i="1"/>
  <c r="B179" i="1"/>
  <c r="R178" i="1"/>
  <c r="P178" i="1"/>
  <c r="N178" i="1"/>
  <c r="K178" i="1"/>
  <c r="B178" i="1"/>
  <c r="L178" i="1" s="1"/>
  <c r="F178" i="1" s="1"/>
  <c r="R177" i="1"/>
  <c r="P177" i="1"/>
  <c r="N177" i="1"/>
  <c r="K177" i="1"/>
  <c r="B177" i="1"/>
  <c r="L177" i="1" s="1"/>
  <c r="F177" i="1" s="1"/>
  <c r="R176" i="1"/>
  <c r="P176" i="1"/>
  <c r="N176" i="1"/>
  <c r="B176" i="1"/>
  <c r="L176" i="1" s="1"/>
  <c r="F176" i="1" s="1"/>
  <c r="R175" i="1"/>
  <c r="P175" i="1"/>
  <c r="N175" i="1"/>
  <c r="B175" i="1"/>
  <c r="L175" i="1" s="1"/>
  <c r="F175" i="1" s="1"/>
  <c r="R174" i="1"/>
  <c r="P174" i="1"/>
  <c r="N174" i="1"/>
  <c r="B174" i="1"/>
  <c r="L174" i="1" s="1"/>
  <c r="F174" i="1" s="1"/>
  <c r="R173" i="1"/>
  <c r="P173" i="1"/>
  <c r="N173" i="1"/>
  <c r="B173" i="1"/>
  <c r="L173" i="1" s="1"/>
  <c r="F173" i="1" s="1"/>
  <c r="R172" i="1"/>
  <c r="P172" i="1"/>
  <c r="N172" i="1"/>
  <c r="K172" i="1"/>
  <c r="B172" i="1"/>
  <c r="R171" i="1"/>
  <c r="P171" i="1"/>
  <c r="N171" i="1"/>
  <c r="B171" i="1"/>
  <c r="L171" i="1" s="1"/>
  <c r="F171" i="1" s="1"/>
  <c r="R170" i="1"/>
  <c r="P170" i="1"/>
  <c r="N170" i="1"/>
  <c r="K170" i="1"/>
  <c r="B170" i="1"/>
  <c r="L170" i="1" s="1"/>
  <c r="F170" i="1" s="1"/>
  <c r="R169" i="1"/>
  <c r="P169" i="1"/>
  <c r="N169" i="1"/>
  <c r="B169" i="1"/>
  <c r="L169" i="1" s="1"/>
  <c r="F169" i="1" s="1"/>
  <c r="R168" i="1"/>
  <c r="P168" i="1"/>
  <c r="N168" i="1"/>
  <c r="B168" i="1"/>
  <c r="L168" i="1" s="1"/>
  <c r="F168" i="1" s="1"/>
  <c r="R167" i="1"/>
  <c r="P167" i="1"/>
  <c r="N167" i="1"/>
  <c r="K167" i="1"/>
  <c r="B167" i="1"/>
  <c r="L167" i="1" s="1"/>
  <c r="F167" i="1" s="1"/>
  <c r="R166" i="1"/>
  <c r="P166" i="1"/>
  <c r="N166" i="1"/>
  <c r="B166" i="1"/>
  <c r="L166" i="1" s="1"/>
  <c r="F166" i="1" s="1"/>
  <c r="R165" i="1"/>
  <c r="P165" i="1"/>
  <c r="N165" i="1"/>
  <c r="K165" i="1"/>
  <c r="B165" i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K162" i="1"/>
  <c r="B162" i="1"/>
  <c r="R161" i="1"/>
  <c r="P161" i="1"/>
  <c r="N161" i="1"/>
  <c r="K161" i="1"/>
  <c r="B161" i="1"/>
  <c r="L161" i="1" s="1"/>
  <c r="F161" i="1" s="1"/>
  <c r="R160" i="1"/>
  <c r="P160" i="1"/>
  <c r="N160" i="1"/>
  <c r="L160" i="1"/>
  <c r="F160" i="1" s="1"/>
  <c r="K160" i="1"/>
  <c r="B160" i="1"/>
  <c r="R159" i="1"/>
  <c r="P159" i="1"/>
  <c r="N159" i="1"/>
  <c r="B159" i="1"/>
  <c r="L159" i="1" s="1"/>
  <c r="F159" i="1" s="1"/>
  <c r="R158" i="1"/>
  <c r="P158" i="1"/>
  <c r="N158" i="1"/>
  <c r="B158" i="1"/>
  <c r="L158" i="1" s="1"/>
  <c r="F158" i="1" s="1"/>
  <c r="R157" i="1"/>
  <c r="P157" i="1"/>
  <c r="N157" i="1"/>
  <c r="B157" i="1"/>
  <c r="L157" i="1" s="1"/>
  <c r="F157" i="1" s="1"/>
  <c r="R156" i="1"/>
  <c r="P156" i="1"/>
  <c r="N156" i="1"/>
  <c r="K156" i="1"/>
  <c r="B156" i="1"/>
  <c r="R155" i="1"/>
  <c r="P155" i="1"/>
  <c r="N155" i="1"/>
  <c r="B155" i="1"/>
  <c r="L155" i="1" s="1"/>
  <c r="F155" i="1" s="1"/>
  <c r="R154" i="1"/>
  <c r="P154" i="1"/>
  <c r="N154" i="1"/>
  <c r="B154" i="1"/>
  <c r="L154" i="1" s="1"/>
  <c r="F154" i="1" s="1"/>
  <c r="R153" i="1"/>
  <c r="P153" i="1"/>
  <c r="N153" i="1"/>
  <c r="B153" i="1"/>
  <c r="L153" i="1" s="1"/>
  <c r="F153" i="1" s="1"/>
  <c r="R152" i="1"/>
  <c r="P152" i="1"/>
  <c r="N152" i="1"/>
  <c r="K152" i="1"/>
  <c r="B152" i="1"/>
  <c r="L152" i="1" s="1"/>
  <c r="F152" i="1" s="1"/>
  <c r="R151" i="1"/>
  <c r="P151" i="1"/>
  <c r="N151" i="1"/>
  <c r="B151" i="1"/>
  <c r="L151" i="1" s="1"/>
  <c r="F151" i="1" s="1"/>
  <c r="R150" i="1"/>
  <c r="P150" i="1"/>
  <c r="N150" i="1"/>
  <c r="B150" i="1"/>
  <c r="L150" i="1" s="1"/>
  <c r="F150" i="1" s="1"/>
  <c r="R149" i="1"/>
  <c r="P149" i="1"/>
  <c r="N149" i="1"/>
  <c r="B149" i="1"/>
  <c r="L149" i="1" s="1"/>
  <c r="F149" i="1" s="1"/>
  <c r="R148" i="1"/>
  <c r="P148" i="1"/>
  <c r="N148" i="1"/>
  <c r="K148" i="1"/>
  <c r="B148" i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B144" i="1"/>
  <c r="R143" i="1"/>
  <c r="P143" i="1"/>
  <c r="N143" i="1"/>
  <c r="B143" i="1"/>
  <c r="R142" i="1"/>
  <c r="P142" i="1"/>
  <c r="N142" i="1"/>
  <c r="K142" i="1"/>
  <c r="B142" i="1"/>
  <c r="L142" i="1" s="1"/>
  <c r="F142" i="1" s="1"/>
  <c r="R141" i="1"/>
  <c r="P141" i="1"/>
  <c r="N141" i="1"/>
  <c r="K141" i="1"/>
  <c r="B141" i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B138" i="1"/>
  <c r="L138" i="1" s="1"/>
  <c r="F138" i="1" s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B130" i="1"/>
  <c r="L130" i="1" s="1"/>
  <c r="F130" i="1" s="1"/>
  <c r="R129" i="1"/>
  <c r="P129" i="1"/>
  <c r="N129" i="1"/>
  <c r="K129" i="1"/>
  <c r="B129" i="1"/>
  <c r="R128" i="1"/>
  <c r="P128" i="1"/>
  <c r="N128" i="1"/>
  <c r="K128" i="1"/>
  <c r="B128" i="1"/>
  <c r="R127" i="1"/>
  <c r="P127" i="1"/>
  <c r="N127" i="1"/>
  <c r="B127" i="1"/>
  <c r="L127" i="1" s="1"/>
  <c r="F127" i="1" s="1"/>
  <c r="R126" i="1"/>
  <c r="P126" i="1"/>
  <c r="N126" i="1"/>
  <c r="B126" i="1"/>
  <c r="L126" i="1" s="1"/>
  <c r="F126" i="1" s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L123" i="1"/>
  <c r="F123" i="1" s="1"/>
  <c r="B123" i="1"/>
  <c r="R122" i="1"/>
  <c r="P122" i="1"/>
  <c r="N122" i="1"/>
  <c r="K122" i="1"/>
  <c r="B122" i="1"/>
  <c r="L122" i="1" s="1"/>
  <c r="F122" i="1" s="1"/>
  <c r="R121" i="1"/>
  <c r="P121" i="1"/>
  <c r="N121" i="1"/>
  <c r="K121" i="1"/>
  <c r="B121" i="1"/>
  <c r="R120" i="1"/>
  <c r="P120" i="1"/>
  <c r="N120" i="1"/>
  <c r="K120" i="1"/>
  <c r="B120" i="1"/>
  <c r="R119" i="1"/>
  <c r="P119" i="1"/>
  <c r="N119" i="1"/>
  <c r="K119" i="1"/>
  <c r="B119" i="1"/>
  <c r="L119" i="1" s="1"/>
  <c r="F119" i="1" s="1"/>
  <c r="R118" i="1"/>
  <c r="P118" i="1"/>
  <c r="N118" i="1"/>
  <c r="K118" i="1"/>
  <c r="B118" i="1"/>
  <c r="L118" i="1" s="1"/>
  <c r="F118" i="1" s="1"/>
  <c r="R117" i="1"/>
  <c r="P117" i="1"/>
  <c r="N117" i="1"/>
  <c r="K117" i="1"/>
  <c r="B117" i="1"/>
  <c r="R116" i="1"/>
  <c r="P116" i="1"/>
  <c r="N116" i="1"/>
  <c r="F116" i="1"/>
  <c r="B116" i="1"/>
  <c r="L116" i="1" s="1"/>
  <c r="R115" i="1"/>
  <c r="P115" i="1"/>
  <c r="N115" i="1"/>
  <c r="B115" i="1"/>
  <c r="L115" i="1" s="1"/>
  <c r="F115" i="1" s="1"/>
  <c r="R114" i="1"/>
  <c r="P114" i="1"/>
  <c r="N114" i="1"/>
  <c r="K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K112" i="1"/>
  <c r="L112" i="1" s="1"/>
  <c r="F112" i="1" s="1"/>
  <c r="B112" i="1"/>
  <c r="R111" i="1"/>
  <c r="P111" i="1"/>
  <c r="N111" i="1"/>
  <c r="B111" i="1"/>
  <c r="L111" i="1" s="1"/>
  <c r="F111" i="1" s="1"/>
  <c r="R110" i="1"/>
  <c r="P110" i="1"/>
  <c r="N110" i="1"/>
  <c r="K110" i="1"/>
  <c r="B110" i="1"/>
  <c r="L110" i="1" s="1"/>
  <c r="F110" i="1" s="1"/>
  <c r="R109" i="1"/>
  <c r="P109" i="1"/>
  <c r="N109" i="1"/>
  <c r="K109" i="1"/>
  <c r="B109" i="1"/>
  <c r="R108" i="1"/>
  <c r="P108" i="1"/>
  <c r="N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L104" i="1"/>
  <c r="F104" i="1" s="1"/>
  <c r="B104" i="1"/>
  <c r="R103" i="1"/>
  <c r="P103" i="1"/>
  <c r="N103" i="1"/>
  <c r="B103" i="1"/>
  <c r="L103" i="1" s="1"/>
  <c r="F103" i="1" s="1"/>
  <c r="R102" i="1"/>
  <c r="P102" i="1"/>
  <c r="N102" i="1"/>
  <c r="B102" i="1"/>
  <c r="L102" i="1" s="1"/>
  <c r="F102" i="1" s="1"/>
  <c r="R101" i="1"/>
  <c r="P101" i="1"/>
  <c r="N101" i="1"/>
  <c r="L101" i="1"/>
  <c r="F101" i="1" s="1"/>
  <c r="R100" i="1"/>
  <c r="P100" i="1"/>
  <c r="N100" i="1"/>
  <c r="B100" i="1"/>
  <c r="L100" i="1" s="1"/>
  <c r="F100" i="1" s="1"/>
  <c r="R99" i="1"/>
  <c r="P99" i="1"/>
  <c r="N99" i="1"/>
  <c r="B99" i="1"/>
  <c r="L99" i="1" s="1"/>
  <c r="F99" i="1" s="1"/>
  <c r="R98" i="1"/>
  <c r="P98" i="1"/>
  <c r="N98" i="1"/>
  <c r="B98" i="1"/>
  <c r="L98" i="1" s="1"/>
  <c r="F98" i="1" s="1"/>
  <c r="R97" i="1"/>
  <c r="P97" i="1"/>
  <c r="N97" i="1"/>
  <c r="K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F94" i="1"/>
  <c r="B94" i="1"/>
  <c r="L94" i="1" s="1"/>
  <c r="R93" i="1"/>
  <c r="P93" i="1"/>
  <c r="N93" i="1"/>
  <c r="B93" i="1"/>
  <c r="L93" i="1" s="1"/>
  <c r="F93" i="1" s="1"/>
  <c r="R92" i="1"/>
  <c r="P92" i="1"/>
  <c r="N92" i="1"/>
  <c r="B92" i="1"/>
  <c r="L92" i="1" s="1"/>
  <c r="F92" i="1" s="1"/>
  <c r="R91" i="1"/>
  <c r="P91" i="1"/>
  <c r="N91" i="1"/>
  <c r="K91" i="1"/>
  <c r="B91" i="1"/>
  <c r="R90" i="1"/>
  <c r="P90" i="1"/>
  <c r="N90" i="1"/>
  <c r="K90" i="1"/>
  <c r="B90" i="1"/>
  <c r="R89" i="1"/>
  <c r="P89" i="1"/>
  <c r="N89" i="1"/>
  <c r="B89" i="1"/>
  <c r="L89" i="1" s="1"/>
  <c r="F89" i="1" s="1"/>
  <c r="R88" i="1"/>
  <c r="P88" i="1"/>
  <c r="N88" i="1"/>
  <c r="B88" i="1"/>
  <c r="L88" i="1" s="1"/>
  <c r="F88" i="1" s="1"/>
  <c r="R87" i="1"/>
  <c r="P87" i="1"/>
  <c r="N87" i="1"/>
  <c r="K87" i="1"/>
  <c r="B87" i="1"/>
  <c r="R86" i="1"/>
  <c r="P86" i="1"/>
  <c r="N86" i="1"/>
  <c r="B86" i="1"/>
  <c r="L86" i="1" s="1"/>
  <c r="F86" i="1" s="1"/>
  <c r="R85" i="1"/>
  <c r="P85" i="1"/>
  <c r="N85" i="1"/>
  <c r="B85" i="1"/>
  <c r="L85" i="1" s="1"/>
  <c r="F85" i="1" s="1"/>
  <c r="R84" i="1"/>
  <c r="P84" i="1"/>
  <c r="N84" i="1"/>
  <c r="K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B75" i="1"/>
  <c r="L75" i="1" s="1"/>
  <c r="F75" i="1" s="1"/>
  <c r="R74" i="1"/>
  <c r="P74" i="1"/>
  <c r="N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L68" i="1"/>
  <c r="F68" i="1" s="1"/>
  <c r="B68" i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B65" i="1"/>
  <c r="L65" i="1" s="1"/>
  <c r="F65" i="1" s="1"/>
  <c r="R64" i="1"/>
  <c r="P64" i="1"/>
  <c r="N64" i="1"/>
  <c r="B64" i="1"/>
  <c r="L64" i="1" s="1"/>
  <c r="F64" i="1" s="1"/>
  <c r="R63" i="1"/>
  <c r="P63" i="1"/>
  <c r="N63" i="1"/>
  <c r="K63" i="1"/>
  <c r="B63" i="1"/>
  <c r="R62" i="1"/>
  <c r="P62" i="1"/>
  <c r="N62" i="1"/>
  <c r="B62" i="1"/>
  <c r="L62" i="1" s="1"/>
  <c r="F62" i="1" s="1"/>
  <c r="R61" i="1"/>
  <c r="P61" i="1"/>
  <c r="N61" i="1"/>
  <c r="K61" i="1"/>
  <c r="B61" i="1"/>
  <c r="L61" i="1" s="1"/>
  <c r="F61" i="1" s="1"/>
  <c r="R60" i="1"/>
  <c r="P60" i="1"/>
  <c r="N60" i="1"/>
  <c r="F60" i="1"/>
  <c r="B60" i="1"/>
  <c r="L60" i="1" s="1"/>
  <c r="R59" i="1"/>
  <c r="P59" i="1"/>
  <c r="N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L57" i="1"/>
  <c r="F57" i="1" s="1"/>
  <c r="B57" i="1"/>
  <c r="R56" i="1"/>
  <c r="P56" i="1"/>
  <c r="N56" i="1"/>
  <c r="B56" i="1"/>
  <c r="L56" i="1" s="1"/>
  <c r="F56" i="1" s="1"/>
  <c r="R55" i="1"/>
  <c r="P55" i="1"/>
  <c r="N55" i="1"/>
  <c r="K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B53" i="1"/>
  <c r="L53" i="1" s="1"/>
  <c r="F53" i="1" s="1"/>
  <c r="R52" i="1"/>
  <c r="P52" i="1"/>
  <c r="N52" i="1"/>
  <c r="B52" i="1"/>
  <c r="L52" i="1" s="1"/>
  <c r="F52" i="1" s="1"/>
  <c r="R51" i="1"/>
  <c r="P51" i="1"/>
  <c r="N51" i="1"/>
  <c r="B51" i="1"/>
  <c r="L51" i="1" s="1"/>
  <c r="F51" i="1" s="1"/>
  <c r="R50" i="1"/>
  <c r="P50" i="1"/>
  <c r="N50" i="1"/>
  <c r="K50" i="1"/>
  <c r="B50" i="1"/>
  <c r="R49" i="1"/>
  <c r="P49" i="1"/>
  <c r="N49" i="1"/>
  <c r="K49" i="1"/>
  <c r="B49" i="1"/>
  <c r="L49" i="1" s="1"/>
  <c r="F49" i="1" s="1"/>
  <c r="R48" i="1"/>
  <c r="P48" i="1"/>
  <c r="N48" i="1"/>
  <c r="K48" i="1"/>
  <c r="B48" i="1"/>
  <c r="L48" i="1" s="1"/>
  <c r="F48" i="1" s="1"/>
  <c r="R47" i="1"/>
  <c r="P47" i="1"/>
  <c r="N47" i="1"/>
  <c r="K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B45" i="1"/>
  <c r="L45" i="1" s="1"/>
  <c r="F45" i="1" s="1"/>
  <c r="R44" i="1"/>
  <c r="P44" i="1"/>
  <c r="N44" i="1"/>
  <c r="L44" i="1"/>
  <c r="F44" i="1" s="1"/>
  <c r="B44" i="1"/>
  <c r="R43" i="1"/>
  <c r="P43" i="1"/>
  <c r="N43" i="1"/>
  <c r="K43" i="1"/>
  <c r="B43" i="1"/>
  <c r="L43" i="1" s="1"/>
  <c r="F43" i="1" s="1"/>
  <c r="R42" i="1"/>
  <c r="P42" i="1"/>
  <c r="N42" i="1"/>
  <c r="K42" i="1"/>
  <c r="B42" i="1"/>
  <c r="L42" i="1" s="1"/>
  <c r="F42" i="1" s="1"/>
  <c r="R41" i="1"/>
  <c r="P41" i="1"/>
  <c r="N41" i="1"/>
  <c r="K41" i="1"/>
  <c r="B41" i="1"/>
  <c r="L41" i="1" s="1"/>
  <c r="F41" i="1" s="1"/>
  <c r="R40" i="1"/>
  <c r="P40" i="1"/>
  <c r="N40" i="1"/>
  <c r="F40" i="1"/>
  <c r="B40" i="1"/>
  <c r="L40" i="1" s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K37" i="1"/>
  <c r="B37" i="1"/>
  <c r="R36" i="1"/>
  <c r="P36" i="1"/>
  <c r="N36" i="1"/>
  <c r="K36" i="1"/>
  <c r="B36" i="1"/>
  <c r="R35" i="1"/>
  <c r="P35" i="1"/>
  <c r="N35" i="1"/>
  <c r="K35" i="1"/>
  <c r="B35" i="1"/>
  <c r="R34" i="1"/>
  <c r="P34" i="1"/>
  <c r="N34" i="1"/>
  <c r="B34" i="1"/>
  <c r="L34" i="1" s="1"/>
  <c r="F34" i="1" s="1"/>
  <c r="R33" i="1"/>
  <c r="P33" i="1"/>
  <c r="N33" i="1"/>
  <c r="F33" i="1"/>
  <c r="B33" i="1"/>
  <c r="L33" i="1" s="1"/>
  <c r="R32" i="1"/>
  <c r="P32" i="1"/>
  <c r="N32" i="1"/>
  <c r="K32" i="1"/>
  <c r="B32" i="1"/>
  <c r="L32" i="1" s="1"/>
  <c r="F32" i="1" s="1"/>
  <c r="R31" i="1"/>
  <c r="P31" i="1"/>
  <c r="N31" i="1"/>
  <c r="K31" i="1"/>
  <c r="B31" i="1"/>
  <c r="L31" i="1" s="1"/>
  <c r="F31" i="1" s="1"/>
  <c r="R30" i="1"/>
  <c r="P30" i="1"/>
  <c r="N30" i="1"/>
  <c r="K30" i="1"/>
  <c r="B30" i="1"/>
  <c r="L30" i="1" s="1"/>
  <c r="F30" i="1" s="1"/>
  <c r="R29" i="1"/>
  <c r="P29" i="1"/>
  <c r="N29" i="1"/>
  <c r="K29" i="1"/>
  <c r="B29" i="1"/>
  <c r="R28" i="1"/>
  <c r="P28" i="1"/>
  <c r="N28" i="1"/>
  <c r="B28" i="1"/>
  <c r="L28" i="1" s="1"/>
  <c r="F28" i="1" s="1"/>
  <c r="R27" i="1"/>
  <c r="P27" i="1"/>
  <c r="N27" i="1"/>
  <c r="K27" i="1"/>
  <c r="B27" i="1"/>
  <c r="L27" i="1" s="1"/>
  <c r="F27" i="1" s="1"/>
  <c r="R26" i="1"/>
  <c r="P26" i="1"/>
  <c r="N26" i="1"/>
  <c r="K26" i="1"/>
  <c r="B26" i="1"/>
  <c r="L26" i="1" s="1"/>
  <c r="F26" i="1" s="1"/>
  <c r="R25" i="1"/>
  <c r="P25" i="1"/>
  <c r="N25" i="1"/>
  <c r="L25" i="1"/>
  <c r="F25" i="1" s="1"/>
  <c r="K25" i="1"/>
  <c r="B25" i="1"/>
  <c r="R24" i="1"/>
  <c r="P24" i="1"/>
  <c r="N24" i="1"/>
  <c r="K24" i="1"/>
  <c r="B24" i="1"/>
  <c r="L24" i="1" s="1"/>
  <c r="F24" i="1" s="1"/>
  <c r="R23" i="1"/>
  <c r="P23" i="1"/>
  <c r="N23" i="1"/>
  <c r="K23" i="1"/>
  <c r="B23" i="1"/>
  <c r="L23" i="1" s="1"/>
  <c r="F23" i="1" s="1"/>
  <c r="R22" i="1"/>
  <c r="P22" i="1"/>
  <c r="N22" i="1"/>
  <c r="K22" i="1"/>
  <c r="B22" i="1"/>
  <c r="R21" i="1"/>
  <c r="P21" i="1"/>
  <c r="N21" i="1"/>
  <c r="K21" i="1"/>
  <c r="B21" i="1"/>
  <c r="R20" i="1"/>
  <c r="P20" i="1"/>
  <c r="N20" i="1"/>
  <c r="K20" i="1"/>
  <c r="B20" i="1"/>
  <c r="L20" i="1" s="1"/>
  <c r="F20" i="1" s="1"/>
  <c r="R19" i="1"/>
  <c r="P19" i="1"/>
  <c r="N19" i="1"/>
  <c r="B19" i="1"/>
  <c r="L19" i="1" s="1"/>
  <c r="F19" i="1" s="1"/>
  <c r="R18" i="1"/>
  <c r="P18" i="1"/>
  <c r="N18" i="1"/>
  <c r="L18" i="1"/>
  <c r="F18" i="1" s="1"/>
  <c r="B18" i="1"/>
  <c r="R17" i="1"/>
  <c r="P17" i="1"/>
  <c r="N17" i="1"/>
  <c r="K17" i="1"/>
  <c r="B17" i="1"/>
  <c r="L17" i="1" s="1"/>
  <c r="F17" i="1" s="1"/>
  <c r="R16" i="1"/>
  <c r="P16" i="1"/>
  <c r="N16" i="1"/>
  <c r="K16" i="1"/>
  <c r="B16" i="1"/>
  <c r="R15" i="1"/>
  <c r="P15" i="1"/>
  <c r="N15" i="1"/>
  <c r="K15" i="1"/>
  <c r="B15" i="1"/>
  <c r="L15" i="1" s="1"/>
  <c r="F15" i="1" s="1"/>
  <c r="R14" i="1"/>
  <c r="P14" i="1"/>
  <c r="N14" i="1"/>
  <c r="K14" i="1"/>
  <c r="B14" i="1"/>
  <c r="R13" i="1"/>
  <c r="P13" i="1"/>
  <c r="N13" i="1"/>
  <c r="B13" i="1"/>
  <c r="L13" i="1" s="1"/>
  <c r="F13" i="1" s="1"/>
  <c r="R12" i="1"/>
  <c r="P12" i="1"/>
  <c r="N12" i="1"/>
  <c r="K12" i="1"/>
  <c r="B12" i="1"/>
  <c r="L12" i="1" s="1"/>
  <c r="F12" i="1" s="1"/>
  <c r="R11" i="1"/>
  <c r="P11" i="1"/>
  <c r="N11" i="1"/>
  <c r="K11" i="1"/>
  <c r="B11" i="1"/>
  <c r="R10" i="1"/>
  <c r="P10" i="1"/>
  <c r="N10" i="1"/>
  <c r="B10" i="1"/>
  <c r="L10" i="1" s="1"/>
  <c r="F10" i="1" s="1"/>
  <c r="R9" i="1"/>
  <c r="P9" i="1"/>
  <c r="N9" i="1"/>
  <c r="B9" i="1"/>
  <c r="L9" i="1" s="1"/>
  <c r="F9" i="1" s="1"/>
  <c r="R8" i="1"/>
  <c r="P8" i="1"/>
  <c r="N8" i="1"/>
  <c r="K8" i="1"/>
  <c r="B8" i="1"/>
  <c r="R7" i="1"/>
  <c r="P7" i="1"/>
  <c r="N7" i="1"/>
  <c r="K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B7" i="1"/>
  <c r="L7" i="1" s="1"/>
  <c r="F7" i="1" s="1"/>
  <c r="R6" i="1"/>
  <c r="P6" i="1"/>
  <c r="N6" i="1"/>
  <c r="B6" i="1"/>
  <c r="L6" i="1" s="1"/>
  <c r="F6" i="1" s="1"/>
  <c r="L21" i="1" l="1"/>
  <c r="F21" i="1" s="1"/>
  <c r="L29" i="1"/>
  <c r="F29" i="1" s="1"/>
  <c r="L37" i="1"/>
  <c r="F37" i="1" s="1"/>
  <c r="L87" i="1"/>
  <c r="F87" i="1" s="1"/>
  <c r="L91" i="1"/>
  <c r="F91" i="1" s="1"/>
  <c r="L156" i="1"/>
  <c r="F156" i="1" s="1"/>
  <c r="L162" i="1"/>
  <c r="F162" i="1" s="1"/>
  <c r="L165" i="1"/>
  <c r="F165" i="1" s="1"/>
  <c r="L185" i="1"/>
  <c r="F185" i="1" s="1"/>
  <c r="L223" i="1"/>
  <c r="F223" i="1" s="1"/>
  <c r="L11" i="1"/>
  <c r="F11" i="1" s="1"/>
  <c r="L22" i="1"/>
  <c r="F22" i="1" s="1"/>
  <c r="L50" i="1"/>
  <c r="F50" i="1" s="1"/>
  <c r="L128" i="1"/>
  <c r="F128" i="1" s="1"/>
  <c r="L143" i="1"/>
  <c r="F143" i="1" s="1"/>
  <c r="L148" i="1"/>
  <c r="F148" i="1" s="1"/>
  <c r="L172" i="1"/>
  <c r="F172" i="1" s="1"/>
  <c r="L179" i="1"/>
  <c r="F179" i="1" s="1"/>
  <c r="L187" i="1"/>
  <c r="F187" i="1" s="1"/>
  <c r="L192" i="1"/>
  <c r="F192" i="1" s="1"/>
  <c r="L224" i="1"/>
  <c r="F224" i="1" s="1"/>
  <c r="L230" i="1"/>
  <c r="F230" i="1" s="1"/>
  <c r="L129" i="1"/>
  <c r="F129" i="1" s="1"/>
  <c r="L109" i="1"/>
  <c r="F109" i="1" s="1"/>
  <c r="L8" i="1"/>
  <c r="F8" i="1" s="1"/>
  <c r="L35" i="1"/>
  <c r="F35" i="1" s="1"/>
  <c r="L14" i="1"/>
  <c r="F14" i="1" s="1"/>
  <c r="L16" i="1"/>
  <c r="F16" i="1" s="1"/>
  <c r="L36" i="1"/>
  <c r="F36" i="1" s="1"/>
  <c r="L63" i="1"/>
  <c r="F63" i="1" s="1"/>
  <c r="L90" i="1"/>
  <c r="F90" i="1" s="1"/>
  <c r="L117" i="1"/>
  <c r="F117" i="1" s="1"/>
  <c r="L121" i="1"/>
  <c r="F121" i="1" s="1"/>
  <c r="L141" i="1"/>
  <c r="F141" i="1" s="1"/>
  <c r="L120" i="1"/>
  <c r="F120" i="1" s="1"/>
  <c r="L144" i="1"/>
  <c r="F144" i="1" s="1"/>
  <c r="L189" i="1"/>
  <c r="F189" i="1" s="1"/>
</calcChain>
</file>

<file path=xl/sharedStrings.xml><?xml version="1.0" encoding="utf-8"?>
<sst xmlns="http://schemas.openxmlformats.org/spreadsheetml/2006/main" count="888" uniqueCount="352">
  <si>
    <t>Bahria Town (Pvt) Ltd. Lahore</t>
  </si>
  <si>
    <t>Electricity Meter Reading Sheet April-2025</t>
  </si>
  <si>
    <t>Ghori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</si>
  <si>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</si>
  <si>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</si>
  <si>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</si>
  <si>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</si>
  <si>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</si>
  <si>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</si>
  <si>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</si>
  <si>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</si>
  <si>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</si>
  <si>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</si>
  <si>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</si>
  <si>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</si>
  <si>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</si>
  <si>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</si>
  <si>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BTL-33022</t>
  </si>
  <si>
    <t>Residential</t>
  </si>
  <si>
    <t>BTL-18642</t>
  </si>
  <si>
    <t>BTL-11376</t>
  </si>
  <si>
    <t>BTL-17149</t>
  </si>
  <si>
    <t>BTL-12401</t>
  </si>
  <si>
    <t>BTL-15014</t>
  </si>
  <si>
    <t>BTL-12020</t>
  </si>
  <si>
    <t>BTL-30584</t>
  </si>
  <si>
    <t>BTL-12340</t>
  </si>
  <si>
    <t>BTL-18879</t>
  </si>
  <si>
    <t>BTL-15121</t>
  </si>
  <si>
    <t>BTL-21432</t>
  </si>
  <si>
    <t>BTL-10816</t>
  </si>
  <si>
    <t>BTL-20879</t>
  </si>
  <si>
    <t>BTL-10817</t>
  </si>
  <si>
    <t>BTL-15887</t>
  </si>
  <si>
    <t>BTL-18751</t>
  </si>
  <si>
    <t>BTL-12683</t>
  </si>
  <si>
    <t>BTL-19674</t>
  </si>
  <si>
    <t>BTL-10835</t>
  </si>
  <si>
    <t>BTL-14805</t>
  </si>
  <si>
    <t>BTL-13672</t>
  </si>
  <si>
    <t>BTL-24964</t>
  </si>
  <si>
    <t>BTL-15051</t>
  </si>
  <si>
    <t>BTL-10818</t>
  </si>
  <si>
    <t>BTL-25744</t>
  </si>
  <si>
    <t>36 (2nd METER</t>
  </si>
  <si>
    <t>BTL-13121</t>
  </si>
  <si>
    <t>BTL-16769</t>
  </si>
  <si>
    <t>BTL-12903</t>
  </si>
  <si>
    <t>BTL-19774</t>
  </si>
  <si>
    <t>BTL-22039</t>
  </si>
  <si>
    <t>BTL-22939</t>
  </si>
  <si>
    <t>BTL-23383</t>
  </si>
  <si>
    <t>BTL-10819</t>
  </si>
  <si>
    <t>BTL-19638</t>
  </si>
  <si>
    <t>BTL-19669</t>
  </si>
  <si>
    <t>BTL-26770</t>
  </si>
  <si>
    <t>BTL-12960</t>
  </si>
  <si>
    <t>BTL-14165</t>
  </si>
  <si>
    <t>BTL-17189</t>
  </si>
  <si>
    <t>BTL-21650</t>
  </si>
  <si>
    <t>52 (2ND METER )</t>
  </si>
  <si>
    <t>BTL-13037</t>
  </si>
  <si>
    <t>BTL-15525</t>
  </si>
  <si>
    <t>BTL-15886</t>
  </si>
  <si>
    <t>BTL-14386</t>
  </si>
  <si>
    <t>BTL-30798</t>
  </si>
  <si>
    <t>BTL-30317</t>
  </si>
  <si>
    <t>BTL-10820</t>
  </si>
  <si>
    <t>BTL-10821</t>
  </si>
  <si>
    <t>BTL-11377</t>
  </si>
  <si>
    <t>BTL-27691</t>
  </si>
  <si>
    <t>BTL-20770</t>
  </si>
  <si>
    <t>BTL-14297</t>
  </si>
  <si>
    <t>BTL-12684</t>
  </si>
  <si>
    <t>BTL-13864</t>
  </si>
  <si>
    <t>BTL-10822</t>
  </si>
  <si>
    <t>BTL-12341</t>
  </si>
  <si>
    <t>BTL-12597</t>
  </si>
  <si>
    <t>BTL-22920</t>
  </si>
  <si>
    <t>BTL-18021</t>
  </si>
  <si>
    <t>BTL-21327</t>
  </si>
  <si>
    <t>BTL-11856</t>
  </si>
  <si>
    <t>BTL-10823</t>
  </si>
  <si>
    <t>BTL-12474</t>
  </si>
  <si>
    <t>BTL-14831</t>
  </si>
  <si>
    <t>BTL-17252</t>
  </si>
  <si>
    <t>BTL-12970</t>
  </si>
  <si>
    <t>BTL-11378</t>
  </si>
  <si>
    <t>BTL-10824</t>
  </si>
  <si>
    <t>BTL-14576</t>
  </si>
  <si>
    <t>BTL-10836</t>
  </si>
  <si>
    <t>BTL-10837</t>
  </si>
  <si>
    <t>BTL-16357</t>
  </si>
  <si>
    <t>BTL-12782</t>
  </si>
  <si>
    <t>BTL-12783</t>
  </si>
  <si>
    <t>BTL-14230</t>
  </si>
  <si>
    <t>BTL-17415</t>
  </si>
  <si>
    <t>BTL-30799</t>
  </si>
  <si>
    <t>BTL-10838</t>
  </si>
  <si>
    <t>BTL-24089</t>
  </si>
  <si>
    <t>BTL-10825</t>
  </si>
  <si>
    <t>BTL-16923</t>
  </si>
  <si>
    <t>BTL-10826</t>
  </si>
  <si>
    <t>BTL-14272</t>
  </si>
  <si>
    <t>BTL-13441</t>
  </si>
  <si>
    <t>BTL-11247</t>
  </si>
  <si>
    <t>BTL-11504</t>
  </si>
  <si>
    <t>BTL-11781</t>
  </si>
  <si>
    <t>BTL-15393</t>
  </si>
  <si>
    <t>BTL-14376</t>
  </si>
  <si>
    <t>BTL-22433</t>
  </si>
  <si>
    <t>BTL-11529</t>
  </si>
  <si>
    <t>BTL-10839</t>
  </si>
  <si>
    <t>BTL-11513</t>
  </si>
  <si>
    <t>114 (2nd Meter)</t>
  </si>
  <si>
    <t>BTL-11855</t>
  </si>
  <si>
    <t>BTL-13718</t>
  </si>
  <si>
    <t>BTL-17577</t>
  </si>
  <si>
    <t>BTL-10827</t>
  </si>
  <si>
    <t>BTL-10828</t>
  </si>
  <si>
    <t>BTL-11906</t>
  </si>
  <si>
    <t>BTL-13122</t>
  </si>
  <si>
    <t>BTL-10840</t>
  </si>
  <si>
    <t>BTL-10841</t>
  </si>
  <si>
    <t>BTL-15476</t>
  </si>
  <si>
    <t>BTL-14060</t>
  </si>
  <si>
    <t>BTL-19666</t>
  </si>
  <si>
    <t>BTL-13038</t>
  </si>
  <si>
    <t>BTL-10829</t>
  </si>
  <si>
    <t>133-A</t>
  </si>
  <si>
    <t>BTL-10830</t>
  </si>
  <si>
    <t>133-B</t>
  </si>
  <si>
    <t>BTL-12110</t>
  </si>
  <si>
    <t>133-C</t>
  </si>
  <si>
    <t>BTL-12904</t>
  </si>
  <si>
    <t>134-A</t>
  </si>
  <si>
    <t>BTL-26145</t>
  </si>
  <si>
    <t>BTL-13703</t>
  </si>
  <si>
    <t>134-B</t>
  </si>
  <si>
    <t>BTL-11546</t>
  </si>
  <si>
    <t>134-C</t>
  </si>
  <si>
    <t>BTL-22819</t>
  </si>
  <si>
    <t>BTL-22820</t>
  </si>
  <si>
    <t>BTL-11530</t>
  </si>
  <si>
    <t>BTL-16779</t>
  </si>
  <si>
    <t>BTL-25673</t>
  </si>
  <si>
    <t>BTL-10842</t>
  </si>
  <si>
    <t>BTL-21138</t>
  </si>
  <si>
    <t>141-A</t>
  </si>
  <si>
    <t>BTL-22443</t>
  </si>
  <si>
    <t>141-B</t>
  </si>
  <si>
    <t>BTL-13796</t>
  </si>
  <si>
    <t>141-C</t>
  </si>
  <si>
    <t>BTL-12476</t>
  </si>
  <si>
    <t>141-D</t>
  </si>
  <si>
    <t>BTL-11547</t>
  </si>
  <si>
    <t>BTL-20907</t>
  </si>
  <si>
    <t>142-A</t>
  </si>
  <si>
    <t>BTL-17883</t>
  </si>
  <si>
    <t>142-B</t>
  </si>
  <si>
    <t>BTL-14144</t>
  </si>
  <si>
    <t>142-C</t>
  </si>
  <si>
    <t>BTL-11300</t>
  </si>
  <si>
    <t>142-D</t>
  </si>
  <si>
    <t>BTL-25483</t>
  </si>
  <si>
    <t>142-F</t>
  </si>
  <si>
    <t>BTL-19683</t>
  </si>
  <si>
    <t>142-G</t>
  </si>
  <si>
    <t>BTL-11438</t>
  </si>
  <si>
    <t>142-J</t>
  </si>
  <si>
    <t>BTL-28688</t>
  </si>
  <si>
    <t>142-M</t>
  </si>
  <si>
    <t>BTL-15557</t>
  </si>
  <si>
    <t>142-N</t>
  </si>
  <si>
    <t>BTL-12339</t>
  </si>
  <si>
    <t>142-P</t>
  </si>
  <si>
    <t>BTL-10831</t>
  </si>
  <si>
    <t>142-E</t>
  </si>
  <si>
    <t>BTL-12685</t>
  </si>
  <si>
    <t>142-H</t>
  </si>
  <si>
    <t>BTL-19249</t>
  </si>
  <si>
    <t>142-K</t>
  </si>
  <si>
    <t>BTL-12905</t>
  </si>
  <si>
    <t>142-L</t>
  </si>
  <si>
    <t>BTL-14342</t>
  </si>
  <si>
    <t>BTL-17122</t>
  </si>
  <si>
    <t>BTL-14351</t>
  </si>
  <si>
    <t>BTL-30438</t>
  </si>
  <si>
    <t>BTL-20556</t>
  </si>
  <si>
    <t>BTL-18471</t>
  </si>
  <si>
    <t>BTL-10843</t>
  </si>
  <si>
    <t>BTL-19885</t>
  </si>
  <si>
    <t>BTL-27005</t>
  </si>
  <si>
    <t>BTL-12342</t>
  </si>
  <si>
    <t>BTL-11646</t>
  </si>
  <si>
    <t>BTL-29147</t>
  </si>
  <si>
    <t>154-A</t>
  </si>
  <si>
    <t>BTL-16949</t>
  </si>
  <si>
    <t>BTL-11436</t>
  </si>
  <si>
    <t>BTL-11248</t>
  </si>
  <si>
    <t>BTL-23602</t>
  </si>
  <si>
    <t>BTL-10832</t>
  </si>
  <si>
    <t>BTL-11735</t>
  </si>
  <si>
    <t>BTL-17478</t>
  </si>
  <si>
    <t>BTL-18107</t>
  </si>
  <si>
    <t>BTL-19505</t>
  </si>
  <si>
    <t>BTL-11319</t>
  </si>
  <si>
    <t>BTL-13613</t>
  </si>
  <si>
    <t>BTL-20902</t>
  </si>
  <si>
    <t>BTL-11753</t>
  </si>
  <si>
    <t>BTL-24557</t>
  </si>
  <si>
    <t>BTL-31870</t>
  </si>
  <si>
    <t>BTL-12598</t>
  </si>
  <si>
    <t>BTL-21425</t>
  </si>
  <si>
    <t>BTL-18022</t>
  </si>
  <si>
    <t>BTL-13815</t>
  </si>
  <si>
    <t>BTL-18411</t>
  </si>
  <si>
    <t>BTL-14616</t>
  </si>
  <si>
    <t>BTL-11249</t>
  </si>
  <si>
    <t>BTL-19731</t>
  </si>
  <si>
    <t>BTL-21242</t>
  </si>
  <si>
    <t>BTL-10844</t>
  </si>
  <si>
    <t>BTL-12543</t>
  </si>
  <si>
    <t>BTL-15972</t>
  </si>
  <si>
    <t>BTL-17705</t>
  </si>
  <si>
    <t>BTL-17253</t>
  </si>
  <si>
    <t>BTL-20338</t>
  </si>
  <si>
    <t>BTL-11857</t>
  </si>
  <si>
    <t>BTL-13794</t>
  </si>
  <si>
    <t>BTL-27423</t>
  </si>
  <si>
    <t>BTL-12402</t>
  </si>
  <si>
    <t>BTL-12906</t>
  </si>
  <si>
    <t>BTL-20839</t>
  </si>
  <si>
    <t>BTL-17029</t>
  </si>
  <si>
    <t>BTL-15516</t>
  </si>
  <si>
    <t>BTL-11379</t>
  </si>
  <si>
    <t>BTL-11964</t>
  </si>
  <si>
    <t>BTL-12686</t>
  </si>
  <si>
    <t>BTL-23611</t>
  </si>
  <si>
    <t>BTL-20211</t>
  </si>
  <si>
    <t>BTL-12475</t>
  </si>
  <si>
    <t>BTL-17974</t>
  </si>
  <si>
    <t>BTL-13039</t>
  </si>
  <si>
    <t>BTL-20456</t>
  </si>
  <si>
    <t>BTL-28478</t>
  </si>
  <si>
    <t>BTL-19749</t>
  </si>
  <si>
    <t>BTL-10845</t>
  </si>
  <si>
    <t>BTL-30039</t>
  </si>
  <si>
    <t>BTL-17706</t>
  </si>
  <si>
    <t>BTL-19148</t>
  </si>
  <si>
    <t>BTL-32209</t>
  </si>
  <si>
    <t>BTL-11664</t>
  </si>
  <si>
    <t>BTL-13812</t>
  </si>
  <si>
    <t>BTL-11437</t>
  </si>
  <si>
    <t>BTL-14131</t>
  </si>
  <si>
    <t>BTL-25516</t>
  </si>
  <si>
    <t>BTL-21277</t>
  </si>
  <si>
    <t>BTL-11965</t>
  </si>
  <si>
    <t>BTL-18760</t>
  </si>
  <si>
    <t>BTL-10846</t>
  </si>
  <si>
    <t>BTL-14285</t>
  </si>
  <si>
    <t>BTL-10833</t>
  </si>
  <si>
    <t>BTL-21175</t>
  </si>
  <si>
    <t>BTL-14544</t>
  </si>
  <si>
    <t>BTL-24173</t>
  </si>
  <si>
    <t>BTL-10834</t>
  </si>
  <si>
    <t>BTL-11782</t>
  </si>
  <si>
    <t>BTL-12902</t>
  </si>
  <si>
    <t>BTL-13615</t>
  </si>
  <si>
    <t>BTL-12599</t>
  </si>
  <si>
    <t>BTL-12084</t>
  </si>
  <si>
    <t>BTL-14254</t>
  </si>
  <si>
    <t>BTL-25185</t>
  </si>
  <si>
    <t>ASHIQ-E-RASOOL MOSQUE (MOAZAN)</t>
  </si>
  <si>
    <t>BTL-11184</t>
  </si>
  <si>
    <t>01-SHOP</t>
  </si>
  <si>
    <t>Commercial</t>
  </si>
  <si>
    <t>BTL-14122</t>
  </si>
  <si>
    <t>01-SHOP F/F</t>
  </si>
  <si>
    <t>BTL-15688</t>
  </si>
  <si>
    <t>01-SHOP G/F</t>
  </si>
  <si>
    <t>BTL-14114</t>
  </si>
  <si>
    <t>02-SHOP G/F</t>
  </si>
  <si>
    <t>BTL-11464</t>
  </si>
  <si>
    <t>03-SHOP</t>
  </si>
  <si>
    <t>BTL-31105</t>
  </si>
  <si>
    <t>03-SHOP F/F</t>
  </si>
  <si>
    <t>BTL-14748</t>
  </si>
  <si>
    <t>03-SHOP G/F</t>
  </si>
  <si>
    <t>BTL-11309</t>
  </si>
  <si>
    <t>04-SHOP</t>
  </si>
  <si>
    <t>BTL-14407</t>
  </si>
  <si>
    <t>04-SHOP F/F</t>
  </si>
  <si>
    <t>BTL-22428</t>
  </si>
  <si>
    <t>04-SHOP G/F</t>
  </si>
  <si>
    <t>BTL-11523</t>
  </si>
  <si>
    <t>05-SHOP</t>
  </si>
  <si>
    <t>BTL-15604</t>
  </si>
  <si>
    <t>05-SHOP F/F</t>
  </si>
  <si>
    <t>BTL-22427</t>
  </si>
  <si>
    <t>05-SHOP G/F</t>
  </si>
  <si>
    <t>BTL-11412</t>
  </si>
  <si>
    <t>06-SHOP</t>
  </si>
  <si>
    <t>BTL-14617</t>
  </si>
  <si>
    <t>06-SHOP F/F</t>
  </si>
  <si>
    <t>BTL-17872</t>
  </si>
  <si>
    <t>06-SHOP G/F</t>
  </si>
  <si>
    <t>BTL-11310</t>
  </si>
  <si>
    <t>07-SHOP</t>
  </si>
  <si>
    <t>BTL-14618</t>
  </si>
  <si>
    <t>07-SHOP F/F</t>
  </si>
  <si>
    <t>BTL-17873</t>
  </si>
  <si>
    <t>07-SHOP G/F</t>
  </si>
  <si>
    <t>BTL-11413</t>
  </si>
  <si>
    <t>08-SHOP</t>
  </si>
  <si>
    <t>BTL-12814</t>
  </si>
  <si>
    <t>08-SHOP F/F</t>
  </si>
  <si>
    <t>BTL-32210</t>
  </si>
  <si>
    <t>08-SHOP G/F</t>
  </si>
  <si>
    <t>BTL-11465</t>
  </si>
  <si>
    <t>09-SHOP</t>
  </si>
  <si>
    <t>BTL-11952</t>
  </si>
  <si>
    <t>10-SHOP</t>
  </si>
  <si>
    <t>BTL-11688</t>
  </si>
  <si>
    <t>11-SHOP</t>
  </si>
  <si>
    <t>BTL-29349</t>
  </si>
  <si>
    <t>UFONE TOWER</t>
  </si>
  <si>
    <t>BTL-18023</t>
  </si>
  <si>
    <t>WARID TOWER</t>
  </si>
  <si>
    <t>BTL-22460</t>
  </si>
  <si>
    <t>ZONG TOWER</t>
  </si>
  <si>
    <t>BTL-18121</t>
  </si>
  <si>
    <t>HAYDRANT SYSTEM H-153</t>
  </si>
  <si>
    <t>Bahria Self Consumption</t>
  </si>
  <si>
    <t>BTL-14239</t>
  </si>
  <si>
    <t>MASJID ASHIQ RASOOL (NR H-213)</t>
  </si>
  <si>
    <t>BTL-13622</t>
  </si>
  <si>
    <t>PARK NR H-225</t>
  </si>
  <si>
    <t>BTL-23990</t>
  </si>
  <si>
    <t>SECURITY CHECK POST (H-247)</t>
  </si>
  <si>
    <t>BTL-13246</t>
  </si>
  <si>
    <t>SLP NR H-01</t>
  </si>
  <si>
    <t>BTL-13247</t>
  </si>
  <si>
    <t>SLP NR (H-255)</t>
  </si>
  <si>
    <t>BTL-16449</t>
  </si>
  <si>
    <t>SLP NR (H-47)</t>
  </si>
  <si>
    <t>BTL-15170</t>
  </si>
  <si>
    <t>SLP NR (H-53)</t>
  </si>
  <si>
    <t>BTL-21336</t>
  </si>
  <si>
    <t>SPRINKLER NR (H-77)</t>
  </si>
  <si>
    <t>BTL-13310</t>
  </si>
  <si>
    <t>WATER TANK NR H-44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</si>
</sst>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19" fillId="4" borderId="0" xfId="0" applyFont="1" applyFill="1" applyAlignment="1">
      <alignment horizontal="left" wrapText="1"/>
    </xf>
    <xf numFmtId="0" fontId="0" fillId="8" borderId="0" xfId="0" applyFill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8"/>
  <sheetViews>
    <sheetView tabSelected="1" view="pageBreakPreview" topLeftCell="A196" zoomScaleSheetLayoutView="100" workbookViewId="0">
      <selection activeCell="B204" sqref="B204"/>
    </sheetView>
  </sheetViews>
  <sheetFormatPr defaultRowHeight="15.75" x14ac:dyDescent="0.25"/>
  <cols>
    <col min="1" max="1" width="11.28515625" style="28" customWidth="1"/>
    <col min="7" max="7" width="4.28515625" style="29" customWidth="1"/>
    <col min="8" max="8" width="13.5703125" style="30" customWidth="1"/>
    <col min="9" max="9" width="14.7109375" style="31" customWidth="1"/>
    <col min="10" max="10" width="8.5703125" customWidth="1"/>
    <col min="11" max="11" width="7.7109375" style="32" customWidth="1"/>
    <col min="12" max="12" width="13" customWidth="1"/>
    <col min="13" max="13" width="7.7109375" style="34" customWidth="1"/>
    <col min="14" max="14" width="13" customWidth="1"/>
    <col min="15" max="15" width="7.7109375" style="34" customWidth="1"/>
    <col min="16" max="16" width="13" customWidth="1"/>
    <col min="17" max="17" width="7.7109375" style="35" customWidth="1"/>
    <col min="18" max="18" width="13" customWidth="1"/>
    <col min="19" max="19" width="14.140625" style="36" customWidth="1"/>
    <col min="20" max="20" width="11.28515625" style="28" customWidth="1"/>
  </cols>
  <sheetData>
    <row r="1" spans="1:20" ht="31.5" customHeight="1" x14ac:dyDescent="0.25">
      <c r="A1"/>
      <c r="G1" s="40" t="s">
        <v>0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29.25" customHeight="1" thickBot="1" x14ac:dyDescent="0.3">
      <c r="A2"/>
      <c r="G2" s="41" t="s">
        <v>1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2" t="s">
        <v>4</v>
      </c>
      <c r="H4" s="44" t="s">
        <v>5</v>
      </c>
      <c r="I4" s="46" t="s">
        <v>6</v>
      </c>
      <c r="J4" s="48" t="s">
        <v>7</v>
      </c>
      <c r="K4" s="50" t="s">
        <v>8</v>
      </c>
      <c r="L4" s="51"/>
      <c r="M4" s="52" t="s">
        <v>9</v>
      </c>
      <c r="N4" s="50"/>
      <c r="O4" s="53" t="s">
        <v>10</v>
      </c>
      <c r="P4" s="54"/>
      <c r="Q4" s="53" t="s">
        <v>11</v>
      </c>
      <c r="R4" s="55"/>
      <c r="S4" s="38" t="s">
        <v>12</v>
      </c>
      <c r="T4" s="39"/>
    </row>
    <row r="5" spans="1:20" ht="31.5" customHeight="1" thickBot="1" x14ac:dyDescent="0.3">
      <c r="A5" s="13" t="s">
        <v>13</v>
      </c>
      <c r="G5" s="43"/>
      <c r="H5" s="45" t="s">
        <v>5</v>
      </c>
      <c r="I5" s="47" t="s">
        <v>6</v>
      </c>
      <c r="J5" s="49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44014</v>
      </c>
      <c r="C6">
        <v>6833</v>
      </c>
      <c r="D6">
        <v>37181</v>
      </c>
      <c r="F6">
        <f>L6</f>
        <v>262</v>
      </c>
      <c r="G6" s="20">
        <v>1</v>
      </c>
      <c r="H6" s="21">
        <v>66617010219</v>
      </c>
      <c r="I6" s="22">
        <v>1</v>
      </c>
      <c r="J6" s="23"/>
      <c r="K6" s="24">
        <v>43752</v>
      </c>
      <c r="L6" s="23">
        <f t="shared" ref="L6:L69" si="0">B6-K6</f>
        <v>262</v>
      </c>
      <c r="M6" s="24">
        <v>6785</v>
      </c>
      <c r="N6" s="25">
        <f t="shared" ref="N6:N69" si="1">C6-M6</f>
        <v>48</v>
      </c>
      <c r="O6" s="24">
        <v>36967</v>
      </c>
      <c r="P6" s="23">
        <f t="shared" ref="P6:P69" si="2">D6-O6</f>
        <v>214</v>
      </c>
      <c r="Q6" s="26"/>
      <c r="R6" s="23">
        <f t="shared" ref="R6:R69" si="3">E6-Q6</f>
        <v>0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ref="B7:B70" si="4">C7+D7</f>
        <v>11290</v>
      </c>
      <c r="C7">
        <v>3050</v>
      </c>
      <c r="D7">
        <v>8240</v>
      </c>
      <c r="E7">
        <v>14280</v>
      </c>
      <c r="F7">
        <f t="shared" ref="F7:F70" si="5">L7</f>
        <v>825</v>
      </c>
      <c r="G7" s="20">
        <f>G6+1</f>
        <v>2</v>
      </c>
      <c r="H7" s="21">
        <v>9962402194</v>
      </c>
      <c r="I7" s="22">
        <v>3</v>
      </c>
      <c r="J7" s="23"/>
      <c r="K7" s="24">
        <f>M7+O7</f>
        <v>10465</v>
      </c>
      <c r="L7" s="23">
        <f t="shared" si="0"/>
        <v>825</v>
      </c>
      <c r="M7" s="24">
        <v>2823</v>
      </c>
      <c r="N7" s="25">
        <f t="shared" si="1"/>
        <v>227</v>
      </c>
      <c r="O7" s="24">
        <v>7642</v>
      </c>
      <c r="P7" s="23">
        <f t="shared" si="2"/>
        <v>598</v>
      </c>
      <c r="Q7" s="26">
        <v>12280</v>
      </c>
      <c r="R7" s="23">
        <f t="shared" si="3"/>
        <v>2000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si="4"/>
        <v>13914</v>
      </c>
      <c r="C8">
        <v>3331</v>
      </c>
      <c r="D8">
        <v>10583</v>
      </c>
      <c r="E8">
        <v>9084</v>
      </c>
      <c r="F8">
        <f t="shared" si="5"/>
        <v>1206</v>
      </c>
      <c r="G8" s="20">
        <f t="shared" ref="G8:G71" si="6">G7+1</f>
        <v>3</v>
      </c>
      <c r="H8" s="21">
        <v>99624020113</v>
      </c>
      <c r="I8" s="22">
        <v>9</v>
      </c>
      <c r="J8" s="23"/>
      <c r="K8" s="24">
        <f>M8+O8</f>
        <v>12708</v>
      </c>
      <c r="L8" s="23">
        <f t="shared" si="0"/>
        <v>1206</v>
      </c>
      <c r="M8" s="24">
        <v>3042</v>
      </c>
      <c r="N8" s="25">
        <f t="shared" si="1"/>
        <v>289</v>
      </c>
      <c r="O8" s="24">
        <v>9666</v>
      </c>
      <c r="P8" s="23">
        <f t="shared" si="2"/>
        <v>917</v>
      </c>
      <c r="Q8" s="26">
        <v>7904</v>
      </c>
      <c r="R8" s="23">
        <f t="shared" si="3"/>
        <v>1180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4"/>
        <v>52912</v>
      </c>
      <c r="C9">
        <v>7725</v>
      </c>
      <c r="D9">
        <v>45187</v>
      </c>
      <c r="F9">
        <f t="shared" si="5"/>
        <v>5</v>
      </c>
      <c r="G9" s="20">
        <f t="shared" si="6"/>
        <v>4</v>
      </c>
      <c r="H9" s="21">
        <v>23015101025</v>
      </c>
      <c r="I9" s="22">
        <v>10</v>
      </c>
      <c r="J9" s="23"/>
      <c r="K9" s="24">
        <v>52907</v>
      </c>
      <c r="L9" s="23">
        <f t="shared" si="0"/>
        <v>5</v>
      </c>
      <c r="M9" s="24">
        <v>7723</v>
      </c>
      <c r="N9" s="25">
        <f t="shared" si="1"/>
        <v>2</v>
      </c>
      <c r="O9" s="24">
        <v>45184</v>
      </c>
      <c r="P9" s="23">
        <f t="shared" si="2"/>
        <v>3</v>
      </c>
      <c r="Q9" s="26"/>
      <c r="R9" s="23">
        <f t="shared" si="3"/>
        <v>0</v>
      </c>
      <c r="S9" s="27" t="s">
        <v>18</v>
      </c>
      <c r="T9" s="19" t="s">
        <v>21</v>
      </c>
    </row>
    <row r="10" spans="1:20" ht="37.5" customHeight="1" x14ac:dyDescent="0.25">
      <c r="A10" s="19" t="s">
        <v>22</v>
      </c>
      <c r="B10">
        <f t="shared" si="4"/>
        <v>28416</v>
      </c>
      <c r="C10">
        <v>4931</v>
      </c>
      <c r="D10">
        <v>23485</v>
      </c>
      <c r="F10">
        <f t="shared" si="5"/>
        <v>1</v>
      </c>
      <c r="G10" s="20">
        <f t="shared" si="6"/>
        <v>5</v>
      </c>
      <c r="H10" s="21">
        <v>88820040431</v>
      </c>
      <c r="I10" s="22">
        <v>12</v>
      </c>
      <c r="J10" s="23"/>
      <c r="K10" s="24">
        <v>28415</v>
      </c>
      <c r="L10" s="23">
        <f t="shared" si="0"/>
        <v>1</v>
      </c>
      <c r="M10" s="24">
        <v>4931</v>
      </c>
      <c r="N10" s="25">
        <f t="shared" si="1"/>
        <v>0</v>
      </c>
      <c r="O10" s="24">
        <v>23484</v>
      </c>
      <c r="P10" s="23">
        <f t="shared" si="2"/>
        <v>1</v>
      </c>
      <c r="Q10" s="26"/>
      <c r="R10" s="23">
        <f t="shared" si="3"/>
        <v>0</v>
      </c>
      <c r="S10" s="27" t="s">
        <v>18</v>
      </c>
      <c r="T10" s="19" t="s">
        <v>22</v>
      </c>
    </row>
    <row r="11" spans="1:20" ht="37.5" customHeight="1" x14ac:dyDescent="0.25">
      <c r="A11" s="19" t="s">
        <v>23</v>
      </c>
      <c r="B11">
        <f t="shared" si="4"/>
        <v>25312</v>
      </c>
      <c r="C11">
        <v>7263</v>
      </c>
      <c r="D11">
        <v>18049</v>
      </c>
      <c r="E11">
        <v>39465</v>
      </c>
      <c r="F11">
        <f t="shared" si="5"/>
        <v>1296</v>
      </c>
      <c r="G11" s="20">
        <f t="shared" si="6"/>
        <v>6</v>
      </c>
      <c r="H11" s="21">
        <v>99423020005</v>
      </c>
      <c r="I11" s="22">
        <v>13</v>
      </c>
      <c r="J11" s="23"/>
      <c r="K11" s="24">
        <f>M11+O11</f>
        <v>24016</v>
      </c>
      <c r="L11" s="23">
        <f t="shared" si="0"/>
        <v>1296</v>
      </c>
      <c r="M11" s="24">
        <v>6996</v>
      </c>
      <c r="N11" s="25">
        <f t="shared" si="1"/>
        <v>267</v>
      </c>
      <c r="O11" s="24">
        <v>17020</v>
      </c>
      <c r="P11" s="23">
        <f t="shared" si="2"/>
        <v>1029</v>
      </c>
      <c r="Q11" s="26">
        <v>37415</v>
      </c>
      <c r="R11" s="23">
        <f t="shared" si="3"/>
        <v>2050</v>
      </c>
      <c r="S11" s="27" t="s">
        <v>18</v>
      </c>
      <c r="T11" s="19" t="s">
        <v>23</v>
      </c>
    </row>
    <row r="12" spans="1:20" ht="37.5" customHeight="1" x14ac:dyDescent="0.25">
      <c r="A12" s="19" t="s">
        <v>24</v>
      </c>
      <c r="B12">
        <f t="shared" si="4"/>
        <v>37817</v>
      </c>
      <c r="C12">
        <v>9793</v>
      </c>
      <c r="D12">
        <v>28024</v>
      </c>
      <c r="E12">
        <v>35321</v>
      </c>
      <c r="F12">
        <f t="shared" si="5"/>
        <v>1162</v>
      </c>
      <c r="G12" s="20">
        <f t="shared" si="6"/>
        <v>7</v>
      </c>
      <c r="H12" s="21">
        <v>99622050020</v>
      </c>
      <c r="I12" s="22">
        <v>14</v>
      </c>
      <c r="J12" s="23"/>
      <c r="K12" s="24">
        <f>M12+O12</f>
        <v>36655</v>
      </c>
      <c r="L12" s="23">
        <f t="shared" si="0"/>
        <v>1162</v>
      </c>
      <c r="M12" s="24">
        <v>9467</v>
      </c>
      <c r="N12" s="25">
        <f t="shared" si="1"/>
        <v>326</v>
      </c>
      <c r="O12" s="24">
        <v>27188</v>
      </c>
      <c r="P12" s="23">
        <f t="shared" si="2"/>
        <v>836</v>
      </c>
      <c r="Q12" s="26">
        <v>33679</v>
      </c>
      <c r="R12" s="23">
        <f t="shared" si="3"/>
        <v>1642</v>
      </c>
      <c r="S12" s="27" t="s">
        <v>18</v>
      </c>
      <c r="T12" s="19" t="s">
        <v>24</v>
      </c>
    </row>
    <row r="13" spans="1:20" ht="37.5" customHeight="1" x14ac:dyDescent="0.25">
      <c r="A13" s="19" t="s">
        <v>25</v>
      </c>
      <c r="B13">
        <f t="shared" si="4"/>
        <v>1530</v>
      </c>
      <c r="C13">
        <v>203</v>
      </c>
      <c r="D13">
        <v>1327</v>
      </c>
      <c r="F13">
        <f t="shared" si="5"/>
        <v>0</v>
      </c>
      <c r="G13" s="20">
        <f t="shared" si="6"/>
        <v>8</v>
      </c>
      <c r="H13" s="21">
        <v>66623010350</v>
      </c>
      <c r="I13" s="22">
        <v>15</v>
      </c>
      <c r="J13" s="23"/>
      <c r="K13" s="24">
        <v>1530</v>
      </c>
      <c r="L13" s="23">
        <f t="shared" si="0"/>
        <v>0</v>
      </c>
      <c r="M13" s="24">
        <v>203</v>
      </c>
      <c r="N13" s="25">
        <f t="shared" si="1"/>
        <v>0</v>
      </c>
      <c r="O13" s="24">
        <v>1327</v>
      </c>
      <c r="P13" s="23">
        <f t="shared" si="2"/>
        <v>0</v>
      </c>
      <c r="Q13" s="26"/>
      <c r="R13" s="23">
        <f t="shared" si="3"/>
        <v>0</v>
      </c>
      <c r="S13" s="27" t="s">
        <v>18</v>
      </c>
      <c r="T13" s="19" t="s">
        <v>25</v>
      </c>
    </row>
    <row r="14" spans="1:20" ht="37.5" customHeight="1" x14ac:dyDescent="0.25">
      <c r="A14" s="19" t="s">
        <v>26</v>
      </c>
      <c r="B14">
        <f t="shared" si="4"/>
        <v>23988</v>
      </c>
      <c r="C14">
        <v>6759</v>
      </c>
      <c r="D14">
        <v>17229</v>
      </c>
      <c r="E14">
        <v>22511</v>
      </c>
      <c r="F14">
        <f t="shared" si="5"/>
        <v>893</v>
      </c>
      <c r="G14" s="20">
        <f t="shared" si="6"/>
        <v>9</v>
      </c>
      <c r="H14" s="21">
        <v>99723040089</v>
      </c>
      <c r="I14" s="22">
        <v>16</v>
      </c>
      <c r="J14" s="23"/>
      <c r="K14" s="24">
        <f>M14+O14</f>
        <v>23095</v>
      </c>
      <c r="L14" s="23">
        <f t="shared" si="0"/>
        <v>893</v>
      </c>
      <c r="M14" s="24">
        <v>6483</v>
      </c>
      <c r="N14" s="25">
        <f t="shared" si="1"/>
        <v>276</v>
      </c>
      <c r="O14" s="24">
        <v>16612</v>
      </c>
      <c r="P14" s="23">
        <f t="shared" si="2"/>
        <v>617</v>
      </c>
      <c r="Q14" s="26">
        <v>21204</v>
      </c>
      <c r="R14" s="23">
        <f t="shared" si="3"/>
        <v>1307</v>
      </c>
      <c r="S14" s="27" t="s">
        <v>18</v>
      </c>
      <c r="T14" s="19" t="s">
        <v>26</v>
      </c>
    </row>
    <row r="15" spans="1:20" ht="37.5" customHeight="1" x14ac:dyDescent="0.25">
      <c r="A15" s="19" t="s">
        <v>27</v>
      </c>
      <c r="B15">
        <f t="shared" si="4"/>
        <v>14380</v>
      </c>
      <c r="C15">
        <v>2636</v>
      </c>
      <c r="D15">
        <v>11744</v>
      </c>
      <c r="E15">
        <v>6636</v>
      </c>
      <c r="F15">
        <f t="shared" si="5"/>
        <v>787</v>
      </c>
      <c r="G15" s="20">
        <f t="shared" si="6"/>
        <v>10</v>
      </c>
      <c r="H15" s="21">
        <v>99624020079</v>
      </c>
      <c r="I15" s="22">
        <v>17</v>
      </c>
      <c r="J15" s="23"/>
      <c r="K15" s="24">
        <f>M15+O15</f>
        <v>13593</v>
      </c>
      <c r="L15" s="23">
        <f t="shared" si="0"/>
        <v>787</v>
      </c>
      <c r="M15" s="24">
        <v>2463</v>
      </c>
      <c r="N15" s="25">
        <f t="shared" si="1"/>
        <v>173</v>
      </c>
      <c r="O15" s="24">
        <v>11130</v>
      </c>
      <c r="P15" s="23">
        <f t="shared" si="2"/>
        <v>614</v>
      </c>
      <c r="Q15" s="26">
        <v>5818</v>
      </c>
      <c r="R15" s="23">
        <f t="shared" si="3"/>
        <v>818</v>
      </c>
      <c r="S15" s="27" t="s">
        <v>18</v>
      </c>
      <c r="T15" s="19" t="s">
        <v>27</v>
      </c>
    </row>
    <row r="16" spans="1:20" ht="37.5" customHeight="1" x14ac:dyDescent="0.25">
      <c r="A16" s="19" t="s">
        <v>28</v>
      </c>
      <c r="B16">
        <f t="shared" si="4"/>
        <v>12649</v>
      </c>
      <c r="C16">
        <v>2935</v>
      </c>
      <c r="D16">
        <v>9714</v>
      </c>
      <c r="E16">
        <v>11674</v>
      </c>
      <c r="F16">
        <f t="shared" si="5"/>
        <v>771</v>
      </c>
      <c r="G16" s="20">
        <f t="shared" si="6"/>
        <v>11</v>
      </c>
      <c r="H16" s="21">
        <v>99623080062</v>
      </c>
      <c r="I16" s="22">
        <v>18</v>
      </c>
      <c r="J16" s="23"/>
      <c r="K16" s="24">
        <f>M16+O16</f>
        <v>11878</v>
      </c>
      <c r="L16" s="23">
        <f t="shared" si="0"/>
        <v>771</v>
      </c>
      <c r="M16" s="24">
        <v>2718</v>
      </c>
      <c r="N16" s="25">
        <f t="shared" si="1"/>
        <v>217</v>
      </c>
      <c r="O16" s="24">
        <v>9160</v>
      </c>
      <c r="P16" s="23">
        <f t="shared" si="2"/>
        <v>554</v>
      </c>
      <c r="Q16" s="26">
        <v>11085</v>
      </c>
      <c r="R16" s="23">
        <f t="shared" si="3"/>
        <v>589</v>
      </c>
      <c r="S16" s="27" t="s">
        <v>18</v>
      </c>
      <c r="T16" s="19" t="s">
        <v>28</v>
      </c>
    </row>
    <row r="17" spans="1:20" ht="37.5" customHeight="1" x14ac:dyDescent="0.25">
      <c r="A17" s="19" t="s">
        <v>29</v>
      </c>
      <c r="B17">
        <f t="shared" si="4"/>
        <v>12492</v>
      </c>
      <c r="C17">
        <v>3036</v>
      </c>
      <c r="D17">
        <v>9456</v>
      </c>
      <c r="E17">
        <v>9187</v>
      </c>
      <c r="F17">
        <f t="shared" si="5"/>
        <v>708</v>
      </c>
      <c r="G17" s="20">
        <f t="shared" si="6"/>
        <v>12</v>
      </c>
      <c r="H17" s="21">
        <v>99624010094</v>
      </c>
      <c r="I17" s="22">
        <v>20</v>
      </c>
      <c r="J17" s="23"/>
      <c r="K17" s="24">
        <f>M17+O17</f>
        <v>11784</v>
      </c>
      <c r="L17" s="23">
        <f t="shared" si="0"/>
        <v>708</v>
      </c>
      <c r="M17" s="24">
        <v>2832</v>
      </c>
      <c r="N17" s="25">
        <f t="shared" si="1"/>
        <v>204</v>
      </c>
      <c r="O17" s="24">
        <v>8952</v>
      </c>
      <c r="P17" s="23">
        <f t="shared" si="2"/>
        <v>504</v>
      </c>
      <c r="Q17" s="26">
        <v>8026</v>
      </c>
      <c r="R17" s="23">
        <f t="shared" si="3"/>
        <v>1161</v>
      </c>
      <c r="S17" s="27" t="s">
        <v>18</v>
      </c>
      <c r="T17" s="19" t="s">
        <v>29</v>
      </c>
    </row>
    <row r="18" spans="1:20" ht="37.5" customHeight="1" x14ac:dyDescent="0.25">
      <c r="A18" s="19" t="s">
        <v>30</v>
      </c>
      <c r="B18">
        <f t="shared" si="4"/>
        <v>33643</v>
      </c>
      <c r="C18">
        <v>5861</v>
      </c>
      <c r="D18">
        <v>27782</v>
      </c>
      <c r="F18">
        <f t="shared" si="5"/>
        <v>226</v>
      </c>
      <c r="G18" s="20">
        <f t="shared" si="6"/>
        <v>13</v>
      </c>
      <c r="H18" s="21">
        <v>23013090157</v>
      </c>
      <c r="I18" s="22">
        <v>21</v>
      </c>
      <c r="J18" s="23"/>
      <c r="K18" s="24">
        <v>33417</v>
      </c>
      <c r="L18" s="23">
        <f t="shared" si="0"/>
        <v>226</v>
      </c>
      <c r="M18" s="24">
        <v>5820</v>
      </c>
      <c r="N18" s="25">
        <f t="shared" si="1"/>
        <v>41</v>
      </c>
      <c r="O18" s="24">
        <v>27597</v>
      </c>
      <c r="P18" s="23">
        <f t="shared" si="2"/>
        <v>185</v>
      </c>
      <c r="Q18" s="26"/>
      <c r="R18" s="23">
        <f t="shared" si="3"/>
        <v>0</v>
      </c>
      <c r="S18" s="27" t="s">
        <v>18</v>
      </c>
      <c r="T18" s="19" t="s">
        <v>30</v>
      </c>
    </row>
    <row r="19" spans="1:20" ht="37.5" customHeight="1" x14ac:dyDescent="0.25">
      <c r="A19" s="19" t="s">
        <v>31</v>
      </c>
      <c r="B19">
        <f t="shared" si="4"/>
        <v>22374</v>
      </c>
      <c r="C19">
        <v>3937</v>
      </c>
      <c r="D19">
        <v>18437</v>
      </c>
      <c r="F19">
        <f t="shared" si="5"/>
        <v>0</v>
      </c>
      <c r="G19" s="20">
        <f t="shared" si="6"/>
        <v>14</v>
      </c>
      <c r="H19" s="21">
        <v>66617010245</v>
      </c>
      <c r="I19" s="22">
        <v>22</v>
      </c>
      <c r="J19" s="23"/>
      <c r="K19" s="24">
        <v>22374</v>
      </c>
      <c r="L19" s="23">
        <f t="shared" si="0"/>
        <v>0</v>
      </c>
      <c r="M19" s="24">
        <v>3937</v>
      </c>
      <c r="N19" s="25">
        <f t="shared" si="1"/>
        <v>0</v>
      </c>
      <c r="O19" s="24">
        <v>18437</v>
      </c>
      <c r="P19" s="23">
        <f t="shared" si="2"/>
        <v>0</v>
      </c>
      <c r="Q19" s="26"/>
      <c r="R19" s="23">
        <f t="shared" si="3"/>
        <v>0</v>
      </c>
      <c r="S19" s="27" t="s">
        <v>18</v>
      </c>
      <c r="T19" s="19" t="s">
        <v>31</v>
      </c>
    </row>
    <row r="20" spans="1:20" ht="37.5" customHeight="1" x14ac:dyDescent="0.25">
      <c r="A20" s="19" t="s">
        <v>32</v>
      </c>
      <c r="B20">
        <f t="shared" si="4"/>
        <v>7570</v>
      </c>
      <c r="C20">
        <v>1753</v>
      </c>
      <c r="D20">
        <v>5817</v>
      </c>
      <c r="E20">
        <v>7501</v>
      </c>
      <c r="F20">
        <f t="shared" si="5"/>
        <v>646</v>
      </c>
      <c r="G20" s="20">
        <f t="shared" si="6"/>
        <v>15</v>
      </c>
      <c r="H20" s="21">
        <v>99624020284</v>
      </c>
      <c r="I20" s="22">
        <v>23</v>
      </c>
      <c r="J20" s="23"/>
      <c r="K20" s="24">
        <f t="shared" ref="K20:K27" si="7">M20+O20</f>
        <v>6924</v>
      </c>
      <c r="L20" s="23">
        <f t="shared" si="0"/>
        <v>646</v>
      </c>
      <c r="M20" s="24">
        <v>1582</v>
      </c>
      <c r="N20" s="25">
        <f t="shared" si="1"/>
        <v>171</v>
      </c>
      <c r="O20" s="24">
        <v>5342</v>
      </c>
      <c r="P20" s="23">
        <f t="shared" si="2"/>
        <v>475</v>
      </c>
      <c r="Q20" s="26">
        <v>6418</v>
      </c>
      <c r="R20" s="23">
        <f t="shared" si="3"/>
        <v>1083</v>
      </c>
      <c r="S20" s="27" t="s">
        <v>18</v>
      </c>
      <c r="T20" s="19" t="s">
        <v>32</v>
      </c>
    </row>
    <row r="21" spans="1:20" ht="37.5" customHeight="1" x14ac:dyDescent="0.25">
      <c r="A21" s="19" t="s">
        <v>33</v>
      </c>
      <c r="B21">
        <f t="shared" si="4"/>
        <v>5582</v>
      </c>
      <c r="C21">
        <v>1246</v>
      </c>
      <c r="D21">
        <v>4336</v>
      </c>
      <c r="E21">
        <v>9655</v>
      </c>
      <c r="F21">
        <f t="shared" si="5"/>
        <v>222</v>
      </c>
      <c r="G21" s="20">
        <f t="shared" si="6"/>
        <v>16</v>
      </c>
      <c r="H21" s="21">
        <v>99624020164</v>
      </c>
      <c r="I21" s="22">
        <v>24</v>
      </c>
      <c r="J21" s="23"/>
      <c r="K21" s="24">
        <f t="shared" si="7"/>
        <v>5360</v>
      </c>
      <c r="L21" s="23">
        <f t="shared" si="0"/>
        <v>222</v>
      </c>
      <c r="M21" s="24">
        <v>1188</v>
      </c>
      <c r="N21" s="25">
        <f t="shared" si="1"/>
        <v>58</v>
      </c>
      <c r="O21" s="24">
        <v>4172</v>
      </c>
      <c r="P21" s="23">
        <f t="shared" si="2"/>
        <v>164</v>
      </c>
      <c r="Q21" s="26">
        <v>8152</v>
      </c>
      <c r="R21" s="23">
        <f t="shared" si="3"/>
        <v>1503</v>
      </c>
      <c r="S21" s="27" t="s">
        <v>18</v>
      </c>
      <c r="T21" s="19" t="s">
        <v>33</v>
      </c>
    </row>
    <row r="22" spans="1:20" ht="37.5" customHeight="1" x14ac:dyDescent="0.25">
      <c r="A22" s="19" t="s">
        <v>34</v>
      </c>
      <c r="B22">
        <f t="shared" si="4"/>
        <v>21508</v>
      </c>
      <c r="C22">
        <v>5504</v>
      </c>
      <c r="D22">
        <v>16004</v>
      </c>
      <c r="E22">
        <v>28348</v>
      </c>
      <c r="F22">
        <f t="shared" si="5"/>
        <v>547</v>
      </c>
      <c r="G22" s="20">
        <f t="shared" si="6"/>
        <v>17</v>
      </c>
      <c r="H22" s="21">
        <v>99723040081</v>
      </c>
      <c r="I22" s="22">
        <v>25</v>
      </c>
      <c r="J22" s="23"/>
      <c r="K22" s="24">
        <f t="shared" si="7"/>
        <v>20961</v>
      </c>
      <c r="L22" s="23">
        <f t="shared" si="0"/>
        <v>547</v>
      </c>
      <c r="M22" s="24">
        <v>5367</v>
      </c>
      <c r="N22" s="25">
        <f t="shared" si="1"/>
        <v>137</v>
      </c>
      <c r="O22" s="24">
        <v>15594</v>
      </c>
      <c r="P22" s="23">
        <f t="shared" si="2"/>
        <v>410</v>
      </c>
      <c r="Q22" s="26">
        <v>26439</v>
      </c>
      <c r="R22" s="23">
        <f t="shared" si="3"/>
        <v>1909</v>
      </c>
      <c r="S22" s="27" t="s">
        <v>18</v>
      </c>
      <c r="T22" s="19" t="s">
        <v>34</v>
      </c>
    </row>
    <row r="23" spans="1:20" ht="37.5" customHeight="1" x14ac:dyDescent="0.25">
      <c r="A23" s="19" t="s">
        <v>35</v>
      </c>
      <c r="B23">
        <f t="shared" si="4"/>
        <v>219</v>
      </c>
      <c r="C23">
        <v>70</v>
      </c>
      <c r="D23">
        <v>149</v>
      </c>
      <c r="E23">
        <v>1857</v>
      </c>
      <c r="F23">
        <f t="shared" si="5"/>
        <v>106</v>
      </c>
      <c r="G23" s="20">
        <f t="shared" si="6"/>
        <v>18</v>
      </c>
      <c r="H23" s="21">
        <v>99625010081</v>
      </c>
      <c r="I23" s="22">
        <v>27</v>
      </c>
      <c r="J23" s="23"/>
      <c r="K23" s="24">
        <f t="shared" si="7"/>
        <v>113</v>
      </c>
      <c r="L23" s="23">
        <f t="shared" si="0"/>
        <v>106</v>
      </c>
      <c r="M23" s="24">
        <v>33</v>
      </c>
      <c r="N23" s="25">
        <f t="shared" si="1"/>
        <v>37</v>
      </c>
      <c r="O23" s="24">
        <v>80</v>
      </c>
      <c r="P23" s="23">
        <f t="shared" si="2"/>
        <v>69</v>
      </c>
      <c r="Q23" s="26">
        <v>550</v>
      </c>
      <c r="R23" s="23">
        <f t="shared" si="3"/>
        <v>1307</v>
      </c>
      <c r="S23" s="27" t="s">
        <v>18</v>
      </c>
      <c r="T23" s="19" t="s">
        <v>35</v>
      </c>
    </row>
    <row r="24" spans="1:20" ht="37.5" customHeight="1" x14ac:dyDescent="0.25">
      <c r="A24" s="19" t="s">
        <v>36</v>
      </c>
      <c r="B24">
        <f t="shared" si="4"/>
        <v>5667</v>
      </c>
      <c r="C24">
        <v>1892</v>
      </c>
      <c r="D24">
        <v>3775</v>
      </c>
      <c r="E24">
        <v>5099</v>
      </c>
      <c r="F24">
        <f t="shared" si="5"/>
        <v>810</v>
      </c>
      <c r="G24" s="20">
        <f t="shared" si="6"/>
        <v>19</v>
      </c>
      <c r="H24" s="21">
        <v>99624040291</v>
      </c>
      <c r="I24" s="22">
        <v>28</v>
      </c>
      <c r="J24" s="23"/>
      <c r="K24" s="24">
        <f t="shared" si="7"/>
        <v>4857</v>
      </c>
      <c r="L24" s="23">
        <f t="shared" si="0"/>
        <v>810</v>
      </c>
      <c r="M24" s="24">
        <v>1612</v>
      </c>
      <c r="N24" s="25">
        <f t="shared" si="1"/>
        <v>280</v>
      </c>
      <c r="O24" s="24">
        <v>3245</v>
      </c>
      <c r="P24" s="23">
        <f t="shared" si="2"/>
        <v>530</v>
      </c>
      <c r="Q24" s="26">
        <v>3948</v>
      </c>
      <c r="R24" s="23">
        <f t="shared" si="3"/>
        <v>1151</v>
      </c>
      <c r="S24" s="27" t="s">
        <v>18</v>
      </c>
      <c r="T24" s="19" t="s">
        <v>36</v>
      </c>
    </row>
    <row r="25" spans="1:20" ht="37.5" customHeight="1" x14ac:dyDescent="0.25">
      <c r="A25" s="19" t="s">
        <v>37</v>
      </c>
      <c r="B25">
        <f t="shared" si="4"/>
        <v>14722</v>
      </c>
      <c r="C25">
        <v>1932</v>
      </c>
      <c r="D25">
        <v>12790</v>
      </c>
      <c r="E25">
        <v>29281</v>
      </c>
      <c r="F25">
        <f t="shared" si="5"/>
        <v>479</v>
      </c>
      <c r="G25" s="20">
        <f t="shared" si="6"/>
        <v>20</v>
      </c>
      <c r="H25" s="21">
        <v>99722020036</v>
      </c>
      <c r="I25" s="22">
        <v>29</v>
      </c>
      <c r="J25" s="23"/>
      <c r="K25" s="24">
        <f t="shared" si="7"/>
        <v>14243</v>
      </c>
      <c r="L25" s="23">
        <f t="shared" si="0"/>
        <v>479</v>
      </c>
      <c r="M25" s="24">
        <v>1875</v>
      </c>
      <c r="N25" s="25">
        <f t="shared" si="1"/>
        <v>57</v>
      </c>
      <c r="O25" s="24">
        <v>12368</v>
      </c>
      <c r="P25" s="23">
        <f t="shared" si="2"/>
        <v>422</v>
      </c>
      <c r="Q25" s="26">
        <v>27478</v>
      </c>
      <c r="R25" s="23">
        <f t="shared" si="3"/>
        <v>1803</v>
      </c>
      <c r="S25" s="27" t="s">
        <v>18</v>
      </c>
      <c r="T25" s="19" t="s">
        <v>37</v>
      </c>
    </row>
    <row r="26" spans="1:20" ht="37.5" customHeight="1" x14ac:dyDescent="0.25">
      <c r="A26" s="19" t="s">
        <v>38</v>
      </c>
      <c r="B26">
        <f t="shared" si="4"/>
        <v>5026</v>
      </c>
      <c r="C26">
        <v>1498</v>
      </c>
      <c r="D26">
        <v>3528</v>
      </c>
      <c r="E26">
        <v>11545</v>
      </c>
      <c r="F26">
        <f t="shared" si="5"/>
        <v>403</v>
      </c>
      <c r="G26" s="20">
        <f t="shared" si="6"/>
        <v>21</v>
      </c>
      <c r="H26" s="21">
        <v>99624030191</v>
      </c>
      <c r="I26" s="22">
        <v>31</v>
      </c>
      <c r="J26" s="23"/>
      <c r="K26" s="24">
        <f t="shared" si="7"/>
        <v>4623</v>
      </c>
      <c r="L26" s="23">
        <f t="shared" si="0"/>
        <v>403</v>
      </c>
      <c r="M26" s="24">
        <v>1373</v>
      </c>
      <c r="N26" s="25">
        <f t="shared" si="1"/>
        <v>125</v>
      </c>
      <c r="O26" s="24">
        <v>3250</v>
      </c>
      <c r="P26" s="23">
        <f t="shared" si="2"/>
        <v>278</v>
      </c>
      <c r="Q26" s="26">
        <v>9333</v>
      </c>
      <c r="R26" s="23">
        <f t="shared" si="3"/>
        <v>2212</v>
      </c>
      <c r="S26" s="27" t="s">
        <v>18</v>
      </c>
      <c r="T26" s="19" t="s">
        <v>38</v>
      </c>
    </row>
    <row r="27" spans="1:20" ht="37.5" customHeight="1" x14ac:dyDescent="0.25">
      <c r="A27" s="19" t="s">
        <v>39</v>
      </c>
      <c r="B27">
        <f t="shared" si="4"/>
        <v>4602</v>
      </c>
      <c r="C27">
        <v>1048</v>
      </c>
      <c r="D27">
        <v>3554</v>
      </c>
      <c r="E27">
        <v>5263</v>
      </c>
      <c r="F27">
        <f t="shared" si="5"/>
        <v>446</v>
      </c>
      <c r="G27" s="20">
        <f t="shared" si="6"/>
        <v>22</v>
      </c>
      <c r="H27" s="21">
        <v>99624020162</v>
      </c>
      <c r="I27" s="22">
        <v>32</v>
      </c>
      <c r="J27" s="23"/>
      <c r="K27" s="24">
        <f t="shared" si="7"/>
        <v>4156</v>
      </c>
      <c r="L27" s="23">
        <f t="shared" si="0"/>
        <v>446</v>
      </c>
      <c r="M27" s="24">
        <v>920</v>
      </c>
      <c r="N27" s="25">
        <f t="shared" si="1"/>
        <v>128</v>
      </c>
      <c r="O27" s="24">
        <v>3236</v>
      </c>
      <c r="P27" s="23">
        <f t="shared" si="2"/>
        <v>318</v>
      </c>
      <c r="Q27" s="26">
        <v>4496</v>
      </c>
      <c r="R27" s="23">
        <f t="shared" si="3"/>
        <v>767</v>
      </c>
      <c r="S27" s="27" t="s">
        <v>18</v>
      </c>
      <c r="T27" s="19" t="s">
        <v>39</v>
      </c>
    </row>
    <row r="28" spans="1:20" ht="37.5" customHeight="1" x14ac:dyDescent="0.25">
      <c r="A28" s="19" t="s">
        <v>40</v>
      </c>
      <c r="B28">
        <f t="shared" si="4"/>
        <v>9831</v>
      </c>
      <c r="C28">
        <v>1951</v>
      </c>
      <c r="D28">
        <v>7880</v>
      </c>
      <c r="F28">
        <f t="shared" si="5"/>
        <v>237</v>
      </c>
      <c r="G28" s="20">
        <f t="shared" si="6"/>
        <v>23</v>
      </c>
      <c r="H28" s="21">
        <v>88820030458</v>
      </c>
      <c r="I28" s="22">
        <v>33</v>
      </c>
      <c r="J28" s="23"/>
      <c r="K28" s="24">
        <v>9594</v>
      </c>
      <c r="L28" s="23">
        <f t="shared" si="0"/>
        <v>237</v>
      </c>
      <c r="M28" s="24">
        <v>1914</v>
      </c>
      <c r="N28" s="25">
        <f t="shared" si="1"/>
        <v>37</v>
      </c>
      <c r="O28" s="24">
        <v>7680</v>
      </c>
      <c r="P28" s="23">
        <f t="shared" si="2"/>
        <v>200</v>
      </c>
      <c r="Q28" s="26"/>
      <c r="R28" s="23">
        <f t="shared" si="3"/>
        <v>0</v>
      </c>
      <c r="S28" s="27" t="s">
        <v>18</v>
      </c>
      <c r="T28" s="19" t="s">
        <v>40</v>
      </c>
    </row>
    <row r="29" spans="1:20" ht="37.5" customHeight="1" x14ac:dyDescent="0.25">
      <c r="A29" s="19" t="s">
        <v>41</v>
      </c>
      <c r="B29">
        <f t="shared" si="4"/>
        <v>26327</v>
      </c>
      <c r="C29">
        <v>5678</v>
      </c>
      <c r="D29">
        <v>20649</v>
      </c>
      <c r="E29">
        <v>26885</v>
      </c>
      <c r="F29">
        <f t="shared" si="5"/>
        <v>837</v>
      </c>
      <c r="G29" s="20">
        <f t="shared" si="6"/>
        <v>24</v>
      </c>
      <c r="H29" s="21">
        <v>99723060056</v>
      </c>
      <c r="I29" s="22">
        <v>34</v>
      </c>
      <c r="J29" s="23"/>
      <c r="K29" s="24">
        <f>M29+O29</f>
        <v>25490</v>
      </c>
      <c r="L29" s="23">
        <f t="shared" si="0"/>
        <v>837</v>
      </c>
      <c r="M29" s="24">
        <v>5466</v>
      </c>
      <c r="N29" s="25">
        <f t="shared" si="1"/>
        <v>212</v>
      </c>
      <c r="O29" s="24">
        <v>20024</v>
      </c>
      <c r="P29" s="23">
        <f t="shared" si="2"/>
        <v>625</v>
      </c>
      <c r="Q29" s="26">
        <v>24597</v>
      </c>
      <c r="R29" s="23">
        <f t="shared" si="3"/>
        <v>2288</v>
      </c>
      <c r="S29" s="27" t="s">
        <v>18</v>
      </c>
      <c r="T29" s="19" t="s">
        <v>41</v>
      </c>
    </row>
    <row r="30" spans="1:20" ht="37.5" customHeight="1" x14ac:dyDescent="0.25">
      <c r="A30" s="19" t="s">
        <v>42</v>
      </c>
      <c r="B30">
        <f t="shared" si="4"/>
        <v>1258</v>
      </c>
      <c r="C30">
        <v>471</v>
      </c>
      <c r="D30">
        <v>787</v>
      </c>
      <c r="E30">
        <v>2605</v>
      </c>
      <c r="F30">
        <f t="shared" si="5"/>
        <v>766</v>
      </c>
      <c r="G30" s="20">
        <f t="shared" si="6"/>
        <v>25</v>
      </c>
      <c r="H30" s="21">
        <v>99722030048</v>
      </c>
      <c r="I30" s="22">
        <v>35</v>
      </c>
      <c r="J30" s="23"/>
      <c r="K30" s="24">
        <f>M30+O30</f>
        <v>492</v>
      </c>
      <c r="L30" s="23">
        <f t="shared" si="0"/>
        <v>766</v>
      </c>
      <c r="M30" s="24">
        <v>215</v>
      </c>
      <c r="N30" s="25">
        <f t="shared" si="1"/>
        <v>256</v>
      </c>
      <c r="O30" s="24">
        <v>277</v>
      </c>
      <c r="P30" s="23">
        <f t="shared" si="2"/>
        <v>510</v>
      </c>
      <c r="Q30" s="26">
        <v>1349</v>
      </c>
      <c r="R30" s="23">
        <f t="shared" si="3"/>
        <v>1256</v>
      </c>
      <c r="S30" s="27" t="s">
        <v>18</v>
      </c>
      <c r="T30" s="19" t="s">
        <v>42</v>
      </c>
    </row>
    <row r="31" spans="1:20" ht="37.5" customHeight="1" x14ac:dyDescent="0.25">
      <c r="A31" s="19" t="s">
        <v>43</v>
      </c>
      <c r="B31">
        <f t="shared" si="4"/>
        <v>5785</v>
      </c>
      <c r="C31">
        <v>1367</v>
      </c>
      <c r="D31">
        <v>4418</v>
      </c>
      <c r="E31">
        <v>6280</v>
      </c>
      <c r="F31">
        <f t="shared" si="5"/>
        <v>539</v>
      </c>
      <c r="G31" s="20">
        <f t="shared" si="6"/>
        <v>26</v>
      </c>
      <c r="H31" s="21">
        <v>99624030225</v>
      </c>
      <c r="I31" s="22" t="s">
        <v>44</v>
      </c>
      <c r="J31" s="23"/>
      <c r="K31" s="24">
        <f>M31+O31</f>
        <v>5246</v>
      </c>
      <c r="L31" s="23">
        <f t="shared" si="0"/>
        <v>539</v>
      </c>
      <c r="M31" s="24">
        <v>1228</v>
      </c>
      <c r="N31" s="25">
        <f t="shared" si="1"/>
        <v>139</v>
      </c>
      <c r="O31" s="24">
        <v>4018</v>
      </c>
      <c r="P31" s="23">
        <f t="shared" si="2"/>
        <v>400</v>
      </c>
      <c r="Q31" s="26">
        <v>5207</v>
      </c>
      <c r="R31" s="23">
        <f t="shared" si="3"/>
        <v>1073</v>
      </c>
      <c r="S31" s="27" t="s">
        <v>18</v>
      </c>
      <c r="T31" s="19" t="s">
        <v>43</v>
      </c>
    </row>
    <row r="32" spans="1:20" ht="37.5" customHeight="1" x14ac:dyDescent="0.25">
      <c r="A32" s="19" t="s">
        <v>45</v>
      </c>
      <c r="B32">
        <f t="shared" si="4"/>
        <v>11756</v>
      </c>
      <c r="C32">
        <v>2484</v>
      </c>
      <c r="D32">
        <v>9272</v>
      </c>
      <c r="E32">
        <v>7644</v>
      </c>
      <c r="F32">
        <f t="shared" si="5"/>
        <v>463</v>
      </c>
      <c r="G32" s="20">
        <f t="shared" si="6"/>
        <v>27</v>
      </c>
      <c r="H32" s="21">
        <v>99723060122</v>
      </c>
      <c r="I32" s="22">
        <v>37</v>
      </c>
      <c r="J32" s="23"/>
      <c r="K32" s="24">
        <f>M32+O32</f>
        <v>11293</v>
      </c>
      <c r="L32" s="23">
        <f t="shared" si="0"/>
        <v>463</v>
      </c>
      <c r="M32" s="24">
        <v>2390</v>
      </c>
      <c r="N32" s="25">
        <f t="shared" si="1"/>
        <v>94</v>
      </c>
      <c r="O32" s="24">
        <v>8903</v>
      </c>
      <c r="P32" s="23">
        <f t="shared" si="2"/>
        <v>369</v>
      </c>
      <c r="Q32" s="26">
        <v>7039</v>
      </c>
      <c r="R32" s="23">
        <f t="shared" si="3"/>
        <v>605</v>
      </c>
      <c r="S32" s="27" t="s">
        <v>18</v>
      </c>
      <c r="T32" s="19" t="s">
        <v>45</v>
      </c>
    </row>
    <row r="33" spans="1:20" ht="37.5" customHeight="1" x14ac:dyDescent="0.25">
      <c r="A33" s="19" t="s">
        <v>46</v>
      </c>
      <c r="B33">
        <f t="shared" si="4"/>
        <v>131811</v>
      </c>
      <c r="C33">
        <v>24863</v>
      </c>
      <c r="D33">
        <v>106948</v>
      </c>
      <c r="F33">
        <f t="shared" si="5"/>
        <v>680</v>
      </c>
      <c r="G33" s="20">
        <f t="shared" si="6"/>
        <v>28</v>
      </c>
      <c r="H33" s="21">
        <v>23014060338</v>
      </c>
      <c r="I33" s="22">
        <v>38</v>
      </c>
      <c r="J33" s="23"/>
      <c r="K33" s="24">
        <v>131131</v>
      </c>
      <c r="L33" s="23">
        <f t="shared" si="0"/>
        <v>680</v>
      </c>
      <c r="M33" s="24">
        <v>24754</v>
      </c>
      <c r="N33" s="25">
        <f t="shared" si="1"/>
        <v>109</v>
      </c>
      <c r="O33" s="24">
        <v>106377</v>
      </c>
      <c r="P33" s="23">
        <f t="shared" si="2"/>
        <v>571</v>
      </c>
      <c r="Q33" s="26"/>
      <c r="R33" s="23">
        <f t="shared" si="3"/>
        <v>0</v>
      </c>
      <c r="S33" s="27" t="s">
        <v>18</v>
      </c>
      <c r="T33" s="19" t="s">
        <v>46</v>
      </c>
    </row>
    <row r="34" spans="1:20" ht="37.5" customHeight="1" x14ac:dyDescent="0.25">
      <c r="A34" s="19" t="s">
        <v>47</v>
      </c>
      <c r="B34">
        <f t="shared" si="4"/>
        <v>94812</v>
      </c>
      <c r="C34">
        <v>15774</v>
      </c>
      <c r="D34">
        <v>79038</v>
      </c>
      <c r="F34">
        <f t="shared" si="5"/>
        <v>886</v>
      </c>
      <c r="G34" s="20">
        <f t="shared" si="6"/>
        <v>29</v>
      </c>
      <c r="H34" s="21">
        <v>66616031315</v>
      </c>
      <c r="I34" s="22">
        <v>39</v>
      </c>
      <c r="J34" s="23"/>
      <c r="K34" s="24">
        <v>93926</v>
      </c>
      <c r="L34" s="23">
        <f t="shared" si="0"/>
        <v>886</v>
      </c>
      <c r="M34" s="24">
        <v>15676</v>
      </c>
      <c r="N34" s="25">
        <f t="shared" si="1"/>
        <v>98</v>
      </c>
      <c r="O34" s="24">
        <v>78250</v>
      </c>
      <c r="P34" s="23">
        <f t="shared" si="2"/>
        <v>788</v>
      </c>
      <c r="Q34" s="26"/>
      <c r="R34" s="23">
        <f t="shared" si="3"/>
        <v>0</v>
      </c>
      <c r="S34" s="27" t="s">
        <v>18</v>
      </c>
      <c r="T34" s="19" t="s">
        <v>47</v>
      </c>
    </row>
    <row r="35" spans="1:20" ht="37.5" customHeight="1" x14ac:dyDescent="0.25">
      <c r="A35" s="19" t="s">
        <v>48</v>
      </c>
      <c r="B35">
        <f t="shared" si="4"/>
        <v>12615</v>
      </c>
      <c r="C35">
        <v>2477</v>
      </c>
      <c r="D35">
        <v>10138</v>
      </c>
      <c r="E35">
        <v>9442</v>
      </c>
      <c r="F35">
        <f t="shared" si="5"/>
        <v>439</v>
      </c>
      <c r="G35" s="20">
        <f t="shared" si="6"/>
        <v>30</v>
      </c>
      <c r="H35" s="21">
        <v>99723070197</v>
      </c>
      <c r="I35" s="22">
        <v>40</v>
      </c>
      <c r="J35" s="23"/>
      <c r="K35" s="24">
        <f>M35+O35</f>
        <v>12176</v>
      </c>
      <c r="L35" s="23">
        <f t="shared" si="0"/>
        <v>439</v>
      </c>
      <c r="M35" s="24">
        <v>2444</v>
      </c>
      <c r="N35" s="25">
        <f t="shared" si="1"/>
        <v>33</v>
      </c>
      <c r="O35" s="24">
        <v>9732</v>
      </c>
      <c r="P35" s="23">
        <f t="shared" si="2"/>
        <v>406</v>
      </c>
      <c r="Q35" s="26">
        <v>8575</v>
      </c>
      <c r="R35" s="23">
        <f t="shared" si="3"/>
        <v>867</v>
      </c>
      <c r="S35" s="27" t="s">
        <v>18</v>
      </c>
      <c r="T35" s="19" t="s">
        <v>48</v>
      </c>
    </row>
    <row r="36" spans="1:20" ht="37.5" customHeight="1" x14ac:dyDescent="0.25">
      <c r="A36" s="19" t="s">
        <v>49</v>
      </c>
      <c r="B36">
        <f t="shared" si="4"/>
        <v>10099</v>
      </c>
      <c r="C36">
        <v>2426</v>
      </c>
      <c r="D36">
        <v>7673</v>
      </c>
      <c r="E36">
        <v>11738</v>
      </c>
      <c r="F36">
        <f t="shared" si="5"/>
        <v>564</v>
      </c>
      <c r="G36" s="20">
        <f t="shared" si="6"/>
        <v>31</v>
      </c>
      <c r="H36" s="21">
        <v>99624010031</v>
      </c>
      <c r="I36" s="22">
        <v>41</v>
      </c>
      <c r="J36" s="23"/>
      <c r="K36" s="24">
        <f>M36+O36</f>
        <v>9535</v>
      </c>
      <c r="L36" s="23">
        <f t="shared" si="0"/>
        <v>564</v>
      </c>
      <c r="M36" s="24">
        <v>2266</v>
      </c>
      <c r="N36" s="25">
        <f t="shared" si="1"/>
        <v>160</v>
      </c>
      <c r="O36" s="24">
        <v>7269</v>
      </c>
      <c r="P36" s="23">
        <f t="shared" si="2"/>
        <v>404</v>
      </c>
      <c r="Q36" s="26">
        <v>10426</v>
      </c>
      <c r="R36" s="23">
        <f t="shared" si="3"/>
        <v>1312</v>
      </c>
      <c r="S36" s="27" t="s">
        <v>18</v>
      </c>
      <c r="T36" s="19" t="s">
        <v>49</v>
      </c>
    </row>
    <row r="37" spans="1:20" ht="37.5" customHeight="1" x14ac:dyDescent="0.25">
      <c r="A37" s="19" t="s">
        <v>50</v>
      </c>
      <c r="B37">
        <f t="shared" si="4"/>
        <v>7802</v>
      </c>
      <c r="C37">
        <v>1567</v>
      </c>
      <c r="D37">
        <v>6235</v>
      </c>
      <c r="E37">
        <v>8542</v>
      </c>
      <c r="F37">
        <f t="shared" si="5"/>
        <v>342</v>
      </c>
      <c r="G37" s="20">
        <f t="shared" si="6"/>
        <v>32</v>
      </c>
      <c r="H37" s="21">
        <v>99624010194</v>
      </c>
      <c r="I37" s="22">
        <v>42</v>
      </c>
      <c r="J37" s="23"/>
      <c r="K37" s="24">
        <f>M37+O37</f>
        <v>7460</v>
      </c>
      <c r="L37" s="23">
        <f t="shared" si="0"/>
        <v>342</v>
      </c>
      <c r="M37" s="24">
        <v>1460</v>
      </c>
      <c r="N37" s="25">
        <f t="shared" si="1"/>
        <v>107</v>
      </c>
      <c r="O37" s="24">
        <v>6000</v>
      </c>
      <c r="P37" s="23">
        <f t="shared" si="2"/>
        <v>235</v>
      </c>
      <c r="Q37" s="26">
        <v>7469</v>
      </c>
      <c r="R37" s="23">
        <f t="shared" si="3"/>
        <v>1073</v>
      </c>
      <c r="S37" s="27" t="s">
        <v>18</v>
      </c>
      <c r="T37" s="19" t="s">
        <v>50</v>
      </c>
    </row>
    <row r="38" spans="1:20" ht="37.5" customHeight="1" x14ac:dyDescent="0.25">
      <c r="A38" s="19" t="s">
        <v>51</v>
      </c>
      <c r="B38">
        <f t="shared" si="4"/>
        <v>6673</v>
      </c>
      <c r="C38">
        <v>1240</v>
      </c>
      <c r="D38">
        <v>5433</v>
      </c>
      <c r="F38">
        <f t="shared" si="5"/>
        <v>253</v>
      </c>
      <c r="G38" s="20">
        <f t="shared" si="6"/>
        <v>33</v>
      </c>
      <c r="H38" s="21">
        <v>88819030155</v>
      </c>
      <c r="I38" s="22">
        <v>43</v>
      </c>
      <c r="J38" s="23"/>
      <c r="K38" s="24">
        <v>6420</v>
      </c>
      <c r="L38" s="23">
        <f t="shared" si="0"/>
        <v>253</v>
      </c>
      <c r="M38" s="24">
        <v>1181</v>
      </c>
      <c r="N38" s="25">
        <f t="shared" si="1"/>
        <v>59</v>
      </c>
      <c r="O38" s="24">
        <v>5239</v>
      </c>
      <c r="P38" s="23">
        <f t="shared" si="2"/>
        <v>194</v>
      </c>
      <c r="Q38" s="26"/>
      <c r="R38" s="23">
        <f t="shared" si="3"/>
        <v>0</v>
      </c>
      <c r="S38" s="27" t="s">
        <v>18</v>
      </c>
      <c r="T38" s="19" t="s">
        <v>51</v>
      </c>
    </row>
    <row r="39" spans="1:20" ht="37.5" customHeight="1" x14ac:dyDescent="0.25">
      <c r="A39" s="19" t="s">
        <v>52</v>
      </c>
      <c r="B39">
        <f t="shared" si="4"/>
        <v>68940</v>
      </c>
      <c r="C39">
        <v>12652</v>
      </c>
      <c r="D39">
        <v>56288</v>
      </c>
      <c r="F39">
        <f t="shared" si="5"/>
        <v>43</v>
      </c>
      <c r="G39" s="20">
        <f t="shared" si="6"/>
        <v>34</v>
      </c>
      <c r="H39" s="21">
        <v>23014010414</v>
      </c>
      <c r="I39" s="22">
        <v>44</v>
      </c>
      <c r="J39" s="23"/>
      <c r="K39" s="24">
        <v>68897</v>
      </c>
      <c r="L39" s="23">
        <f t="shared" si="0"/>
        <v>43</v>
      </c>
      <c r="M39" s="24">
        <v>12642</v>
      </c>
      <c r="N39" s="25">
        <f t="shared" si="1"/>
        <v>10</v>
      </c>
      <c r="O39" s="24">
        <v>56255</v>
      </c>
      <c r="P39" s="23">
        <f t="shared" si="2"/>
        <v>33</v>
      </c>
      <c r="Q39" s="26"/>
      <c r="R39" s="23">
        <f t="shared" si="3"/>
        <v>0</v>
      </c>
      <c r="S39" s="27" t="s">
        <v>18</v>
      </c>
      <c r="T39" s="19" t="s">
        <v>52</v>
      </c>
    </row>
    <row r="40" spans="1:20" ht="37.5" customHeight="1" x14ac:dyDescent="0.25">
      <c r="A40" s="19" t="s">
        <v>53</v>
      </c>
      <c r="B40">
        <f t="shared" si="4"/>
        <v>2206</v>
      </c>
      <c r="C40">
        <v>421</v>
      </c>
      <c r="D40">
        <v>1785</v>
      </c>
      <c r="F40">
        <f t="shared" si="5"/>
        <v>1166</v>
      </c>
      <c r="G40" s="20">
        <f t="shared" si="6"/>
        <v>35</v>
      </c>
      <c r="H40" s="21">
        <v>66625010041</v>
      </c>
      <c r="I40" s="22">
        <v>46</v>
      </c>
      <c r="J40" s="23"/>
      <c r="K40" s="24">
        <v>1040</v>
      </c>
      <c r="L40" s="23">
        <f t="shared" si="0"/>
        <v>1166</v>
      </c>
      <c r="M40" s="24">
        <v>208</v>
      </c>
      <c r="N40" s="25">
        <f t="shared" si="1"/>
        <v>213</v>
      </c>
      <c r="O40" s="24">
        <v>832</v>
      </c>
      <c r="P40" s="23">
        <f t="shared" si="2"/>
        <v>953</v>
      </c>
      <c r="Q40" s="26"/>
      <c r="R40" s="23">
        <f t="shared" si="3"/>
        <v>0</v>
      </c>
      <c r="S40" s="27" t="s">
        <v>18</v>
      </c>
      <c r="T40" s="19" t="s">
        <v>53</v>
      </c>
    </row>
    <row r="41" spans="1:20" ht="37.5" customHeight="1" x14ac:dyDescent="0.25">
      <c r="A41" s="19" t="s">
        <v>54</v>
      </c>
      <c r="B41">
        <f t="shared" si="4"/>
        <v>15723</v>
      </c>
      <c r="C41">
        <v>4387</v>
      </c>
      <c r="D41">
        <v>11336</v>
      </c>
      <c r="E41">
        <v>25905</v>
      </c>
      <c r="F41">
        <f t="shared" si="5"/>
        <v>171</v>
      </c>
      <c r="G41" s="20">
        <f t="shared" si="6"/>
        <v>36</v>
      </c>
      <c r="H41" s="21">
        <v>99622050061</v>
      </c>
      <c r="I41" s="22">
        <v>48</v>
      </c>
      <c r="J41" s="23"/>
      <c r="K41" s="24">
        <f>M41+O41</f>
        <v>15552</v>
      </c>
      <c r="L41" s="23">
        <f t="shared" si="0"/>
        <v>171</v>
      </c>
      <c r="M41" s="24">
        <v>4329</v>
      </c>
      <c r="N41" s="25">
        <f t="shared" si="1"/>
        <v>58</v>
      </c>
      <c r="O41" s="24">
        <v>11223</v>
      </c>
      <c r="P41" s="23">
        <f t="shared" si="2"/>
        <v>113</v>
      </c>
      <c r="Q41" s="26">
        <v>24423</v>
      </c>
      <c r="R41" s="23">
        <f t="shared" si="3"/>
        <v>1482</v>
      </c>
      <c r="S41" s="27" t="s">
        <v>18</v>
      </c>
      <c r="T41" s="19" t="s">
        <v>54</v>
      </c>
    </row>
    <row r="42" spans="1:20" ht="37.5" customHeight="1" x14ac:dyDescent="0.25">
      <c r="A42" s="19" t="s">
        <v>55</v>
      </c>
      <c r="B42">
        <f t="shared" si="4"/>
        <v>1822</v>
      </c>
      <c r="C42">
        <v>482</v>
      </c>
      <c r="D42">
        <v>1340</v>
      </c>
      <c r="E42">
        <v>2933</v>
      </c>
      <c r="F42">
        <f t="shared" si="5"/>
        <v>764</v>
      </c>
      <c r="G42" s="20">
        <f t="shared" si="6"/>
        <v>37</v>
      </c>
      <c r="H42" s="21">
        <v>99625010038</v>
      </c>
      <c r="I42" s="22">
        <v>49</v>
      </c>
      <c r="J42" s="23"/>
      <c r="K42" s="24">
        <f>M42+O42</f>
        <v>1058</v>
      </c>
      <c r="L42" s="23">
        <f t="shared" si="0"/>
        <v>764</v>
      </c>
      <c r="M42" s="24">
        <v>262</v>
      </c>
      <c r="N42" s="25">
        <f t="shared" si="1"/>
        <v>220</v>
      </c>
      <c r="O42" s="24">
        <v>796</v>
      </c>
      <c r="P42" s="23">
        <f t="shared" si="2"/>
        <v>544</v>
      </c>
      <c r="Q42" s="26">
        <v>1359</v>
      </c>
      <c r="R42" s="23">
        <f t="shared" si="3"/>
        <v>1574</v>
      </c>
      <c r="S42" s="27" t="s">
        <v>18</v>
      </c>
      <c r="T42" s="19" t="s">
        <v>55</v>
      </c>
    </row>
    <row r="43" spans="1:20" ht="37.5" customHeight="1" x14ac:dyDescent="0.25">
      <c r="A43" s="19" t="s">
        <v>56</v>
      </c>
      <c r="B43">
        <f t="shared" si="4"/>
        <v>7626</v>
      </c>
      <c r="C43">
        <v>1748</v>
      </c>
      <c r="D43">
        <v>5878</v>
      </c>
      <c r="E43">
        <v>9149</v>
      </c>
      <c r="F43">
        <f t="shared" si="5"/>
        <v>473</v>
      </c>
      <c r="G43" s="20">
        <f t="shared" si="6"/>
        <v>38</v>
      </c>
      <c r="H43" s="21">
        <v>99624020163</v>
      </c>
      <c r="I43" s="22">
        <v>50</v>
      </c>
      <c r="J43" s="23"/>
      <c r="K43" s="24">
        <f>M43+O43</f>
        <v>7153</v>
      </c>
      <c r="L43" s="23">
        <f t="shared" si="0"/>
        <v>473</v>
      </c>
      <c r="M43" s="24">
        <v>1623</v>
      </c>
      <c r="N43" s="25">
        <f t="shared" si="1"/>
        <v>125</v>
      </c>
      <c r="O43" s="24">
        <v>5530</v>
      </c>
      <c r="P43" s="23">
        <f t="shared" si="2"/>
        <v>348</v>
      </c>
      <c r="Q43" s="26">
        <v>7804</v>
      </c>
      <c r="R43" s="23">
        <f t="shared" si="3"/>
        <v>1345</v>
      </c>
      <c r="S43" s="27" t="s">
        <v>18</v>
      </c>
      <c r="T43" s="19" t="s">
        <v>56</v>
      </c>
    </row>
    <row r="44" spans="1:20" ht="37.5" customHeight="1" x14ac:dyDescent="0.25">
      <c r="A44" s="19" t="s">
        <v>57</v>
      </c>
      <c r="B44">
        <f t="shared" si="4"/>
        <v>76682</v>
      </c>
      <c r="C44">
        <v>12198</v>
      </c>
      <c r="D44">
        <v>64484</v>
      </c>
      <c r="F44">
        <f t="shared" si="5"/>
        <v>444</v>
      </c>
      <c r="G44" s="20">
        <f t="shared" si="6"/>
        <v>39</v>
      </c>
      <c r="H44" s="21">
        <v>23013010213</v>
      </c>
      <c r="I44" s="22">
        <v>51</v>
      </c>
      <c r="J44" s="23"/>
      <c r="K44" s="24">
        <v>76238</v>
      </c>
      <c r="L44" s="23">
        <f t="shared" si="0"/>
        <v>444</v>
      </c>
      <c r="M44" s="24">
        <v>12146</v>
      </c>
      <c r="N44" s="25">
        <f t="shared" si="1"/>
        <v>52</v>
      </c>
      <c r="O44" s="24">
        <v>64092</v>
      </c>
      <c r="P44" s="23">
        <f t="shared" si="2"/>
        <v>392</v>
      </c>
      <c r="Q44" s="26"/>
      <c r="R44" s="23">
        <f t="shared" si="3"/>
        <v>0</v>
      </c>
      <c r="S44" s="27" t="s">
        <v>18</v>
      </c>
      <c r="T44" s="19" t="s">
        <v>57</v>
      </c>
    </row>
    <row r="45" spans="1:20" ht="37.5" customHeight="1" x14ac:dyDescent="0.25">
      <c r="A45" s="19" t="s">
        <v>58</v>
      </c>
      <c r="B45">
        <f t="shared" si="4"/>
        <v>52093</v>
      </c>
      <c r="C45">
        <v>7745</v>
      </c>
      <c r="D45">
        <v>44348</v>
      </c>
      <c r="F45">
        <f t="shared" si="5"/>
        <v>176</v>
      </c>
      <c r="G45" s="20">
        <f t="shared" si="6"/>
        <v>40</v>
      </c>
      <c r="H45" s="21">
        <v>23014060786</v>
      </c>
      <c r="I45" s="22">
        <v>52</v>
      </c>
      <c r="J45" s="23"/>
      <c r="K45" s="24">
        <v>51917</v>
      </c>
      <c r="L45" s="23">
        <f t="shared" si="0"/>
        <v>176</v>
      </c>
      <c r="M45" s="24">
        <v>7722</v>
      </c>
      <c r="N45" s="25">
        <f t="shared" si="1"/>
        <v>23</v>
      </c>
      <c r="O45" s="24">
        <v>44189</v>
      </c>
      <c r="P45" s="23">
        <f t="shared" si="2"/>
        <v>159</v>
      </c>
      <c r="Q45" s="26"/>
      <c r="R45" s="23">
        <f t="shared" si="3"/>
        <v>0</v>
      </c>
      <c r="S45" s="27" t="s">
        <v>18</v>
      </c>
      <c r="T45" s="19" t="s">
        <v>58</v>
      </c>
    </row>
    <row r="46" spans="1:20" ht="37.5" customHeight="1" x14ac:dyDescent="0.25">
      <c r="A46" s="19" t="s">
        <v>59</v>
      </c>
      <c r="B46">
        <f t="shared" si="4"/>
        <v>3272</v>
      </c>
      <c r="C46">
        <v>465</v>
      </c>
      <c r="D46">
        <v>2807</v>
      </c>
      <c r="F46">
        <f t="shared" si="5"/>
        <v>0</v>
      </c>
      <c r="G46" s="20">
        <f t="shared" si="6"/>
        <v>41</v>
      </c>
      <c r="H46" s="21">
        <v>88818010001</v>
      </c>
      <c r="I46" s="22" t="s">
        <v>60</v>
      </c>
      <c r="J46" s="23"/>
      <c r="K46" s="24">
        <v>3272</v>
      </c>
      <c r="L46" s="23">
        <f t="shared" si="0"/>
        <v>0</v>
      </c>
      <c r="M46" s="24">
        <v>465</v>
      </c>
      <c r="N46" s="25">
        <f t="shared" si="1"/>
        <v>0</v>
      </c>
      <c r="O46" s="24">
        <v>2807</v>
      </c>
      <c r="P46" s="23">
        <f t="shared" si="2"/>
        <v>0</v>
      </c>
      <c r="Q46" s="26"/>
      <c r="R46" s="23">
        <f t="shared" si="3"/>
        <v>0</v>
      </c>
      <c r="S46" s="27" t="s">
        <v>18</v>
      </c>
      <c r="T46" s="19" t="s">
        <v>59</v>
      </c>
    </row>
    <row r="47" spans="1:20" ht="37.5" customHeight="1" x14ac:dyDescent="0.25">
      <c r="A47" s="19" t="s">
        <v>61</v>
      </c>
      <c r="B47">
        <f t="shared" si="4"/>
        <v>23950</v>
      </c>
      <c r="C47">
        <v>6024</v>
      </c>
      <c r="D47">
        <v>17926</v>
      </c>
      <c r="E47">
        <v>15195</v>
      </c>
      <c r="F47">
        <f t="shared" si="5"/>
        <v>810</v>
      </c>
      <c r="G47" s="20">
        <f t="shared" si="6"/>
        <v>42</v>
      </c>
      <c r="H47" s="21">
        <v>99622050053</v>
      </c>
      <c r="I47" s="22">
        <v>53</v>
      </c>
      <c r="J47" s="23"/>
      <c r="K47" s="24">
        <f>M47+O47</f>
        <v>23140</v>
      </c>
      <c r="L47" s="23">
        <f t="shared" si="0"/>
        <v>810</v>
      </c>
      <c r="M47" s="24">
        <v>5802</v>
      </c>
      <c r="N47" s="25">
        <f t="shared" si="1"/>
        <v>222</v>
      </c>
      <c r="O47" s="24">
        <v>17338</v>
      </c>
      <c r="P47" s="23">
        <f t="shared" si="2"/>
        <v>588</v>
      </c>
      <c r="Q47" s="26">
        <v>13972</v>
      </c>
      <c r="R47" s="23">
        <f t="shared" si="3"/>
        <v>1223</v>
      </c>
      <c r="S47" s="27" t="s">
        <v>18</v>
      </c>
      <c r="T47" s="19" t="s">
        <v>61</v>
      </c>
    </row>
    <row r="48" spans="1:20" ht="37.5" customHeight="1" x14ac:dyDescent="0.25">
      <c r="A48" s="19" t="s">
        <v>62</v>
      </c>
      <c r="B48">
        <f t="shared" si="4"/>
        <v>13195</v>
      </c>
      <c r="C48">
        <v>3451</v>
      </c>
      <c r="D48">
        <v>9744</v>
      </c>
      <c r="E48">
        <v>8968</v>
      </c>
      <c r="F48">
        <f t="shared" si="5"/>
        <v>649</v>
      </c>
      <c r="G48" s="20">
        <f t="shared" si="6"/>
        <v>43</v>
      </c>
      <c r="H48" s="21">
        <v>99624010099</v>
      </c>
      <c r="I48" s="22">
        <v>55</v>
      </c>
      <c r="J48" s="23"/>
      <c r="K48" s="24">
        <f>M48+O48</f>
        <v>12546</v>
      </c>
      <c r="L48" s="23">
        <f t="shared" si="0"/>
        <v>649</v>
      </c>
      <c r="M48" s="24">
        <v>3254</v>
      </c>
      <c r="N48" s="25">
        <f t="shared" si="1"/>
        <v>197</v>
      </c>
      <c r="O48" s="24">
        <v>9292</v>
      </c>
      <c r="P48" s="23">
        <f t="shared" si="2"/>
        <v>452</v>
      </c>
      <c r="Q48" s="26">
        <v>7866</v>
      </c>
      <c r="R48" s="23">
        <f t="shared" si="3"/>
        <v>1102</v>
      </c>
      <c r="S48" s="27" t="s">
        <v>18</v>
      </c>
      <c r="T48" s="19" t="s">
        <v>62</v>
      </c>
    </row>
    <row r="49" spans="1:20" ht="37.5" customHeight="1" x14ac:dyDescent="0.25">
      <c r="A49" s="19" t="s">
        <v>63</v>
      </c>
      <c r="B49">
        <f t="shared" si="4"/>
        <v>17915</v>
      </c>
      <c r="C49">
        <v>5089</v>
      </c>
      <c r="D49">
        <v>12826</v>
      </c>
      <c r="E49">
        <v>41283</v>
      </c>
      <c r="F49">
        <f t="shared" si="5"/>
        <v>954</v>
      </c>
      <c r="G49" s="20">
        <f t="shared" si="6"/>
        <v>44</v>
      </c>
      <c r="H49" s="21">
        <v>99723050012</v>
      </c>
      <c r="I49" s="22">
        <v>56</v>
      </c>
      <c r="J49" s="23"/>
      <c r="K49" s="24">
        <f>M49+O49</f>
        <v>16961</v>
      </c>
      <c r="L49" s="23">
        <f t="shared" si="0"/>
        <v>954</v>
      </c>
      <c r="M49" s="24">
        <v>4886</v>
      </c>
      <c r="N49" s="25">
        <f t="shared" si="1"/>
        <v>203</v>
      </c>
      <c r="O49" s="24">
        <v>12075</v>
      </c>
      <c r="P49" s="23">
        <f t="shared" si="2"/>
        <v>751</v>
      </c>
      <c r="Q49" s="26">
        <v>38529</v>
      </c>
      <c r="R49" s="23">
        <f t="shared" si="3"/>
        <v>2754</v>
      </c>
      <c r="S49" s="27" t="s">
        <v>18</v>
      </c>
      <c r="T49" s="19" t="s">
        <v>63</v>
      </c>
    </row>
    <row r="50" spans="1:20" ht="37.5" customHeight="1" x14ac:dyDescent="0.25">
      <c r="A50" s="19" t="s">
        <v>64</v>
      </c>
      <c r="B50">
        <f t="shared" si="4"/>
        <v>33358</v>
      </c>
      <c r="C50">
        <v>7952</v>
      </c>
      <c r="D50">
        <v>25406</v>
      </c>
      <c r="E50">
        <v>25737</v>
      </c>
      <c r="F50">
        <f t="shared" si="5"/>
        <v>1045</v>
      </c>
      <c r="G50" s="20">
        <f t="shared" si="6"/>
        <v>45</v>
      </c>
      <c r="H50" s="21">
        <v>99723030028</v>
      </c>
      <c r="I50" s="22">
        <v>57</v>
      </c>
      <c r="J50" s="23"/>
      <c r="K50" s="24">
        <f>M50+O50</f>
        <v>32313</v>
      </c>
      <c r="L50" s="23">
        <f t="shared" si="0"/>
        <v>1045</v>
      </c>
      <c r="M50" s="24">
        <v>7654</v>
      </c>
      <c r="N50" s="25">
        <f t="shared" si="1"/>
        <v>298</v>
      </c>
      <c r="O50" s="24">
        <v>24659</v>
      </c>
      <c r="P50" s="23">
        <f t="shared" si="2"/>
        <v>747</v>
      </c>
      <c r="Q50" s="26">
        <v>24126</v>
      </c>
      <c r="R50" s="23">
        <f t="shared" si="3"/>
        <v>1611</v>
      </c>
      <c r="S50" s="27" t="s">
        <v>18</v>
      </c>
      <c r="T50" s="19" t="s">
        <v>64</v>
      </c>
    </row>
    <row r="51" spans="1:20" ht="37.5" customHeight="1" x14ac:dyDescent="0.25">
      <c r="A51" s="19" t="s">
        <v>65</v>
      </c>
      <c r="B51">
        <f t="shared" si="4"/>
        <v>2403</v>
      </c>
      <c r="C51">
        <v>482</v>
      </c>
      <c r="D51">
        <v>1921</v>
      </c>
      <c r="F51">
        <f t="shared" si="5"/>
        <v>60</v>
      </c>
      <c r="G51" s="20">
        <f t="shared" si="6"/>
        <v>46</v>
      </c>
      <c r="H51" s="21">
        <v>66623011149</v>
      </c>
      <c r="I51" s="22">
        <v>58</v>
      </c>
      <c r="J51" s="23"/>
      <c r="K51" s="24">
        <v>2343</v>
      </c>
      <c r="L51" s="23">
        <f t="shared" si="0"/>
        <v>60</v>
      </c>
      <c r="M51" s="24">
        <v>473</v>
      </c>
      <c r="N51" s="25">
        <f t="shared" si="1"/>
        <v>9</v>
      </c>
      <c r="O51" s="24">
        <v>1870</v>
      </c>
      <c r="P51" s="23">
        <f t="shared" si="2"/>
        <v>51</v>
      </c>
      <c r="Q51" s="26"/>
      <c r="R51" s="23">
        <f t="shared" si="3"/>
        <v>0</v>
      </c>
      <c r="S51" s="27" t="s">
        <v>18</v>
      </c>
      <c r="T51" s="19" t="s">
        <v>65</v>
      </c>
    </row>
    <row r="52" spans="1:20" ht="37.5" customHeight="1" x14ac:dyDescent="0.25">
      <c r="A52" s="19" t="s">
        <v>66</v>
      </c>
      <c r="B52">
        <f t="shared" si="4"/>
        <v>3204</v>
      </c>
      <c r="C52">
        <v>793</v>
      </c>
      <c r="D52">
        <v>2411</v>
      </c>
      <c r="F52">
        <f t="shared" si="5"/>
        <v>141</v>
      </c>
      <c r="G52" s="20">
        <f t="shared" si="6"/>
        <v>47</v>
      </c>
      <c r="H52" s="21">
        <v>66622060550</v>
      </c>
      <c r="I52" s="22">
        <v>59</v>
      </c>
      <c r="J52" s="23"/>
      <c r="K52" s="24">
        <v>3063</v>
      </c>
      <c r="L52" s="23">
        <f t="shared" si="0"/>
        <v>141</v>
      </c>
      <c r="M52" s="24">
        <v>736</v>
      </c>
      <c r="N52" s="25">
        <f t="shared" si="1"/>
        <v>57</v>
      </c>
      <c r="O52" s="24">
        <v>2327</v>
      </c>
      <c r="P52" s="23">
        <f t="shared" si="2"/>
        <v>84</v>
      </c>
      <c r="Q52" s="26"/>
      <c r="R52" s="23">
        <f t="shared" si="3"/>
        <v>0</v>
      </c>
      <c r="S52" s="27" t="s">
        <v>18</v>
      </c>
      <c r="T52" s="19" t="s">
        <v>66</v>
      </c>
    </row>
    <row r="53" spans="1:20" ht="37.5" customHeight="1" x14ac:dyDescent="0.25">
      <c r="A53" s="19" t="s">
        <v>67</v>
      </c>
      <c r="B53">
        <f t="shared" si="4"/>
        <v>13121</v>
      </c>
      <c r="C53">
        <v>2607</v>
      </c>
      <c r="D53">
        <v>10514</v>
      </c>
      <c r="F53">
        <f t="shared" si="5"/>
        <v>209</v>
      </c>
      <c r="G53" s="20">
        <f t="shared" si="6"/>
        <v>48</v>
      </c>
      <c r="H53" s="21">
        <v>88820050170</v>
      </c>
      <c r="I53" s="22">
        <v>60</v>
      </c>
      <c r="J53" s="23"/>
      <c r="K53" s="24">
        <v>12912</v>
      </c>
      <c r="L53" s="23">
        <f t="shared" si="0"/>
        <v>209</v>
      </c>
      <c r="M53" s="24">
        <v>2564</v>
      </c>
      <c r="N53" s="25">
        <f t="shared" si="1"/>
        <v>43</v>
      </c>
      <c r="O53" s="24">
        <v>10348</v>
      </c>
      <c r="P53" s="23">
        <f t="shared" si="2"/>
        <v>166</v>
      </c>
      <c r="Q53" s="26"/>
      <c r="R53" s="23">
        <f t="shared" si="3"/>
        <v>0</v>
      </c>
      <c r="S53" s="27" t="s">
        <v>18</v>
      </c>
      <c r="T53" s="19" t="s">
        <v>67</v>
      </c>
    </row>
    <row r="54" spans="1:20" ht="37.5" customHeight="1" x14ac:dyDescent="0.25">
      <c r="A54" s="19" t="s">
        <v>68</v>
      </c>
      <c r="B54">
        <f t="shared" si="4"/>
        <v>48688</v>
      </c>
      <c r="C54">
        <v>6890</v>
      </c>
      <c r="D54">
        <v>41798</v>
      </c>
      <c r="F54">
        <f t="shared" si="5"/>
        <v>94</v>
      </c>
      <c r="G54" s="20">
        <f t="shared" si="6"/>
        <v>49</v>
      </c>
      <c r="H54" s="21">
        <v>66616020132</v>
      </c>
      <c r="I54" s="22">
        <v>61</v>
      </c>
      <c r="J54" s="23"/>
      <c r="K54" s="24">
        <v>48594</v>
      </c>
      <c r="L54" s="23">
        <f t="shared" si="0"/>
        <v>94</v>
      </c>
      <c r="M54" s="24">
        <v>6873</v>
      </c>
      <c r="N54" s="25">
        <f t="shared" si="1"/>
        <v>17</v>
      </c>
      <c r="O54" s="24">
        <v>41721</v>
      </c>
      <c r="P54" s="23">
        <f t="shared" si="2"/>
        <v>77</v>
      </c>
      <c r="Q54" s="26"/>
      <c r="R54" s="23">
        <f t="shared" si="3"/>
        <v>0</v>
      </c>
      <c r="S54" s="27" t="s">
        <v>18</v>
      </c>
      <c r="T54" s="19" t="s">
        <v>68</v>
      </c>
    </row>
    <row r="55" spans="1:20" ht="37.5" customHeight="1" x14ac:dyDescent="0.25">
      <c r="A55" s="19" t="s">
        <v>69</v>
      </c>
      <c r="B55">
        <f t="shared" si="4"/>
        <v>5947</v>
      </c>
      <c r="C55">
        <v>2066</v>
      </c>
      <c r="D55">
        <v>3881</v>
      </c>
      <c r="E55">
        <v>12126</v>
      </c>
      <c r="F55">
        <f t="shared" si="5"/>
        <v>385</v>
      </c>
      <c r="G55" s="20">
        <f t="shared" si="6"/>
        <v>50</v>
      </c>
      <c r="H55" s="21">
        <v>99624030158</v>
      </c>
      <c r="I55" s="22">
        <v>62</v>
      </c>
      <c r="J55" s="23"/>
      <c r="K55" s="24">
        <f>M55+O55</f>
        <v>5562</v>
      </c>
      <c r="L55" s="23">
        <f t="shared" si="0"/>
        <v>385</v>
      </c>
      <c r="M55" s="24">
        <v>1935</v>
      </c>
      <c r="N55" s="25">
        <f t="shared" si="1"/>
        <v>131</v>
      </c>
      <c r="O55" s="24">
        <v>3627</v>
      </c>
      <c r="P55" s="23">
        <f t="shared" si="2"/>
        <v>254</v>
      </c>
      <c r="Q55" s="26">
        <v>10190</v>
      </c>
      <c r="R55" s="23">
        <f t="shared" si="3"/>
        <v>1936</v>
      </c>
      <c r="S55" s="27" t="s">
        <v>18</v>
      </c>
      <c r="T55" s="19" t="s">
        <v>69</v>
      </c>
    </row>
    <row r="56" spans="1:20" ht="37.5" customHeight="1" x14ac:dyDescent="0.25">
      <c r="A56" s="19" t="s">
        <v>70</v>
      </c>
      <c r="B56">
        <f t="shared" si="4"/>
        <v>2961</v>
      </c>
      <c r="C56">
        <v>726</v>
      </c>
      <c r="D56">
        <v>2235</v>
      </c>
      <c r="F56">
        <f t="shared" si="5"/>
        <v>46</v>
      </c>
      <c r="G56" s="20">
        <f t="shared" si="6"/>
        <v>51</v>
      </c>
      <c r="H56" s="21">
        <v>66621090342</v>
      </c>
      <c r="I56" s="22">
        <v>64</v>
      </c>
      <c r="J56" s="23"/>
      <c r="K56" s="24">
        <v>2915</v>
      </c>
      <c r="L56" s="23">
        <f t="shared" si="0"/>
        <v>46</v>
      </c>
      <c r="M56" s="24">
        <v>718</v>
      </c>
      <c r="N56" s="25">
        <f t="shared" si="1"/>
        <v>8</v>
      </c>
      <c r="O56" s="24">
        <v>2197</v>
      </c>
      <c r="P56" s="23">
        <f t="shared" si="2"/>
        <v>38</v>
      </c>
      <c r="Q56" s="26"/>
      <c r="R56" s="23">
        <f t="shared" si="3"/>
        <v>0</v>
      </c>
      <c r="S56" s="27" t="s">
        <v>18</v>
      </c>
      <c r="T56" s="19" t="s">
        <v>70</v>
      </c>
    </row>
    <row r="57" spans="1:20" ht="37.5" customHeight="1" x14ac:dyDescent="0.25">
      <c r="A57" s="19" t="s">
        <v>71</v>
      </c>
      <c r="B57">
        <f t="shared" si="4"/>
        <v>55816</v>
      </c>
      <c r="C57">
        <v>11157</v>
      </c>
      <c r="D57">
        <v>44659</v>
      </c>
      <c r="F57">
        <f t="shared" si="5"/>
        <v>628</v>
      </c>
      <c r="G57" s="20">
        <f t="shared" si="6"/>
        <v>52</v>
      </c>
      <c r="H57" s="21">
        <v>88818020363</v>
      </c>
      <c r="I57" s="22">
        <v>67</v>
      </c>
      <c r="J57" s="23"/>
      <c r="K57" s="24">
        <v>55188</v>
      </c>
      <c r="L57" s="23">
        <f t="shared" si="0"/>
        <v>628</v>
      </c>
      <c r="M57" s="24">
        <v>11049</v>
      </c>
      <c r="N57" s="25">
        <f t="shared" si="1"/>
        <v>108</v>
      </c>
      <c r="O57" s="24">
        <v>44139</v>
      </c>
      <c r="P57" s="23">
        <f t="shared" si="2"/>
        <v>520</v>
      </c>
      <c r="Q57" s="26"/>
      <c r="R57" s="23">
        <f t="shared" si="3"/>
        <v>0</v>
      </c>
      <c r="S57" s="27" t="s">
        <v>18</v>
      </c>
      <c r="T57" s="19" t="s">
        <v>71</v>
      </c>
    </row>
    <row r="58" spans="1:20" ht="37.5" customHeight="1" x14ac:dyDescent="0.25">
      <c r="A58" s="19" t="s">
        <v>72</v>
      </c>
      <c r="B58">
        <f t="shared" si="4"/>
        <v>5986</v>
      </c>
      <c r="C58">
        <v>734</v>
      </c>
      <c r="D58">
        <v>5252</v>
      </c>
      <c r="F58">
        <f t="shared" si="5"/>
        <v>67</v>
      </c>
      <c r="G58" s="20">
        <f t="shared" si="6"/>
        <v>53</v>
      </c>
      <c r="H58" s="21">
        <v>66622020460</v>
      </c>
      <c r="I58" s="22">
        <v>68</v>
      </c>
      <c r="J58" s="23"/>
      <c r="K58" s="24">
        <v>5919</v>
      </c>
      <c r="L58" s="23">
        <f t="shared" si="0"/>
        <v>67</v>
      </c>
      <c r="M58" s="24">
        <v>730</v>
      </c>
      <c r="N58" s="25">
        <f t="shared" si="1"/>
        <v>4</v>
      </c>
      <c r="O58" s="24">
        <v>5189</v>
      </c>
      <c r="P58" s="23">
        <f t="shared" si="2"/>
        <v>63</v>
      </c>
      <c r="Q58" s="26"/>
      <c r="R58" s="23">
        <f t="shared" si="3"/>
        <v>0</v>
      </c>
      <c r="S58" s="27" t="s">
        <v>18</v>
      </c>
      <c r="T58" s="19" t="s">
        <v>72</v>
      </c>
    </row>
    <row r="59" spans="1:20" ht="37.5" customHeight="1" x14ac:dyDescent="0.25">
      <c r="A59" s="19" t="s">
        <v>73</v>
      </c>
      <c r="B59">
        <f t="shared" si="4"/>
        <v>64761</v>
      </c>
      <c r="C59">
        <v>12781</v>
      </c>
      <c r="D59">
        <v>51980</v>
      </c>
      <c r="F59">
        <f t="shared" si="5"/>
        <v>165</v>
      </c>
      <c r="G59" s="20">
        <f t="shared" si="6"/>
        <v>54</v>
      </c>
      <c r="H59" s="21">
        <v>23012010027</v>
      </c>
      <c r="I59" s="22">
        <v>70</v>
      </c>
      <c r="J59" s="23"/>
      <c r="K59" s="24">
        <v>64596</v>
      </c>
      <c r="L59" s="23">
        <f t="shared" si="0"/>
        <v>165</v>
      </c>
      <c r="M59" s="24">
        <v>12750</v>
      </c>
      <c r="N59" s="25">
        <f t="shared" si="1"/>
        <v>31</v>
      </c>
      <c r="O59" s="24">
        <v>51846</v>
      </c>
      <c r="P59" s="23">
        <f t="shared" si="2"/>
        <v>134</v>
      </c>
      <c r="Q59" s="26"/>
      <c r="R59" s="23">
        <f t="shared" si="3"/>
        <v>0</v>
      </c>
      <c r="S59" s="27" t="s">
        <v>18</v>
      </c>
      <c r="T59" s="19" t="s">
        <v>73</v>
      </c>
    </row>
    <row r="60" spans="1:20" ht="37.5" customHeight="1" x14ac:dyDescent="0.25">
      <c r="A60" s="19" t="s">
        <v>74</v>
      </c>
      <c r="B60">
        <f t="shared" si="4"/>
        <v>26073</v>
      </c>
      <c r="C60">
        <v>3445</v>
      </c>
      <c r="D60">
        <v>22628</v>
      </c>
      <c r="F60">
        <f t="shared" si="5"/>
        <v>551</v>
      </c>
      <c r="G60" s="20">
        <f t="shared" si="6"/>
        <v>55</v>
      </c>
      <c r="H60" s="21">
        <v>66622030270</v>
      </c>
      <c r="I60" s="22">
        <v>71</v>
      </c>
      <c r="J60" s="23"/>
      <c r="K60" s="24">
        <v>25522</v>
      </c>
      <c r="L60" s="23">
        <f t="shared" si="0"/>
        <v>551</v>
      </c>
      <c r="M60" s="24">
        <v>3350</v>
      </c>
      <c r="N60" s="25">
        <f t="shared" si="1"/>
        <v>95</v>
      </c>
      <c r="O60" s="24">
        <v>22172</v>
      </c>
      <c r="P60" s="23">
        <f t="shared" si="2"/>
        <v>456</v>
      </c>
      <c r="Q60" s="26"/>
      <c r="R60" s="23">
        <f t="shared" si="3"/>
        <v>0</v>
      </c>
      <c r="S60" s="27" t="s">
        <v>18</v>
      </c>
      <c r="T60" s="19" t="s">
        <v>74</v>
      </c>
    </row>
    <row r="61" spans="1:20" ht="37.5" customHeight="1" x14ac:dyDescent="0.25">
      <c r="A61" s="19" t="s">
        <v>75</v>
      </c>
      <c r="B61">
        <f t="shared" si="4"/>
        <v>5932</v>
      </c>
      <c r="C61">
        <v>1289</v>
      </c>
      <c r="D61">
        <v>4643</v>
      </c>
      <c r="E61">
        <v>7975</v>
      </c>
      <c r="F61">
        <f t="shared" si="5"/>
        <v>314</v>
      </c>
      <c r="G61" s="20">
        <f t="shared" si="6"/>
        <v>56</v>
      </c>
      <c r="H61" s="21">
        <v>99624010178</v>
      </c>
      <c r="I61" s="22">
        <v>72</v>
      </c>
      <c r="J61" s="23"/>
      <c r="K61" s="24">
        <f>M61+O61</f>
        <v>5618</v>
      </c>
      <c r="L61" s="23">
        <f t="shared" si="0"/>
        <v>314</v>
      </c>
      <c r="M61" s="24">
        <v>1218</v>
      </c>
      <c r="N61" s="25">
        <f t="shared" si="1"/>
        <v>71</v>
      </c>
      <c r="O61" s="24">
        <v>4400</v>
      </c>
      <c r="P61" s="23">
        <f t="shared" si="2"/>
        <v>243</v>
      </c>
      <c r="Q61" s="26">
        <v>7035</v>
      </c>
      <c r="R61" s="23">
        <f t="shared" si="3"/>
        <v>940</v>
      </c>
      <c r="S61" s="27" t="s">
        <v>18</v>
      </c>
      <c r="T61" s="19" t="s">
        <v>75</v>
      </c>
    </row>
    <row r="62" spans="1:20" ht="37.5" customHeight="1" x14ac:dyDescent="0.25">
      <c r="A62" s="19" t="s">
        <v>76</v>
      </c>
      <c r="B62">
        <f t="shared" si="4"/>
        <v>9872</v>
      </c>
      <c r="C62">
        <v>1588</v>
      </c>
      <c r="D62">
        <v>8284</v>
      </c>
      <c r="F62">
        <f t="shared" si="5"/>
        <v>231</v>
      </c>
      <c r="G62" s="20">
        <f t="shared" si="6"/>
        <v>57</v>
      </c>
      <c r="H62" s="21">
        <v>66622030092</v>
      </c>
      <c r="I62" s="22">
        <v>73</v>
      </c>
      <c r="J62" s="23"/>
      <c r="K62" s="24">
        <v>9641</v>
      </c>
      <c r="L62" s="23">
        <f t="shared" si="0"/>
        <v>231</v>
      </c>
      <c r="M62" s="24">
        <v>1546</v>
      </c>
      <c r="N62" s="25">
        <f t="shared" si="1"/>
        <v>42</v>
      </c>
      <c r="O62" s="24">
        <v>8095</v>
      </c>
      <c r="P62" s="23">
        <f t="shared" si="2"/>
        <v>189</v>
      </c>
      <c r="Q62" s="26"/>
      <c r="R62" s="23">
        <f t="shared" si="3"/>
        <v>0</v>
      </c>
      <c r="S62" s="27" t="s">
        <v>18</v>
      </c>
      <c r="T62" s="19" t="s">
        <v>76</v>
      </c>
    </row>
    <row r="63" spans="1:20" ht="37.5" customHeight="1" x14ac:dyDescent="0.25">
      <c r="A63" s="19" t="s">
        <v>77</v>
      </c>
      <c r="B63">
        <f t="shared" si="4"/>
        <v>4027</v>
      </c>
      <c r="C63">
        <v>857</v>
      </c>
      <c r="D63">
        <v>3170</v>
      </c>
      <c r="E63">
        <v>3770</v>
      </c>
      <c r="F63">
        <f t="shared" si="5"/>
        <v>148</v>
      </c>
      <c r="G63" s="20">
        <f t="shared" si="6"/>
        <v>58</v>
      </c>
      <c r="H63" s="21">
        <v>99624030321</v>
      </c>
      <c r="I63" s="22">
        <v>74</v>
      </c>
      <c r="J63" s="23"/>
      <c r="K63" s="24">
        <f>M63+O63</f>
        <v>3879</v>
      </c>
      <c r="L63" s="23">
        <f t="shared" si="0"/>
        <v>148</v>
      </c>
      <c r="M63" s="24">
        <v>820</v>
      </c>
      <c r="N63" s="25">
        <f t="shared" si="1"/>
        <v>37</v>
      </c>
      <c r="O63" s="24">
        <v>3059</v>
      </c>
      <c r="P63" s="23">
        <f t="shared" si="2"/>
        <v>111</v>
      </c>
      <c r="Q63" s="26">
        <v>3014</v>
      </c>
      <c r="R63" s="23">
        <f t="shared" si="3"/>
        <v>756</v>
      </c>
      <c r="S63" s="27" t="s">
        <v>18</v>
      </c>
      <c r="T63" s="19" t="s">
        <v>77</v>
      </c>
    </row>
    <row r="64" spans="1:20" ht="37.5" customHeight="1" x14ac:dyDescent="0.25">
      <c r="A64" s="19" t="s">
        <v>78</v>
      </c>
      <c r="B64">
        <f t="shared" si="4"/>
        <v>19406</v>
      </c>
      <c r="C64">
        <v>3753</v>
      </c>
      <c r="D64">
        <v>15653</v>
      </c>
      <c r="F64">
        <f t="shared" si="5"/>
        <v>300</v>
      </c>
      <c r="G64" s="20">
        <f t="shared" si="6"/>
        <v>59</v>
      </c>
      <c r="H64" s="21">
        <v>88819010389</v>
      </c>
      <c r="I64" s="22">
        <v>75</v>
      </c>
      <c r="J64" s="23"/>
      <c r="K64" s="24">
        <v>19106</v>
      </c>
      <c r="L64" s="23">
        <f t="shared" si="0"/>
        <v>300</v>
      </c>
      <c r="M64" s="24">
        <v>3701</v>
      </c>
      <c r="N64" s="25">
        <f t="shared" si="1"/>
        <v>52</v>
      </c>
      <c r="O64" s="24">
        <v>15405</v>
      </c>
      <c r="P64" s="23">
        <f t="shared" si="2"/>
        <v>248</v>
      </c>
      <c r="Q64" s="26"/>
      <c r="R64" s="23">
        <f t="shared" si="3"/>
        <v>0</v>
      </c>
      <c r="S64" s="27" t="s">
        <v>18</v>
      </c>
      <c r="T64" s="19" t="s">
        <v>78</v>
      </c>
    </row>
    <row r="65" spans="1:20" ht="37.5" customHeight="1" x14ac:dyDescent="0.25">
      <c r="A65" s="19" t="s">
        <v>79</v>
      </c>
      <c r="B65">
        <f t="shared" si="4"/>
        <v>15264</v>
      </c>
      <c r="C65">
        <v>2217</v>
      </c>
      <c r="D65">
        <v>13047</v>
      </c>
      <c r="F65">
        <f t="shared" si="5"/>
        <v>320</v>
      </c>
      <c r="G65" s="20">
        <f t="shared" si="6"/>
        <v>60</v>
      </c>
      <c r="H65" s="21">
        <v>66622040467</v>
      </c>
      <c r="I65" s="22">
        <v>76</v>
      </c>
      <c r="J65" s="23"/>
      <c r="K65" s="24">
        <v>14944</v>
      </c>
      <c r="L65" s="23">
        <f t="shared" si="0"/>
        <v>320</v>
      </c>
      <c r="M65" s="24">
        <v>2152</v>
      </c>
      <c r="N65" s="25">
        <f t="shared" si="1"/>
        <v>65</v>
      </c>
      <c r="O65" s="24">
        <v>12792</v>
      </c>
      <c r="P65" s="23">
        <f t="shared" si="2"/>
        <v>255</v>
      </c>
      <c r="Q65" s="26"/>
      <c r="R65" s="23">
        <f t="shared" si="3"/>
        <v>0</v>
      </c>
      <c r="S65" s="27" t="s">
        <v>18</v>
      </c>
      <c r="T65" s="19" t="s">
        <v>79</v>
      </c>
    </row>
    <row r="66" spans="1:20" ht="37.5" customHeight="1" x14ac:dyDescent="0.25">
      <c r="A66" s="19" t="s">
        <v>80</v>
      </c>
      <c r="B66">
        <f t="shared" si="4"/>
        <v>11069</v>
      </c>
      <c r="C66">
        <v>2058</v>
      </c>
      <c r="D66">
        <v>9011</v>
      </c>
      <c r="F66">
        <f t="shared" si="5"/>
        <v>241</v>
      </c>
      <c r="G66" s="20">
        <f t="shared" si="6"/>
        <v>61</v>
      </c>
      <c r="H66" s="21">
        <v>66617020410</v>
      </c>
      <c r="I66" s="22">
        <v>77</v>
      </c>
      <c r="J66" s="23"/>
      <c r="K66" s="24">
        <v>10828</v>
      </c>
      <c r="L66" s="23">
        <f t="shared" si="0"/>
        <v>241</v>
      </c>
      <c r="M66" s="24">
        <v>2015</v>
      </c>
      <c r="N66" s="25">
        <f t="shared" si="1"/>
        <v>43</v>
      </c>
      <c r="O66" s="24">
        <v>8813</v>
      </c>
      <c r="P66" s="23">
        <f t="shared" si="2"/>
        <v>198</v>
      </c>
      <c r="Q66" s="26"/>
      <c r="R66" s="23">
        <f t="shared" si="3"/>
        <v>0</v>
      </c>
      <c r="S66" s="27" t="s">
        <v>18</v>
      </c>
      <c r="T66" s="19" t="s">
        <v>80</v>
      </c>
    </row>
    <row r="67" spans="1:20" ht="37.5" customHeight="1" x14ac:dyDescent="0.25">
      <c r="A67" s="19" t="s">
        <v>81</v>
      </c>
      <c r="B67">
        <f t="shared" si="4"/>
        <v>72104</v>
      </c>
      <c r="C67">
        <v>10260</v>
      </c>
      <c r="D67">
        <v>61844</v>
      </c>
      <c r="F67">
        <f t="shared" si="5"/>
        <v>279</v>
      </c>
      <c r="G67" s="20">
        <f t="shared" si="6"/>
        <v>62</v>
      </c>
      <c r="H67" s="21">
        <v>23015100293</v>
      </c>
      <c r="I67" s="22">
        <v>78</v>
      </c>
      <c r="J67" s="23"/>
      <c r="K67" s="24">
        <v>71825</v>
      </c>
      <c r="L67" s="23">
        <f t="shared" si="0"/>
        <v>279</v>
      </c>
      <c r="M67" s="24">
        <v>10204</v>
      </c>
      <c r="N67" s="25">
        <f t="shared" si="1"/>
        <v>56</v>
      </c>
      <c r="O67" s="24">
        <v>61621</v>
      </c>
      <c r="P67" s="23">
        <f t="shared" si="2"/>
        <v>223</v>
      </c>
      <c r="Q67" s="26"/>
      <c r="R67" s="23">
        <f t="shared" si="3"/>
        <v>0</v>
      </c>
      <c r="S67" s="27" t="s">
        <v>18</v>
      </c>
      <c r="T67" s="19" t="s">
        <v>81</v>
      </c>
    </row>
    <row r="68" spans="1:20" ht="37.5" customHeight="1" x14ac:dyDescent="0.25">
      <c r="A68" s="19" t="s">
        <v>82</v>
      </c>
      <c r="B68">
        <f t="shared" si="4"/>
        <v>14849</v>
      </c>
      <c r="C68">
        <v>2658</v>
      </c>
      <c r="D68">
        <v>12191</v>
      </c>
      <c r="F68">
        <f t="shared" si="5"/>
        <v>374</v>
      </c>
      <c r="G68" s="20">
        <f t="shared" si="6"/>
        <v>63</v>
      </c>
      <c r="H68" s="21">
        <v>66622020236</v>
      </c>
      <c r="I68" s="22">
        <v>79</v>
      </c>
      <c r="J68" s="23"/>
      <c r="K68" s="24">
        <v>14475</v>
      </c>
      <c r="L68" s="23">
        <f t="shared" si="0"/>
        <v>374</v>
      </c>
      <c r="M68" s="24">
        <v>2584</v>
      </c>
      <c r="N68" s="25">
        <f t="shared" si="1"/>
        <v>74</v>
      </c>
      <c r="O68" s="24">
        <v>11891</v>
      </c>
      <c r="P68" s="23">
        <f t="shared" si="2"/>
        <v>300</v>
      </c>
      <c r="Q68" s="26"/>
      <c r="R68" s="23">
        <f t="shared" si="3"/>
        <v>0</v>
      </c>
      <c r="S68" s="27" t="s">
        <v>18</v>
      </c>
      <c r="T68" s="19" t="s">
        <v>82</v>
      </c>
    </row>
    <row r="69" spans="1:20" ht="37.5" customHeight="1" x14ac:dyDescent="0.25">
      <c r="A69" s="19" t="s">
        <v>83</v>
      </c>
      <c r="B69">
        <f t="shared" si="4"/>
        <v>15199</v>
      </c>
      <c r="C69">
        <v>2431</v>
      </c>
      <c r="D69">
        <v>12768</v>
      </c>
      <c r="F69">
        <f t="shared" si="5"/>
        <v>599</v>
      </c>
      <c r="G69" s="20">
        <f t="shared" si="6"/>
        <v>64</v>
      </c>
      <c r="H69" s="21">
        <v>66622060208</v>
      </c>
      <c r="I69" s="22">
        <v>80</v>
      </c>
      <c r="J69" s="23"/>
      <c r="K69" s="24">
        <v>14600</v>
      </c>
      <c r="L69" s="23">
        <f t="shared" si="0"/>
        <v>599</v>
      </c>
      <c r="M69" s="24">
        <v>2320</v>
      </c>
      <c r="N69" s="25">
        <f t="shared" si="1"/>
        <v>111</v>
      </c>
      <c r="O69" s="24">
        <v>12280</v>
      </c>
      <c r="P69" s="23">
        <f t="shared" si="2"/>
        <v>488</v>
      </c>
      <c r="Q69" s="26"/>
      <c r="R69" s="23">
        <f t="shared" si="3"/>
        <v>0</v>
      </c>
      <c r="S69" s="27" t="s">
        <v>18</v>
      </c>
      <c r="T69" s="19" t="s">
        <v>83</v>
      </c>
    </row>
    <row r="70" spans="1:20" ht="37.5" customHeight="1" x14ac:dyDescent="0.25">
      <c r="A70" s="19" t="s">
        <v>84</v>
      </c>
      <c r="B70">
        <f t="shared" si="4"/>
        <v>26054</v>
      </c>
      <c r="C70">
        <v>3224</v>
      </c>
      <c r="D70">
        <v>22830</v>
      </c>
      <c r="F70">
        <f t="shared" si="5"/>
        <v>297</v>
      </c>
      <c r="G70" s="20">
        <f t="shared" si="6"/>
        <v>65</v>
      </c>
      <c r="H70" s="21">
        <v>88819030242</v>
      </c>
      <c r="I70" s="22">
        <v>81</v>
      </c>
      <c r="J70" s="23"/>
      <c r="K70" s="24">
        <v>25757</v>
      </c>
      <c r="L70" s="23">
        <f t="shared" ref="L70:L133" si="8">B70-K70</f>
        <v>297</v>
      </c>
      <c r="M70" s="24">
        <v>3176</v>
      </c>
      <c r="N70" s="25">
        <f t="shared" ref="N70:N133" si="9">C70-M70</f>
        <v>48</v>
      </c>
      <c r="O70" s="24">
        <v>22581</v>
      </c>
      <c r="P70" s="23">
        <f t="shared" ref="P70:P133" si="10">D70-O70</f>
        <v>249</v>
      </c>
      <c r="Q70" s="26"/>
      <c r="R70" s="23">
        <f t="shared" ref="R70:R133" si="11">E70-Q70</f>
        <v>0</v>
      </c>
      <c r="S70" s="27" t="s">
        <v>18</v>
      </c>
      <c r="T70" s="19" t="s">
        <v>84</v>
      </c>
    </row>
    <row r="71" spans="1:20" ht="37.5" customHeight="1" x14ac:dyDescent="0.25">
      <c r="A71" s="19" t="s">
        <v>85</v>
      </c>
      <c r="B71">
        <f t="shared" ref="B71:B134" si="12">C71+D71</f>
        <v>60326</v>
      </c>
      <c r="C71">
        <v>9441</v>
      </c>
      <c r="D71">
        <v>50885</v>
      </c>
      <c r="F71">
        <f t="shared" ref="F71:F134" si="13">L71</f>
        <v>119</v>
      </c>
      <c r="G71" s="20">
        <f t="shared" si="6"/>
        <v>66</v>
      </c>
      <c r="H71" s="21">
        <v>23014060899</v>
      </c>
      <c r="I71" s="22">
        <v>82</v>
      </c>
      <c r="J71" s="23"/>
      <c r="K71" s="24">
        <v>60207</v>
      </c>
      <c r="L71" s="23">
        <f t="shared" si="8"/>
        <v>119</v>
      </c>
      <c r="M71" s="24">
        <v>9422</v>
      </c>
      <c r="N71" s="25">
        <f t="shared" si="9"/>
        <v>19</v>
      </c>
      <c r="O71" s="24">
        <v>50785</v>
      </c>
      <c r="P71" s="23">
        <f t="shared" si="10"/>
        <v>100</v>
      </c>
      <c r="Q71" s="26"/>
      <c r="R71" s="23">
        <f t="shared" si="11"/>
        <v>0</v>
      </c>
      <c r="S71" s="27" t="s">
        <v>18</v>
      </c>
      <c r="T71" s="19" t="s">
        <v>85</v>
      </c>
    </row>
    <row r="72" spans="1:20" ht="37.5" customHeight="1" x14ac:dyDescent="0.25">
      <c r="A72" s="19" t="s">
        <v>86</v>
      </c>
      <c r="B72">
        <f t="shared" si="12"/>
        <v>23119</v>
      </c>
      <c r="C72">
        <v>4047</v>
      </c>
      <c r="D72">
        <v>19072</v>
      </c>
      <c r="F72">
        <f t="shared" si="13"/>
        <v>331</v>
      </c>
      <c r="G72" s="20">
        <f t="shared" ref="G72:G135" si="14">G71+1</f>
        <v>67</v>
      </c>
      <c r="H72" s="21">
        <v>66621010186</v>
      </c>
      <c r="I72" s="22">
        <v>83</v>
      </c>
      <c r="J72" s="23"/>
      <c r="K72" s="24">
        <v>22788</v>
      </c>
      <c r="L72" s="23">
        <f t="shared" si="8"/>
        <v>331</v>
      </c>
      <c r="M72" s="24">
        <v>3988</v>
      </c>
      <c r="N72" s="25">
        <f t="shared" si="9"/>
        <v>59</v>
      </c>
      <c r="O72" s="24">
        <v>18800</v>
      </c>
      <c r="P72" s="23">
        <f t="shared" si="10"/>
        <v>272</v>
      </c>
      <c r="Q72" s="26"/>
      <c r="R72" s="23">
        <f t="shared" si="11"/>
        <v>0</v>
      </c>
      <c r="S72" s="27" t="s">
        <v>18</v>
      </c>
      <c r="T72" s="19" t="s">
        <v>86</v>
      </c>
    </row>
    <row r="73" spans="1:20" ht="37.5" customHeight="1" x14ac:dyDescent="0.25">
      <c r="A73" s="19" t="s">
        <v>87</v>
      </c>
      <c r="B73">
        <f t="shared" si="12"/>
        <v>70003</v>
      </c>
      <c r="C73">
        <v>13239</v>
      </c>
      <c r="D73">
        <v>56764</v>
      </c>
      <c r="F73">
        <f t="shared" si="13"/>
        <v>717</v>
      </c>
      <c r="G73" s="20">
        <f t="shared" si="14"/>
        <v>68</v>
      </c>
      <c r="H73" s="21">
        <v>23015100996</v>
      </c>
      <c r="I73" s="22">
        <v>84</v>
      </c>
      <c r="J73" s="23"/>
      <c r="K73" s="24">
        <v>69286</v>
      </c>
      <c r="L73" s="23">
        <f t="shared" si="8"/>
        <v>717</v>
      </c>
      <c r="M73" s="24">
        <v>13128</v>
      </c>
      <c r="N73" s="25">
        <f t="shared" si="9"/>
        <v>111</v>
      </c>
      <c r="O73" s="24">
        <v>56158</v>
      </c>
      <c r="P73" s="23">
        <f t="shared" si="10"/>
        <v>606</v>
      </c>
      <c r="Q73" s="26"/>
      <c r="R73" s="23">
        <f t="shared" si="11"/>
        <v>0</v>
      </c>
      <c r="S73" s="27" t="s">
        <v>18</v>
      </c>
      <c r="T73" s="19" t="s">
        <v>87</v>
      </c>
    </row>
    <row r="74" spans="1:20" ht="37.5" customHeight="1" x14ac:dyDescent="0.25">
      <c r="A74" s="19" t="s">
        <v>88</v>
      </c>
      <c r="B74">
        <f t="shared" si="12"/>
        <v>50121</v>
      </c>
      <c r="C74">
        <v>13888</v>
      </c>
      <c r="D74">
        <v>36233</v>
      </c>
      <c r="F74">
        <f t="shared" si="13"/>
        <v>180</v>
      </c>
      <c r="G74" s="20">
        <f t="shared" si="14"/>
        <v>69</v>
      </c>
      <c r="H74" s="21">
        <v>7120047</v>
      </c>
      <c r="I74" s="22">
        <v>86</v>
      </c>
      <c r="J74" s="23"/>
      <c r="K74" s="24">
        <v>49941</v>
      </c>
      <c r="L74" s="23">
        <f t="shared" si="8"/>
        <v>180</v>
      </c>
      <c r="M74" s="24">
        <v>13862</v>
      </c>
      <c r="N74" s="25">
        <f t="shared" si="9"/>
        <v>26</v>
      </c>
      <c r="O74" s="24">
        <v>36079</v>
      </c>
      <c r="P74" s="23">
        <f t="shared" si="10"/>
        <v>154</v>
      </c>
      <c r="Q74" s="26"/>
      <c r="R74" s="23">
        <f t="shared" si="11"/>
        <v>0</v>
      </c>
      <c r="S74" s="27" t="s">
        <v>18</v>
      </c>
      <c r="T74" s="19" t="s">
        <v>88</v>
      </c>
    </row>
    <row r="75" spans="1:20" ht="37.5" customHeight="1" x14ac:dyDescent="0.25">
      <c r="A75" s="19" t="s">
        <v>89</v>
      </c>
      <c r="B75">
        <f t="shared" si="12"/>
        <v>20734</v>
      </c>
      <c r="C75">
        <v>3675</v>
      </c>
      <c r="D75">
        <v>17059</v>
      </c>
      <c r="F75">
        <f t="shared" si="13"/>
        <v>816</v>
      </c>
      <c r="G75" s="20">
        <f t="shared" si="14"/>
        <v>70</v>
      </c>
      <c r="H75" s="21">
        <v>66621050254</v>
      </c>
      <c r="I75" s="22">
        <v>87</v>
      </c>
      <c r="J75" s="23"/>
      <c r="K75" s="24">
        <v>19918</v>
      </c>
      <c r="L75" s="23">
        <f t="shared" si="8"/>
        <v>816</v>
      </c>
      <c r="M75" s="24">
        <v>3556</v>
      </c>
      <c r="N75" s="25">
        <f t="shared" si="9"/>
        <v>119</v>
      </c>
      <c r="O75" s="24">
        <v>16362</v>
      </c>
      <c r="P75" s="23">
        <f t="shared" si="10"/>
        <v>697</v>
      </c>
      <c r="Q75" s="26"/>
      <c r="R75" s="23">
        <f t="shared" si="11"/>
        <v>0</v>
      </c>
      <c r="S75" s="27" t="s">
        <v>18</v>
      </c>
      <c r="T75" s="19" t="s">
        <v>89</v>
      </c>
    </row>
    <row r="76" spans="1:20" ht="37.5" customHeight="1" x14ac:dyDescent="0.25">
      <c r="A76" s="19" t="s">
        <v>90</v>
      </c>
      <c r="B76">
        <f t="shared" si="12"/>
        <v>71601</v>
      </c>
      <c r="C76">
        <v>12865</v>
      </c>
      <c r="D76">
        <v>58736</v>
      </c>
      <c r="F76">
        <f t="shared" si="13"/>
        <v>563</v>
      </c>
      <c r="G76" s="20">
        <f t="shared" si="14"/>
        <v>71</v>
      </c>
      <c r="H76" s="21">
        <v>23013090100</v>
      </c>
      <c r="I76" s="22">
        <v>88</v>
      </c>
      <c r="J76" s="23"/>
      <c r="K76" s="24">
        <v>71038</v>
      </c>
      <c r="L76" s="23">
        <f t="shared" si="8"/>
        <v>563</v>
      </c>
      <c r="M76" s="24">
        <v>12761</v>
      </c>
      <c r="N76" s="25">
        <f t="shared" si="9"/>
        <v>104</v>
      </c>
      <c r="O76" s="24">
        <v>58277</v>
      </c>
      <c r="P76" s="23">
        <f t="shared" si="10"/>
        <v>459</v>
      </c>
      <c r="Q76" s="26"/>
      <c r="R76" s="23">
        <f t="shared" si="11"/>
        <v>0</v>
      </c>
      <c r="S76" s="27" t="s">
        <v>18</v>
      </c>
      <c r="T76" s="19" t="s">
        <v>90</v>
      </c>
    </row>
    <row r="77" spans="1:20" ht="37.5" customHeight="1" x14ac:dyDescent="0.25">
      <c r="A77" s="19" t="s">
        <v>91</v>
      </c>
      <c r="B77">
        <f t="shared" si="12"/>
        <v>44983</v>
      </c>
      <c r="C77">
        <v>7951</v>
      </c>
      <c r="D77">
        <v>37032</v>
      </c>
      <c r="F77">
        <f t="shared" si="13"/>
        <v>42</v>
      </c>
      <c r="G77" s="20">
        <f t="shared" si="14"/>
        <v>72</v>
      </c>
      <c r="H77" s="21">
        <v>88820030329</v>
      </c>
      <c r="I77" s="22">
        <v>89</v>
      </c>
      <c r="J77" s="23"/>
      <c r="K77" s="24">
        <v>44941</v>
      </c>
      <c r="L77" s="23">
        <f t="shared" si="8"/>
        <v>42</v>
      </c>
      <c r="M77" s="24">
        <v>7944</v>
      </c>
      <c r="N77" s="25">
        <f t="shared" si="9"/>
        <v>7</v>
      </c>
      <c r="O77" s="24">
        <v>36997</v>
      </c>
      <c r="P77" s="23">
        <f t="shared" si="10"/>
        <v>35</v>
      </c>
      <c r="Q77" s="26"/>
      <c r="R77" s="23">
        <f t="shared" si="11"/>
        <v>0</v>
      </c>
      <c r="S77" s="27" t="s">
        <v>18</v>
      </c>
      <c r="T77" s="19" t="s">
        <v>91</v>
      </c>
    </row>
    <row r="78" spans="1:20" ht="37.5" customHeight="1" x14ac:dyDescent="0.25">
      <c r="A78" s="19" t="s">
        <v>92</v>
      </c>
      <c r="B78">
        <f t="shared" si="12"/>
        <v>80681</v>
      </c>
      <c r="C78">
        <v>13337</v>
      </c>
      <c r="D78">
        <v>67344</v>
      </c>
      <c r="F78">
        <f t="shared" si="13"/>
        <v>966</v>
      </c>
      <c r="G78" s="20">
        <f t="shared" si="14"/>
        <v>73</v>
      </c>
      <c r="H78" s="21">
        <v>88818030278</v>
      </c>
      <c r="I78" s="22">
        <v>90</v>
      </c>
      <c r="J78" s="23"/>
      <c r="K78" s="24">
        <v>79715</v>
      </c>
      <c r="L78" s="23">
        <f t="shared" si="8"/>
        <v>966</v>
      </c>
      <c r="M78" s="24">
        <v>13195</v>
      </c>
      <c r="N78" s="25">
        <f t="shared" si="9"/>
        <v>142</v>
      </c>
      <c r="O78" s="24">
        <v>66520</v>
      </c>
      <c r="P78" s="23">
        <f t="shared" si="10"/>
        <v>824</v>
      </c>
      <c r="Q78" s="26"/>
      <c r="R78" s="23">
        <f t="shared" si="11"/>
        <v>0</v>
      </c>
      <c r="S78" s="27" t="s">
        <v>18</v>
      </c>
      <c r="T78" s="19" t="s">
        <v>92</v>
      </c>
    </row>
    <row r="79" spans="1:20" ht="37.5" customHeight="1" x14ac:dyDescent="0.25">
      <c r="A79" s="19" t="s">
        <v>93</v>
      </c>
      <c r="B79">
        <f t="shared" si="12"/>
        <v>60178</v>
      </c>
      <c r="C79">
        <v>10988</v>
      </c>
      <c r="D79">
        <v>49190</v>
      </c>
      <c r="F79">
        <f t="shared" si="13"/>
        <v>247</v>
      </c>
      <c r="G79" s="20">
        <f t="shared" si="14"/>
        <v>74</v>
      </c>
      <c r="H79" s="21">
        <v>23012010147</v>
      </c>
      <c r="I79" s="22">
        <v>91</v>
      </c>
      <c r="J79" s="23"/>
      <c r="K79" s="24">
        <v>59931</v>
      </c>
      <c r="L79" s="23">
        <f t="shared" si="8"/>
        <v>247</v>
      </c>
      <c r="M79" s="24">
        <v>10943</v>
      </c>
      <c r="N79" s="25">
        <f t="shared" si="9"/>
        <v>45</v>
      </c>
      <c r="O79" s="24">
        <v>48988</v>
      </c>
      <c r="P79" s="23">
        <f t="shared" si="10"/>
        <v>202</v>
      </c>
      <c r="Q79" s="26"/>
      <c r="R79" s="23">
        <f t="shared" si="11"/>
        <v>0</v>
      </c>
      <c r="S79" s="27" t="s">
        <v>18</v>
      </c>
      <c r="T79" s="19" t="s">
        <v>93</v>
      </c>
    </row>
    <row r="80" spans="1:20" ht="37.5" customHeight="1" x14ac:dyDescent="0.25">
      <c r="A80" s="19" t="s">
        <v>94</v>
      </c>
      <c r="B80">
        <f t="shared" si="12"/>
        <v>48241</v>
      </c>
      <c r="C80">
        <v>7916</v>
      </c>
      <c r="D80">
        <v>40325</v>
      </c>
      <c r="F80">
        <f t="shared" si="13"/>
        <v>447</v>
      </c>
      <c r="G80" s="20">
        <f t="shared" si="14"/>
        <v>75</v>
      </c>
      <c r="H80" s="21">
        <v>66616031279</v>
      </c>
      <c r="I80" s="22">
        <v>92</v>
      </c>
      <c r="J80" s="23"/>
      <c r="K80" s="24">
        <v>47794</v>
      </c>
      <c r="L80" s="23">
        <f t="shared" si="8"/>
        <v>447</v>
      </c>
      <c r="M80" s="24">
        <v>7842</v>
      </c>
      <c r="N80" s="25">
        <f t="shared" si="9"/>
        <v>74</v>
      </c>
      <c r="O80" s="24">
        <v>39952</v>
      </c>
      <c r="P80" s="23">
        <f t="shared" si="10"/>
        <v>373</v>
      </c>
      <c r="Q80" s="26"/>
      <c r="R80" s="23">
        <f t="shared" si="11"/>
        <v>0</v>
      </c>
      <c r="S80" s="27" t="s">
        <v>18</v>
      </c>
      <c r="T80" s="19" t="s">
        <v>94</v>
      </c>
    </row>
    <row r="81" spans="1:20" ht="37.5" customHeight="1" x14ac:dyDescent="0.25">
      <c r="A81" s="19" t="s">
        <v>95</v>
      </c>
      <c r="B81">
        <f t="shared" si="12"/>
        <v>75190</v>
      </c>
      <c r="C81">
        <v>13007</v>
      </c>
      <c r="D81">
        <v>62183</v>
      </c>
      <c r="F81">
        <f t="shared" si="13"/>
        <v>572</v>
      </c>
      <c r="G81" s="20">
        <f t="shared" si="14"/>
        <v>76</v>
      </c>
      <c r="H81" s="21">
        <v>23013010196</v>
      </c>
      <c r="I81" s="22">
        <v>93</v>
      </c>
      <c r="J81" s="23"/>
      <c r="K81" s="24">
        <v>74618</v>
      </c>
      <c r="L81" s="23">
        <f t="shared" si="8"/>
        <v>572</v>
      </c>
      <c r="M81" s="24">
        <v>12920</v>
      </c>
      <c r="N81" s="25">
        <f t="shared" si="9"/>
        <v>87</v>
      </c>
      <c r="O81" s="24">
        <v>61698</v>
      </c>
      <c r="P81" s="23">
        <f t="shared" si="10"/>
        <v>485</v>
      </c>
      <c r="Q81" s="26"/>
      <c r="R81" s="23">
        <f t="shared" si="11"/>
        <v>0</v>
      </c>
      <c r="S81" s="27" t="s">
        <v>18</v>
      </c>
      <c r="T81" s="19" t="s">
        <v>95</v>
      </c>
    </row>
    <row r="82" spans="1:20" ht="37.5" customHeight="1" x14ac:dyDescent="0.25">
      <c r="A82" s="19" t="s">
        <v>96</v>
      </c>
      <c r="B82">
        <f t="shared" si="12"/>
        <v>65946</v>
      </c>
      <c r="C82">
        <v>12471</v>
      </c>
      <c r="D82">
        <v>53475</v>
      </c>
      <c r="F82">
        <f t="shared" si="13"/>
        <v>805</v>
      </c>
      <c r="G82" s="20">
        <f t="shared" si="14"/>
        <v>77</v>
      </c>
      <c r="H82" s="21">
        <v>23014090084</v>
      </c>
      <c r="I82" s="22">
        <v>94</v>
      </c>
      <c r="J82" s="23"/>
      <c r="K82" s="24">
        <v>65141</v>
      </c>
      <c r="L82" s="23">
        <f t="shared" si="8"/>
        <v>805</v>
      </c>
      <c r="M82" s="24">
        <v>12341</v>
      </c>
      <c r="N82" s="25">
        <f t="shared" si="9"/>
        <v>130</v>
      </c>
      <c r="O82" s="24">
        <v>52800</v>
      </c>
      <c r="P82" s="23">
        <f t="shared" si="10"/>
        <v>675</v>
      </c>
      <c r="Q82" s="26"/>
      <c r="R82" s="23">
        <f t="shared" si="11"/>
        <v>0</v>
      </c>
      <c r="S82" s="27" t="s">
        <v>18</v>
      </c>
      <c r="T82" s="19" t="s">
        <v>96</v>
      </c>
    </row>
    <row r="83" spans="1:20" ht="37.5" customHeight="1" x14ac:dyDescent="0.25">
      <c r="A83" s="19" t="s">
        <v>97</v>
      </c>
      <c r="B83">
        <f t="shared" si="12"/>
        <v>7979</v>
      </c>
      <c r="C83">
        <v>1610</v>
      </c>
      <c r="D83">
        <v>6369</v>
      </c>
      <c r="F83">
        <f t="shared" si="13"/>
        <v>136</v>
      </c>
      <c r="G83" s="20">
        <f t="shared" si="14"/>
        <v>78</v>
      </c>
      <c r="H83" s="21">
        <v>66623011066</v>
      </c>
      <c r="I83" s="22">
        <v>98</v>
      </c>
      <c r="J83" s="23"/>
      <c r="K83" s="24">
        <v>7843</v>
      </c>
      <c r="L83" s="23">
        <f t="shared" si="8"/>
        <v>136</v>
      </c>
      <c r="M83" s="24">
        <v>1588</v>
      </c>
      <c r="N83" s="25">
        <f t="shared" si="9"/>
        <v>22</v>
      </c>
      <c r="O83" s="24">
        <v>6255</v>
      </c>
      <c r="P83" s="23">
        <f t="shared" si="10"/>
        <v>114</v>
      </c>
      <c r="Q83" s="26"/>
      <c r="R83" s="23">
        <f t="shared" si="11"/>
        <v>0</v>
      </c>
      <c r="S83" s="27" t="s">
        <v>18</v>
      </c>
      <c r="T83" s="19" t="s">
        <v>97</v>
      </c>
    </row>
    <row r="84" spans="1:20" ht="37.5" customHeight="1" x14ac:dyDescent="0.25">
      <c r="A84" s="19" t="s">
        <v>98</v>
      </c>
      <c r="B84">
        <f t="shared" si="12"/>
        <v>20335</v>
      </c>
      <c r="C84">
        <v>4811</v>
      </c>
      <c r="D84">
        <v>15524</v>
      </c>
      <c r="E84">
        <v>27877</v>
      </c>
      <c r="F84">
        <f t="shared" si="13"/>
        <v>525</v>
      </c>
      <c r="G84" s="20">
        <f t="shared" si="14"/>
        <v>79</v>
      </c>
      <c r="H84" s="21">
        <v>99622010015</v>
      </c>
      <c r="I84" s="22">
        <v>99</v>
      </c>
      <c r="J84" s="23"/>
      <c r="K84" s="24">
        <f>M84+O84</f>
        <v>19810</v>
      </c>
      <c r="L84" s="23">
        <f t="shared" si="8"/>
        <v>525</v>
      </c>
      <c r="M84" s="24">
        <v>4696</v>
      </c>
      <c r="N84" s="25">
        <f t="shared" si="9"/>
        <v>115</v>
      </c>
      <c r="O84" s="24">
        <v>15114</v>
      </c>
      <c r="P84" s="23">
        <f t="shared" si="10"/>
        <v>410</v>
      </c>
      <c r="Q84" s="26">
        <v>26569</v>
      </c>
      <c r="R84" s="23">
        <f t="shared" si="11"/>
        <v>1308</v>
      </c>
      <c r="S84" s="27" t="s">
        <v>18</v>
      </c>
      <c r="T84" s="19" t="s">
        <v>98</v>
      </c>
    </row>
    <row r="85" spans="1:20" ht="37.5" customHeight="1" x14ac:dyDescent="0.25">
      <c r="A85" s="19" t="s">
        <v>99</v>
      </c>
      <c r="B85">
        <f t="shared" si="12"/>
        <v>38670</v>
      </c>
      <c r="C85">
        <v>6757</v>
      </c>
      <c r="D85">
        <v>31913</v>
      </c>
      <c r="F85">
        <f t="shared" si="13"/>
        <v>528</v>
      </c>
      <c r="G85" s="20">
        <f t="shared" si="14"/>
        <v>80</v>
      </c>
      <c r="H85" s="21">
        <v>66619040341</v>
      </c>
      <c r="I85" s="22">
        <v>100</v>
      </c>
      <c r="J85" s="23"/>
      <c r="K85" s="24">
        <v>38142</v>
      </c>
      <c r="L85" s="23">
        <f t="shared" si="8"/>
        <v>528</v>
      </c>
      <c r="M85" s="24">
        <v>6659</v>
      </c>
      <c r="N85" s="25">
        <f t="shared" si="9"/>
        <v>98</v>
      </c>
      <c r="O85" s="24">
        <v>31483</v>
      </c>
      <c r="P85" s="23">
        <f t="shared" si="10"/>
        <v>430</v>
      </c>
      <c r="Q85" s="26"/>
      <c r="R85" s="23">
        <f t="shared" si="11"/>
        <v>0</v>
      </c>
      <c r="S85" s="27" t="s">
        <v>18</v>
      </c>
      <c r="T85" s="19" t="s">
        <v>99</v>
      </c>
    </row>
    <row r="86" spans="1:20" ht="37.5" customHeight="1" x14ac:dyDescent="0.25">
      <c r="A86" s="19" t="s">
        <v>100</v>
      </c>
      <c r="B86">
        <f t="shared" si="12"/>
        <v>81513</v>
      </c>
      <c r="C86">
        <v>15835</v>
      </c>
      <c r="D86">
        <v>65678</v>
      </c>
      <c r="F86">
        <f t="shared" si="13"/>
        <v>325</v>
      </c>
      <c r="G86" s="20">
        <f t="shared" si="14"/>
        <v>81</v>
      </c>
      <c r="H86" s="21">
        <v>7120042</v>
      </c>
      <c r="I86" s="22">
        <v>101</v>
      </c>
      <c r="J86" s="23"/>
      <c r="K86" s="24">
        <v>81188</v>
      </c>
      <c r="L86" s="23">
        <f t="shared" si="8"/>
        <v>325</v>
      </c>
      <c r="M86" s="24">
        <v>15786</v>
      </c>
      <c r="N86" s="25">
        <f t="shared" si="9"/>
        <v>49</v>
      </c>
      <c r="O86" s="24">
        <v>65402</v>
      </c>
      <c r="P86" s="23">
        <f t="shared" si="10"/>
        <v>276</v>
      </c>
      <c r="Q86" s="26"/>
      <c r="R86" s="23">
        <f t="shared" si="11"/>
        <v>0</v>
      </c>
      <c r="S86" s="27" t="s">
        <v>18</v>
      </c>
      <c r="T86" s="19" t="s">
        <v>100</v>
      </c>
    </row>
    <row r="87" spans="1:20" ht="37.5" customHeight="1" x14ac:dyDescent="0.25">
      <c r="A87" s="19" t="s">
        <v>101</v>
      </c>
      <c r="B87">
        <f t="shared" si="12"/>
        <v>2874</v>
      </c>
      <c r="C87">
        <v>740</v>
      </c>
      <c r="D87">
        <v>2134</v>
      </c>
      <c r="E87">
        <v>3508</v>
      </c>
      <c r="F87">
        <f t="shared" si="13"/>
        <v>251</v>
      </c>
      <c r="G87" s="20">
        <f t="shared" si="14"/>
        <v>82</v>
      </c>
      <c r="H87" s="21">
        <v>99624040274</v>
      </c>
      <c r="I87" s="22">
        <v>102</v>
      </c>
      <c r="J87" s="23"/>
      <c r="K87" s="24">
        <f>M87+O87</f>
        <v>2623</v>
      </c>
      <c r="L87" s="23">
        <f t="shared" si="8"/>
        <v>251</v>
      </c>
      <c r="M87" s="24">
        <v>660</v>
      </c>
      <c r="N87" s="25">
        <f t="shared" si="9"/>
        <v>80</v>
      </c>
      <c r="O87" s="24">
        <v>1963</v>
      </c>
      <c r="P87" s="23">
        <f t="shared" si="10"/>
        <v>171</v>
      </c>
      <c r="Q87" s="26">
        <v>2636</v>
      </c>
      <c r="R87" s="23">
        <f t="shared" si="11"/>
        <v>872</v>
      </c>
      <c r="S87" s="27" t="s">
        <v>18</v>
      </c>
      <c r="T87" s="19" t="s">
        <v>101</v>
      </c>
    </row>
    <row r="88" spans="1:20" ht="37.5" customHeight="1" x14ac:dyDescent="0.25">
      <c r="A88" s="19" t="s">
        <v>102</v>
      </c>
      <c r="B88">
        <f t="shared" si="12"/>
        <v>85703</v>
      </c>
      <c r="C88">
        <v>17018</v>
      </c>
      <c r="D88">
        <v>68685</v>
      </c>
      <c r="F88">
        <f t="shared" si="13"/>
        <v>149</v>
      </c>
      <c r="G88" s="20">
        <f t="shared" si="14"/>
        <v>83</v>
      </c>
      <c r="H88" s="21">
        <v>23013010157</v>
      </c>
      <c r="I88" s="22">
        <v>104</v>
      </c>
      <c r="J88" s="23"/>
      <c r="K88" s="24">
        <v>85554</v>
      </c>
      <c r="L88" s="23">
        <f t="shared" si="8"/>
        <v>149</v>
      </c>
      <c r="M88" s="24">
        <v>16994</v>
      </c>
      <c r="N88" s="25">
        <f t="shared" si="9"/>
        <v>24</v>
      </c>
      <c r="O88" s="24">
        <v>68560</v>
      </c>
      <c r="P88" s="23">
        <f t="shared" si="10"/>
        <v>125</v>
      </c>
      <c r="Q88" s="26"/>
      <c r="R88" s="23">
        <f t="shared" si="11"/>
        <v>0</v>
      </c>
      <c r="S88" s="27" t="s">
        <v>18</v>
      </c>
      <c r="T88" s="19" t="s">
        <v>102</v>
      </c>
    </row>
    <row r="89" spans="1:20" ht="37.5" customHeight="1" x14ac:dyDescent="0.25">
      <c r="A89" s="19" t="s">
        <v>103</v>
      </c>
      <c r="B89">
        <f t="shared" si="12"/>
        <v>25725</v>
      </c>
      <c r="C89">
        <v>4696</v>
      </c>
      <c r="D89">
        <v>21029</v>
      </c>
      <c r="F89">
        <f t="shared" si="13"/>
        <v>215</v>
      </c>
      <c r="G89" s="20">
        <f t="shared" si="14"/>
        <v>84</v>
      </c>
      <c r="H89" s="21">
        <v>88819010470</v>
      </c>
      <c r="I89" s="22">
        <v>105</v>
      </c>
      <c r="J89" s="23"/>
      <c r="K89" s="24">
        <v>25510</v>
      </c>
      <c r="L89" s="23">
        <f t="shared" si="8"/>
        <v>215</v>
      </c>
      <c r="M89" s="24">
        <v>4660</v>
      </c>
      <c r="N89" s="25">
        <f t="shared" si="9"/>
        <v>36</v>
      </c>
      <c r="O89" s="24">
        <v>20850</v>
      </c>
      <c r="P89" s="23">
        <f t="shared" si="10"/>
        <v>179</v>
      </c>
      <c r="Q89" s="26"/>
      <c r="R89" s="23">
        <f t="shared" si="11"/>
        <v>0</v>
      </c>
      <c r="S89" s="27" t="s">
        <v>18</v>
      </c>
      <c r="T89" s="19" t="s">
        <v>103</v>
      </c>
    </row>
    <row r="90" spans="1:20" ht="37.5" customHeight="1" x14ac:dyDescent="0.25">
      <c r="A90" s="19" t="s">
        <v>104</v>
      </c>
      <c r="B90">
        <f t="shared" si="12"/>
        <v>1589</v>
      </c>
      <c r="C90">
        <v>427</v>
      </c>
      <c r="D90">
        <v>1162</v>
      </c>
      <c r="E90">
        <v>3447</v>
      </c>
      <c r="F90">
        <f t="shared" si="13"/>
        <v>225</v>
      </c>
      <c r="G90" s="20">
        <f t="shared" si="14"/>
        <v>85</v>
      </c>
      <c r="H90" s="21">
        <v>99624040096</v>
      </c>
      <c r="I90" s="22">
        <v>106</v>
      </c>
      <c r="J90" s="23"/>
      <c r="K90" s="24">
        <f>M90+O90</f>
        <v>1364</v>
      </c>
      <c r="L90" s="23">
        <f t="shared" si="8"/>
        <v>225</v>
      </c>
      <c r="M90" s="24">
        <v>355</v>
      </c>
      <c r="N90" s="25">
        <f t="shared" si="9"/>
        <v>72</v>
      </c>
      <c r="O90" s="24">
        <v>1009</v>
      </c>
      <c r="P90" s="23">
        <f t="shared" si="10"/>
        <v>153</v>
      </c>
      <c r="Q90" s="26">
        <v>2725</v>
      </c>
      <c r="R90" s="23">
        <f t="shared" si="11"/>
        <v>722</v>
      </c>
      <c r="S90" s="27" t="s">
        <v>18</v>
      </c>
      <c r="T90" s="19" t="s">
        <v>104</v>
      </c>
    </row>
    <row r="91" spans="1:20" ht="37.5" customHeight="1" x14ac:dyDescent="0.25">
      <c r="A91" s="19" t="s">
        <v>105</v>
      </c>
      <c r="B91">
        <f t="shared" si="12"/>
        <v>3079</v>
      </c>
      <c r="C91">
        <v>583</v>
      </c>
      <c r="D91">
        <v>2496</v>
      </c>
      <c r="E91">
        <v>3448</v>
      </c>
      <c r="F91">
        <f t="shared" si="13"/>
        <v>460</v>
      </c>
      <c r="G91" s="20">
        <f t="shared" si="14"/>
        <v>86</v>
      </c>
      <c r="H91" s="21">
        <v>99624040004</v>
      </c>
      <c r="I91" s="22">
        <v>107</v>
      </c>
      <c r="J91" s="23"/>
      <c r="K91" s="24">
        <f>M91+O91</f>
        <v>2619</v>
      </c>
      <c r="L91" s="23">
        <f t="shared" si="8"/>
        <v>460</v>
      </c>
      <c r="M91" s="24">
        <v>487</v>
      </c>
      <c r="N91" s="25">
        <f t="shared" si="9"/>
        <v>96</v>
      </c>
      <c r="O91" s="24">
        <v>2132</v>
      </c>
      <c r="P91" s="23">
        <f t="shared" si="10"/>
        <v>364</v>
      </c>
      <c r="Q91" s="26">
        <v>2861</v>
      </c>
      <c r="R91" s="23">
        <f t="shared" si="11"/>
        <v>587</v>
      </c>
      <c r="S91" s="27" t="s">
        <v>18</v>
      </c>
      <c r="T91" s="19" t="s">
        <v>105</v>
      </c>
    </row>
    <row r="92" spans="1:20" ht="37.5" customHeight="1" x14ac:dyDescent="0.25">
      <c r="A92" s="19" t="s">
        <v>106</v>
      </c>
      <c r="B92">
        <f t="shared" si="12"/>
        <v>104961</v>
      </c>
      <c r="C92">
        <v>22409</v>
      </c>
      <c r="D92">
        <v>82552</v>
      </c>
      <c r="F92">
        <f t="shared" si="13"/>
        <v>386</v>
      </c>
      <c r="G92" s="20">
        <f t="shared" si="14"/>
        <v>87</v>
      </c>
      <c r="H92" s="21">
        <v>23011100147</v>
      </c>
      <c r="I92" s="22">
        <v>108</v>
      </c>
      <c r="J92" s="23"/>
      <c r="K92" s="24">
        <v>104575</v>
      </c>
      <c r="L92" s="23">
        <f t="shared" si="8"/>
        <v>386</v>
      </c>
      <c r="M92" s="24">
        <v>22344</v>
      </c>
      <c r="N92" s="25">
        <f t="shared" si="9"/>
        <v>65</v>
      </c>
      <c r="O92" s="24">
        <v>82231</v>
      </c>
      <c r="P92" s="23">
        <f t="shared" si="10"/>
        <v>321</v>
      </c>
      <c r="Q92" s="26"/>
      <c r="R92" s="23">
        <f t="shared" si="11"/>
        <v>0</v>
      </c>
      <c r="S92" s="27" t="s">
        <v>18</v>
      </c>
      <c r="T92" s="19" t="s">
        <v>106</v>
      </c>
    </row>
    <row r="93" spans="1:20" ht="37.5" customHeight="1" x14ac:dyDescent="0.25">
      <c r="A93" s="19" t="s">
        <v>107</v>
      </c>
      <c r="B93">
        <f t="shared" si="12"/>
        <v>70891</v>
      </c>
      <c r="C93">
        <v>12381</v>
      </c>
      <c r="D93">
        <v>58510</v>
      </c>
      <c r="F93">
        <f t="shared" si="13"/>
        <v>674</v>
      </c>
      <c r="G93" s="20">
        <f t="shared" si="14"/>
        <v>88</v>
      </c>
      <c r="H93" s="21">
        <v>23009050077</v>
      </c>
      <c r="I93" s="22">
        <v>109</v>
      </c>
      <c r="J93" s="23"/>
      <c r="K93" s="24">
        <v>70217</v>
      </c>
      <c r="L93" s="23">
        <f t="shared" si="8"/>
        <v>674</v>
      </c>
      <c r="M93" s="24">
        <v>12271</v>
      </c>
      <c r="N93" s="25">
        <f t="shared" si="9"/>
        <v>110</v>
      </c>
      <c r="O93" s="24">
        <v>57946</v>
      </c>
      <c r="P93" s="23">
        <f t="shared" si="10"/>
        <v>564</v>
      </c>
      <c r="Q93" s="26"/>
      <c r="R93" s="23">
        <f t="shared" si="11"/>
        <v>0</v>
      </c>
      <c r="S93" s="27" t="s">
        <v>18</v>
      </c>
      <c r="T93" s="19" t="s">
        <v>107</v>
      </c>
    </row>
    <row r="94" spans="1:20" ht="37.5" customHeight="1" x14ac:dyDescent="0.25">
      <c r="A94" s="19" t="s">
        <v>108</v>
      </c>
      <c r="B94">
        <f t="shared" si="12"/>
        <v>26845</v>
      </c>
      <c r="C94">
        <v>4866</v>
      </c>
      <c r="D94">
        <v>21979</v>
      </c>
      <c r="F94">
        <f t="shared" si="13"/>
        <v>517</v>
      </c>
      <c r="G94" s="20">
        <f t="shared" si="14"/>
        <v>89</v>
      </c>
      <c r="H94" s="21">
        <v>88820010304</v>
      </c>
      <c r="I94" s="22">
        <v>110</v>
      </c>
      <c r="J94" s="23"/>
      <c r="K94" s="24">
        <v>26328</v>
      </c>
      <c r="L94" s="23">
        <f t="shared" si="8"/>
        <v>517</v>
      </c>
      <c r="M94" s="24">
        <v>4785</v>
      </c>
      <c r="N94" s="25">
        <f t="shared" si="9"/>
        <v>81</v>
      </c>
      <c r="O94" s="24">
        <v>21543</v>
      </c>
      <c r="P94" s="23">
        <f t="shared" si="10"/>
        <v>436</v>
      </c>
      <c r="Q94" s="26"/>
      <c r="R94" s="23">
        <f t="shared" si="11"/>
        <v>0</v>
      </c>
      <c r="S94" s="27" t="s">
        <v>18</v>
      </c>
      <c r="T94" s="19" t="s">
        <v>108</v>
      </c>
    </row>
    <row r="95" spans="1:20" ht="37.5" customHeight="1" x14ac:dyDescent="0.25">
      <c r="A95" s="19" t="s">
        <v>109</v>
      </c>
      <c r="B95">
        <f t="shared" si="12"/>
        <v>59304</v>
      </c>
      <c r="C95">
        <v>11492</v>
      </c>
      <c r="D95">
        <v>47812</v>
      </c>
      <c r="F95">
        <f t="shared" si="13"/>
        <v>432</v>
      </c>
      <c r="G95" s="20">
        <f t="shared" si="14"/>
        <v>90</v>
      </c>
      <c r="H95" s="21">
        <v>23013040052</v>
      </c>
      <c r="I95" s="22">
        <v>111</v>
      </c>
      <c r="J95" s="23"/>
      <c r="K95" s="24">
        <v>58872</v>
      </c>
      <c r="L95" s="23">
        <f t="shared" si="8"/>
        <v>432</v>
      </c>
      <c r="M95" s="24">
        <v>11422</v>
      </c>
      <c r="N95" s="25">
        <f t="shared" si="9"/>
        <v>70</v>
      </c>
      <c r="O95" s="24">
        <v>47450</v>
      </c>
      <c r="P95" s="23">
        <f t="shared" si="10"/>
        <v>362</v>
      </c>
      <c r="Q95" s="26"/>
      <c r="R95" s="23">
        <f t="shared" si="11"/>
        <v>0</v>
      </c>
      <c r="S95" s="27" t="s">
        <v>18</v>
      </c>
      <c r="T95" s="19" t="s">
        <v>109</v>
      </c>
    </row>
    <row r="96" spans="1:20" ht="37.5" customHeight="1" x14ac:dyDescent="0.25">
      <c r="A96" s="19" t="s">
        <v>110</v>
      </c>
      <c r="B96">
        <f t="shared" si="12"/>
        <v>22506</v>
      </c>
      <c r="C96">
        <v>3502</v>
      </c>
      <c r="D96">
        <v>19004</v>
      </c>
      <c r="F96">
        <f t="shared" si="13"/>
        <v>296</v>
      </c>
      <c r="G96" s="20">
        <f t="shared" si="14"/>
        <v>91</v>
      </c>
      <c r="H96" s="21">
        <v>88818030127</v>
      </c>
      <c r="I96" s="22">
        <v>112</v>
      </c>
      <c r="J96" s="23"/>
      <c r="K96" s="24">
        <v>22210</v>
      </c>
      <c r="L96" s="23">
        <f t="shared" si="8"/>
        <v>296</v>
      </c>
      <c r="M96" s="24">
        <v>3449</v>
      </c>
      <c r="N96" s="25">
        <f t="shared" si="9"/>
        <v>53</v>
      </c>
      <c r="O96" s="24">
        <v>18761</v>
      </c>
      <c r="P96" s="23">
        <f t="shared" si="10"/>
        <v>243</v>
      </c>
      <c r="Q96" s="26"/>
      <c r="R96" s="23">
        <f t="shared" si="11"/>
        <v>0</v>
      </c>
      <c r="S96" s="27" t="s">
        <v>18</v>
      </c>
      <c r="T96" s="19" t="s">
        <v>110</v>
      </c>
    </row>
    <row r="97" spans="1:20" ht="37.5" customHeight="1" x14ac:dyDescent="0.25">
      <c r="A97" s="19" t="s">
        <v>111</v>
      </c>
      <c r="B97">
        <f t="shared" si="12"/>
        <v>4128</v>
      </c>
      <c r="C97">
        <v>836</v>
      </c>
      <c r="D97">
        <v>3292</v>
      </c>
      <c r="E97">
        <v>4822</v>
      </c>
      <c r="F97">
        <f t="shared" si="13"/>
        <v>349</v>
      </c>
      <c r="G97" s="20">
        <f t="shared" si="14"/>
        <v>92</v>
      </c>
      <c r="H97" s="21">
        <v>99624030236</v>
      </c>
      <c r="I97" s="22">
        <v>113</v>
      </c>
      <c r="J97" s="23"/>
      <c r="K97" s="24">
        <f>M97+O97</f>
        <v>3779</v>
      </c>
      <c r="L97" s="23">
        <f t="shared" si="8"/>
        <v>349</v>
      </c>
      <c r="M97" s="24">
        <v>744</v>
      </c>
      <c r="N97" s="25">
        <f t="shared" si="9"/>
        <v>92</v>
      </c>
      <c r="O97" s="24">
        <v>3035</v>
      </c>
      <c r="P97" s="23">
        <f t="shared" si="10"/>
        <v>257</v>
      </c>
      <c r="Q97" s="26">
        <v>4019</v>
      </c>
      <c r="R97" s="23">
        <f t="shared" si="11"/>
        <v>803</v>
      </c>
      <c r="S97" s="27" t="s">
        <v>18</v>
      </c>
      <c r="T97" s="19" t="s">
        <v>111</v>
      </c>
    </row>
    <row r="98" spans="1:20" ht="37.5" customHeight="1" x14ac:dyDescent="0.25">
      <c r="A98" s="19" t="s">
        <v>112</v>
      </c>
      <c r="B98">
        <f t="shared" si="12"/>
        <v>15258</v>
      </c>
      <c r="C98">
        <v>3049</v>
      </c>
      <c r="D98">
        <v>12209</v>
      </c>
      <c r="F98">
        <f t="shared" si="13"/>
        <v>287</v>
      </c>
      <c r="G98" s="20">
        <f t="shared" si="14"/>
        <v>93</v>
      </c>
      <c r="H98" s="21">
        <v>88820060231</v>
      </c>
      <c r="I98" s="22">
        <v>114</v>
      </c>
      <c r="J98" s="23"/>
      <c r="K98" s="24">
        <v>14971</v>
      </c>
      <c r="L98" s="23">
        <f t="shared" si="8"/>
        <v>287</v>
      </c>
      <c r="M98" s="24">
        <v>3001</v>
      </c>
      <c r="N98" s="25">
        <f t="shared" si="9"/>
        <v>48</v>
      </c>
      <c r="O98" s="24">
        <v>11970</v>
      </c>
      <c r="P98" s="23">
        <f t="shared" si="10"/>
        <v>239</v>
      </c>
      <c r="Q98" s="26"/>
      <c r="R98" s="23">
        <f t="shared" si="11"/>
        <v>0</v>
      </c>
      <c r="S98" s="27" t="s">
        <v>18</v>
      </c>
      <c r="T98" s="19" t="s">
        <v>112</v>
      </c>
    </row>
    <row r="99" spans="1:20" ht="37.5" customHeight="1" x14ac:dyDescent="0.25">
      <c r="A99" s="19" t="s">
        <v>113</v>
      </c>
      <c r="B99">
        <f t="shared" si="12"/>
        <v>27706</v>
      </c>
      <c r="C99">
        <v>4672</v>
      </c>
      <c r="D99">
        <v>23034</v>
      </c>
      <c r="F99">
        <f t="shared" si="13"/>
        <v>359</v>
      </c>
      <c r="G99" s="20">
        <f t="shared" si="14"/>
        <v>94</v>
      </c>
      <c r="H99" s="21">
        <v>88819050375</v>
      </c>
      <c r="I99" s="22" t="s">
        <v>114</v>
      </c>
      <c r="J99" s="23"/>
      <c r="K99" s="24">
        <v>27347</v>
      </c>
      <c r="L99" s="23">
        <f t="shared" si="8"/>
        <v>359</v>
      </c>
      <c r="M99" s="24">
        <v>4614</v>
      </c>
      <c r="N99" s="25">
        <f t="shared" si="9"/>
        <v>58</v>
      </c>
      <c r="O99" s="24">
        <v>22733</v>
      </c>
      <c r="P99" s="23">
        <f t="shared" si="10"/>
        <v>301</v>
      </c>
      <c r="Q99" s="26"/>
      <c r="R99" s="23">
        <f t="shared" si="11"/>
        <v>0</v>
      </c>
      <c r="S99" s="27" t="s">
        <v>18</v>
      </c>
      <c r="T99" s="19" t="s">
        <v>113</v>
      </c>
    </row>
    <row r="100" spans="1:20" ht="37.5" customHeight="1" x14ac:dyDescent="0.25">
      <c r="A100" s="19" t="s">
        <v>115</v>
      </c>
      <c r="B100">
        <f t="shared" si="12"/>
        <v>140265</v>
      </c>
      <c r="C100">
        <v>27687</v>
      </c>
      <c r="D100">
        <v>112578</v>
      </c>
      <c r="F100">
        <f t="shared" si="13"/>
        <v>653</v>
      </c>
      <c r="G100" s="20">
        <f t="shared" si="14"/>
        <v>95</v>
      </c>
      <c r="H100" s="21">
        <v>23014010499</v>
      </c>
      <c r="I100" s="22">
        <v>115</v>
      </c>
      <c r="J100" s="23"/>
      <c r="K100" s="24">
        <v>139612</v>
      </c>
      <c r="L100" s="23">
        <f t="shared" si="8"/>
        <v>653</v>
      </c>
      <c r="M100" s="24">
        <v>27563</v>
      </c>
      <c r="N100" s="25">
        <f t="shared" si="9"/>
        <v>124</v>
      </c>
      <c r="O100" s="24">
        <v>112049</v>
      </c>
      <c r="P100" s="23">
        <f t="shared" si="10"/>
        <v>529</v>
      </c>
      <c r="Q100" s="26"/>
      <c r="R100" s="23">
        <f t="shared" si="11"/>
        <v>0</v>
      </c>
      <c r="S100" s="27" t="s">
        <v>18</v>
      </c>
      <c r="T100" s="19" t="s">
        <v>115</v>
      </c>
    </row>
    <row r="101" spans="1:20" ht="37.5" customHeight="1" x14ac:dyDescent="0.25">
      <c r="A101" s="19" t="s">
        <v>116</v>
      </c>
      <c r="B101">
        <v>52745</v>
      </c>
      <c r="C101" s="37"/>
      <c r="D101" s="37"/>
      <c r="F101">
        <f t="shared" si="13"/>
        <v>169</v>
      </c>
      <c r="G101" s="20">
        <f t="shared" si="14"/>
        <v>96</v>
      </c>
      <c r="H101" s="21">
        <v>23012110179</v>
      </c>
      <c r="I101" s="22">
        <v>116</v>
      </c>
      <c r="J101" s="23"/>
      <c r="K101" s="24">
        <v>52576</v>
      </c>
      <c r="L101" s="23">
        <f t="shared" si="8"/>
        <v>169</v>
      </c>
      <c r="M101" s="24">
        <v>11416</v>
      </c>
      <c r="N101" s="25">
        <f t="shared" si="9"/>
        <v>-11416</v>
      </c>
      <c r="O101" s="24">
        <v>41160</v>
      </c>
      <c r="P101" s="23">
        <f t="shared" si="10"/>
        <v>-41160</v>
      </c>
      <c r="Q101" s="26"/>
      <c r="R101" s="23">
        <f t="shared" si="11"/>
        <v>0</v>
      </c>
      <c r="S101" s="27" t="s">
        <v>18</v>
      </c>
      <c r="T101" s="19" t="s">
        <v>116</v>
      </c>
    </row>
    <row r="102" spans="1:20" ht="37.5" customHeight="1" x14ac:dyDescent="0.25">
      <c r="A102" s="19" t="s">
        <v>117</v>
      </c>
      <c r="B102">
        <f t="shared" si="12"/>
        <v>44788</v>
      </c>
      <c r="C102">
        <v>7556</v>
      </c>
      <c r="D102">
        <v>37232</v>
      </c>
      <c r="F102">
        <f t="shared" si="13"/>
        <v>620</v>
      </c>
      <c r="G102" s="20">
        <f t="shared" si="14"/>
        <v>97</v>
      </c>
      <c r="H102" s="21">
        <v>88820010049</v>
      </c>
      <c r="I102" s="22">
        <v>117</v>
      </c>
      <c r="J102" s="23"/>
      <c r="K102" s="24">
        <v>44168</v>
      </c>
      <c r="L102" s="23">
        <f t="shared" si="8"/>
        <v>620</v>
      </c>
      <c r="M102" s="24">
        <v>7465</v>
      </c>
      <c r="N102" s="25">
        <f t="shared" si="9"/>
        <v>91</v>
      </c>
      <c r="O102" s="24">
        <v>36703</v>
      </c>
      <c r="P102" s="23">
        <f t="shared" si="10"/>
        <v>529</v>
      </c>
      <c r="Q102" s="26"/>
      <c r="R102" s="23">
        <f t="shared" si="11"/>
        <v>0</v>
      </c>
      <c r="S102" s="27" t="s">
        <v>18</v>
      </c>
      <c r="T102" s="19" t="s">
        <v>117</v>
      </c>
    </row>
    <row r="103" spans="1:20" ht="37.5" customHeight="1" x14ac:dyDescent="0.25">
      <c r="A103" s="19" t="s">
        <v>118</v>
      </c>
      <c r="B103">
        <f t="shared" si="12"/>
        <v>12691</v>
      </c>
      <c r="C103">
        <v>2286</v>
      </c>
      <c r="D103">
        <v>10405</v>
      </c>
      <c r="F103">
        <f t="shared" si="13"/>
        <v>283</v>
      </c>
      <c r="G103" s="20">
        <f t="shared" si="14"/>
        <v>98</v>
      </c>
      <c r="H103" s="21">
        <v>66621040179</v>
      </c>
      <c r="I103" s="22">
        <v>118</v>
      </c>
      <c r="J103" s="23"/>
      <c r="K103" s="24">
        <v>12408</v>
      </c>
      <c r="L103" s="23">
        <f t="shared" si="8"/>
        <v>283</v>
      </c>
      <c r="M103" s="24">
        <v>2232</v>
      </c>
      <c r="N103" s="25">
        <f t="shared" si="9"/>
        <v>54</v>
      </c>
      <c r="O103" s="24">
        <v>10176</v>
      </c>
      <c r="P103" s="23">
        <f t="shared" si="10"/>
        <v>229</v>
      </c>
      <c r="Q103" s="26"/>
      <c r="R103" s="23">
        <f t="shared" si="11"/>
        <v>0</v>
      </c>
      <c r="S103" s="27" t="s">
        <v>18</v>
      </c>
      <c r="T103" s="19" t="s">
        <v>118</v>
      </c>
    </row>
    <row r="104" spans="1:20" ht="37.5" customHeight="1" x14ac:dyDescent="0.25">
      <c r="A104" s="19" t="s">
        <v>119</v>
      </c>
      <c r="B104">
        <f t="shared" si="12"/>
        <v>87939</v>
      </c>
      <c r="C104">
        <v>15786</v>
      </c>
      <c r="D104">
        <v>72153</v>
      </c>
      <c r="F104">
        <f t="shared" si="13"/>
        <v>554</v>
      </c>
      <c r="G104" s="20">
        <f t="shared" si="14"/>
        <v>99</v>
      </c>
      <c r="H104" s="21">
        <v>23013010447</v>
      </c>
      <c r="I104" s="22">
        <v>119</v>
      </c>
      <c r="J104" s="23"/>
      <c r="K104" s="24">
        <v>87385</v>
      </c>
      <c r="L104" s="23">
        <f t="shared" si="8"/>
        <v>554</v>
      </c>
      <c r="M104" s="24">
        <v>15702</v>
      </c>
      <c r="N104" s="25">
        <f t="shared" si="9"/>
        <v>84</v>
      </c>
      <c r="O104" s="24">
        <v>71683</v>
      </c>
      <c r="P104" s="23">
        <f t="shared" si="10"/>
        <v>470</v>
      </c>
      <c r="Q104" s="26"/>
      <c r="R104" s="23">
        <f t="shared" si="11"/>
        <v>0</v>
      </c>
      <c r="S104" s="27" t="s">
        <v>18</v>
      </c>
      <c r="T104" s="19" t="s">
        <v>119</v>
      </c>
    </row>
    <row r="105" spans="1:20" ht="37.5" customHeight="1" x14ac:dyDescent="0.25">
      <c r="A105" s="19" t="s">
        <v>120</v>
      </c>
      <c r="B105">
        <f t="shared" si="12"/>
        <v>98187</v>
      </c>
      <c r="C105">
        <v>16613</v>
      </c>
      <c r="D105">
        <v>81574</v>
      </c>
      <c r="F105">
        <f t="shared" si="13"/>
        <v>260</v>
      </c>
      <c r="G105" s="20">
        <f t="shared" si="14"/>
        <v>100</v>
      </c>
      <c r="H105" s="21">
        <v>23013010448</v>
      </c>
      <c r="I105" s="22">
        <v>120</v>
      </c>
      <c r="J105" s="23"/>
      <c r="K105" s="24">
        <v>97927</v>
      </c>
      <c r="L105" s="23">
        <f t="shared" si="8"/>
        <v>260</v>
      </c>
      <c r="M105" s="24">
        <v>16564</v>
      </c>
      <c r="N105" s="25">
        <f t="shared" si="9"/>
        <v>49</v>
      </c>
      <c r="O105" s="24">
        <v>81363</v>
      </c>
      <c r="P105" s="23">
        <f t="shared" si="10"/>
        <v>211</v>
      </c>
      <c r="Q105" s="26"/>
      <c r="R105" s="23">
        <f t="shared" si="11"/>
        <v>0</v>
      </c>
      <c r="S105" s="27" t="s">
        <v>18</v>
      </c>
      <c r="T105" s="19" t="s">
        <v>120</v>
      </c>
    </row>
    <row r="106" spans="1:20" ht="37.5" customHeight="1" x14ac:dyDescent="0.25">
      <c r="A106" s="19" t="s">
        <v>121</v>
      </c>
      <c r="B106">
        <f t="shared" si="12"/>
        <v>56427</v>
      </c>
      <c r="C106">
        <v>8627</v>
      </c>
      <c r="D106">
        <v>47800</v>
      </c>
      <c r="F106">
        <f t="shared" si="13"/>
        <v>489</v>
      </c>
      <c r="G106" s="20">
        <f t="shared" si="14"/>
        <v>101</v>
      </c>
      <c r="H106" s="21">
        <v>23013010272</v>
      </c>
      <c r="I106" s="22">
        <v>121</v>
      </c>
      <c r="J106" s="23"/>
      <c r="K106" s="24">
        <v>55938</v>
      </c>
      <c r="L106" s="23">
        <f t="shared" si="8"/>
        <v>489</v>
      </c>
      <c r="M106" s="24">
        <v>8538</v>
      </c>
      <c r="N106" s="25">
        <f t="shared" si="9"/>
        <v>89</v>
      </c>
      <c r="O106" s="24">
        <v>47400</v>
      </c>
      <c r="P106" s="23">
        <f t="shared" si="10"/>
        <v>400</v>
      </c>
      <c r="Q106" s="26"/>
      <c r="R106" s="23">
        <f t="shared" si="11"/>
        <v>0</v>
      </c>
      <c r="S106" s="27" t="s">
        <v>18</v>
      </c>
      <c r="T106" s="19" t="s">
        <v>121</v>
      </c>
    </row>
    <row r="107" spans="1:20" ht="37.5" customHeight="1" x14ac:dyDescent="0.25">
      <c r="A107" s="19" t="s">
        <v>122</v>
      </c>
      <c r="B107">
        <f t="shared" si="12"/>
        <v>21249</v>
      </c>
      <c r="C107">
        <v>3925</v>
      </c>
      <c r="D107">
        <v>17324</v>
      </c>
      <c r="F107">
        <f t="shared" si="13"/>
        <v>478</v>
      </c>
      <c r="G107" s="20">
        <f t="shared" si="14"/>
        <v>102</v>
      </c>
      <c r="H107" s="21">
        <v>66622010166</v>
      </c>
      <c r="I107" s="22">
        <v>122</v>
      </c>
      <c r="J107" s="23"/>
      <c r="K107" s="24">
        <v>20771</v>
      </c>
      <c r="L107" s="23">
        <f t="shared" si="8"/>
        <v>478</v>
      </c>
      <c r="M107" s="24">
        <v>3801</v>
      </c>
      <c r="N107" s="25">
        <f t="shared" si="9"/>
        <v>124</v>
      </c>
      <c r="O107" s="24">
        <v>16970</v>
      </c>
      <c r="P107" s="23">
        <f t="shared" si="10"/>
        <v>354</v>
      </c>
      <c r="Q107" s="26"/>
      <c r="R107" s="23">
        <f t="shared" si="11"/>
        <v>0</v>
      </c>
      <c r="S107" s="27" t="s">
        <v>18</v>
      </c>
      <c r="T107" s="19" t="s">
        <v>122</v>
      </c>
    </row>
    <row r="108" spans="1:20" ht="37.5" customHeight="1" x14ac:dyDescent="0.25">
      <c r="A108" s="19" t="s">
        <v>123</v>
      </c>
      <c r="B108">
        <f t="shared" si="12"/>
        <v>12434</v>
      </c>
      <c r="C108">
        <v>2497</v>
      </c>
      <c r="D108">
        <v>9937</v>
      </c>
      <c r="F108">
        <f t="shared" si="13"/>
        <v>256</v>
      </c>
      <c r="G108" s="20">
        <f t="shared" si="14"/>
        <v>103</v>
      </c>
      <c r="H108" s="21">
        <v>88820010439</v>
      </c>
      <c r="I108" s="22">
        <v>125</v>
      </c>
      <c r="J108" s="23"/>
      <c r="K108" s="24">
        <v>12178</v>
      </c>
      <c r="L108" s="23">
        <f t="shared" si="8"/>
        <v>256</v>
      </c>
      <c r="M108" s="24">
        <v>2452</v>
      </c>
      <c r="N108" s="25">
        <f t="shared" si="9"/>
        <v>45</v>
      </c>
      <c r="O108" s="24">
        <v>9726</v>
      </c>
      <c r="P108" s="23">
        <f t="shared" si="10"/>
        <v>211</v>
      </c>
      <c r="Q108" s="26"/>
      <c r="R108" s="23">
        <f t="shared" si="11"/>
        <v>0</v>
      </c>
      <c r="S108" s="27" t="s">
        <v>18</v>
      </c>
      <c r="T108" s="19" t="s">
        <v>123</v>
      </c>
    </row>
    <row r="109" spans="1:20" ht="37.5" customHeight="1" x14ac:dyDescent="0.25">
      <c r="A109" s="19" t="s">
        <v>124</v>
      </c>
      <c r="B109">
        <f t="shared" si="12"/>
        <v>5057</v>
      </c>
      <c r="C109">
        <v>1122</v>
      </c>
      <c r="D109">
        <v>3935</v>
      </c>
      <c r="E109">
        <v>6200</v>
      </c>
      <c r="F109">
        <f t="shared" si="13"/>
        <v>616</v>
      </c>
      <c r="G109" s="20">
        <f t="shared" si="14"/>
        <v>104</v>
      </c>
      <c r="H109" s="21">
        <v>99624040174</v>
      </c>
      <c r="I109" s="22">
        <v>129</v>
      </c>
      <c r="J109" s="23"/>
      <c r="K109" s="24">
        <f>M109+O109</f>
        <v>4441</v>
      </c>
      <c r="L109" s="23">
        <f t="shared" si="8"/>
        <v>616</v>
      </c>
      <c r="M109" s="24">
        <v>972</v>
      </c>
      <c r="N109" s="25">
        <f t="shared" si="9"/>
        <v>150</v>
      </c>
      <c r="O109" s="24">
        <v>3469</v>
      </c>
      <c r="P109" s="23">
        <f t="shared" si="10"/>
        <v>466</v>
      </c>
      <c r="Q109" s="26">
        <v>4999</v>
      </c>
      <c r="R109" s="23">
        <f t="shared" si="11"/>
        <v>1201</v>
      </c>
      <c r="S109" s="27" t="s">
        <v>18</v>
      </c>
      <c r="T109" s="19" t="s">
        <v>124</v>
      </c>
    </row>
    <row r="110" spans="1:20" ht="37.5" customHeight="1" x14ac:dyDescent="0.25">
      <c r="A110" s="19" t="s">
        <v>125</v>
      </c>
      <c r="B110">
        <f t="shared" si="12"/>
        <v>2842</v>
      </c>
      <c r="C110">
        <v>699</v>
      </c>
      <c r="D110">
        <v>2143</v>
      </c>
      <c r="E110">
        <v>5488</v>
      </c>
      <c r="F110">
        <f t="shared" si="13"/>
        <v>554</v>
      </c>
      <c r="G110" s="20">
        <f t="shared" si="14"/>
        <v>105</v>
      </c>
      <c r="H110" s="21">
        <v>99624040303</v>
      </c>
      <c r="I110" s="22">
        <v>130</v>
      </c>
      <c r="J110" s="23"/>
      <c r="K110" s="24">
        <f>M110+O110</f>
        <v>2288</v>
      </c>
      <c r="L110" s="23">
        <f t="shared" si="8"/>
        <v>554</v>
      </c>
      <c r="M110" s="24">
        <v>556</v>
      </c>
      <c r="N110" s="25">
        <f t="shared" si="9"/>
        <v>143</v>
      </c>
      <c r="O110" s="24">
        <v>1732</v>
      </c>
      <c r="P110" s="23">
        <f t="shared" si="10"/>
        <v>411</v>
      </c>
      <c r="Q110" s="26">
        <v>4228</v>
      </c>
      <c r="R110" s="23">
        <f t="shared" si="11"/>
        <v>1260</v>
      </c>
      <c r="S110" s="27" t="s">
        <v>18</v>
      </c>
      <c r="T110" s="19" t="s">
        <v>125</v>
      </c>
    </row>
    <row r="111" spans="1:20" ht="37.5" customHeight="1" x14ac:dyDescent="0.25">
      <c r="A111" s="19" t="s">
        <v>126</v>
      </c>
      <c r="B111">
        <f t="shared" si="12"/>
        <v>39990</v>
      </c>
      <c r="C111">
        <v>6338</v>
      </c>
      <c r="D111">
        <v>33652</v>
      </c>
      <c r="F111">
        <f t="shared" si="13"/>
        <v>90</v>
      </c>
      <c r="G111" s="20">
        <f t="shared" si="14"/>
        <v>106</v>
      </c>
      <c r="H111" s="21">
        <v>88820040097</v>
      </c>
      <c r="I111" s="22">
        <v>131</v>
      </c>
      <c r="J111" s="23"/>
      <c r="K111" s="24">
        <v>39900</v>
      </c>
      <c r="L111" s="23">
        <f t="shared" si="8"/>
        <v>90</v>
      </c>
      <c r="M111" s="24">
        <v>6330</v>
      </c>
      <c r="N111" s="25">
        <f t="shared" si="9"/>
        <v>8</v>
      </c>
      <c r="O111" s="24">
        <v>33570</v>
      </c>
      <c r="P111" s="23">
        <f t="shared" si="10"/>
        <v>82</v>
      </c>
      <c r="Q111" s="26"/>
      <c r="R111" s="23">
        <f t="shared" si="11"/>
        <v>0</v>
      </c>
      <c r="S111" s="27" t="s">
        <v>18</v>
      </c>
      <c r="T111" s="19" t="s">
        <v>126</v>
      </c>
    </row>
    <row r="112" spans="1:20" ht="37.5" customHeight="1" x14ac:dyDescent="0.25">
      <c r="A112" s="19" t="s">
        <v>127</v>
      </c>
      <c r="B112">
        <f t="shared" si="12"/>
        <v>4717</v>
      </c>
      <c r="C112">
        <v>1493</v>
      </c>
      <c r="D112">
        <v>3224</v>
      </c>
      <c r="E112">
        <v>8026</v>
      </c>
      <c r="F112">
        <f t="shared" si="13"/>
        <v>523</v>
      </c>
      <c r="G112" s="20">
        <f t="shared" si="14"/>
        <v>107</v>
      </c>
      <c r="H112" s="21">
        <v>99624030151</v>
      </c>
      <c r="I112" s="22">
        <v>132</v>
      </c>
      <c r="J112" s="23"/>
      <c r="K112" s="24">
        <f>M112+O112</f>
        <v>4194</v>
      </c>
      <c r="L112" s="23">
        <f t="shared" si="8"/>
        <v>523</v>
      </c>
      <c r="M112" s="24">
        <v>1324</v>
      </c>
      <c r="N112" s="25">
        <f t="shared" si="9"/>
        <v>169</v>
      </c>
      <c r="O112" s="24">
        <v>2870</v>
      </c>
      <c r="P112" s="23">
        <f t="shared" si="10"/>
        <v>354</v>
      </c>
      <c r="Q112" s="26">
        <v>6736</v>
      </c>
      <c r="R112" s="23">
        <f t="shared" si="11"/>
        <v>1290</v>
      </c>
      <c r="S112" s="27" t="s">
        <v>18</v>
      </c>
      <c r="T112" s="19" t="s">
        <v>127</v>
      </c>
    </row>
    <row r="113" spans="1:20" ht="37.5" customHeight="1" x14ac:dyDescent="0.25">
      <c r="A113" s="19" t="s">
        <v>128</v>
      </c>
      <c r="B113">
        <f t="shared" si="12"/>
        <v>119265</v>
      </c>
      <c r="C113">
        <v>16157</v>
      </c>
      <c r="D113">
        <v>103108</v>
      </c>
      <c r="F113">
        <f t="shared" si="13"/>
        <v>771</v>
      </c>
      <c r="G113" s="20">
        <f t="shared" si="14"/>
        <v>108</v>
      </c>
      <c r="H113" s="21">
        <v>88819020043</v>
      </c>
      <c r="I113" s="22" t="s">
        <v>129</v>
      </c>
      <c r="J113" s="23"/>
      <c r="K113" s="24">
        <v>118494</v>
      </c>
      <c r="L113" s="23">
        <f t="shared" si="8"/>
        <v>771</v>
      </c>
      <c r="M113" s="24">
        <v>16027</v>
      </c>
      <c r="N113" s="25">
        <f t="shared" si="9"/>
        <v>130</v>
      </c>
      <c r="O113" s="24">
        <v>102467</v>
      </c>
      <c r="P113" s="23">
        <f t="shared" si="10"/>
        <v>641</v>
      </c>
      <c r="Q113" s="26"/>
      <c r="R113" s="23">
        <f t="shared" si="11"/>
        <v>0</v>
      </c>
      <c r="S113" s="27" t="s">
        <v>18</v>
      </c>
      <c r="T113" s="19" t="s">
        <v>128</v>
      </c>
    </row>
    <row r="114" spans="1:20" ht="37.5" customHeight="1" x14ac:dyDescent="0.25">
      <c r="A114" s="19" t="s">
        <v>130</v>
      </c>
      <c r="B114">
        <f t="shared" si="12"/>
        <v>6583</v>
      </c>
      <c r="C114">
        <v>1646</v>
      </c>
      <c r="D114">
        <v>4937</v>
      </c>
      <c r="E114">
        <v>6602</v>
      </c>
      <c r="F114">
        <f t="shared" si="13"/>
        <v>488</v>
      </c>
      <c r="G114" s="20">
        <f t="shared" si="14"/>
        <v>109</v>
      </c>
      <c r="H114" s="21">
        <v>99624020283</v>
      </c>
      <c r="I114" s="22" t="s">
        <v>131</v>
      </c>
      <c r="J114" s="23"/>
      <c r="K114" s="24">
        <f>M114+O114</f>
        <v>6095</v>
      </c>
      <c r="L114" s="23">
        <f t="shared" si="8"/>
        <v>488</v>
      </c>
      <c r="M114" s="24">
        <v>1529</v>
      </c>
      <c r="N114" s="25">
        <f t="shared" si="9"/>
        <v>117</v>
      </c>
      <c r="O114" s="24">
        <v>4566</v>
      </c>
      <c r="P114" s="23">
        <f t="shared" si="10"/>
        <v>371</v>
      </c>
      <c r="Q114" s="26">
        <v>5534</v>
      </c>
      <c r="R114" s="23">
        <f t="shared" si="11"/>
        <v>1068</v>
      </c>
      <c r="S114" s="27" t="s">
        <v>18</v>
      </c>
      <c r="T114" s="19" t="s">
        <v>130</v>
      </c>
    </row>
    <row r="115" spans="1:20" ht="37.5" customHeight="1" x14ac:dyDescent="0.25">
      <c r="A115" s="19" t="s">
        <v>132</v>
      </c>
      <c r="B115">
        <f t="shared" si="12"/>
        <v>639</v>
      </c>
      <c r="C115">
        <v>132</v>
      </c>
      <c r="D115">
        <v>507</v>
      </c>
      <c r="E115">
        <v>2108</v>
      </c>
      <c r="F115">
        <f t="shared" si="13"/>
        <v>639</v>
      </c>
      <c r="G115" s="20">
        <f t="shared" si="14"/>
        <v>110</v>
      </c>
      <c r="H115" s="21">
        <v>99625010207</v>
      </c>
      <c r="I115" s="22" t="s">
        <v>133</v>
      </c>
      <c r="J115" s="23"/>
      <c r="K115" s="24">
        <v>0</v>
      </c>
      <c r="L115" s="23">
        <f t="shared" si="8"/>
        <v>639</v>
      </c>
      <c r="M115" s="24">
        <v>0</v>
      </c>
      <c r="N115" s="25">
        <f t="shared" si="9"/>
        <v>132</v>
      </c>
      <c r="O115" s="24">
        <v>0</v>
      </c>
      <c r="P115" s="23">
        <f t="shared" si="10"/>
        <v>507</v>
      </c>
      <c r="Q115" s="26">
        <v>0</v>
      </c>
      <c r="R115" s="23">
        <f t="shared" si="11"/>
        <v>2108</v>
      </c>
      <c r="S115" s="27" t="s">
        <v>18</v>
      </c>
      <c r="T115" s="19" t="s">
        <v>132</v>
      </c>
    </row>
    <row r="116" spans="1:20" ht="37.5" customHeight="1" x14ac:dyDescent="0.25">
      <c r="A116" s="19" t="s">
        <v>134</v>
      </c>
      <c r="B116">
        <f t="shared" si="12"/>
        <v>35116</v>
      </c>
      <c r="C116">
        <v>4929</v>
      </c>
      <c r="D116">
        <v>30187</v>
      </c>
      <c r="F116">
        <f t="shared" si="13"/>
        <v>933</v>
      </c>
      <c r="G116" s="20">
        <f t="shared" si="14"/>
        <v>111</v>
      </c>
      <c r="H116" s="21">
        <v>66621050231</v>
      </c>
      <c r="I116" s="22" t="s">
        <v>135</v>
      </c>
      <c r="J116" s="23"/>
      <c r="K116" s="24">
        <v>34183</v>
      </c>
      <c r="L116" s="23">
        <f t="shared" si="8"/>
        <v>933</v>
      </c>
      <c r="M116" s="24">
        <v>4809</v>
      </c>
      <c r="N116" s="25">
        <f t="shared" si="9"/>
        <v>120</v>
      </c>
      <c r="O116" s="24">
        <v>29374</v>
      </c>
      <c r="P116" s="23">
        <f t="shared" si="10"/>
        <v>813</v>
      </c>
      <c r="Q116" s="26"/>
      <c r="R116" s="23">
        <f t="shared" si="11"/>
        <v>0</v>
      </c>
      <c r="S116" s="27" t="s">
        <v>18</v>
      </c>
      <c r="T116" s="19" t="s">
        <v>134</v>
      </c>
    </row>
    <row r="117" spans="1:20" ht="37.5" customHeight="1" x14ac:dyDescent="0.25">
      <c r="A117" s="19" t="s">
        <v>136</v>
      </c>
      <c r="B117">
        <f t="shared" si="12"/>
        <v>30986</v>
      </c>
      <c r="C117">
        <v>8475</v>
      </c>
      <c r="D117">
        <v>22511</v>
      </c>
      <c r="E117">
        <v>28623</v>
      </c>
      <c r="F117">
        <f t="shared" si="13"/>
        <v>1819</v>
      </c>
      <c r="G117" s="20">
        <f t="shared" si="14"/>
        <v>112</v>
      </c>
      <c r="H117" s="21">
        <v>99622050009</v>
      </c>
      <c r="I117" s="22">
        <v>134</v>
      </c>
      <c r="J117" s="23"/>
      <c r="K117" s="24">
        <f t="shared" ref="K117:K122" si="15">M117+O117</f>
        <v>29167</v>
      </c>
      <c r="L117" s="23">
        <f t="shared" si="8"/>
        <v>1819</v>
      </c>
      <c r="M117" s="24">
        <v>8063</v>
      </c>
      <c r="N117" s="25">
        <f t="shared" si="9"/>
        <v>412</v>
      </c>
      <c r="O117" s="24">
        <v>21104</v>
      </c>
      <c r="P117" s="23">
        <f t="shared" si="10"/>
        <v>1407</v>
      </c>
      <c r="Q117" s="26">
        <v>27873</v>
      </c>
      <c r="R117" s="23">
        <f t="shared" si="11"/>
        <v>750</v>
      </c>
      <c r="S117" s="27" t="s">
        <v>18</v>
      </c>
      <c r="T117" s="19" t="s">
        <v>136</v>
      </c>
    </row>
    <row r="118" spans="1:20" ht="37.5" customHeight="1" x14ac:dyDescent="0.25">
      <c r="A118" s="19" t="s">
        <v>137</v>
      </c>
      <c r="B118">
        <f t="shared" si="12"/>
        <v>503</v>
      </c>
      <c r="C118">
        <v>140</v>
      </c>
      <c r="D118">
        <v>363</v>
      </c>
      <c r="E118">
        <v>1604</v>
      </c>
      <c r="F118">
        <f t="shared" si="13"/>
        <v>503</v>
      </c>
      <c r="G118" s="20">
        <f t="shared" si="14"/>
        <v>113</v>
      </c>
      <c r="H118" s="21">
        <v>99624030194</v>
      </c>
      <c r="I118" s="22" t="s">
        <v>138</v>
      </c>
      <c r="J118" s="23"/>
      <c r="K118" s="24">
        <f t="shared" si="15"/>
        <v>0</v>
      </c>
      <c r="L118" s="23">
        <f t="shared" si="8"/>
        <v>503</v>
      </c>
      <c r="M118" s="24"/>
      <c r="N118" s="25">
        <f t="shared" si="9"/>
        <v>140</v>
      </c>
      <c r="O118" s="24"/>
      <c r="P118" s="23">
        <f t="shared" si="10"/>
        <v>363</v>
      </c>
      <c r="Q118" s="26"/>
      <c r="R118" s="23">
        <f t="shared" si="11"/>
        <v>1604</v>
      </c>
      <c r="S118" s="27" t="s">
        <v>18</v>
      </c>
      <c r="T118" s="19" t="s">
        <v>137</v>
      </c>
    </row>
    <row r="119" spans="1:20" ht="37.5" customHeight="1" x14ac:dyDescent="0.25">
      <c r="A119" s="19" t="s">
        <v>139</v>
      </c>
      <c r="B119">
        <f t="shared" si="12"/>
        <v>8889</v>
      </c>
      <c r="C119">
        <v>2653</v>
      </c>
      <c r="D119">
        <v>6236</v>
      </c>
      <c r="E119">
        <v>11292</v>
      </c>
      <c r="F119">
        <f t="shared" si="13"/>
        <v>538</v>
      </c>
      <c r="G119" s="20">
        <f t="shared" si="14"/>
        <v>114</v>
      </c>
      <c r="H119" s="21">
        <v>99623080073</v>
      </c>
      <c r="I119" s="22" t="s">
        <v>140</v>
      </c>
      <c r="J119" s="23"/>
      <c r="K119" s="24">
        <f t="shared" si="15"/>
        <v>8351</v>
      </c>
      <c r="L119" s="23">
        <f t="shared" si="8"/>
        <v>538</v>
      </c>
      <c r="M119" s="24">
        <v>2489</v>
      </c>
      <c r="N119" s="25">
        <f t="shared" si="9"/>
        <v>164</v>
      </c>
      <c r="O119" s="24">
        <v>5862</v>
      </c>
      <c r="P119" s="23">
        <f t="shared" si="10"/>
        <v>374</v>
      </c>
      <c r="Q119" s="26">
        <v>10422</v>
      </c>
      <c r="R119" s="23">
        <f t="shared" si="11"/>
        <v>870</v>
      </c>
      <c r="S119" s="27" t="s">
        <v>18</v>
      </c>
      <c r="T119" s="19" t="s">
        <v>139</v>
      </c>
    </row>
    <row r="120" spans="1:20" ht="37.5" customHeight="1" x14ac:dyDescent="0.25">
      <c r="A120" s="19" t="s">
        <v>141</v>
      </c>
      <c r="B120">
        <f t="shared" si="12"/>
        <v>77070</v>
      </c>
      <c r="C120">
        <v>20451</v>
      </c>
      <c r="D120">
        <v>56619</v>
      </c>
      <c r="E120">
        <v>33821</v>
      </c>
      <c r="F120">
        <f t="shared" si="13"/>
        <v>2805</v>
      </c>
      <c r="G120" s="20">
        <f t="shared" si="14"/>
        <v>115</v>
      </c>
      <c r="H120" s="21">
        <v>99622050074</v>
      </c>
      <c r="I120" s="22">
        <v>136</v>
      </c>
      <c r="J120" s="23"/>
      <c r="K120" s="24">
        <f t="shared" si="15"/>
        <v>74265</v>
      </c>
      <c r="L120" s="23">
        <f t="shared" si="8"/>
        <v>2805</v>
      </c>
      <c r="M120" s="24">
        <v>19636</v>
      </c>
      <c r="N120" s="25">
        <f t="shared" si="9"/>
        <v>815</v>
      </c>
      <c r="O120" s="24">
        <v>54629</v>
      </c>
      <c r="P120" s="23">
        <f t="shared" si="10"/>
        <v>1990</v>
      </c>
      <c r="Q120" s="26">
        <v>32176</v>
      </c>
      <c r="R120" s="23">
        <f t="shared" si="11"/>
        <v>1645</v>
      </c>
      <c r="S120" s="27" t="s">
        <v>18</v>
      </c>
      <c r="T120" s="19" t="s">
        <v>141</v>
      </c>
    </row>
    <row r="121" spans="1:20" ht="37.5" customHeight="1" x14ac:dyDescent="0.25">
      <c r="A121" s="19" t="s">
        <v>142</v>
      </c>
      <c r="B121">
        <f t="shared" si="12"/>
        <v>36467</v>
      </c>
      <c r="C121">
        <v>8374</v>
      </c>
      <c r="D121">
        <v>28093</v>
      </c>
      <c r="E121">
        <v>25217</v>
      </c>
      <c r="F121">
        <f t="shared" si="13"/>
        <v>1808</v>
      </c>
      <c r="G121" s="20">
        <f t="shared" si="14"/>
        <v>116</v>
      </c>
      <c r="H121" s="21">
        <v>99622050010</v>
      </c>
      <c r="I121" s="22">
        <v>137</v>
      </c>
      <c r="J121" s="23"/>
      <c r="K121" s="24">
        <f t="shared" si="15"/>
        <v>34659</v>
      </c>
      <c r="L121" s="23">
        <f t="shared" si="8"/>
        <v>1808</v>
      </c>
      <c r="M121" s="24">
        <v>7953</v>
      </c>
      <c r="N121" s="25">
        <f t="shared" si="9"/>
        <v>421</v>
      </c>
      <c r="O121" s="24">
        <v>26706</v>
      </c>
      <c r="P121" s="23">
        <f t="shared" si="10"/>
        <v>1387</v>
      </c>
      <c r="Q121" s="26">
        <v>24499</v>
      </c>
      <c r="R121" s="23">
        <f t="shared" si="11"/>
        <v>718</v>
      </c>
      <c r="S121" s="27" t="s">
        <v>18</v>
      </c>
      <c r="T121" s="19" t="s">
        <v>142</v>
      </c>
    </row>
    <row r="122" spans="1:20" ht="37.5" customHeight="1" x14ac:dyDescent="0.25">
      <c r="A122" s="19" t="s">
        <v>143</v>
      </c>
      <c r="B122">
        <f t="shared" si="12"/>
        <v>8974</v>
      </c>
      <c r="C122">
        <v>2051</v>
      </c>
      <c r="D122">
        <v>6923</v>
      </c>
      <c r="E122">
        <v>12317</v>
      </c>
      <c r="F122">
        <f t="shared" si="13"/>
        <v>357</v>
      </c>
      <c r="G122" s="20">
        <f t="shared" si="14"/>
        <v>117</v>
      </c>
      <c r="H122" s="21">
        <v>99624010260</v>
      </c>
      <c r="I122" s="22">
        <v>138</v>
      </c>
      <c r="J122" s="23"/>
      <c r="K122" s="24">
        <f t="shared" si="15"/>
        <v>8617</v>
      </c>
      <c r="L122" s="23">
        <f t="shared" si="8"/>
        <v>357</v>
      </c>
      <c r="M122" s="24">
        <v>1934</v>
      </c>
      <c r="N122" s="25">
        <f t="shared" si="9"/>
        <v>117</v>
      </c>
      <c r="O122" s="24">
        <v>6683</v>
      </c>
      <c r="P122" s="23">
        <f t="shared" si="10"/>
        <v>240</v>
      </c>
      <c r="Q122" s="26">
        <v>10545</v>
      </c>
      <c r="R122" s="23">
        <f t="shared" si="11"/>
        <v>1772</v>
      </c>
      <c r="S122" s="27" t="s">
        <v>18</v>
      </c>
      <c r="T122" s="19" t="s">
        <v>143</v>
      </c>
    </row>
    <row r="123" spans="1:20" ht="37.5" customHeight="1" x14ac:dyDescent="0.25">
      <c r="A123" s="19" t="s">
        <v>144</v>
      </c>
      <c r="B123">
        <f t="shared" si="12"/>
        <v>1673</v>
      </c>
      <c r="C123">
        <v>133</v>
      </c>
      <c r="D123">
        <v>1540</v>
      </c>
      <c r="F123">
        <f t="shared" si="13"/>
        <v>87</v>
      </c>
      <c r="G123" s="20">
        <f t="shared" si="14"/>
        <v>118</v>
      </c>
      <c r="H123" s="21">
        <v>23014060365</v>
      </c>
      <c r="I123" s="22">
        <v>139</v>
      </c>
      <c r="J123" s="23"/>
      <c r="K123" s="24">
        <v>1586</v>
      </c>
      <c r="L123" s="23">
        <f t="shared" si="8"/>
        <v>87</v>
      </c>
      <c r="M123" s="24">
        <v>129</v>
      </c>
      <c r="N123" s="25">
        <f t="shared" si="9"/>
        <v>4</v>
      </c>
      <c r="O123" s="24">
        <v>1457</v>
      </c>
      <c r="P123" s="23">
        <f t="shared" si="10"/>
        <v>83</v>
      </c>
      <c r="Q123" s="26"/>
      <c r="R123" s="23">
        <f t="shared" si="11"/>
        <v>0</v>
      </c>
      <c r="S123" s="27" t="s">
        <v>18</v>
      </c>
      <c r="T123" s="19" t="s">
        <v>144</v>
      </c>
    </row>
    <row r="124" spans="1:20" ht="37.5" customHeight="1" x14ac:dyDescent="0.25">
      <c r="A124" s="19" t="s">
        <v>145</v>
      </c>
      <c r="B124">
        <f t="shared" si="12"/>
        <v>44786</v>
      </c>
      <c r="C124">
        <v>8073</v>
      </c>
      <c r="D124">
        <v>36713</v>
      </c>
      <c r="F124">
        <f t="shared" si="13"/>
        <v>268</v>
      </c>
      <c r="G124" s="20">
        <f t="shared" si="14"/>
        <v>119</v>
      </c>
      <c r="H124" s="21">
        <v>66621010121</v>
      </c>
      <c r="I124" s="22">
        <v>140</v>
      </c>
      <c r="J124" s="23"/>
      <c r="K124" s="24">
        <v>44518</v>
      </c>
      <c r="L124" s="23">
        <f t="shared" si="8"/>
        <v>268</v>
      </c>
      <c r="M124" s="24">
        <v>8027</v>
      </c>
      <c r="N124" s="25">
        <f t="shared" si="9"/>
        <v>46</v>
      </c>
      <c r="O124" s="24">
        <v>36491</v>
      </c>
      <c r="P124" s="23">
        <f t="shared" si="10"/>
        <v>222</v>
      </c>
      <c r="Q124" s="26"/>
      <c r="R124" s="23">
        <f t="shared" si="11"/>
        <v>0</v>
      </c>
      <c r="S124" s="27" t="s">
        <v>18</v>
      </c>
      <c r="T124" s="19" t="s">
        <v>145</v>
      </c>
    </row>
    <row r="125" spans="1:20" ht="37.5" customHeight="1" x14ac:dyDescent="0.25">
      <c r="A125" s="19" t="s">
        <v>146</v>
      </c>
      <c r="B125">
        <f t="shared" si="12"/>
        <v>51761</v>
      </c>
      <c r="C125">
        <v>8936</v>
      </c>
      <c r="D125">
        <v>42825</v>
      </c>
      <c r="F125">
        <f t="shared" si="13"/>
        <v>1219</v>
      </c>
      <c r="G125" s="20">
        <f t="shared" si="14"/>
        <v>120</v>
      </c>
      <c r="H125" s="21">
        <v>88821080266</v>
      </c>
      <c r="I125" s="22">
        <v>141</v>
      </c>
      <c r="J125" s="23"/>
      <c r="K125" s="24">
        <v>50542</v>
      </c>
      <c r="L125" s="23">
        <f t="shared" si="8"/>
        <v>1219</v>
      </c>
      <c r="M125" s="24">
        <v>8750</v>
      </c>
      <c r="N125" s="25">
        <f t="shared" si="9"/>
        <v>186</v>
      </c>
      <c r="O125" s="24">
        <v>41792</v>
      </c>
      <c r="P125" s="23">
        <f t="shared" si="10"/>
        <v>1033</v>
      </c>
      <c r="Q125" s="26"/>
      <c r="R125" s="23">
        <f t="shared" si="11"/>
        <v>0</v>
      </c>
      <c r="S125" s="27" t="s">
        <v>18</v>
      </c>
      <c r="T125" s="19" t="s">
        <v>146</v>
      </c>
    </row>
    <row r="126" spans="1:20" ht="37.5" customHeight="1" x14ac:dyDescent="0.25">
      <c r="A126" s="19" t="s">
        <v>147</v>
      </c>
      <c r="B126">
        <f t="shared" si="12"/>
        <v>59138</v>
      </c>
      <c r="C126">
        <v>9753</v>
      </c>
      <c r="D126">
        <v>49385</v>
      </c>
      <c r="F126">
        <f t="shared" si="13"/>
        <v>625</v>
      </c>
      <c r="G126" s="20">
        <f t="shared" si="14"/>
        <v>121</v>
      </c>
      <c r="H126" s="21">
        <v>66617020214</v>
      </c>
      <c r="I126" s="22" t="s">
        <v>148</v>
      </c>
      <c r="J126" s="23"/>
      <c r="K126" s="24">
        <v>58513</v>
      </c>
      <c r="L126" s="23">
        <f t="shared" si="8"/>
        <v>625</v>
      </c>
      <c r="M126" s="24">
        <v>9642</v>
      </c>
      <c r="N126" s="25">
        <f t="shared" si="9"/>
        <v>111</v>
      </c>
      <c r="O126" s="24">
        <v>48871</v>
      </c>
      <c r="P126" s="23">
        <f t="shared" si="10"/>
        <v>514</v>
      </c>
      <c r="Q126" s="26"/>
      <c r="R126" s="23">
        <f t="shared" si="11"/>
        <v>0</v>
      </c>
      <c r="S126" s="27" t="s">
        <v>18</v>
      </c>
      <c r="T126" s="19" t="s">
        <v>147</v>
      </c>
    </row>
    <row r="127" spans="1:20" ht="37.5" customHeight="1" x14ac:dyDescent="0.25">
      <c r="A127" s="19" t="s">
        <v>149</v>
      </c>
      <c r="B127">
        <f t="shared" si="12"/>
        <v>53984</v>
      </c>
      <c r="C127">
        <v>9795</v>
      </c>
      <c r="D127">
        <v>44189</v>
      </c>
      <c r="F127">
        <f t="shared" si="13"/>
        <v>489</v>
      </c>
      <c r="G127" s="20">
        <f t="shared" si="14"/>
        <v>122</v>
      </c>
      <c r="H127" s="21">
        <v>88818030126</v>
      </c>
      <c r="I127" s="22" t="s">
        <v>150</v>
      </c>
      <c r="J127" s="23"/>
      <c r="K127" s="24">
        <v>53495</v>
      </c>
      <c r="L127" s="23">
        <f t="shared" si="8"/>
        <v>489</v>
      </c>
      <c r="M127" s="24">
        <v>9705</v>
      </c>
      <c r="N127" s="25">
        <f t="shared" si="9"/>
        <v>90</v>
      </c>
      <c r="O127" s="24">
        <v>43790</v>
      </c>
      <c r="P127" s="23">
        <f t="shared" si="10"/>
        <v>399</v>
      </c>
      <c r="Q127" s="26"/>
      <c r="R127" s="23">
        <f t="shared" si="11"/>
        <v>0</v>
      </c>
      <c r="S127" s="27" t="s">
        <v>18</v>
      </c>
      <c r="T127" s="19" t="s">
        <v>149</v>
      </c>
    </row>
    <row r="128" spans="1:20" ht="37.5" customHeight="1" x14ac:dyDescent="0.25">
      <c r="A128" s="19" t="s">
        <v>151</v>
      </c>
      <c r="B128">
        <f t="shared" si="12"/>
        <v>10500</v>
      </c>
      <c r="C128">
        <v>2298</v>
      </c>
      <c r="D128">
        <v>8202</v>
      </c>
      <c r="E128">
        <v>13889</v>
      </c>
      <c r="F128">
        <f t="shared" si="13"/>
        <v>617</v>
      </c>
      <c r="G128" s="20">
        <f t="shared" si="14"/>
        <v>123</v>
      </c>
      <c r="H128" s="21">
        <v>99623080075</v>
      </c>
      <c r="I128" s="22" t="s">
        <v>152</v>
      </c>
      <c r="J128" s="23"/>
      <c r="K128" s="24">
        <f>M128+O128</f>
        <v>9883</v>
      </c>
      <c r="L128" s="23">
        <f t="shared" si="8"/>
        <v>617</v>
      </c>
      <c r="M128" s="24">
        <v>2139</v>
      </c>
      <c r="N128" s="25">
        <f t="shared" si="9"/>
        <v>159</v>
      </c>
      <c r="O128" s="24">
        <v>7744</v>
      </c>
      <c r="P128" s="23">
        <f t="shared" si="10"/>
        <v>458</v>
      </c>
      <c r="Q128" s="26">
        <v>12746</v>
      </c>
      <c r="R128" s="23">
        <f t="shared" si="11"/>
        <v>1143</v>
      </c>
      <c r="S128" s="27" t="s">
        <v>18</v>
      </c>
      <c r="T128" s="19" t="s">
        <v>151</v>
      </c>
    </row>
    <row r="129" spans="1:20" ht="37.5" customHeight="1" x14ac:dyDescent="0.25">
      <c r="A129" s="19" t="s">
        <v>153</v>
      </c>
      <c r="B129">
        <f t="shared" si="12"/>
        <v>3157</v>
      </c>
      <c r="C129">
        <v>557</v>
      </c>
      <c r="D129">
        <v>2600</v>
      </c>
      <c r="E129">
        <v>5710</v>
      </c>
      <c r="F129">
        <f t="shared" si="13"/>
        <v>324</v>
      </c>
      <c r="G129" s="20">
        <f t="shared" si="14"/>
        <v>124</v>
      </c>
      <c r="H129" s="21">
        <v>99624030187</v>
      </c>
      <c r="I129" s="22" t="s">
        <v>154</v>
      </c>
      <c r="J129" s="23"/>
      <c r="K129" s="24">
        <f>M129+O129</f>
        <v>2833</v>
      </c>
      <c r="L129" s="23">
        <f t="shared" si="8"/>
        <v>324</v>
      </c>
      <c r="M129" s="24">
        <v>499</v>
      </c>
      <c r="N129" s="25">
        <f t="shared" si="9"/>
        <v>58</v>
      </c>
      <c r="O129" s="24">
        <v>2334</v>
      </c>
      <c r="P129" s="23">
        <f t="shared" si="10"/>
        <v>266</v>
      </c>
      <c r="Q129" s="26">
        <v>4750</v>
      </c>
      <c r="R129" s="23">
        <f t="shared" si="11"/>
        <v>960</v>
      </c>
      <c r="S129" s="27" t="s">
        <v>18</v>
      </c>
      <c r="T129" s="19" t="s">
        <v>153</v>
      </c>
    </row>
    <row r="130" spans="1:20" ht="37.5" customHeight="1" x14ac:dyDescent="0.25">
      <c r="A130" s="19" t="s">
        <v>155</v>
      </c>
      <c r="B130">
        <f t="shared" si="12"/>
        <v>92928</v>
      </c>
      <c r="C130">
        <v>17124</v>
      </c>
      <c r="D130">
        <v>75804</v>
      </c>
      <c r="F130">
        <f t="shared" si="13"/>
        <v>466</v>
      </c>
      <c r="G130" s="20">
        <f t="shared" si="14"/>
        <v>125</v>
      </c>
      <c r="H130" s="21">
        <v>23010020108</v>
      </c>
      <c r="I130" s="22">
        <v>142</v>
      </c>
      <c r="J130" s="23"/>
      <c r="K130" s="24">
        <v>92462</v>
      </c>
      <c r="L130" s="23">
        <f t="shared" si="8"/>
        <v>466</v>
      </c>
      <c r="M130" s="24">
        <v>17047</v>
      </c>
      <c r="N130" s="25">
        <f t="shared" si="9"/>
        <v>77</v>
      </c>
      <c r="O130" s="24">
        <v>75415</v>
      </c>
      <c r="P130" s="23">
        <f t="shared" si="10"/>
        <v>389</v>
      </c>
      <c r="Q130" s="26"/>
      <c r="R130" s="23">
        <f t="shared" si="11"/>
        <v>0</v>
      </c>
      <c r="S130" s="27" t="s">
        <v>18</v>
      </c>
      <c r="T130" s="19" t="s">
        <v>155</v>
      </c>
    </row>
    <row r="131" spans="1:20" ht="37.5" customHeight="1" x14ac:dyDescent="0.25">
      <c r="A131" s="19" t="s">
        <v>156</v>
      </c>
      <c r="B131">
        <f t="shared" si="12"/>
        <v>63751</v>
      </c>
      <c r="C131">
        <v>12608</v>
      </c>
      <c r="D131">
        <v>51143</v>
      </c>
      <c r="F131">
        <f t="shared" si="13"/>
        <v>817</v>
      </c>
      <c r="G131" s="20">
        <f t="shared" si="14"/>
        <v>126</v>
      </c>
      <c r="H131" s="21">
        <v>66617010409</v>
      </c>
      <c r="I131" s="22" t="s">
        <v>157</v>
      </c>
      <c r="J131" s="23"/>
      <c r="K131" s="24">
        <v>62934</v>
      </c>
      <c r="L131" s="23">
        <f t="shared" si="8"/>
        <v>817</v>
      </c>
      <c r="M131" s="24">
        <v>12469</v>
      </c>
      <c r="N131" s="25">
        <f t="shared" si="9"/>
        <v>139</v>
      </c>
      <c r="O131" s="24">
        <v>50465</v>
      </c>
      <c r="P131" s="23">
        <f t="shared" si="10"/>
        <v>678</v>
      </c>
      <c r="Q131" s="26"/>
      <c r="R131" s="23">
        <f t="shared" si="11"/>
        <v>0</v>
      </c>
      <c r="S131" s="27" t="s">
        <v>18</v>
      </c>
      <c r="T131" s="19" t="s">
        <v>156</v>
      </c>
    </row>
    <row r="132" spans="1:20" ht="37.5" customHeight="1" x14ac:dyDescent="0.25">
      <c r="A132" s="19" t="s">
        <v>158</v>
      </c>
      <c r="B132">
        <f t="shared" si="12"/>
        <v>44263</v>
      </c>
      <c r="C132">
        <v>7384</v>
      </c>
      <c r="D132">
        <v>36879</v>
      </c>
      <c r="F132">
        <f t="shared" si="13"/>
        <v>327</v>
      </c>
      <c r="G132" s="20">
        <f t="shared" si="14"/>
        <v>127</v>
      </c>
      <c r="H132" s="21">
        <v>66618010005</v>
      </c>
      <c r="I132" s="22" t="s">
        <v>159</v>
      </c>
      <c r="J132" s="23"/>
      <c r="K132" s="24">
        <v>43936</v>
      </c>
      <c r="L132" s="23">
        <f t="shared" si="8"/>
        <v>327</v>
      </c>
      <c r="M132" s="24">
        <v>7327</v>
      </c>
      <c r="N132" s="25">
        <f t="shared" si="9"/>
        <v>57</v>
      </c>
      <c r="O132" s="24">
        <v>36609</v>
      </c>
      <c r="P132" s="23">
        <f t="shared" si="10"/>
        <v>270</v>
      </c>
      <c r="Q132" s="26"/>
      <c r="R132" s="23">
        <f t="shared" si="11"/>
        <v>0</v>
      </c>
      <c r="S132" s="27" t="s">
        <v>18</v>
      </c>
      <c r="T132" s="19" t="s">
        <v>158</v>
      </c>
    </row>
    <row r="133" spans="1:20" ht="37.5" customHeight="1" x14ac:dyDescent="0.25">
      <c r="A133" s="19" t="s">
        <v>160</v>
      </c>
      <c r="B133">
        <f t="shared" si="12"/>
        <v>42762</v>
      </c>
      <c r="C133">
        <v>7141</v>
      </c>
      <c r="D133">
        <v>35621</v>
      </c>
      <c r="F133">
        <f t="shared" si="13"/>
        <v>392</v>
      </c>
      <c r="G133" s="20">
        <f t="shared" si="14"/>
        <v>128</v>
      </c>
      <c r="H133" s="21">
        <v>88819030448</v>
      </c>
      <c r="I133" s="22" t="s">
        <v>161</v>
      </c>
      <c r="J133" s="23"/>
      <c r="K133" s="24">
        <v>42370</v>
      </c>
      <c r="L133" s="23">
        <f t="shared" si="8"/>
        <v>392</v>
      </c>
      <c r="M133" s="24">
        <v>7074</v>
      </c>
      <c r="N133" s="25">
        <f t="shared" si="9"/>
        <v>67</v>
      </c>
      <c r="O133" s="24">
        <v>35296</v>
      </c>
      <c r="P133" s="23">
        <f t="shared" si="10"/>
        <v>325</v>
      </c>
      <c r="Q133" s="26"/>
      <c r="R133" s="23">
        <f t="shared" si="11"/>
        <v>0</v>
      </c>
      <c r="S133" s="27" t="s">
        <v>18</v>
      </c>
      <c r="T133" s="19" t="s">
        <v>160</v>
      </c>
    </row>
    <row r="134" spans="1:20" ht="37.5" customHeight="1" x14ac:dyDescent="0.25">
      <c r="A134" s="19" t="s">
        <v>162</v>
      </c>
      <c r="B134">
        <f t="shared" si="12"/>
        <v>22784</v>
      </c>
      <c r="C134">
        <v>3883</v>
      </c>
      <c r="D134">
        <v>18901</v>
      </c>
      <c r="F134">
        <f t="shared" si="13"/>
        <v>324</v>
      </c>
      <c r="G134" s="20">
        <f t="shared" si="14"/>
        <v>129</v>
      </c>
      <c r="H134" s="21">
        <v>66621060498</v>
      </c>
      <c r="I134" s="22" t="s">
        <v>163</v>
      </c>
      <c r="J134" s="23"/>
      <c r="K134" s="24">
        <v>22460</v>
      </c>
      <c r="L134" s="23">
        <f t="shared" ref="L134:L197" si="16">B134-K134</f>
        <v>324</v>
      </c>
      <c r="M134" s="24">
        <v>3820</v>
      </c>
      <c r="N134" s="25">
        <f t="shared" ref="N134:N197" si="17">C134-M134</f>
        <v>63</v>
      </c>
      <c r="O134" s="24">
        <v>18640</v>
      </c>
      <c r="P134" s="23">
        <f t="shared" ref="P134:P197" si="18">D134-O134</f>
        <v>261</v>
      </c>
      <c r="Q134" s="26"/>
      <c r="R134" s="23">
        <f t="shared" ref="R134:R197" si="19">E134-Q134</f>
        <v>0</v>
      </c>
      <c r="S134" s="27" t="s">
        <v>18</v>
      </c>
      <c r="T134" s="19" t="s">
        <v>162</v>
      </c>
    </row>
    <row r="135" spans="1:20" ht="37.5" customHeight="1" x14ac:dyDescent="0.25">
      <c r="A135" s="19" t="s">
        <v>164</v>
      </c>
      <c r="B135">
        <f t="shared" ref="B135:B198" si="20">C135+D135</f>
        <v>7497</v>
      </c>
      <c r="C135">
        <v>972</v>
      </c>
      <c r="D135">
        <v>6525</v>
      </c>
      <c r="F135">
        <f t="shared" ref="F135:F198" si="21">L135</f>
        <v>488</v>
      </c>
      <c r="G135" s="20">
        <f t="shared" si="14"/>
        <v>130</v>
      </c>
      <c r="H135" s="21">
        <v>88820060176</v>
      </c>
      <c r="I135" s="22" t="s">
        <v>165</v>
      </c>
      <c r="J135" s="23"/>
      <c r="K135" s="24">
        <v>7009</v>
      </c>
      <c r="L135" s="23">
        <f t="shared" si="16"/>
        <v>488</v>
      </c>
      <c r="M135" s="24">
        <v>902</v>
      </c>
      <c r="N135" s="25">
        <f t="shared" si="17"/>
        <v>70</v>
      </c>
      <c r="O135" s="24">
        <v>6107</v>
      </c>
      <c r="P135" s="23">
        <f t="shared" si="18"/>
        <v>418</v>
      </c>
      <c r="Q135" s="26"/>
      <c r="R135" s="23">
        <f t="shared" si="19"/>
        <v>0</v>
      </c>
      <c r="S135" s="27" t="s">
        <v>18</v>
      </c>
      <c r="T135" s="19" t="s">
        <v>164</v>
      </c>
    </row>
    <row r="136" spans="1:20" ht="37.5" customHeight="1" x14ac:dyDescent="0.25">
      <c r="A136" s="19" t="s">
        <v>166</v>
      </c>
      <c r="B136">
        <f t="shared" si="20"/>
        <v>29348</v>
      </c>
      <c r="C136">
        <v>5129</v>
      </c>
      <c r="D136">
        <v>24219</v>
      </c>
      <c r="F136">
        <f t="shared" si="21"/>
        <v>192</v>
      </c>
      <c r="G136" s="20">
        <f t="shared" ref="G136:G199" si="22">G135+1</f>
        <v>131</v>
      </c>
      <c r="H136" s="21">
        <v>66616020317</v>
      </c>
      <c r="I136" s="22" t="s">
        <v>167</v>
      </c>
      <c r="J136" s="23"/>
      <c r="K136" s="24">
        <v>29156</v>
      </c>
      <c r="L136" s="23">
        <f t="shared" si="16"/>
        <v>192</v>
      </c>
      <c r="M136" s="24">
        <v>5094</v>
      </c>
      <c r="N136" s="25">
        <f t="shared" si="17"/>
        <v>35</v>
      </c>
      <c r="O136" s="24">
        <v>24062</v>
      </c>
      <c r="P136" s="23">
        <f t="shared" si="18"/>
        <v>157</v>
      </c>
      <c r="Q136" s="26"/>
      <c r="R136" s="23">
        <f t="shared" si="19"/>
        <v>0</v>
      </c>
      <c r="S136" s="27" t="s">
        <v>18</v>
      </c>
      <c r="T136" s="19" t="s">
        <v>166</v>
      </c>
    </row>
    <row r="137" spans="1:20" ht="37.5" customHeight="1" x14ac:dyDescent="0.25">
      <c r="A137" s="19" t="s">
        <v>168</v>
      </c>
      <c r="B137">
        <f t="shared" si="20"/>
        <v>108920</v>
      </c>
      <c r="C137">
        <v>18869</v>
      </c>
      <c r="D137">
        <v>90051</v>
      </c>
      <c r="F137">
        <f t="shared" si="21"/>
        <v>983</v>
      </c>
      <c r="G137" s="20">
        <f t="shared" si="22"/>
        <v>132</v>
      </c>
      <c r="H137" s="21">
        <v>23014010477</v>
      </c>
      <c r="I137" s="22" t="s">
        <v>169</v>
      </c>
      <c r="J137" s="23"/>
      <c r="K137" s="24">
        <v>107937</v>
      </c>
      <c r="L137" s="23">
        <f t="shared" si="16"/>
        <v>983</v>
      </c>
      <c r="M137" s="24">
        <v>18690</v>
      </c>
      <c r="N137" s="25">
        <f t="shared" si="17"/>
        <v>179</v>
      </c>
      <c r="O137" s="24">
        <v>89247</v>
      </c>
      <c r="P137" s="23">
        <f t="shared" si="18"/>
        <v>804</v>
      </c>
      <c r="Q137" s="26"/>
      <c r="R137" s="23">
        <f t="shared" si="19"/>
        <v>0</v>
      </c>
      <c r="S137" s="27" t="s">
        <v>18</v>
      </c>
      <c r="T137" s="19" t="s">
        <v>168</v>
      </c>
    </row>
    <row r="138" spans="1:20" ht="37.5" customHeight="1" x14ac:dyDescent="0.25">
      <c r="A138" s="19" t="s">
        <v>170</v>
      </c>
      <c r="B138">
        <f t="shared" si="20"/>
        <v>15412</v>
      </c>
      <c r="C138">
        <v>2966</v>
      </c>
      <c r="D138">
        <v>12446</v>
      </c>
      <c r="F138">
        <f t="shared" si="21"/>
        <v>539</v>
      </c>
      <c r="G138" s="20">
        <f t="shared" si="22"/>
        <v>133</v>
      </c>
      <c r="H138" s="21">
        <v>66622030227</v>
      </c>
      <c r="I138" s="22" t="s">
        <v>171</v>
      </c>
      <c r="J138" s="23"/>
      <c r="K138" s="24">
        <v>14873</v>
      </c>
      <c r="L138" s="23">
        <f t="shared" si="16"/>
        <v>539</v>
      </c>
      <c r="M138" s="24">
        <v>2870</v>
      </c>
      <c r="N138" s="25">
        <f t="shared" si="17"/>
        <v>96</v>
      </c>
      <c r="O138" s="24">
        <v>12003</v>
      </c>
      <c r="P138" s="23">
        <f t="shared" si="18"/>
        <v>443</v>
      </c>
      <c r="Q138" s="26"/>
      <c r="R138" s="23">
        <f t="shared" si="19"/>
        <v>0</v>
      </c>
      <c r="S138" s="27" t="s">
        <v>18</v>
      </c>
      <c r="T138" s="19" t="s">
        <v>170</v>
      </c>
    </row>
    <row r="139" spans="1:20" ht="37.5" customHeight="1" x14ac:dyDescent="0.25">
      <c r="A139" s="19" t="s">
        <v>172</v>
      </c>
      <c r="B139">
        <f t="shared" si="20"/>
        <v>36224</v>
      </c>
      <c r="C139">
        <v>6420</v>
      </c>
      <c r="D139">
        <v>29804</v>
      </c>
      <c r="F139">
        <f t="shared" si="21"/>
        <v>332</v>
      </c>
      <c r="G139" s="20">
        <f t="shared" si="22"/>
        <v>134</v>
      </c>
      <c r="H139" s="21">
        <v>23014010035</v>
      </c>
      <c r="I139" s="22" t="s">
        <v>173</v>
      </c>
      <c r="J139" s="23"/>
      <c r="K139" s="24">
        <v>35892</v>
      </c>
      <c r="L139" s="23">
        <f t="shared" si="16"/>
        <v>332</v>
      </c>
      <c r="M139" s="24">
        <v>6357</v>
      </c>
      <c r="N139" s="25">
        <f t="shared" si="17"/>
        <v>63</v>
      </c>
      <c r="O139" s="24">
        <v>29535</v>
      </c>
      <c r="P139" s="23">
        <f t="shared" si="18"/>
        <v>269</v>
      </c>
      <c r="Q139" s="26"/>
      <c r="R139" s="23">
        <f t="shared" si="19"/>
        <v>0</v>
      </c>
      <c r="S139" s="27" t="s">
        <v>18</v>
      </c>
      <c r="T139" s="19" t="s">
        <v>172</v>
      </c>
    </row>
    <row r="140" spans="1:20" ht="37.5" customHeight="1" x14ac:dyDescent="0.25">
      <c r="A140" s="19" t="s">
        <v>174</v>
      </c>
      <c r="B140">
        <f t="shared" si="20"/>
        <v>32485</v>
      </c>
      <c r="C140">
        <v>5323</v>
      </c>
      <c r="D140">
        <v>27162</v>
      </c>
      <c r="F140">
        <f t="shared" si="21"/>
        <v>287</v>
      </c>
      <c r="G140" s="20">
        <f t="shared" si="22"/>
        <v>135</v>
      </c>
      <c r="H140" s="21">
        <v>66618010049</v>
      </c>
      <c r="I140" s="22" t="s">
        <v>175</v>
      </c>
      <c r="J140" s="23"/>
      <c r="K140" s="24">
        <v>32198</v>
      </c>
      <c r="L140" s="23">
        <f t="shared" si="16"/>
        <v>287</v>
      </c>
      <c r="M140" s="24">
        <v>5279</v>
      </c>
      <c r="N140" s="25">
        <f t="shared" si="17"/>
        <v>44</v>
      </c>
      <c r="O140" s="24">
        <v>26919</v>
      </c>
      <c r="P140" s="23">
        <f t="shared" si="18"/>
        <v>243</v>
      </c>
      <c r="Q140" s="26"/>
      <c r="R140" s="23">
        <f t="shared" si="19"/>
        <v>0</v>
      </c>
      <c r="S140" s="27" t="s">
        <v>18</v>
      </c>
      <c r="T140" s="19" t="s">
        <v>174</v>
      </c>
    </row>
    <row r="141" spans="1:20" ht="37.5" customHeight="1" x14ac:dyDescent="0.25">
      <c r="A141" s="19" t="s">
        <v>176</v>
      </c>
      <c r="B141">
        <f t="shared" si="20"/>
        <v>12759</v>
      </c>
      <c r="C141">
        <v>4028</v>
      </c>
      <c r="D141">
        <v>8731</v>
      </c>
      <c r="E141">
        <v>19688</v>
      </c>
      <c r="F141">
        <f t="shared" si="21"/>
        <v>295</v>
      </c>
      <c r="G141" s="20">
        <f t="shared" si="22"/>
        <v>136</v>
      </c>
      <c r="H141" s="21">
        <v>99723040066</v>
      </c>
      <c r="I141" s="22" t="s">
        <v>177</v>
      </c>
      <c r="J141" s="23"/>
      <c r="K141" s="24">
        <f>M141+O141</f>
        <v>12464</v>
      </c>
      <c r="L141" s="23">
        <f t="shared" si="16"/>
        <v>295</v>
      </c>
      <c r="M141" s="24">
        <v>3917</v>
      </c>
      <c r="N141" s="25">
        <f t="shared" si="17"/>
        <v>111</v>
      </c>
      <c r="O141" s="24">
        <v>8547</v>
      </c>
      <c r="P141" s="23">
        <f t="shared" si="18"/>
        <v>184</v>
      </c>
      <c r="Q141" s="26">
        <v>18259</v>
      </c>
      <c r="R141" s="23">
        <f t="shared" si="19"/>
        <v>1429</v>
      </c>
      <c r="S141" s="27" t="s">
        <v>18</v>
      </c>
      <c r="T141" s="19" t="s">
        <v>176</v>
      </c>
    </row>
    <row r="142" spans="1:20" ht="37.5" customHeight="1" x14ac:dyDescent="0.25">
      <c r="A142" s="19" t="s">
        <v>178</v>
      </c>
      <c r="B142">
        <f t="shared" si="20"/>
        <v>15442</v>
      </c>
      <c r="C142">
        <v>3477</v>
      </c>
      <c r="D142">
        <v>11965</v>
      </c>
      <c r="E142">
        <v>17669</v>
      </c>
      <c r="F142">
        <f t="shared" si="21"/>
        <v>560</v>
      </c>
      <c r="G142" s="20">
        <f t="shared" si="22"/>
        <v>137</v>
      </c>
      <c r="H142" s="21">
        <v>99723010745</v>
      </c>
      <c r="I142" s="22" t="s">
        <v>179</v>
      </c>
      <c r="J142" s="23"/>
      <c r="K142" s="24">
        <f>M142+O142</f>
        <v>14882</v>
      </c>
      <c r="L142" s="23">
        <f t="shared" si="16"/>
        <v>560</v>
      </c>
      <c r="M142" s="24">
        <v>3377</v>
      </c>
      <c r="N142" s="25">
        <f t="shared" si="17"/>
        <v>100</v>
      </c>
      <c r="O142" s="24">
        <v>11505</v>
      </c>
      <c r="P142" s="23">
        <f t="shared" si="18"/>
        <v>460</v>
      </c>
      <c r="Q142" s="26">
        <v>16590</v>
      </c>
      <c r="R142" s="23">
        <f t="shared" si="19"/>
        <v>1079</v>
      </c>
      <c r="S142" s="27" t="s">
        <v>18</v>
      </c>
      <c r="T142" s="19" t="s">
        <v>178</v>
      </c>
    </row>
    <row r="143" spans="1:20" ht="37.5" customHeight="1" x14ac:dyDescent="0.25">
      <c r="A143" s="19" t="s">
        <v>180</v>
      </c>
      <c r="B143">
        <f t="shared" si="20"/>
        <v>174</v>
      </c>
      <c r="C143">
        <v>48</v>
      </c>
      <c r="D143">
        <v>126</v>
      </c>
      <c r="E143">
        <v>704</v>
      </c>
      <c r="F143">
        <f t="shared" si="21"/>
        <v>174</v>
      </c>
      <c r="G143" s="20">
        <f t="shared" si="22"/>
        <v>138</v>
      </c>
      <c r="H143" s="21">
        <v>99625010297</v>
      </c>
      <c r="I143" s="22" t="s">
        <v>181</v>
      </c>
      <c r="J143" s="23"/>
      <c r="K143" s="24">
        <v>0</v>
      </c>
      <c r="L143" s="23">
        <f t="shared" si="16"/>
        <v>174</v>
      </c>
      <c r="M143" s="24">
        <v>0</v>
      </c>
      <c r="N143" s="25">
        <f t="shared" si="17"/>
        <v>48</v>
      </c>
      <c r="O143" s="24">
        <v>0</v>
      </c>
      <c r="P143" s="23">
        <f t="shared" si="18"/>
        <v>126</v>
      </c>
      <c r="Q143" s="26">
        <v>0</v>
      </c>
      <c r="R143" s="23">
        <f t="shared" si="19"/>
        <v>704</v>
      </c>
      <c r="S143" s="27" t="s">
        <v>18</v>
      </c>
      <c r="T143" s="19" t="s">
        <v>180</v>
      </c>
    </row>
    <row r="144" spans="1:20" ht="37.5" customHeight="1" x14ac:dyDescent="0.25">
      <c r="A144" s="19" t="s">
        <v>182</v>
      </c>
      <c r="B144">
        <f t="shared" si="20"/>
        <v>145</v>
      </c>
      <c r="C144">
        <v>47</v>
      </c>
      <c r="D144">
        <v>98</v>
      </c>
      <c r="E144">
        <v>940</v>
      </c>
      <c r="F144">
        <f t="shared" si="21"/>
        <v>145</v>
      </c>
      <c r="G144" s="20">
        <f t="shared" si="22"/>
        <v>139</v>
      </c>
      <c r="H144" s="21">
        <v>99625010247</v>
      </c>
      <c r="I144" s="22" t="s">
        <v>183</v>
      </c>
      <c r="J144" s="23"/>
      <c r="K144" s="24">
        <v>0</v>
      </c>
      <c r="L144" s="23">
        <f t="shared" si="16"/>
        <v>145</v>
      </c>
      <c r="M144" s="24">
        <v>0</v>
      </c>
      <c r="N144" s="25">
        <f t="shared" si="17"/>
        <v>47</v>
      </c>
      <c r="O144" s="24">
        <v>0</v>
      </c>
      <c r="P144" s="23">
        <f t="shared" si="18"/>
        <v>98</v>
      </c>
      <c r="Q144" s="26">
        <v>0</v>
      </c>
      <c r="R144" s="23">
        <f t="shared" si="19"/>
        <v>940</v>
      </c>
      <c r="S144" s="27" t="s">
        <v>18</v>
      </c>
      <c r="T144" s="19" t="s">
        <v>182</v>
      </c>
    </row>
    <row r="145" spans="1:20" ht="37.5" customHeight="1" x14ac:dyDescent="0.25">
      <c r="A145" s="19" t="s">
        <v>184</v>
      </c>
      <c r="B145">
        <f t="shared" si="20"/>
        <v>57743</v>
      </c>
      <c r="C145">
        <v>9521</v>
      </c>
      <c r="D145">
        <v>48222</v>
      </c>
      <c r="F145">
        <f t="shared" si="21"/>
        <v>644</v>
      </c>
      <c r="G145" s="20">
        <f t="shared" si="22"/>
        <v>140</v>
      </c>
      <c r="H145" s="21">
        <v>88819020298</v>
      </c>
      <c r="I145" s="22">
        <v>144</v>
      </c>
      <c r="J145" s="23"/>
      <c r="K145" s="24">
        <v>57099</v>
      </c>
      <c r="L145" s="23">
        <f t="shared" si="16"/>
        <v>644</v>
      </c>
      <c r="M145" s="24">
        <v>9427</v>
      </c>
      <c r="N145" s="25">
        <f t="shared" si="17"/>
        <v>94</v>
      </c>
      <c r="O145" s="24">
        <v>47672</v>
      </c>
      <c r="P145" s="23">
        <f t="shared" si="18"/>
        <v>550</v>
      </c>
      <c r="Q145" s="26"/>
      <c r="R145" s="23">
        <f t="shared" si="19"/>
        <v>0</v>
      </c>
      <c r="S145" s="27" t="s">
        <v>18</v>
      </c>
      <c r="T145" s="19" t="s">
        <v>184</v>
      </c>
    </row>
    <row r="146" spans="1:20" ht="37.5" customHeight="1" x14ac:dyDescent="0.25">
      <c r="A146" s="19" t="s">
        <v>185</v>
      </c>
      <c r="B146">
        <f t="shared" si="20"/>
        <v>45965</v>
      </c>
      <c r="C146">
        <v>8304</v>
      </c>
      <c r="D146">
        <v>37661</v>
      </c>
      <c r="F146">
        <f t="shared" si="21"/>
        <v>438</v>
      </c>
      <c r="G146" s="20">
        <f t="shared" si="22"/>
        <v>141</v>
      </c>
      <c r="H146" s="21">
        <v>66621050191</v>
      </c>
      <c r="I146" s="22">
        <v>145</v>
      </c>
      <c r="J146" s="23"/>
      <c r="K146" s="24">
        <v>45527</v>
      </c>
      <c r="L146" s="23">
        <f t="shared" si="16"/>
        <v>438</v>
      </c>
      <c r="M146" s="24">
        <v>8220</v>
      </c>
      <c r="N146" s="25">
        <f t="shared" si="17"/>
        <v>84</v>
      </c>
      <c r="O146" s="24">
        <v>37307</v>
      </c>
      <c r="P146" s="23">
        <f t="shared" si="18"/>
        <v>354</v>
      </c>
      <c r="Q146" s="26"/>
      <c r="R146" s="23">
        <f t="shared" si="19"/>
        <v>0</v>
      </c>
      <c r="S146" s="27" t="s">
        <v>18</v>
      </c>
      <c r="T146" s="19" t="s">
        <v>185</v>
      </c>
    </row>
    <row r="147" spans="1:20" ht="37.5" customHeight="1" x14ac:dyDescent="0.25">
      <c r="A147" s="19" t="s">
        <v>186</v>
      </c>
      <c r="B147">
        <f t="shared" si="20"/>
        <v>67648</v>
      </c>
      <c r="C147">
        <v>10128</v>
      </c>
      <c r="D147">
        <v>57520</v>
      </c>
      <c r="F147">
        <f t="shared" si="21"/>
        <v>471</v>
      </c>
      <c r="G147" s="20">
        <f t="shared" si="22"/>
        <v>142</v>
      </c>
      <c r="H147" s="21">
        <v>66617020201</v>
      </c>
      <c r="I147" s="22">
        <v>146</v>
      </c>
      <c r="J147" s="23"/>
      <c r="K147" s="24">
        <v>67177</v>
      </c>
      <c r="L147" s="23">
        <f t="shared" si="16"/>
        <v>471</v>
      </c>
      <c r="M147" s="24">
        <v>10044</v>
      </c>
      <c r="N147" s="25">
        <f t="shared" si="17"/>
        <v>84</v>
      </c>
      <c r="O147" s="24">
        <v>57133</v>
      </c>
      <c r="P147" s="23">
        <f t="shared" si="18"/>
        <v>387</v>
      </c>
      <c r="Q147" s="26"/>
      <c r="R147" s="23">
        <f t="shared" si="19"/>
        <v>0</v>
      </c>
      <c r="S147" s="27" t="s">
        <v>18</v>
      </c>
      <c r="T147" s="19" t="s">
        <v>186</v>
      </c>
    </row>
    <row r="148" spans="1:20" ht="37.5" customHeight="1" x14ac:dyDescent="0.25">
      <c r="A148" s="19" t="s">
        <v>187</v>
      </c>
      <c r="B148">
        <f t="shared" si="20"/>
        <v>7625</v>
      </c>
      <c r="C148">
        <v>1274</v>
      </c>
      <c r="D148">
        <v>6351</v>
      </c>
      <c r="E148">
        <v>10125</v>
      </c>
      <c r="F148">
        <f t="shared" si="21"/>
        <v>283</v>
      </c>
      <c r="G148" s="20">
        <f t="shared" si="22"/>
        <v>143</v>
      </c>
      <c r="H148" s="21">
        <v>99723030035</v>
      </c>
      <c r="I148" s="22">
        <v>146</v>
      </c>
      <c r="J148" s="23"/>
      <c r="K148" s="24">
        <f>M148+O148</f>
        <v>7342</v>
      </c>
      <c r="L148" s="23">
        <f t="shared" si="16"/>
        <v>283</v>
      </c>
      <c r="M148" s="24">
        <v>1209</v>
      </c>
      <c r="N148" s="25">
        <f t="shared" si="17"/>
        <v>65</v>
      </c>
      <c r="O148" s="24">
        <v>6133</v>
      </c>
      <c r="P148" s="23">
        <f t="shared" si="18"/>
        <v>218</v>
      </c>
      <c r="Q148" s="26">
        <v>9280</v>
      </c>
      <c r="R148" s="23">
        <f t="shared" si="19"/>
        <v>845</v>
      </c>
      <c r="S148" s="27" t="s">
        <v>18</v>
      </c>
      <c r="T148" s="19" t="s">
        <v>187</v>
      </c>
    </row>
    <row r="149" spans="1:20" ht="37.5" customHeight="1" x14ac:dyDescent="0.25">
      <c r="A149" s="19" t="s">
        <v>188</v>
      </c>
      <c r="B149">
        <f t="shared" si="20"/>
        <v>206347</v>
      </c>
      <c r="C149">
        <v>31875</v>
      </c>
      <c r="D149">
        <v>174472</v>
      </c>
      <c r="F149">
        <f t="shared" si="21"/>
        <v>285</v>
      </c>
      <c r="G149" s="20">
        <f t="shared" si="22"/>
        <v>144</v>
      </c>
      <c r="H149" s="21">
        <v>88820040318</v>
      </c>
      <c r="I149" s="22">
        <v>147</v>
      </c>
      <c r="J149" s="23"/>
      <c r="K149" s="24">
        <v>206062</v>
      </c>
      <c r="L149" s="23">
        <f t="shared" si="16"/>
        <v>285</v>
      </c>
      <c r="M149" s="24">
        <v>31838</v>
      </c>
      <c r="N149" s="25">
        <f t="shared" si="17"/>
        <v>37</v>
      </c>
      <c r="O149" s="24">
        <v>174224</v>
      </c>
      <c r="P149" s="23">
        <f t="shared" si="18"/>
        <v>248</v>
      </c>
      <c r="Q149" s="26"/>
      <c r="R149" s="23">
        <f t="shared" si="19"/>
        <v>0</v>
      </c>
      <c r="S149" s="27" t="s">
        <v>18</v>
      </c>
      <c r="T149" s="19" t="s">
        <v>188</v>
      </c>
    </row>
    <row r="150" spans="1:20" ht="37.5" customHeight="1" x14ac:dyDescent="0.25">
      <c r="A150" s="19" t="s">
        <v>189</v>
      </c>
      <c r="B150">
        <f t="shared" si="20"/>
        <v>62123</v>
      </c>
      <c r="C150">
        <v>11353</v>
      </c>
      <c r="D150">
        <v>50770</v>
      </c>
      <c r="F150">
        <f t="shared" si="21"/>
        <v>638</v>
      </c>
      <c r="G150" s="20">
        <f t="shared" si="22"/>
        <v>145</v>
      </c>
      <c r="H150" s="21">
        <v>66618010224</v>
      </c>
      <c r="I150" s="22">
        <v>149</v>
      </c>
      <c r="J150" s="23"/>
      <c r="K150" s="24">
        <v>61485</v>
      </c>
      <c r="L150" s="23">
        <f t="shared" si="16"/>
        <v>638</v>
      </c>
      <c r="M150" s="24">
        <v>11237</v>
      </c>
      <c r="N150" s="25">
        <f t="shared" si="17"/>
        <v>116</v>
      </c>
      <c r="O150" s="24">
        <v>50248</v>
      </c>
      <c r="P150" s="23">
        <f t="shared" si="18"/>
        <v>522</v>
      </c>
      <c r="Q150" s="26"/>
      <c r="R150" s="23">
        <f t="shared" si="19"/>
        <v>0</v>
      </c>
      <c r="S150" s="27" t="s">
        <v>18</v>
      </c>
      <c r="T150" s="19" t="s">
        <v>189</v>
      </c>
    </row>
    <row r="151" spans="1:20" ht="37.5" customHeight="1" x14ac:dyDescent="0.25">
      <c r="A151" s="19" t="s">
        <v>190</v>
      </c>
      <c r="B151">
        <f t="shared" si="20"/>
        <v>154716</v>
      </c>
      <c r="C151">
        <v>26331</v>
      </c>
      <c r="D151">
        <v>128385</v>
      </c>
      <c r="F151">
        <f t="shared" si="21"/>
        <v>872</v>
      </c>
      <c r="G151" s="20">
        <f t="shared" si="22"/>
        <v>146</v>
      </c>
      <c r="H151" s="21">
        <v>9070155</v>
      </c>
      <c r="I151" s="22">
        <v>150</v>
      </c>
      <c r="J151" s="23"/>
      <c r="K151" s="24">
        <v>153844</v>
      </c>
      <c r="L151" s="23">
        <f t="shared" si="16"/>
        <v>872</v>
      </c>
      <c r="M151" s="24">
        <v>26189</v>
      </c>
      <c r="N151" s="25">
        <f t="shared" si="17"/>
        <v>142</v>
      </c>
      <c r="O151" s="24">
        <v>127655</v>
      </c>
      <c r="P151" s="23">
        <f t="shared" si="18"/>
        <v>730</v>
      </c>
      <c r="Q151" s="26"/>
      <c r="R151" s="23">
        <f t="shared" si="19"/>
        <v>0</v>
      </c>
      <c r="S151" s="27" t="s">
        <v>18</v>
      </c>
      <c r="T151" s="19" t="s">
        <v>190</v>
      </c>
    </row>
    <row r="152" spans="1:20" ht="37.5" customHeight="1" x14ac:dyDescent="0.25">
      <c r="A152" s="19" t="s">
        <v>191</v>
      </c>
      <c r="B152">
        <f t="shared" si="20"/>
        <v>23803</v>
      </c>
      <c r="C152">
        <v>6136</v>
      </c>
      <c r="D152">
        <v>17667</v>
      </c>
      <c r="E152">
        <v>19392</v>
      </c>
      <c r="F152">
        <f t="shared" si="21"/>
        <v>540</v>
      </c>
      <c r="G152" s="20">
        <f t="shared" si="22"/>
        <v>147</v>
      </c>
      <c r="H152" s="21">
        <v>99723050002</v>
      </c>
      <c r="I152" s="22">
        <v>151</v>
      </c>
      <c r="J152" s="23"/>
      <c r="K152" s="24">
        <f>M152+O152</f>
        <v>23263</v>
      </c>
      <c r="L152" s="23">
        <f t="shared" si="16"/>
        <v>540</v>
      </c>
      <c r="M152" s="24">
        <v>5947</v>
      </c>
      <c r="N152" s="25">
        <f t="shared" si="17"/>
        <v>189</v>
      </c>
      <c r="O152" s="24">
        <v>17316</v>
      </c>
      <c r="P152" s="23">
        <f t="shared" si="18"/>
        <v>351</v>
      </c>
      <c r="Q152" s="26">
        <v>17806</v>
      </c>
      <c r="R152" s="23">
        <f t="shared" si="19"/>
        <v>1586</v>
      </c>
      <c r="S152" s="27" t="s">
        <v>18</v>
      </c>
      <c r="T152" s="19" t="s">
        <v>191</v>
      </c>
    </row>
    <row r="153" spans="1:20" ht="37.5" customHeight="1" x14ac:dyDescent="0.25">
      <c r="A153" s="19" t="s">
        <v>192</v>
      </c>
      <c r="B153">
        <f t="shared" si="20"/>
        <v>5590</v>
      </c>
      <c r="C153">
        <v>1013</v>
      </c>
      <c r="D153">
        <v>4577</v>
      </c>
      <c r="F153">
        <f t="shared" si="21"/>
        <v>236</v>
      </c>
      <c r="G153" s="20">
        <f t="shared" si="22"/>
        <v>148</v>
      </c>
      <c r="H153" s="21">
        <v>66621070308</v>
      </c>
      <c r="I153" s="22">
        <v>152</v>
      </c>
      <c r="J153" s="23"/>
      <c r="K153" s="24">
        <v>5354</v>
      </c>
      <c r="L153" s="23">
        <f t="shared" si="16"/>
        <v>236</v>
      </c>
      <c r="M153" s="24">
        <v>970</v>
      </c>
      <c r="N153" s="25">
        <f t="shared" si="17"/>
        <v>43</v>
      </c>
      <c r="O153" s="24">
        <v>4384</v>
      </c>
      <c r="P153" s="23">
        <f t="shared" si="18"/>
        <v>193</v>
      </c>
      <c r="Q153" s="26"/>
      <c r="R153" s="23">
        <f t="shared" si="19"/>
        <v>0</v>
      </c>
      <c r="S153" s="27" t="s">
        <v>18</v>
      </c>
      <c r="T153" s="19" t="s">
        <v>192</v>
      </c>
    </row>
    <row r="154" spans="1:20" ht="37.5" customHeight="1" x14ac:dyDescent="0.25">
      <c r="A154" s="19" t="s">
        <v>193</v>
      </c>
      <c r="B154">
        <f t="shared" si="20"/>
        <v>31293</v>
      </c>
      <c r="C154">
        <v>5971</v>
      </c>
      <c r="D154">
        <v>25322</v>
      </c>
      <c r="F154">
        <f t="shared" si="21"/>
        <v>873</v>
      </c>
      <c r="G154" s="20">
        <f t="shared" si="22"/>
        <v>149</v>
      </c>
      <c r="H154" s="21">
        <v>88820030363</v>
      </c>
      <c r="I154" s="22">
        <v>153</v>
      </c>
      <c r="J154" s="23"/>
      <c r="K154" s="24">
        <v>30420</v>
      </c>
      <c r="L154" s="23">
        <f t="shared" si="16"/>
        <v>873</v>
      </c>
      <c r="M154" s="24">
        <v>5792</v>
      </c>
      <c r="N154" s="25">
        <f t="shared" si="17"/>
        <v>179</v>
      </c>
      <c r="O154" s="24">
        <v>24628</v>
      </c>
      <c r="P154" s="23">
        <f t="shared" si="18"/>
        <v>694</v>
      </c>
      <c r="Q154" s="26"/>
      <c r="R154" s="23">
        <f t="shared" si="19"/>
        <v>0</v>
      </c>
      <c r="S154" s="27" t="s">
        <v>18</v>
      </c>
      <c r="T154" s="19" t="s">
        <v>193</v>
      </c>
    </row>
    <row r="155" spans="1:20" ht="37.5" customHeight="1" x14ac:dyDescent="0.25">
      <c r="A155" s="19" t="s">
        <v>194</v>
      </c>
      <c r="B155">
        <f t="shared" si="20"/>
        <v>194325</v>
      </c>
      <c r="C155">
        <v>46349</v>
      </c>
      <c r="D155">
        <v>147976</v>
      </c>
      <c r="F155">
        <f t="shared" si="21"/>
        <v>2018</v>
      </c>
      <c r="G155" s="20">
        <f t="shared" si="22"/>
        <v>150</v>
      </c>
      <c r="H155" s="21">
        <v>23010050197</v>
      </c>
      <c r="I155" s="22">
        <v>154</v>
      </c>
      <c r="J155" s="23"/>
      <c r="K155" s="24">
        <v>192307</v>
      </c>
      <c r="L155" s="23">
        <f t="shared" si="16"/>
        <v>2018</v>
      </c>
      <c r="M155" s="24">
        <v>45989</v>
      </c>
      <c r="N155" s="25">
        <f t="shared" si="17"/>
        <v>360</v>
      </c>
      <c r="O155" s="24">
        <v>146318</v>
      </c>
      <c r="P155" s="23">
        <f t="shared" si="18"/>
        <v>1658</v>
      </c>
      <c r="Q155" s="26"/>
      <c r="R155" s="23">
        <f t="shared" si="19"/>
        <v>0</v>
      </c>
      <c r="S155" s="27" t="s">
        <v>18</v>
      </c>
      <c r="T155" s="19" t="s">
        <v>194</v>
      </c>
    </row>
    <row r="156" spans="1:20" ht="37.5" customHeight="1" x14ac:dyDescent="0.25">
      <c r="A156" s="19" t="s">
        <v>195</v>
      </c>
      <c r="B156">
        <f t="shared" si="20"/>
        <v>6075</v>
      </c>
      <c r="C156">
        <v>1533</v>
      </c>
      <c r="D156">
        <v>4542</v>
      </c>
      <c r="E156">
        <v>5681</v>
      </c>
      <c r="F156">
        <f t="shared" si="21"/>
        <v>495</v>
      </c>
      <c r="G156" s="20">
        <f t="shared" si="22"/>
        <v>151</v>
      </c>
      <c r="H156" s="21">
        <v>99624020123</v>
      </c>
      <c r="I156" s="22" t="s">
        <v>196</v>
      </c>
      <c r="J156" s="23"/>
      <c r="K156" s="24">
        <f>M156+O156</f>
        <v>5580</v>
      </c>
      <c r="L156" s="23">
        <f t="shared" si="16"/>
        <v>495</v>
      </c>
      <c r="M156" s="24">
        <v>1414</v>
      </c>
      <c r="N156" s="25">
        <f t="shared" si="17"/>
        <v>119</v>
      </c>
      <c r="O156" s="24">
        <v>4166</v>
      </c>
      <c r="P156" s="23">
        <f t="shared" si="18"/>
        <v>376</v>
      </c>
      <c r="Q156" s="26">
        <v>5011</v>
      </c>
      <c r="R156" s="23">
        <f t="shared" si="19"/>
        <v>670</v>
      </c>
      <c r="S156" s="27" t="s">
        <v>18</v>
      </c>
      <c r="T156" s="19" t="s">
        <v>195</v>
      </c>
    </row>
    <row r="157" spans="1:20" ht="37.5" customHeight="1" x14ac:dyDescent="0.25">
      <c r="A157" s="19" t="s">
        <v>197</v>
      </c>
      <c r="B157">
        <f t="shared" si="20"/>
        <v>30065</v>
      </c>
      <c r="C157">
        <v>5993</v>
      </c>
      <c r="D157">
        <v>24072</v>
      </c>
      <c r="F157">
        <f t="shared" si="21"/>
        <v>223</v>
      </c>
      <c r="G157" s="20">
        <f t="shared" si="22"/>
        <v>152</v>
      </c>
      <c r="H157" s="21">
        <v>23014060538</v>
      </c>
      <c r="I157" s="22">
        <v>155</v>
      </c>
      <c r="J157" s="23"/>
      <c r="K157" s="24">
        <v>29842</v>
      </c>
      <c r="L157" s="23">
        <f t="shared" si="16"/>
        <v>223</v>
      </c>
      <c r="M157" s="24">
        <v>5948</v>
      </c>
      <c r="N157" s="25">
        <f t="shared" si="17"/>
        <v>45</v>
      </c>
      <c r="O157" s="24">
        <v>23894</v>
      </c>
      <c r="P157" s="23">
        <f t="shared" si="18"/>
        <v>178</v>
      </c>
      <c r="Q157" s="26"/>
      <c r="R157" s="23">
        <f t="shared" si="19"/>
        <v>0</v>
      </c>
      <c r="S157" s="27" t="s">
        <v>18</v>
      </c>
      <c r="T157" s="19" t="s">
        <v>197</v>
      </c>
    </row>
    <row r="158" spans="1:20" ht="37.5" customHeight="1" x14ac:dyDescent="0.25">
      <c r="A158" s="19" t="s">
        <v>198</v>
      </c>
      <c r="B158">
        <f t="shared" si="20"/>
        <v>45550</v>
      </c>
      <c r="C158">
        <v>5804</v>
      </c>
      <c r="D158">
        <v>39746</v>
      </c>
      <c r="F158">
        <f t="shared" si="21"/>
        <v>506</v>
      </c>
      <c r="G158" s="20">
        <f t="shared" si="22"/>
        <v>153</v>
      </c>
      <c r="H158" s="21">
        <v>88819030450</v>
      </c>
      <c r="I158" s="22">
        <v>156</v>
      </c>
      <c r="J158" s="23"/>
      <c r="K158" s="24">
        <v>45044</v>
      </c>
      <c r="L158" s="23">
        <f t="shared" si="16"/>
        <v>506</v>
      </c>
      <c r="M158" s="24">
        <v>5732</v>
      </c>
      <c r="N158" s="25">
        <f t="shared" si="17"/>
        <v>72</v>
      </c>
      <c r="O158" s="24">
        <v>39312</v>
      </c>
      <c r="P158" s="23">
        <f t="shared" si="18"/>
        <v>434</v>
      </c>
      <c r="Q158" s="26"/>
      <c r="R158" s="23">
        <f t="shared" si="19"/>
        <v>0</v>
      </c>
      <c r="S158" s="27" t="s">
        <v>18</v>
      </c>
      <c r="T158" s="19" t="s">
        <v>198</v>
      </c>
    </row>
    <row r="159" spans="1:20" ht="37.5" customHeight="1" x14ac:dyDescent="0.25">
      <c r="A159" s="19" t="s">
        <v>199</v>
      </c>
      <c r="B159">
        <f t="shared" si="20"/>
        <v>78978</v>
      </c>
      <c r="C159">
        <v>12186</v>
      </c>
      <c r="D159">
        <v>66792</v>
      </c>
      <c r="F159">
        <f t="shared" si="21"/>
        <v>1086</v>
      </c>
      <c r="G159" s="20">
        <f t="shared" si="22"/>
        <v>154</v>
      </c>
      <c r="H159" s="21">
        <v>88820030092</v>
      </c>
      <c r="I159" s="22">
        <v>157</v>
      </c>
      <c r="J159" s="23"/>
      <c r="K159" s="24">
        <v>77892</v>
      </c>
      <c r="L159" s="23">
        <f t="shared" si="16"/>
        <v>1086</v>
      </c>
      <c r="M159" s="24">
        <v>11989</v>
      </c>
      <c r="N159" s="25">
        <f t="shared" si="17"/>
        <v>197</v>
      </c>
      <c r="O159" s="24">
        <v>65903</v>
      </c>
      <c r="P159" s="23">
        <f t="shared" si="18"/>
        <v>889</v>
      </c>
      <c r="Q159" s="26"/>
      <c r="R159" s="23">
        <f t="shared" si="19"/>
        <v>0</v>
      </c>
      <c r="S159" s="27" t="s">
        <v>18</v>
      </c>
      <c r="T159" s="19" t="s">
        <v>199</v>
      </c>
    </row>
    <row r="160" spans="1:20" ht="37.5" customHeight="1" x14ac:dyDescent="0.25">
      <c r="A160" s="19" t="s">
        <v>200</v>
      </c>
      <c r="B160">
        <f t="shared" si="20"/>
        <v>5131</v>
      </c>
      <c r="C160">
        <v>1152</v>
      </c>
      <c r="D160">
        <v>3979</v>
      </c>
      <c r="E160">
        <v>6466</v>
      </c>
      <c r="F160">
        <f t="shared" si="21"/>
        <v>335</v>
      </c>
      <c r="G160" s="20">
        <f t="shared" si="22"/>
        <v>155</v>
      </c>
      <c r="H160" s="21">
        <v>99624020279</v>
      </c>
      <c r="I160" s="22">
        <v>181</v>
      </c>
      <c r="J160" s="23"/>
      <c r="K160" s="24">
        <f>M160+O160</f>
        <v>4796</v>
      </c>
      <c r="L160" s="23">
        <f t="shared" si="16"/>
        <v>335</v>
      </c>
      <c r="M160" s="24">
        <v>1100</v>
      </c>
      <c r="N160" s="25">
        <f t="shared" si="17"/>
        <v>52</v>
      </c>
      <c r="O160" s="24">
        <v>3696</v>
      </c>
      <c r="P160" s="23">
        <f t="shared" si="18"/>
        <v>283</v>
      </c>
      <c r="Q160" s="26">
        <v>5500</v>
      </c>
      <c r="R160" s="23">
        <f t="shared" si="19"/>
        <v>966</v>
      </c>
      <c r="S160" s="27" t="s">
        <v>18</v>
      </c>
      <c r="T160" s="19" t="s">
        <v>200</v>
      </c>
    </row>
    <row r="161" spans="1:20" ht="37.5" customHeight="1" x14ac:dyDescent="0.25">
      <c r="A161" s="19" t="s">
        <v>201</v>
      </c>
      <c r="B161">
        <f t="shared" si="20"/>
        <v>2442</v>
      </c>
      <c r="C161">
        <v>681</v>
      </c>
      <c r="D161">
        <v>1761</v>
      </c>
      <c r="E161">
        <v>9081</v>
      </c>
      <c r="F161">
        <f t="shared" si="21"/>
        <v>135</v>
      </c>
      <c r="G161" s="20">
        <f t="shared" si="22"/>
        <v>156</v>
      </c>
      <c r="H161" s="21">
        <v>99624020151</v>
      </c>
      <c r="I161" s="22">
        <v>182</v>
      </c>
      <c r="J161" s="23"/>
      <c r="K161" s="24">
        <f>M161+O161</f>
        <v>2307</v>
      </c>
      <c r="L161" s="23">
        <f t="shared" si="16"/>
        <v>135</v>
      </c>
      <c r="M161" s="24">
        <v>660</v>
      </c>
      <c r="N161" s="25">
        <f t="shared" si="17"/>
        <v>21</v>
      </c>
      <c r="O161" s="24">
        <v>1647</v>
      </c>
      <c r="P161" s="23">
        <f t="shared" si="18"/>
        <v>114</v>
      </c>
      <c r="Q161" s="26">
        <v>7993</v>
      </c>
      <c r="R161" s="23">
        <f t="shared" si="19"/>
        <v>1088</v>
      </c>
      <c r="S161" s="27" t="s">
        <v>18</v>
      </c>
      <c r="T161" s="19" t="s">
        <v>201</v>
      </c>
    </row>
    <row r="162" spans="1:20" ht="37.5" customHeight="1" x14ac:dyDescent="0.25">
      <c r="A162" s="19" t="s">
        <v>202</v>
      </c>
      <c r="B162">
        <f t="shared" si="20"/>
        <v>3783</v>
      </c>
      <c r="C162">
        <v>892</v>
      </c>
      <c r="D162">
        <v>2891</v>
      </c>
      <c r="E162">
        <v>4025</v>
      </c>
      <c r="F162">
        <f t="shared" si="21"/>
        <v>336</v>
      </c>
      <c r="G162" s="20">
        <f t="shared" si="22"/>
        <v>157</v>
      </c>
      <c r="H162" s="21">
        <v>99624030008</v>
      </c>
      <c r="I162" s="22">
        <v>184</v>
      </c>
      <c r="J162" s="23"/>
      <c r="K162" s="24">
        <f>M162+O162</f>
        <v>3447</v>
      </c>
      <c r="L162" s="23">
        <f t="shared" si="16"/>
        <v>336</v>
      </c>
      <c r="M162" s="24">
        <v>831</v>
      </c>
      <c r="N162" s="25">
        <f t="shared" si="17"/>
        <v>61</v>
      </c>
      <c r="O162" s="24">
        <v>2616</v>
      </c>
      <c r="P162" s="23">
        <f t="shared" si="18"/>
        <v>275</v>
      </c>
      <c r="Q162" s="26">
        <v>3444</v>
      </c>
      <c r="R162" s="23">
        <f t="shared" si="19"/>
        <v>581</v>
      </c>
      <c r="S162" s="27" t="s">
        <v>18</v>
      </c>
      <c r="T162" s="19" t="s">
        <v>202</v>
      </c>
    </row>
    <row r="163" spans="1:20" ht="37.5" customHeight="1" x14ac:dyDescent="0.25">
      <c r="A163" s="19" t="s">
        <v>203</v>
      </c>
      <c r="B163">
        <f t="shared" si="20"/>
        <v>69894</v>
      </c>
      <c r="C163">
        <v>12661</v>
      </c>
      <c r="D163">
        <v>57233</v>
      </c>
      <c r="F163">
        <f t="shared" si="21"/>
        <v>535</v>
      </c>
      <c r="G163" s="20">
        <f t="shared" si="22"/>
        <v>158</v>
      </c>
      <c r="H163" s="21">
        <v>23012110142</v>
      </c>
      <c r="I163" s="22">
        <v>185</v>
      </c>
      <c r="J163" s="23"/>
      <c r="K163" s="24">
        <v>69359</v>
      </c>
      <c r="L163" s="23">
        <f t="shared" si="16"/>
        <v>535</v>
      </c>
      <c r="M163" s="24">
        <v>12550</v>
      </c>
      <c r="N163" s="25">
        <f t="shared" si="17"/>
        <v>111</v>
      </c>
      <c r="O163" s="24">
        <v>56809</v>
      </c>
      <c r="P163" s="23">
        <f t="shared" si="18"/>
        <v>424</v>
      </c>
      <c r="Q163" s="26"/>
      <c r="R163" s="23">
        <f t="shared" si="19"/>
        <v>0</v>
      </c>
      <c r="S163" s="27" t="s">
        <v>18</v>
      </c>
      <c r="T163" s="19" t="s">
        <v>203</v>
      </c>
    </row>
    <row r="164" spans="1:20" ht="37.5" customHeight="1" x14ac:dyDescent="0.25">
      <c r="A164" s="19" t="s">
        <v>204</v>
      </c>
      <c r="B164">
        <f t="shared" si="20"/>
        <v>55082</v>
      </c>
      <c r="C164">
        <v>9340</v>
      </c>
      <c r="D164">
        <v>45742</v>
      </c>
      <c r="F164">
        <f t="shared" si="21"/>
        <v>202</v>
      </c>
      <c r="G164" s="20">
        <f t="shared" si="22"/>
        <v>159</v>
      </c>
      <c r="H164" s="21">
        <v>23014090910</v>
      </c>
      <c r="I164" s="22">
        <v>186</v>
      </c>
      <c r="J164" s="23"/>
      <c r="K164" s="24">
        <v>54880</v>
      </c>
      <c r="L164" s="23">
        <f t="shared" si="16"/>
        <v>202</v>
      </c>
      <c r="M164" s="24">
        <v>9308</v>
      </c>
      <c r="N164" s="25">
        <f t="shared" si="17"/>
        <v>32</v>
      </c>
      <c r="O164" s="24">
        <v>45572</v>
      </c>
      <c r="P164" s="23">
        <f t="shared" si="18"/>
        <v>170</v>
      </c>
      <c r="Q164" s="26"/>
      <c r="R164" s="23">
        <f t="shared" si="19"/>
        <v>0</v>
      </c>
      <c r="S164" s="27" t="s">
        <v>18</v>
      </c>
      <c r="T164" s="19" t="s">
        <v>204</v>
      </c>
    </row>
    <row r="165" spans="1:20" ht="37.5" customHeight="1" x14ac:dyDescent="0.25">
      <c r="A165" s="19" t="s">
        <v>205</v>
      </c>
      <c r="B165">
        <f t="shared" si="20"/>
        <v>4867</v>
      </c>
      <c r="C165">
        <v>1354</v>
      </c>
      <c r="D165">
        <v>3513</v>
      </c>
      <c r="E165">
        <v>5867</v>
      </c>
      <c r="F165">
        <f t="shared" si="21"/>
        <v>502</v>
      </c>
      <c r="G165" s="20">
        <f t="shared" si="22"/>
        <v>160</v>
      </c>
      <c r="H165" s="21">
        <v>996240151</v>
      </c>
      <c r="I165" s="22">
        <v>187</v>
      </c>
      <c r="J165" s="23"/>
      <c r="K165" s="24">
        <f>M165+O165</f>
        <v>4365</v>
      </c>
      <c r="L165" s="23">
        <f t="shared" si="16"/>
        <v>502</v>
      </c>
      <c r="M165" s="24">
        <v>1209</v>
      </c>
      <c r="N165" s="25">
        <f t="shared" si="17"/>
        <v>145</v>
      </c>
      <c r="O165" s="24">
        <v>3156</v>
      </c>
      <c r="P165" s="23">
        <f t="shared" si="18"/>
        <v>357</v>
      </c>
      <c r="Q165" s="26">
        <v>5254</v>
      </c>
      <c r="R165" s="23">
        <f t="shared" si="19"/>
        <v>613</v>
      </c>
      <c r="S165" s="27" t="s">
        <v>18</v>
      </c>
      <c r="T165" s="19" t="s">
        <v>205</v>
      </c>
    </row>
    <row r="166" spans="1:20" ht="37.5" customHeight="1" x14ac:dyDescent="0.25">
      <c r="A166" s="19" t="s">
        <v>206</v>
      </c>
      <c r="B166">
        <f t="shared" si="20"/>
        <v>14865</v>
      </c>
      <c r="C166">
        <v>2167</v>
      </c>
      <c r="D166">
        <v>12698</v>
      </c>
      <c r="F166">
        <f t="shared" si="21"/>
        <v>321</v>
      </c>
      <c r="G166" s="20">
        <f t="shared" si="22"/>
        <v>161</v>
      </c>
      <c r="H166" s="21">
        <v>66622040463</v>
      </c>
      <c r="I166" s="22">
        <v>188</v>
      </c>
      <c r="J166" s="23"/>
      <c r="K166" s="24">
        <v>14544</v>
      </c>
      <c r="L166" s="23">
        <f t="shared" si="16"/>
        <v>321</v>
      </c>
      <c r="M166" s="24">
        <v>2108</v>
      </c>
      <c r="N166" s="25">
        <f t="shared" si="17"/>
        <v>59</v>
      </c>
      <c r="O166" s="24">
        <v>12436</v>
      </c>
      <c r="P166" s="23">
        <f t="shared" si="18"/>
        <v>262</v>
      </c>
      <c r="Q166" s="26"/>
      <c r="R166" s="23">
        <f t="shared" si="19"/>
        <v>0</v>
      </c>
      <c r="S166" s="27" t="s">
        <v>18</v>
      </c>
      <c r="T166" s="19" t="s">
        <v>206</v>
      </c>
    </row>
    <row r="167" spans="1:20" ht="37.5" customHeight="1" x14ac:dyDescent="0.25">
      <c r="A167" s="19" t="s">
        <v>207</v>
      </c>
      <c r="B167">
        <f t="shared" si="20"/>
        <v>1075</v>
      </c>
      <c r="C167">
        <v>403</v>
      </c>
      <c r="D167">
        <v>672</v>
      </c>
      <c r="E167">
        <v>2548</v>
      </c>
      <c r="F167">
        <f t="shared" si="21"/>
        <v>325</v>
      </c>
      <c r="G167" s="20">
        <f t="shared" si="22"/>
        <v>162</v>
      </c>
      <c r="H167" s="21">
        <v>99624050136</v>
      </c>
      <c r="I167" s="22">
        <v>189</v>
      </c>
      <c r="J167" s="23"/>
      <c r="K167" s="24">
        <f>M167+O167</f>
        <v>750</v>
      </c>
      <c r="L167" s="23">
        <f t="shared" si="16"/>
        <v>325</v>
      </c>
      <c r="M167" s="24">
        <v>307</v>
      </c>
      <c r="N167" s="25">
        <f t="shared" si="17"/>
        <v>96</v>
      </c>
      <c r="O167" s="24">
        <v>443</v>
      </c>
      <c r="P167" s="23">
        <f t="shared" si="18"/>
        <v>229</v>
      </c>
      <c r="Q167" s="26">
        <v>1808</v>
      </c>
      <c r="R167" s="23">
        <f t="shared" si="19"/>
        <v>740</v>
      </c>
      <c r="S167" s="27" t="s">
        <v>18</v>
      </c>
      <c r="T167" s="19" t="s">
        <v>207</v>
      </c>
    </row>
    <row r="168" spans="1:20" ht="37.5" customHeight="1" x14ac:dyDescent="0.25">
      <c r="A168" s="19" t="s">
        <v>208</v>
      </c>
      <c r="B168">
        <f t="shared" si="20"/>
        <v>75916</v>
      </c>
      <c r="C168">
        <v>11624</v>
      </c>
      <c r="D168">
        <v>64292</v>
      </c>
      <c r="F168">
        <f t="shared" si="21"/>
        <v>864</v>
      </c>
      <c r="G168" s="20">
        <f t="shared" si="22"/>
        <v>163</v>
      </c>
      <c r="H168" s="21">
        <v>66617010397</v>
      </c>
      <c r="I168" s="22">
        <v>190</v>
      </c>
      <c r="J168" s="23"/>
      <c r="K168" s="24">
        <v>75052</v>
      </c>
      <c r="L168" s="23">
        <f t="shared" si="16"/>
        <v>864</v>
      </c>
      <c r="M168" s="24">
        <v>11493</v>
      </c>
      <c r="N168" s="25">
        <f t="shared" si="17"/>
        <v>131</v>
      </c>
      <c r="O168" s="24">
        <v>63559</v>
      </c>
      <c r="P168" s="23">
        <f t="shared" si="18"/>
        <v>733</v>
      </c>
      <c r="Q168" s="26"/>
      <c r="R168" s="23">
        <f t="shared" si="19"/>
        <v>0</v>
      </c>
      <c r="S168" s="27" t="s">
        <v>18</v>
      </c>
      <c r="T168" s="19" t="s">
        <v>208</v>
      </c>
    </row>
    <row r="169" spans="1:20" ht="37.5" customHeight="1" x14ac:dyDescent="0.25">
      <c r="A169" s="19" t="s">
        <v>209</v>
      </c>
      <c r="B169">
        <f t="shared" si="20"/>
        <v>65507</v>
      </c>
      <c r="C169">
        <v>13518</v>
      </c>
      <c r="D169">
        <v>51989</v>
      </c>
      <c r="F169">
        <f t="shared" si="21"/>
        <v>179</v>
      </c>
      <c r="G169" s="20">
        <f t="shared" si="22"/>
        <v>164</v>
      </c>
      <c r="H169" s="21">
        <v>23012040079</v>
      </c>
      <c r="I169" s="22">
        <v>191</v>
      </c>
      <c r="J169" s="23"/>
      <c r="K169" s="24">
        <v>65328</v>
      </c>
      <c r="L169" s="23">
        <f t="shared" si="16"/>
        <v>179</v>
      </c>
      <c r="M169" s="24">
        <v>13487</v>
      </c>
      <c r="N169" s="25">
        <f t="shared" si="17"/>
        <v>31</v>
      </c>
      <c r="O169" s="24">
        <v>51841</v>
      </c>
      <c r="P169" s="23">
        <f t="shared" si="18"/>
        <v>148</v>
      </c>
      <c r="Q169" s="26"/>
      <c r="R169" s="23">
        <f t="shared" si="19"/>
        <v>0</v>
      </c>
      <c r="S169" s="27" t="s">
        <v>18</v>
      </c>
      <c r="T169" s="19" t="s">
        <v>209</v>
      </c>
    </row>
    <row r="170" spans="1:20" ht="37.5" customHeight="1" x14ac:dyDescent="0.25">
      <c r="A170" s="19" t="s">
        <v>210</v>
      </c>
      <c r="B170">
        <f t="shared" si="20"/>
        <v>7936</v>
      </c>
      <c r="C170">
        <v>1852</v>
      </c>
      <c r="D170">
        <v>6084</v>
      </c>
      <c r="E170">
        <v>8554</v>
      </c>
      <c r="F170">
        <f t="shared" si="21"/>
        <v>517</v>
      </c>
      <c r="G170" s="20">
        <f t="shared" si="22"/>
        <v>165</v>
      </c>
      <c r="H170" s="21">
        <v>99623080470</v>
      </c>
      <c r="I170" s="22">
        <v>192</v>
      </c>
      <c r="J170" s="23"/>
      <c r="K170" s="24">
        <f>M170+O170</f>
        <v>7419</v>
      </c>
      <c r="L170" s="23">
        <f t="shared" si="16"/>
        <v>517</v>
      </c>
      <c r="M170" s="24">
        <v>1743</v>
      </c>
      <c r="N170" s="25">
        <f t="shared" si="17"/>
        <v>109</v>
      </c>
      <c r="O170" s="24">
        <v>5676</v>
      </c>
      <c r="P170" s="23">
        <f t="shared" si="18"/>
        <v>408</v>
      </c>
      <c r="Q170" s="26">
        <v>7848</v>
      </c>
      <c r="R170" s="23">
        <f t="shared" si="19"/>
        <v>706</v>
      </c>
      <c r="S170" s="27" t="s">
        <v>18</v>
      </c>
      <c r="T170" s="19" t="s">
        <v>210</v>
      </c>
    </row>
    <row r="171" spans="1:20" ht="37.5" customHeight="1" x14ac:dyDescent="0.25">
      <c r="A171" s="19" t="s">
        <v>211</v>
      </c>
      <c r="B171">
        <f t="shared" si="20"/>
        <v>3256</v>
      </c>
      <c r="C171">
        <v>581</v>
      </c>
      <c r="D171">
        <v>2675</v>
      </c>
      <c r="F171">
        <f t="shared" si="21"/>
        <v>720</v>
      </c>
      <c r="G171" s="20">
        <f t="shared" si="22"/>
        <v>166</v>
      </c>
      <c r="H171" s="21">
        <v>66623030391</v>
      </c>
      <c r="I171" s="22">
        <v>193</v>
      </c>
      <c r="J171" s="23"/>
      <c r="K171" s="24">
        <v>2536</v>
      </c>
      <c r="L171" s="23">
        <f t="shared" si="16"/>
        <v>720</v>
      </c>
      <c r="M171" s="24">
        <v>444</v>
      </c>
      <c r="N171" s="25">
        <f t="shared" si="17"/>
        <v>137</v>
      </c>
      <c r="O171" s="24">
        <v>2092</v>
      </c>
      <c r="P171" s="23">
        <f t="shared" si="18"/>
        <v>583</v>
      </c>
      <c r="Q171" s="26"/>
      <c r="R171" s="23">
        <f t="shared" si="19"/>
        <v>0</v>
      </c>
      <c r="S171" s="27" t="s">
        <v>18</v>
      </c>
      <c r="T171" s="19" t="s">
        <v>211</v>
      </c>
    </row>
    <row r="172" spans="1:20" ht="37.5" customHeight="1" x14ac:dyDescent="0.25">
      <c r="A172" s="19" t="s">
        <v>212</v>
      </c>
      <c r="B172">
        <f t="shared" si="20"/>
        <v>16691</v>
      </c>
      <c r="C172">
        <v>4198</v>
      </c>
      <c r="D172">
        <v>12493</v>
      </c>
      <c r="E172">
        <v>13083</v>
      </c>
      <c r="F172">
        <f t="shared" si="21"/>
        <v>689</v>
      </c>
      <c r="G172" s="20">
        <f t="shared" si="22"/>
        <v>167</v>
      </c>
      <c r="H172" s="21">
        <v>99723060200</v>
      </c>
      <c r="I172" s="22">
        <v>194</v>
      </c>
      <c r="J172" s="23"/>
      <c r="K172" s="24">
        <f>M172+O172</f>
        <v>16002</v>
      </c>
      <c r="L172" s="23">
        <f t="shared" si="16"/>
        <v>689</v>
      </c>
      <c r="M172" s="24">
        <v>4015</v>
      </c>
      <c r="N172" s="25">
        <f t="shared" si="17"/>
        <v>183</v>
      </c>
      <c r="O172" s="24">
        <v>11987</v>
      </c>
      <c r="P172" s="23">
        <f t="shared" si="18"/>
        <v>506</v>
      </c>
      <c r="Q172" s="26">
        <v>12230</v>
      </c>
      <c r="R172" s="23">
        <f t="shared" si="19"/>
        <v>853</v>
      </c>
      <c r="S172" s="27" t="s">
        <v>18</v>
      </c>
      <c r="T172" s="19" t="s">
        <v>212</v>
      </c>
    </row>
    <row r="173" spans="1:20" ht="37.5" customHeight="1" x14ac:dyDescent="0.25">
      <c r="A173" s="19" t="s">
        <v>213</v>
      </c>
      <c r="B173">
        <f t="shared" si="20"/>
        <v>85881</v>
      </c>
      <c r="C173">
        <v>13840</v>
      </c>
      <c r="D173">
        <v>72041</v>
      </c>
      <c r="F173">
        <f t="shared" si="21"/>
        <v>985</v>
      </c>
      <c r="G173" s="20">
        <f t="shared" si="22"/>
        <v>168</v>
      </c>
      <c r="H173" s="21">
        <v>88820003115</v>
      </c>
      <c r="I173" s="22">
        <v>197</v>
      </c>
      <c r="J173" s="23"/>
      <c r="K173" s="24">
        <v>84896</v>
      </c>
      <c r="L173" s="23">
        <f t="shared" si="16"/>
        <v>985</v>
      </c>
      <c r="M173" s="24">
        <v>13673</v>
      </c>
      <c r="N173" s="25">
        <f t="shared" si="17"/>
        <v>167</v>
      </c>
      <c r="O173" s="24">
        <v>71223</v>
      </c>
      <c r="P173" s="23">
        <f t="shared" si="18"/>
        <v>818</v>
      </c>
      <c r="Q173" s="26"/>
      <c r="R173" s="23">
        <f t="shared" si="19"/>
        <v>0</v>
      </c>
      <c r="S173" s="27" t="s">
        <v>18</v>
      </c>
      <c r="T173" s="19" t="s">
        <v>213</v>
      </c>
    </row>
    <row r="174" spans="1:20" ht="37.5" customHeight="1" x14ac:dyDescent="0.25">
      <c r="A174" s="19" t="s">
        <v>214</v>
      </c>
      <c r="B174">
        <f t="shared" si="20"/>
        <v>10999</v>
      </c>
      <c r="C174">
        <v>1882</v>
      </c>
      <c r="D174">
        <v>9117</v>
      </c>
      <c r="F174">
        <f t="shared" si="21"/>
        <v>409</v>
      </c>
      <c r="G174" s="20">
        <f t="shared" si="22"/>
        <v>169</v>
      </c>
      <c r="H174" s="21">
        <v>66621070031</v>
      </c>
      <c r="I174" s="22">
        <v>199</v>
      </c>
      <c r="J174" s="23"/>
      <c r="K174" s="24">
        <v>10590</v>
      </c>
      <c r="L174" s="23">
        <f t="shared" si="16"/>
        <v>409</v>
      </c>
      <c r="M174" s="24">
        <v>1816</v>
      </c>
      <c r="N174" s="25">
        <f t="shared" si="17"/>
        <v>66</v>
      </c>
      <c r="O174" s="24">
        <v>8774</v>
      </c>
      <c r="P174" s="23">
        <f t="shared" si="18"/>
        <v>343</v>
      </c>
      <c r="Q174" s="26"/>
      <c r="R174" s="23">
        <f t="shared" si="19"/>
        <v>0</v>
      </c>
      <c r="S174" s="27" t="s">
        <v>18</v>
      </c>
      <c r="T174" s="19" t="s">
        <v>214</v>
      </c>
    </row>
    <row r="175" spans="1:20" ht="37.5" customHeight="1" x14ac:dyDescent="0.25">
      <c r="A175" s="19" t="s">
        <v>215</v>
      </c>
      <c r="B175">
        <f t="shared" si="20"/>
        <v>78598</v>
      </c>
      <c r="C175">
        <v>13551</v>
      </c>
      <c r="D175">
        <v>65047</v>
      </c>
      <c r="F175">
        <f t="shared" si="21"/>
        <v>194</v>
      </c>
      <c r="G175" s="20">
        <f t="shared" si="22"/>
        <v>170</v>
      </c>
      <c r="H175" s="21">
        <v>23015100478</v>
      </c>
      <c r="I175" s="22">
        <v>200</v>
      </c>
      <c r="J175" s="23"/>
      <c r="K175" s="24">
        <v>78404</v>
      </c>
      <c r="L175" s="23">
        <f t="shared" si="16"/>
        <v>194</v>
      </c>
      <c r="M175" s="24">
        <v>13514</v>
      </c>
      <c r="N175" s="25">
        <f t="shared" si="17"/>
        <v>37</v>
      </c>
      <c r="O175" s="24">
        <v>64890</v>
      </c>
      <c r="P175" s="23">
        <f t="shared" si="18"/>
        <v>157</v>
      </c>
      <c r="Q175" s="26"/>
      <c r="R175" s="23">
        <f t="shared" si="19"/>
        <v>0</v>
      </c>
      <c r="S175" s="27" t="s">
        <v>18</v>
      </c>
      <c r="T175" s="19" t="s">
        <v>215</v>
      </c>
    </row>
    <row r="176" spans="1:20" ht="37.5" customHeight="1" x14ac:dyDescent="0.25">
      <c r="A176" s="19" t="s">
        <v>216</v>
      </c>
      <c r="B176">
        <f t="shared" si="20"/>
        <v>66062</v>
      </c>
      <c r="C176">
        <v>11267</v>
      </c>
      <c r="D176">
        <v>54795</v>
      </c>
      <c r="F176">
        <f t="shared" si="21"/>
        <v>797</v>
      </c>
      <c r="G176" s="20">
        <f t="shared" si="22"/>
        <v>171</v>
      </c>
      <c r="H176" s="21">
        <v>23015010172</v>
      </c>
      <c r="I176" s="22">
        <v>202</v>
      </c>
      <c r="J176" s="23"/>
      <c r="K176" s="24">
        <v>65265</v>
      </c>
      <c r="L176" s="23">
        <f t="shared" si="16"/>
        <v>797</v>
      </c>
      <c r="M176" s="24">
        <v>11122</v>
      </c>
      <c r="N176" s="25">
        <f t="shared" si="17"/>
        <v>145</v>
      </c>
      <c r="O176" s="24">
        <v>54143</v>
      </c>
      <c r="P176" s="23">
        <f t="shared" si="18"/>
        <v>652</v>
      </c>
      <c r="Q176" s="26"/>
      <c r="R176" s="23">
        <f t="shared" si="19"/>
        <v>0</v>
      </c>
      <c r="S176" s="27" t="s">
        <v>18</v>
      </c>
      <c r="T176" s="19" t="s">
        <v>216</v>
      </c>
    </row>
    <row r="177" spans="1:20" ht="37.5" customHeight="1" x14ac:dyDescent="0.25">
      <c r="A177" s="19" t="s">
        <v>217</v>
      </c>
      <c r="B177">
        <f t="shared" si="20"/>
        <v>7887</v>
      </c>
      <c r="C177">
        <v>1568</v>
      </c>
      <c r="D177">
        <v>6319</v>
      </c>
      <c r="E177">
        <v>8669</v>
      </c>
      <c r="F177">
        <f t="shared" si="21"/>
        <v>760</v>
      </c>
      <c r="G177" s="20">
        <f t="shared" si="22"/>
        <v>172</v>
      </c>
      <c r="H177" s="21">
        <v>99624010117</v>
      </c>
      <c r="I177" s="22">
        <v>203</v>
      </c>
      <c r="J177" s="23"/>
      <c r="K177" s="24">
        <f>M177+O177</f>
        <v>7127</v>
      </c>
      <c r="L177" s="23">
        <f t="shared" si="16"/>
        <v>760</v>
      </c>
      <c r="M177" s="24">
        <v>1414</v>
      </c>
      <c r="N177" s="25">
        <f t="shared" si="17"/>
        <v>154</v>
      </c>
      <c r="O177" s="24">
        <v>5713</v>
      </c>
      <c r="P177" s="23">
        <f t="shared" si="18"/>
        <v>606</v>
      </c>
      <c r="Q177" s="26">
        <v>7888</v>
      </c>
      <c r="R177" s="23">
        <f t="shared" si="19"/>
        <v>781</v>
      </c>
      <c r="S177" s="27" t="s">
        <v>18</v>
      </c>
      <c r="T177" s="19" t="s">
        <v>217</v>
      </c>
    </row>
    <row r="178" spans="1:20" ht="37.5" customHeight="1" x14ac:dyDescent="0.25">
      <c r="A178" s="19" t="s">
        <v>218</v>
      </c>
      <c r="B178">
        <f t="shared" si="20"/>
        <v>2430</v>
      </c>
      <c r="C178">
        <v>729</v>
      </c>
      <c r="D178">
        <v>1701</v>
      </c>
      <c r="E178">
        <v>4297</v>
      </c>
      <c r="F178">
        <f t="shared" si="21"/>
        <v>384</v>
      </c>
      <c r="G178" s="20">
        <f t="shared" si="22"/>
        <v>173</v>
      </c>
      <c r="H178" s="21">
        <v>99624040034</v>
      </c>
      <c r="I178" s="22">
        <v>204</v>
      </c>
      <c r="J178" s="23"/>
      <c r="K178" s="24">
        <f>M178+O178</f>
        <v>2046</v>
      </c>
      <c r="L178" s="23">
        <f t="shared" si="16"/>
        <v>384</v>
      </c>
      <c r="M178" s="24">
        <v>616</v>
      </c>
      <c r="N178" s="25">
        <f t="shared" si="17"/>
        <v>113</v>
      </c>
      <c r="O178" s="24">
        <v>1430</v>
      </c>
      <c r="P178" s="23">
        <f t="shared" si="18"/>
        <v>271</v>
      </c>
      <c r="Q178" s="26">
        <v>3504</v>
      </c>
      <c r="R178" s="23">
        <f t="shared" si="19"/>
        <v>793</v>
      </c>
      <c r="S178" s="27" t="s">
        <v>18</v>
      </c>
      <c r="T178" s="19" t="s">
        <v>218</v>
      </c>
    </row>
    <row r="179" spans="1:20" ht="37.5" customHeight="1" x14ac:dyDescent="0.25">
      <c r="A179" s="19" t="s">
        <v>219</v>
      </c>
      <c r="B179">
        <f t="shared" si="20"/>
        <v>5534</v>
      </c>
      <c r="C179">
        <v>1150</v>
      </c>
      <c r="D179">
        <v>4384</v>
      </c>
      <c r="E179">
        <v>7776</v>
      </c>
      <c r="F179">
        <f t="shared" si="21"/>
        <v>270</v>
      </c>
      <c r="G179" s="20">
        <f t="shared" si="22"/>
        <v>174</v>
      </c>
      <c r="H179" s="21">
        <v>99624010070</v>
      </c>
      <c r="I179" s="22">
        <v>205</v>
      </c>
      <c r="J179" s="23"/>
      <c r="K179" s="24">
        <f>M179+O179</f>
        <v>5264</v>
      </c>
      <c r="L179" s="23">
        <f t="shared" si="16"/>
        <v>270</v>
      </c>
      <c r="M179" s="24">
        <v>1091</v>
      </c>
      <c r="N179" s="25">
        <f t="shared" si="17"/>
        <v>59</v>
      </c>
      <c r="O179" s="24">
        <v>4173</v>
      </c>
      <c r="P179" s="23">
        <f t="shared" si="18"/>
        <v>211</v>
      </c>
      <c r="Q179" s="26">
        <v>6815</v>
      </c>
      <c r="R179" s="23">
        <f t="shared" si="19"/>
        <v>961</v>
      </c>
      <c r="S179" s="27" t="s">
        <v>18</v>
      </c>
      <c r="T179" s="19" t="s">
        <v>219</v>
      </c>
    </row>
    <row r="180" spans="1:20" ht="37.5" customHeight="1" x14ac:dyDescent="0.25">
      <c r="A180" s="19" t="s">
        <v>220</v>
      </c>
      <c r="B180">
        <f t="shared" si="20"/>
        <v>4800</v>
      </c>
      <c r="C180">
        <v>790</v>
      </c>
      <c r="D180">
        <v>4010</v>
      </c>
      <c r="E180">
        <v>8722</v>
      </c>
      <c r="F180">
        <f t="shared" si="21"/>
        <v>26</v>
      </c>
      <c r="G180" s="20">
        <f t="shared" si="22"/>
        <v>175</v>
      </c>
      <c r="H180" s="21">
        <v>99623080143</v>
      </c>
      <c r="I180" s="22">
        <v>206</v>
      </c>
      <c r="J180" s="23"/>
      <c r="K180" s="24">
        <f>M180+O180</f>
        <v>4774</v>
      </c>
      <c r="L180" s="23">
        <f t="shared" si="16"/>
        <v>26</v>
      </c>
      <c r="M180" s="24">
        <v>783</v>
      </c>
      <c r="N180" s="25">
        <f t="shared" si="17"/>
        <v>7</v>
      </c>
      <c r="O180" s="24">
        <v>3991</v>
      </c>
      <c r="P180" s="23">
        <f t="shared" si="18"/>
        <v>19</v>
      </c>
      <c r="Q180" s="26">
        <v>7997</v>
      </c>
      <c r="R180" s="23">
        <f t="shared" si="19"/>
        <v>725</v>
      </c>
      <c r="S180" s="27" t="s">
        <v>18</v>
      </c>
      <c r="T180" s="19" t="s">
        <v>220</v>
      </c>
    </row>
    <row r="181" spans="1:20" ht="37.5" customHeight="1" x14ac:dyDescent="0.25">
      <c r="A181" s="19" t="s">
        <v>221</v>
      </c>
      <c r="B181">
        <f t="shared" si="20"/>
        <v>64343</v>
      </c>
      <c r="C181">
        <v>13723</v>
      </c>
      <c r="D181">
        <v>50620</v>
      </c>
      <c r="F181">
        <f t="shared" si="21"/>
        <v>415</v>
      </c>
      <c r="G181" s="20">
        <f t="shared" si="22"/>
        <v>176</v>
      </c>
      <c r="H181" s="21">
        <v>88819050367</v>
      </c>
      <c r="I181" s="22">
        <v>208</v>
      </c>
      <c r="J181" s="23"/>
      <c r="K181" s="24">
        <v>63928</v>
      </c>
      <c r="L181" s="23">
        <f t="shared" si="16"/>
        <v>415</v>
      </c>
      <c r="M181" s="24">
        <v>13644</v>
      </c>
      <c r="N181" s="25">
        <f t="shared" si="17"/>
        <v>79</v>
      </c>
      <c r="O181" s="24">
        <v>50284</v>
      </c>
      <c r="P181" s="23">
        <f t="shared" si="18"/>
        <v>336</v>
      </c>
      <c r="Q181" s="26"/>
      <c r="R181" s="23">
        <f t="shared" si="19"/>
        <v>0</v>
      </c>
      <c r="S181" s="27" t="s">
        <v>18</v>
      </c>
      <c r="T181" s="19" t="s">
        <v>221</v>
      </c>
    </row>
    <row r="182" spans="1:20" ht="37.5" customHeight="1" x14ac:dyDescent="0.25">
      <c r="A182" s="19" t="s">
        <v>222</v>
      </c>
      <c r="B182">
        <f t="shared" si="20"/>
        <v>7093</v>
      </c>
      <c r="C182">
        <v>1751</v>
      </c>
      <c r="D182">
        <v>5342</v>
      </c>
      <c r="E182">
        <v>8123</v>
      </c>
      <c r="F182">
        <f t="shared" si="21"/>
        <v>377</v>
      </c>
      <c r="G182" s="20">
        <f t="shared" si="22"/>
        <v>177</v>
      </c>
      <c r="H182" s="21">
        <v>99723070022</v>
      </c>
      <c r="I182" s="22">
        <v>209</v>
      </c>
      <c r="J182" s="23"/>
      <c r="K182" s="24">
        <f>M182+O182</f>
        <v>6716</v>
      </c>
      <c r="L182" s="23">
        <f t="shared" si="16"/>
        <v>377</v>
      </c>
      <c r="M182" s="24">
        <v>1644</v>
      </c>
      <c r="N182" s="25">
        <f t="shared" si="17"/>
        <v>107</v>
      </c>
      <c r="O182" s="24">
        <v>5072</v>
      </c>
      <c r="P182" s="23">
        <f t="shared" si="18"/>
        <v>270</v>
      </c>
      <c r="Q182" s="26">
        <v>7496</v>
      </c>
      <c r="R182" s="23">
        <f t="shared" si="19"/>
        <v>627</v>
      </c>
      <c r="S182" s="27" t="s">
        <v>18</v>
      </c>
      <c r="T182" s="19" t="s">
        <v>222</v>
      </c>
    </row>
    <row r="183" spans="1:20" ht="37.5" customHeight="1" x14ac:dyDescent="0.25">
      <c r="A183" s="19" t="s">
        <v>223</v>
      </c>
      <c r="B183">
        <f t="shared" si="20"/>
        <v>9465</v>
      </c>
      <c r="C183">
        <v>1651</v>
      </c>
      <c r="D183">
        <v>7814</v>
      </c>
      <c r="F183">
        <f t="shared" si="21"/>
        <v>529</v>
      </c>
      <c r="G183" s="20">
        <f t="shared" si="22"/>
        <v>178</v>
      </c>
      <c r="H183" s="21">
        <v>66622050230</v>
      </c>
      <c r="I183" s="22">
        <v>210</v>
      </c>
      <c r="J183" s="23"/>
      <c r="K183" s="24">
        <v>8936</v>
      </c>
      <c r="L183" s="23">
        <f t="shared" si="16"/>
        <v>529</v>
      </c>
      <c r="M183" s="24">
        <v>1585</v>
      </c>
      <c r="N183" s="25">
        <f t="shared" si="17"/>
        <v>66</v>
      </c>
      <c r="O183" s="24">
        <v>7351</v>
      </c>
      <c r="P183" s="23">
        <f t="shared" si="18"/>
        <v>463</v>
      </c>
      <c r="Q183" s="26"/>
      <c r="R183" s="23">
        <f t="shared" si="19"/>
        <v>0</v>
      </c>
      <c r="S183" s="27" t="s">
        <v>18</v>
      </c>
      <c r="T183" s="19" t="s">
        <v>223</v>
      </c>
    </row>
    <row r="184" spans="1:20" ht="37.5" customHeight="1" x14ac:dyDescent="0.25">
      <c r="A184" s="19" t="s">
        <v>224</v>
      </c>
      <c r="B184">
        <f t="shared" si="20"/>
        <v>52716</v>
      </c>
      <c r="C184">
        <v>9551</v>
      </c>
      <c r="D184">
        <v>43165</v>
      </c>
      <c r="F184">
        <f t="shared" si="21"/>
        <v>396</v>
      </c>
      <c r="G184" s="20">
        <f t="shared" si="22"/>
        <v>179</v>
      </c>
      <c r="H184" s="21">
        <v>23014090421</v>
      </c>
      <c r="I184" s="22">
        <v>211</v>
      </c>
      <c r="J184" s="23"/>
      <c r="K184" s="24">
        <v>52320</v>
      </c>
      <c r="L184" s="23">
        <f t="shared" si="16"/>
        <v>396</v>
      </c>
      <c r="M184" s="24">
        <v>9471</v>
      </c>
      <c r="N184" s="25">
        <f t="shared" si="17"/>
        <v>80</v>
      </c>
      <c r="O184" s="24">
        <v>42849</v>
      </c>
      <c r="P184" s="23">
        <f t="shared" si="18"/>
        <v>316</v>
      </c>
      <c r="Q184" s="26"/>
      <c r="R184" s="23">
        <f t="shared" si="19"/>
        <v>0</v>
      </c>
      <c r="S184" s="27" t="s">
        <v>18</v>
      </c>
      <c r="T184" s="19" t="s">
        <v>224</v>
      </c>
    </row>
    <row r="185" spans="1:20" ht="37.5" customHeight="1" x14ac:dyDescent="0.25">
      <c r="A185" s="19" t="s">
        <v>225</v>
      </c>
      <c r="B185">
        <f t="shared" si="20"/>
        <v>7086</v>
      </c>
      <c r="C185">
        <v>998</v>
      </c>
      <c r="D185">
        <v>6088</v>
      </c>
      <c r="E185">
        <v>7107</v>
      </c>
      <c r="F185">
        <f t="shared" si="21"/>
        <v>230</v>
      </c>
      <c r="G185" s="20">
        <f t="shared" si="22"/>
        <v>180</v>
      </c>
      <c r="H185" s="21">
        <v>99624010300</v>
      </c>
      <c r="I185" s="22">
        <v>213</v>
      </c>
      <c r="J185" s="23"/>
      <c r="K185" s="24">
        <f>M185+O185</f>
        <v>6856</v>
      </c>
      <c r="L185" s="23">
        <f t="shared" si="16"/>
        <v>230</v>
      </c>
      <c r="M185" s="24">
        <v>932</v>
      </c>
      <c r="N185" s="25">
        <f t="shared" si="17"/>
        <v>66</v>
      </c>
      <c r="O185" s="24">
        <v>5924</v>
      </c>
      <c r="P185" s="23">
        <f t="shared" si="18"/>
        <v>164</v>
      </c>
      <c r="Q185" s="26">
        <v>6162</v>
      </c>
      <c r="R185" s="23">
        <f t="shared" si="19"/>
        <v>945</v>
      </c>
      <c r="S185" s="27" t="s">
        <v>18</v>
      </c>
      <c r="T185" s="19" t="s">
        <v>225</v>
      </c>
    </row>
    <row r="186" spans="1:20" ht="37.5" customHeight="1" x14ac:dyDescent="0.25">
      <c r="A186" s="19" t="s">
        <v>226</v>
      </c>
      <c r="B186">
        <f t="shared" si="20"/>
        <v>65241</v>
      </c>
      <c r="C186">
        <v>9893</v>
      </c>
      <c r="D186">
        <v>55348</v>
      </c>
      <c r="F186">
        <f t="shared" si="21"/>
        <v>290</v>
      </c>
      <c r="G186" s="20">
        <f t="shared" si="22"/>
        <v>181</v>
      </c>
      <c r="H186" s="21">
        <v>23015101175</v>
      </c>
      <c r="I186" s="22">
        <v>214</v>
      </c>
      <c r="J186" s="23"/>
      <c r="K186" s="24">
        <v>64951</v>
      </c>
      <c r="L186" s="23">
        <f t="shared" si="16"/>
        <v>290</v>
      </c>
      <c r="M186" s="24">
        <v>9843</v>
      </c>
      <c r="N186" s="25">
        <f t="shared" si="17"/>
        <v>50</v>
      </c>
      <c r="O186" s="24">
        <v>55108</v>
      </c>
      <c r="P186" s="23">
        <f t="shared" si="18"/>
        <v>240</v>
      </c>
      <c r="Q186" s="26"/>
      <c r="R186" s="23">
        <f t="shared" si="19"/>
        <v>0</v>
      </c>
      <c r="S186" s="27" t="s">
        <v>18</v>
      </c>
      <c r="T186" s="19" t="s">
        <v>226</v>
      </c>
    </row>
    <row r="187" spans="1:20" ht="37.5" customHeight="1" x14ac:dyDescent="0.25">
      <c r="A187" s="19" t="s">
        <v>227</v>
      </c>
      <c r="B187">
        <f t="shared" si="20"/>
        <v>10524</v>
      </c>
      <c r="C187">
        <v>2052</v>
      </c>
      <c r="D187">
        <v>8472</v>
      </c>
      <c r="E187">
        <v>9286</v>
      </c>
      <c r="F187">
        <f t="shared" si="21"/>
        <v>368</v>
      </c>
      <c r="G187" s="20">
        <f t="shared" si="22"/>
        <v>182</v>
      </c>
      <c r="H187" s="21">
        <v>99723060193</v>
      </c>
      <c r="I187" s="22">
        <v>215</v>
      </c>
      <c r="J187" s="23"/>
      <c r="K187" s="24">
        <f>M187+O187</f>
        <v>10156</v>
      </c>
      <c r="L187" s="23">
        <f t="shared" si="16"/>
        <v>368</v>
      </c>
      <c r="M187" s="24">
        <v>1956</v>
      </c>
      <c r="N187" s="25">
        <f t="shared" si="17"/>
        <v>96</v>
      </c>
      <c r="O187" s="24">
        <v>8200</v>
      </c>
      <c r="P187" s="23">
        <f t="shared" si="18"/>
        <v>272</v>
      </c>
      <c r="Q187" s="26">
        <v>8582</v>
      </c>
      <c r="R187" s="23">
        <f t="shared" si="19"/>
        <v>704</v>
      </c>
      <c r="S187" s="27" t="s">
        <v>18</v>
      </c>
      <c r="T187" s="19" t="s">
        <v>227</v>
      </c>
    </row>
    <row r="188" spans="1:20" ht="37.5" customHeight="1" x14ac:dyDescent="0.25">
      <c r="A188" s="19" t="s">
        <v>228</v>
      </c>
      <c r="B188">
        <f t="shared" si="20"/>
        <v>89057</v>
      </c>
      <c r="C188">
        <v>14632</v>
      </c>
      <c r="D188">
        <v>74425</v>
      </c>
      <c r="F188">
        <f t="shared" si="21"/>
        <v>319</v>
      </c>
      <c r="G188" s="20">
        <f t="shared" si="22"/>
        <v>183</v>
      </c>
      <c r="H188" s="21">
        <v>23012110169</v>
      </c>
      <c r="I188" s="22">
        <v>216</v>
      </c>
      <c r="J188" s="23"/>
      <c r="K188" s="24">
        <v>88738</v>
      </c>
      <c r="L188" s="23">
        <f t="shared" si="16"/>
        <v>319</v>
      </c>
      <c r="M188" s="24">
        <v>14575</v>
      </c>
      <c r="N188" s="25">
        <f t="shared" si="17"/>
        <v>57</v>
      </c>
      <c r="O188" s="24">
        <v>74163</v>
      </c>
      <c r="P188" s="23">
        <f t="shared" si="18"/>
        <v>262</v>
      </c>
      <c r="Q188" s="26"/>
      <c r="R188" s="23">
        <f t="shared" si="19"/>
        <v>0</v>
      </c>
      <c r="S188" s="27" t="s">
        <v>18</v>
      </c>
      <c r="T188" s="19" t="s">
        <v>228</v>
      </c>
    </row>
    <row r="189" spans="1:20" ht="37.5" customHeight="1" x14ac:dyDescent="0.25">
      <c r="A189" s="19" t="s">
        <v>229</v>
      </c>
      <c r="B189">
        <f t="shared" si="20"/>
        <v>494</v>
      </c>
      <c r="C189">
        <v>127</v>
      </c>
      <c r="D189">
        <v>367</v>
      </c>
      <c r="E189">
        <v>2133</v>
      </c>
      <c r="F189">
        <f t="shared" si="21"/>
        <v>494</v>
      </c>
      <c r="G189" s="20">
        <f t="shared" si="22"/>
        <v>184</v>
      </c>
      <c r="H189" s="21">
        <v>99625010113</v>
      </c>
      <c r="I189" s="22">
        <v>217</v>
      </c>
      <c r="J189" s="23"/>
      <c r="K189" s="24">
        <v>0</v>
      </c>
      <c r="L189" s="23">
        <f t="shared" si="16"/>
        <v>494</v>
      </c>
      <c r="M189" s="24">
        <v>0</v>
      </c>
      <c r="N189" s="25">
        <f t="shared" si="17"/>
        <v>127</v>
      </c>
      <c r="O189" s="24">
        <v>0</v>
      </c>
      <c r="P189" s="23">
        <f t="shared" si="18"/>
        <v>367</v>
      </c>
      <c r="Q189" s="26">
        <v>0</v>
      </c>
      <c r="R189" s="23">
        <f t="shared" si="19"/>
        <v>2133</v>
      </c>
      <c r="S189" s="27" t="s">
        <v>18</v>
      </c>
      <c r="T189" s="19" t="s">
        <v>229</v>
      </c>
    </row>
    <row r="190" spans="1:20" ht="37.5" customHeight="1" x14ac:dyDescent="0.25">
      <c r="A190" s="19" t="s">
        <v>230</v>
      </c>
      <c r="B190">
        <f t="shared" si="20"/>
        <v>17718</v>
      </c>
      <c r="C190">
        <v>2404</v>
      </c>
      <c r="D190">
        <v>15314</v>
      </c>
      <c r="F190">
        <f t="shared" si="21"/>
        <v>170</v>
      </c>
      <c r="G190" s="20">
        <f t="shared" si="22"/>
        <v>185</v>
      </c>
      <c r="H190" s="21">
        <v>66618010145</v>
      </c>
      <c r="I190" s="22">
        <v>218</v>
      </c>
      <c r="J190" s="23"/>
      <c r="K190" s="24">
        <v>17548</v>
      </c>
      <c r="L190" s="23">
        <f t="shared" si="16"/>
        <v>170</v>
      </c>
      <c r="M190" s="24">
        <v>2379</v>
      </c>
      <c r="N190" s="25">
        <f t="shared" si="17"/>
        <v>25</v>
      </c>
      <c r="O190" s="24">
        <v>15169</v>
      </c>
      <c r="P190" s="23">
        <f t="shared" si="18"/>
        <v>145</v>
      </c>
      <c r="Q190" s="26"/>
      <c r="R190" s="23">
        <f t="shared" si="19"/>
        <v>0</v>
      </c>
      <c r="S190" s="27" t="s">
        <v>18</v>
      </c>
      <c r="T190" s="19" t="s">
        <v>230</v>
      </c>
    </row>
    <row r="191" spans="1:20" ht="37.5" customHeight="1" x14ac:dyDescent="0.25">
      <c r="A191" s="19" t="s">
        <v>231</v>
      </c>
      <c r="B191">
        <f t="shared" si="20"/>
        <v>23114</v>
      </c>
      <c r="C191">
        <v>3557</v>
      </c>
      <c r="D191">
        <v>19557</v>
      </c>
      <c r="F191">
        <f t="shared" si="21"/>
        <v>167</v>
      </c>
      <c r="G191" s="20">
        <f t="shared" si="22"/>
        <v>186</v>
      </c>
      <c r="H191" s="21">
        <v>88820010463</v>
      </c>
      <c r="I191" s="22">
        <v>219</v>
      </c>
      <c r="J191" s="23"/>
      <c r="K191" s="24">
        <v>22947</v>
      </c>
      <c r="L191" s="23">
        <f t="shared" si="16"/>
        <v>167</v>
      </c>
      <c r="M191" s="24">
        <v>3525</v>
      </c>
      <c r="N191" s="25">
        <f t="shared" si="17"/>
        <v>32</v>
      </c>
      <c r="O191" s="24">
        <v>19422</v>
      </c>
      <c r="P191" s="23">
        <f t="shared" si="18"/>
        <v>135</v>
      </c>
      <c r="Q191" s="26"/>
      <c r="R191" s="23">
        <f t="shared" si="19"/>
        <v>0</v>
      </c>
      <c r="S191" s="27" t="s">
        <v>18</v>
      </c>
      <c r="T191" s="19" t="s">
        <v>231</v>
      </c>
    </row>
    <row r="192" spans="1:20" ht="37.5" customHeight="1" x14ac:dyDescent="0.25">
      <c r="A192" s="19" t="s">
        <v>232</v>
      </c>
      <c r="B192">
        <f t="shared" si="20"/>
        <v>2501</v>
      </c>
      <c r="C192">
        <v>623</v>
      </c>
      <c r="D192">
        <v>1878</v>
      </c>
      <c r="E192">
        <v>5370</v>
      </c>
      <c r="F192">
        <f t="shared" si="21"/>
        <v>399</v>
      </c>
      <c r="G192" s="20">
        <f t="shared" si="22"/>
        <v>187</v>
      </c>
      <c r="H192" s="21">
        <v>99624040195</v>
      </c>
      <c r="I192" s="22">
        <v>221</v>
      </c>
      <c r="J192" s="23"/>
      <c r="K192" s="24">
        <f>M192+O192</f>
        <v>2102</v>
      </c>
      <c r="L192" s="23">
        <f t="shared" si="16"/>
        <v>399</v>
      </c>
      <c r="M192" s="24">
        <v>512</v>
      </c>
      <c r="N192" s="25">
        <f t="shared" si="17"/>
        <v>111</v>
      </c>
      <c r="O192" s="24">
        <v>1590</v>
      </c>
      <c r="P192" s="23">
        <f t="shared" si="18"/>
        <v>288</v>
      </c>
      <c r="Q192" s="26">
        <v>4301</v>
      </c>
      <c r="R192" s="23">
        <f t="shared" si="19"/>
        <v>1069</v>
      </c>
      <c r="S192" s="27" t="s">
        <v>18</v>
      </c>
      <c r="T192" s="19" t="s">
        <v>232</v>
      </c>
    </row>
    <row r="193" spans="1:20" ht="37.5" customHeight="1" x14ac:dyDescent="0.25">
      <c r="A193" s="19" t="s">
        <v>233</v>
      </c>
      <c r="B193">
        <f t="shared" si="20"/>
        <v>8185</v>
      </c>
      <c r="C193">
        <v>1520</v>
      </c>
      <c r="D193">
        <v>6665</v>
      </c>
      <c r="E193">
        <v>8043</v>
      </c>
      <c r="F193">
        <f t="shared" si="21"/>
        <v>406</v>
      </c>
      <c r="G193" s="20">
        <f t="shared" si="22"/>
        <v>188</v>
      </c>
      <c r="H193" s="21">
        <v>99623080318</v>
      </c>
      <c r="I193" s="22">
        <v>222</v>
      </c>
      <c r="J193" s="23"/>
      <c r="K193" s="24">
        <f>M193+O193</f>
        <v>7779</v>
      </c>
      <c r="L193" s="23">
        <f t="shared" si="16"/>
        <v>406</v>
      </c>
      <c r="M193" s="24">
        <v>1426</v>
      </c>
      <c r="N193" s="25">
        <f t="shared" si="17"/>
        <v>94</v>
      </c>
      <c r="O193" s="24">
        <v>6353</v>
      </c>
      <c r="P193" s="23">
        <f t="shared" si="18"/>
        <v>312</v>
      </c>
      <c r="Q193" s="26">
        <v>7339</v>
      </c>
      <c r="R193" s="23">
        <f t="shared" si="19"/>
        <v>704</v>
      </c>
      <c r="S193" s="27" t="s">
        <v>18</v>
      </c>
      <c r="T193" s="19" t="s">
        <v>233</v>
      </c>
    </row>
    <row r="194" spans="1:20" ht="37.5" customHeight="1" x14ac:dyDescent="0.25">
      <c r="A194" s="19" t="s">
        <v>234</v>
      </c>
      <c r="B194">
        <f t="shared" si="20"/>
        <v>38002</v>
      </c>
      <c r="C194">
        <v>6771</v>
      </c>
      <c r="D194">
        <v>31231</v>
      </c>
      <c r="F194">
        <f t="shared" si="21"/>
        <v>125</v>
      </c>
      <c r="G194" s="20">
        <f t="shared" si="22"/>
        <v>189</v>
      </c>
      <c r="H194" s="21">
        <v>88819010481</v>
      </c>
      <c r="I194" s="22">
        <v>223</v>
      </c>
      <c r="J194" s="23"/>
      <c r="K194" s="24">
        <v>37877</v>
      </c>
      <c r="L194" s="23">
        <f t="shared" si="16"/>
        <v>125</v>
      </c>
      <c r="M194" s="24">
        <v>6751</v>
      </c>
      <c r="N194" s="25">
        <f t="shared" si="17"/>
        <v>20</v>
      </c>
      <c r="O194" s="24">
        <v>31126</v>
      </c>
      <c r="P194" s="23">
        <f t="shared" si="18"/>
        <v>105</v>
      </c>
      <c r="Q194" s="26"/>
      <c r="R194" s="23">
        <f t="shared" si="19"/>
        <v>0</v>
      </c>
      <c r="S194" s="27" t="s">
        <v>18</v>
      </c>
      <c r="T194" s="19" t="s">
        <v>234</v>
      </c>
    </row>
    <row r="195" spans="1:20" ht="37.5" customHeight="1" x14ac:dyDescent="0.25">
      <c r="A195" s="19" t="s">
        <v>235</v>
      </c>
      <c r="B195">
        <f t="shared" si="20"/>
        <v>48451</v>
      </c>
      <c r="C195">
        <v>6410</v>
      </c>
      <c r="D195">
        <v>42041</v>
      </c>
      <c r="F195">
        <f t="shared" si="21"/>
        <v>1567</v>
      </c>
      <c r="G195" s="20">
        <f t="shared" si="22"/>
        <v>190</v>
      </c>
      <c r="H195" s="21">
        <v>66622010139</v>
      </c>
      <c r="I195" s="22">
        <v>226</v>
      </c>
      <c r="J195" s="23"/>
      <c r="K195" s="24">
        <v>46884</v>
      </c>
      <c r="L195" s="23">
        <f t="shared" si="16"/>
        <v>1567</v>
      </c>
      <c r="M195" s="24">
        <v>6196</v>
      </c>
      <c r="N195" s="25">
        <f t="shared" si="17"/>
        <v>214</v>
      </c>
      <c r="O195" s="24">
        <v>40688</v>
      </c>
      <c r="P195" s="23">
        <f t="shared" si="18"/>
        <v>1353</v>
      </c>
      <c r="Q195" s="26"/>
      <c r="R195" s="23">
        <f t="shared" si="19"/>
        <v>0</v>
      </c>
      <c r="S195" s="27" t="s">
        <v>18</v>
      </c>
      <c r="T195" s="19" t="s">
        <v>235</v>
      </c>
    </row>
    <row r="196" spans="1:20" ht="37.5" customHeight="1" x14ac:dyDescent="0.25">
      <c r="A196" s="19" t="s">
        <v>236</v>
      </c>
      <c r="B196">
        <f t="shared" si="20"/>
        <v>74236</v>
      </c>
      <c r="C196">
        <v>18024</v>
      </c>
      <c r="D196">
        <v>56212</v>
      </c>
      <c r="F196">
        <f t="shared" si="21"/>
        <v>358</v>
      </c>
      <c r="G196" s="20">
        <f t="shared" si="22"/>
        <v>191</v>
      </c>
      <c r="H196" s="21">
        <v>23011010073</v>
      </c>
      <c r="I196" s="22">
        <v>227</v>
      </c>
      <c r="J196" s="23"/>
      <c r="K196" s="24">
        <v>73878</v>
      </c>
      <c r="L196" s="23">
        <f t="shared" si="16"/>
        <v>358</v>
      </c>
      <c r="M196" s="24">
        <v>17948</v>
      </c>
      <c r="N196" s="25">
        <f t="shared" si="17"/>
        <v>76</v>
      </c>
      <c r="O196" s="24">
        <v>55930</v>
      </c>
      <c r="P196" s="23">
        <f t="shared" si="18"/>
        <v>282</v>
      </c>
      <c r="Q196" s="26"/>
      <c r="R196" s="23">
        <f t="shared" si="19"/>
        <v>0</v>
      </c>
      <c r="S196" s="27" t="s">
        <v>18</v>
      </c>
      <c r="T196" s="19" t="s">
        <v>236</v>
      </c>
    </row>
    <row r="197" spans="1:20" ht="37.5" customHeight="1" x14ac:dyDescent="0.25">
      <c r="A197" s="19" t="s">
        <v>237</v>
      </c>
      <c r="B197">
        <f t="shared" si="20"/>
        <v>73156</v>
      </c>
      <c r="C197">
        <v>13369</v>
      </c>
      <c r="D197">
        <v>59787</v>
      </c>
      <c r="F197">
        <f t="shared" si="21"/>
        <v>538</v>
      </c>
      <c r="G197" s="20">
        <f t="shared" si="22"/>
        <v>192</v>
      </c>
      <c r="H197" s="21">
        <v>23012110041</v>
      </c>
      <c r="I197" s="22">
        <v>230</v>
      </c>
      <c r="J197" s="23"/>
      <c r="K197" s="24">
        <v>72618</v>
      </c>
      <c r="L197" s="23">
        <f t="shared" si="16"/>
        <v>538</v>
      </c>
      <c r="M197" s="24">
        <v>13279</v>
      </c>
      <c r="N197" s="25">
        <f t="shared" si="17"/>
        <v>90</v>
      </c>
      <c r="O197" s="24">
        <v>59339</v>
      </c>
      <c r="P197" s="23">
        <f t="shared" si="18"/>
        <v>448</v>
      </c>
      <c r="Q197" s="26"/>
      <c r="R197" s="23">
        <f t="shared" si="19"/>
        <v>0</v>
      </c>
      <c r="S197" s="27" t="s">
        <v>18</v>
      </c>
      <c r="T197" s="19" t="s">
        <v>237</v>
      </c>
    </row>
    <row r="198" spans="1:20" ht="37.5" customHeight="1" x14ac:dyDescent="0.25">
      <c r="A198" s="19" t="s">
        <v>238</v>
      </c>
      <c r="B198">
        <f t="shared" si="20"/>
        <v>6575</v>
      </c>
      <c r="C198">
        <v>1826</v>
      </c>
      <c r="D198">
        <v>4749</v>
      </c>
      <c r="E198">
        <v>16830</v>
      </c>
      <c r="F198">
        <f t="shared" si="21"/>
        <v>462</v>
      </c>
      <c r="G198" s="20">
        <f t="shared" si="22"/>
        <v>193</v>
      </c>
      <c r="H198" s="21">
        <v>99623080256</v>
      </c>
      <c r="I198" s="22">
        <v>232</v>
      </c>
      <c r="J198" s="23"/>
      <c r="K198" s="24">
        <f>M198+O198</f>
        <v>6113</v>
      </c>
      <c r="L198" s="23">
        <f t="shared" ref="L198:L261" si="23">B198-K198</f>
        <v>462</v>
      </c>
      <c r="M198" s="24">
        <v>1680</v>
      </c>
      <c r="N198" s="25">
        <f t="shared" ref="N198:N261" si="24">C198-M198</f>
        <v>146</v>
      </c>
      <c r="O198" s="24">
        <v>4433</v>
      </c>
      <c r="P198" s="23">
        <f t="shared" ref="P198:P261" si="25">D198-O198</f>
        <v>316</v>
      </c>
      <c r="Q198" s="26">
        <v>15448</v>
      </c>
      <c r="R198" s="23">
        <f t="shared" ref="R198:R261" si="26">E198-Q198</f>
        <v>1382</v>
      </c>
      <c r="S198" s="27" t="s">
        <v>18</v>
      </c>
      <c r="T198" s="19" t="s">
        <v>238</v>
      </c>
    </row>
    <row r="199" spans="1:20" ht="37.5" customHeight="1" x14ac:dyDescent="0.25">
      <c r="A199" s="19" t="s">
        <v>239</v>
      </c>
      <c r="B199">
        <f t="shared" ref="B199:B262" si="27">C199+D199</f>
        <v>82077</v>
      </c>
      <c r="C199">
        <v>13371</v>
      </c>
      <c r="D199">
        <v>68706</v>
      </c>
      <c r="F199">
        <f t="shared" ref="F199:F262" si="28">L199</f>
        <v>653</v>
      </c>
      <c r="G199" s="20">
        <f t="shared" si="22"/>
        <v>194</v>
      </c>
      <c r="H199" s="21">
        <v>23015100455</v>
      </c>
      <c r="I199" s="22">
        <v>233</v>
      </c>
      <c r="J199" s="23"/>
      <c r="K199" s="24">
        <v>81424</v>
      </c>
      <c r="L199" s="23">
        <f t="shared" si="23"/>
        <v>653</v>
      </c>
      <c r="M199" s="24">
        <v>13246</v>
      </c>
      <c r="N199" s="25">
        <f t="shared" si="24"/>
        <v>125</v>
      </c>
      <c r="O199" s="24">
        <v>68178</v>
      </c>
      <c r="P199" s="23">
        <f t="shared" si="25"/>
        <v>528</v>
      </c>
      <c r="Q199" s="26"/>
      <c r="R199" s="23">
        <f t="shared" si="26"/>
        <v>0</v>
      </c>
      <c r="S199" s="27" t="s">
        <v>18</v>
      </c>
      <c r="T199" s="19" t="s">
        <v>239</v>
      </c>
    </row>
    <row r="200" spans="1:20" ht="37.5" customHeight="1" x14ac:dyDescent="0.25">
      <c r="A200" s="19" t="s">
        <v>240</v>
      </c>
      <c r="B200">
        <f t="shared" si="27"/>
        <v>111138</v>
      </c>
      <c r="C200">
        <v>20616</v>
      </c>
      <c r="D200">
        <v>90522</v>
      </c>
      <c r="F200">
        <f t="shared" si="28"/>
        <v>973</v>
      </c>
      <c r="G200" s="20">
        <f t="shared" ref="G200:G263" si="29">G199+1</f>
        <v>195</v>
      </c>
      <c r="H200" s="21">
        <v>23011100041</v>
      </c>
      <c r="I200" s="22">
        <v>234</v>
      </c>
      <c r="J200" s="23"/>
      <c r="K200" s="24">
        <v>110165</v>
      </c>
      <c r="L200" s="23">
        <f t="shared" si="23"/>
        <v>973</v>
      </c>
      <c r="M200" s="24">
        <v>20463</v>
      </c>
      <c r="N200" s="25">
        <f t="shared" si="24"/>
        <v>153</v>
      </c>
      <c r="O200" s="24">
        <v>89702</v>
      </c>
      <c r="P200" s="23">
        <f t="shared" si="25"/>
        <v>820</v>
      </c>
      <c r="Q200" s="26"/>
      <c r="R200" s="23">
        <f t="shared" si="26"/>
        <v>0</v>
      </c>
      <c r="S200" s="27" t="s">
        <v>18</v>
      </c>
      <c r="T200" s="19" t="s">
        <v>240</v>
      </c>
    </row>
    <row r="201" spans="1:20" ht="37.5" customHeight="1" x14ac:dyDescent="0.25">
      <c r="A201" s="19" t="s">
        <v>241</v>
      </c>
      <c r="B201">
        <f t="shared" si="27"/>
        <v>38763</v>
      </c>
      <c r="C201">
        <v>5740</v>
      </c>
      <c r="D201">
        <v>33023</v>
      </c>
      <c r="F201">
        <f t="shared" si="28"/>
        <v>811</v>
      </c>
      <c r="G201" s="20">
        <f t="shared" si="29"/>
        <v>196</v>
      </c>
      <c r="H201" s="21">
        <v>66621090083</v>
      </c>
      <c r="I201" s="22">
        <v>235</v>
      </c>
      <c r="J201" s="23"/>
      <c r="K201" s="24">
        <v>37952</v>
      </c>
      <c r="L201" s="23">
        <f t="shared" si="23"/>
        <v>811</v>
      </c>
      <c r="M201" s="24">
        <v>5631</v>
      </c>
      <c r="N201" s="25">
        <f t="shared" si="24"/>
        <v>109</v>
      </c>
      <c r="O201" s="24">
        <v>32321</v>
      </c>
      <c r="P201" s="23">
        <f t="shared" si="25"/>
        <v>702</v>
      </c>
      <c r="Q201" s="26"/>
      <c r="R201" s="23">
        <f t="shared" si="26"/>
        <v>0</v>
      </c>
      <c r="S201" s="27" t="s">
        <v>18</v>
      </c>
      <c r="T201" s="19" t="s">
        <v>241</v>
      </c>
    </row>
    <row r="202" spans="1:20" ht="37.5" customHeight="1" x14ac:dyDescent="0.25">
      <c r="A202" s="19" t="s">
        <v>242</v>
      </c>
      <c r="B202">
        <f t="shared" si="27"/>
        <v>83099</v>
      </c>
      <c r="C202">
        <v>14181</v>
      </c>
      <c r="D202">
        <v>68918</v>
      </c>
      <c r="F202">
        <f t="shared" si="28"/>
        <v>854</v>
      </c>
      <c r="G202" s="20">
        <f t="shared" si="29"/>
        <v>197</v>
      </c>
      <c r="H202" s="21">
        <v>23012060032</v>
      </c>
      <c r="I202" s="22">
        <v>236</v>
      </c>
      <c r="J202" s="23"/>
      <c r="K202" s="24">
        <v>82245</v>
      </c>
      <c r="L202" s="23">
        <f t="shared" si="23"/>
        <v>854</v>
      </c>
      <c r="M202" s="24">
        <v>14001</v>
      </c>
      <c r="N202" s="25">
        <f t="shared" si="24"/>
        <v>180</v>
      </c>
      <c r="O202" s="24">
        <v>68244</v>
      </c>
      <c r="P202" s="23">
        <f t="shared" si="25"/>
        <v>674</v>
      </c>
      <c r="Q202" s="26"/>
      <c r="R202" s="23">
        <f t="shared" si="26"/>
        <v>0</v>
      </c>
      <c r="S202" s="27" t="s">
        <v>18</v>
      </c>
      <c r="T202" s="19" t="s">
        <v>242</v>
      </c>
    </row>
    <row r="203" spans="1:20" ht="37.5" customHeight="1" x14ac:dyDescent="0.25">
      <c r="A203" s="19" t="s">
        <v>243</v>
      </c>
      <c r="B203">
        <f t="shared" si="27"/>
        <v>313200</v>
      </c>
      <c r="C203">
        <v>61097</v>
      </c>
      <c r="D203">
        <v>252103</v>
      </c>
      <c r="F203">
        <f t="shared" si="28"/>
        <v>4248</v>
      </c>
      <c r="G203" s="20">
        <f t="shared" si="29"/>
        <v>198</v>
      </c>
      <c r="H203" s="21">
        <v>66618010367</v>
      </c>
      <c r="I203" s="22">
        <v>238</v>
      </c>
      <c r="J203" s="23"/>
      <c r="K203" s="24">
        <v>308952</v>
      </c>
      <c r="L203" s="23">
        <f t="shared" si="23"/>
        <v>4248</v>
      </c>
      <c r="M203" s="24">
        <v>60271</v>
      </c>
      <c r="N203" s="25">
        <f t="shared" si="24"/>
        <v>826</v>
      </c>
      <c r="O203" s="24">
        <v>248681</v>
      </c>
      <c r="P203" s="23">
        <f t="shared" si="25"/>
        <v>3422</v>
      </c>
      <c r="Q203" s="26"/>
      <c r="R203" s="23">
        <f t="shared" si="26"/>
        <v>0</v>
      </c>
      <c r="S203" s="27" t="s">
        <v>18</v>
      </c>
      <c r="T203" s="19" t="s">
        <v>243</v>
      </c>
    </row>
    <row r="204" spans="1:20" ht="37.5" customHeight="1" x14ac:dyDescent="0.25">
      <c r="A204" s="19" t="s">
        <v>244</v>
      </c>
      <c r="B204">
        <f t="shared" si="27"/>
        <v>21622</v>
      </c>
      <c r="C204">
        <v>4800</v>
      </c>
      <c r="D204">
        <v>16822</v>
      </c>
      <c r="F204">
        <f t="shared" si="28"/>
        <v>2398</v>
      </c>
      <c r="G204" s="20">
        <f t="shared" si="29"/>
        <v>199</v>
      </c>
      <c r="H204" s="21">
        <v>66622020333</v>
      </c>
      <c r="I204" s="22">
        <v>239</v>
      </c>
      <c r="J204" s="23"/>
      <c r="K204" s="24">
        <v>19224</v>
      </c>
      <c r="L204" s="23">
        <f t="shared" si="23"/>
        <v>2398</v>
      </c>
      <c r="M204" s="24">
        <v>4311</v>
      </c>
      <c r="N204" s="25">
        <f t="shared" si="24"/>
        <v>489</v>
      </c>
      <c r="O204" s="24">
        <v>14913</v>
      </c>
      <c r="P204" s="23">
        <f t="shared" si="25"/>
        <v>1909</v>
      </c>
      <c r="Q204" s="26"/>
      <c r="R204" s="23">
        <f t="shared" si="26"/>
        <v>0</v>
      </c>
      <c r="S204" s="27" t="s">
        <v>18</v>
      </c>
      <c r="T204" s="19" t="s">
        <v>244</v>
      </c>
    </row>
    <row r="205" spans="1:20" ht="37.5" customHeight="1" x14ac:dyDescent="0.25">
      <c r="A205" s="19" t="s">
        <v>245</v>
      </c>
      <c r="B205">
        <f t="shared" si="27"/>
        <v>12647</v>
      </c>
      <c r="C205">
        <v>1915</v>
      </c>
      <c r="D205">
        <v>10732</v>
      </c>
      <c r="F205">
        <f t="shared" si="28"/>
        <v>194</v>
      </c>
      <c r="G205" s="20">
        <f t="shared" si="29"/>
        <v>200</v>
      </c>
      <c r="H205" s="21">
        <v>66616020018</v>
      </c>
      <c r="I205" s="22">
        <v>240</v>
      </c>
      <c r="J205" s="23"/>
      <c r="K205" s="24">
        <v>12453</v>
      </c>
      <c r="L205" s="23">
        <f t="shared" si="23"/>
        <v>194</v>
      </c>
      <c r="M205" s="24">
        <v>1886</v>
      </c>
      <c r="N205" s="25">
        <f t="shared" si="24"/>
        <v>29</v>
      </c>
      <c r="O205" s="24">
        <v>10567</v>
      </c>
      <c r="P205" s="23">
        <f t="shared" si="25"/>
        <v>165</v>
      </c>
      <c r="Q205" s="26"/>
      <c r="R205" s="23">
        <f t="shared" si="26"/>
        <v>0</v>
      </c>
      <c r="S205" s="27" t="s">
        <v>18</v>
      </c>
      <c r="T205" s="19" t="s">
        <v>245</v>
      </c>
    </row>
    <row r="206" spans="1:20" ht="37.5" customHeight="1" x14ac:dyDescent="0.25">
      <c r="A206" s="19" t="s">
        <v>246</v>
      </c>
      <c r="B206">
        <f t="shared" si="27"/>
        <v>34994</v>
      </c>
      <c r="C206">
        <v>8271</v>
      </c>
      <c r="D206">
        <v>26723</v>
      </c>
      <c r="F206">
        <f t="shared" si="28"/>
        <v>2958</v>
      </c>
      <c r="G206" s="20">
        <f t="shared" si="29"/>
        <v>201</v>
      </c>
      <c r="H206" s="21">
        <v>66616020166</v>
      </c>
      <c r="I206" s="22">
        <v>241</v>
      </c>
      <c r="J206" s="23"/>
      <c r="K206" s="24">
        <v>32036</v>
      </c>
      <c r="L206" s="23">
        <f t="shared" si="23"/>
        <v>2958</v>
      </c>
      <c r="M206" s="24">
        <v>6089</v>
      </c>
      <c r="N206" s="25">
        <f t="shared" si="24"/>
        <v>2182</v>
      </c>
      <c r="O206" s="24">
        <v>25947</v>
      </c>
      <c r="P206" s="23">
        <f t="shared" si="25"/>
        <v>776</v>
      </c>
      <c r="Q206" s="26"/>
      <c r="R206" s="23">
        <f t="shared" si="26"/>
        <v>0</v>
      </c>
      <c r="S206" s="27" t="s">
        <v>18</v>
      </c>
      <c r="T206" s="19" t="s">
        <v>246</v>
      </c>
    </row>
    <row r="207" spans="1:20" ht="37.5" customHeight="1" x14ac:dyDescent="0.25">
      <c r="A207" s="19" t="s">
        <v>247</v>
      </c>
      <c r="B207">
        <f t="shared" si="27"/>
        <v>3505</v>
      </c>
      <c r="C207">
        <v>1129</v>
      </c>
      <c r="D207">
        <v>2376</v>
      </c>
      <c r="E207">
        <v>4058</v>
      </c>
      <c r="F207">
        <f t="shared" si="28"/>
        <v>781</v>
      </c>
      <c r="G207" s="20">
        <f t="shared" si="29"/>
        <v>202</v>
      </c>
      <c r="H207" s="21">
        <v>99624050187</v>
      </c>
      <c r="I207" s="22">
        <v>242</v>
      </c>
      <c r="J207" s="23"/>
      <c r="K207" s="24">
        <f>M207+O207</f>
        <v>2724</v>
      </c>
      <c r="L207" s="23">
        <f t="shared" si="23"/>
        <v>781</v>
      </c>
      <c r="M207" s="24">
        <v>874</v>
      </c>
      <c r="N207" s="25">
        <f t="shared" si="24"/>
        <v>255</v>
      </c>
      <c r="O207" s="24">
        <v>1850</v>
      </c>
      <c r="P207" s="23">
        <f t="shared" si="25"/>
        <v>526</v>
      </c>
      <c r="Q207" s="26">
        <v>2579</v>
      </c>
      <c r="R207" s="23">
        <f t="shared" si="26"/>
        <v>1479</v>
      </c>
      <c r="S207" s="27" t="s">
        <v>18</v>
      </c>
      <c r="T207" s="19" t="s">
        <v>247</v>
      </c>
    </row>
    <row r="208" spans="1:20" ht="37.5" customHeight="1" x14ac:dyDescent="0.25">
      <c r="A208" s="19" t="s">
        <v>248</v>
      </c>
      <c r="B208">
        <f t="shared" si="27"/>
        <v>23744</v>
      </c>
      <c r="C208">
        <v>5863</v>
      </c>
      <c r="D208">
        <v>17881</v>
      </c>
      <c r="E208">
        <v>19177</v>
      </c>
      <c r="F208">
        <f t="shared" si="28"/>
        <v>1781</v>
      </c>
      <c r="G208" s="20">
        <f t="shared" si="29"/>
        <v>203</v>
      </c>
      <c r="H208" s="21">
        <v>99723010074</v>
      </c>
      <c r="I208" s="22">
        <v>243</v>
      </c>
      <c r="J208" s="23"/>
      <c r="K208" s="24">
        <f>M208+O208</f>
        <v>21963</v>
      </c>
      <c r="L208" s="23">
        <f t="shared" si="23"/>
        <v>1781</v>
      </c>
      <c r="M208" s="24">
        <v>5435</v>
      </c>
      <c r="N208" s="25">
        <f t="shared" si="24"/>
        <v>428</v>
      </c>
      <c r="O208" s="24">
        <v>16528</v>
      </c>
      <c r="P208" s="23">
        <f t="shared" si="25"/>
        <v>1353</v>
      </c>
      <c r="Q208" s="26">
        <v>17922</v>
      </c>
      <c r="R208" s="23">
        <f t="shared" si="26"/>
        <v>1255</v>
      </c>
      <c r="S208" s="27" t="s">
        <v>18</v>
      </c>
      <c r="T208" s="19" t="s">
        <v>248</v>
      </c>
    </row>
    <row r="209" spans="1:20" ht="37.5" customHeight="1" x14ac:dyDescent="0.25">
      <c r="A209" s="19" t="s">
        <v>249</v>
      </c>
      <c r="B209">
        <f t="shared" si="27"/>
        <v>3367</v>
      </c>
      <c r="C209">
        <v>742</v>
      </c>
      <c r="D209">
        <v>2625</v>
      </c>
      <c r="F209">
        <f t="shared" si="28"/>
        <v>1340</v>
      </c>
      <c r="G209" s="20">
        <f t="shared" si="29"/>
        <v>204</v>
      </c>
      <c r="H209" s="21">
        <v>66624030131</v>
      </c>
      <c r="I209" s="22">
        <v>246</v>
      </c>
      <c r="J209" s="23"/>
      <c r="K209" s="24">
        <v>2027</v>
      </c>
      <c r="L209" s="23">
        <f t="shared" si="23"/>
        <v>1340</v>
      </c>
      <c r="M209" s="24">
        <v>482</v>
      </c>
      <c r="N209" s="25">
        <f t="shared" si="24"/>
        <v>260</v>
      </c>
      <c r="O209" s="24">
        <v>1545</v>
      </c>
      <c r="P209" s="23">
        <f t="shared" si="25"/>
        <v>1080</v>
      </c>
      <c r="Q209" s="26"/>
      <c r="R209" s="23">
        <f t="shared" si="26"/>
        <v>0</v>
      </c>
      <c r="S209" s="27" t="s">
        <v>18</v>
      </c>
      <c r="T209" s="19" t="s">
        <v>249</v>
      </c>
    </row>
    <row r="210" spans="1:20" ht="37.5" customHeight="1" x14ac:dyDescent="0.25">
      <c r="A210" s="19" t="s">
        <v>250</v>
      </c>
      <c r="B210">
        <f t="shared" si="27"/>
        <v>3889</v>
      </c>
      <c r="C210">
        <v>869</v>
      </c>
      <c r="D210">
        <v>3020</v>
      </c>
      <c r="F210">
        <f t="shared" si="28"/>
        <v>301</v>
      </c>
      <c r="G210" s="20">
        <f t="shared" si="29"/>
        <v>205</v>
      </c>
      <c r="H210" s="21">
        <v>66623030501</v>
      </c>
      <c r="I210" s="22">
        <v>247</v>
      </c>
      <c r="J210" s="23"/>
      <c r="K210" s="24">
        <v>3588</v>
      </c>
      <c r="L210" s="23">
        <f t="shared" si="23"/>
        <v>301</v>
      </c>
      <c r="M210" s="24">
        <v>810</v>
      </c>
      <c r="N210" s="25">
        <f t="shared" si="24"/>
        <v>59</v>
      </c>
      <c r="O210" s="24">
        <v>2778</v>
      </c>
      <c r="P210" s="23">
        <f t="shared" si="25"/>
        <v>242</v>
      </c>
      <c r="Q210" s="26"/>
      <c r="R210" s="23">
        <f t="shared" si="26"/>
        <v>0</v>
      </c>
      <c r="S210" s="27" t="s">
        <v>18</v>
      </c>
      <c r="T210" s="19" t="s">
        <v>250</v>
      </c>
    </row>
    <row r="211" spans="1:20" ht="37.5" customHeight="1" x14ac:dyDescent="0.25">
      <c r="A211" s="19" t="s">
        <v>251</v>
      </c>
      <c r="B211">
        <f t="shared" si="27"/>
        <v>43338</v>
      </c>
      <c r="C211">
        <v>7182</v>
      </c>
      <c r="D211">
        <v>36156</v>
      </c>
      <c r="F211">
        <f t="shared" si="28"/>
        <v>159</v>
      </c>
      <c r="G211" s="20">
        <f t="shared" si="29"/>
        <v>206</v>
      </c>
      <c r="H211" s="21">
        <v>88820050385</v>
      </c>
      <c r="I211" s="22">
        <v>248</v>
      </c>
      <c r="J211" s="23"/>
      <c r="K211" s="24">
        <v>43179</v>
      </c>
      <c r="L211" s="23">
        <f t="shared" si="23"/>
        <v>159</v>
      </c>
      <c r="M211" s="24">
        <v>7164</v>
      </c>
      <c r="N211" s="25">
        <f t="shared" si="24"/>
        <v>18</v>
      </c>
      <c r="O211" s="24">
        <v>36015</v>
      </c>
      <c r="P211" s="23">
        <f t="shared" si="25"/>
        <v>141</v>
      </c>
      <c r="Q211" s="26"/>
      <c r="R211" s="23">
        <f t="shared" si="26"/>
        <v>0</v>
      </c>
      <c r="S211" s="27" t="s">
        <v>18</v>
      </c>
      <c r="T211" s="19" t="s">
        <v>251</v>
      </c>
    </row>
    <row r="212" spans="1:20" ht="37.5" customHeight="1" x14ac:dyDescent="0.25">
      <c r="A212" s="19" t="s">
        <v>252</v>
      </c>
      <c r="B212">
        <f t="shared" si="27"/>
        <v>79226</v>
      </c>
      <c r="C212">
        <v>13672</v>
      </c>
      <c r="D212">
        <v>65554</v>
      </c>
      <c r="F212">
        <f t="shared" si="28"/>
        <v>636</v>
      </c>
      <c r="G212" s="20">
        <f t="shared" si="29"/>
        <v>207</v>
      </c>
      <c r="H212" s="21">
        <v>23013080344</v>
      </c>
      <c r="I212" s="22">
        <v>249</v>
      </c>
      <c r="J212" s="23"/>
      <c r="K212" s="24">
        <v>78590</v>
      </c>
      <c r="L212" s="23">
        <f t="shared" si="23"/>
        <v>636</v>
      </c>
      <c r="M212" s="24">
        <v>13558</v>
      </c>
      <c r="N212" s="25">
        <f t="shared" si="24"/>
        <v>114</v>
      </c>
      <c r="O212" s="24">
        <v>65032</v>
      </c>
      <c r="P212" s="23">
        <f t="shared" si="25"/>
        <v>522</v>
      </c>
      <c r="Q212" s="26"/>
      <c r="R212" s="23">
        <f t="shared" si="26"/>
        <v>0</v>
      </c>
      <c r="S212" s="27" t="s">
        <v>18</v>
      </c>
      <c r="T212" s="19" t="s">
        <v>252</v>
      </c>
    </row>
    <row r="213" spans="1:20" ht="37.5" customHeight="1" x14ac:dyDescent="0.25">
      <c r="A213" s="19" t="s">
        <v>253</v>
      </c>
      <c r="B213">
        <f t="shared" si="27"/>
        <v>23666</v>
      </c>
      <c r="C213">
        <v>3941</v>
      </c>
      <c r="D213">
        <v>19725</v>
      </c>
      <c r="F213">
        <f t="shared" si="28"/>
        <v>343</v>
      </c>
      <c r="G213" s="20">
        <f t="shared" si="29"/>
        <v>208</v>
      </c>
      <c r="H213" s="21">
        <v>66621040205</v>
      </c>
      <c r="I213" s="22">
        <v>252</v>
      </c>
      <c r="J213" s="23"/>
      <c r="K213" s="24">
        <v>23323</v>
      </c>
      <c r="L213" s="23">
        <f t="shared" si="23"/>
        <v>343</v>
      </c>
      <c r="M213" s="24">
        <v>3881</v>
      </c>
      <c r="N213" s="25">
        <f t="shared" si="24"/>
        <v>60</v>
      </c>
      <c r="O213" s="24">
        <v>19442</v>
      </c>
      <c r="P213" s="23">
        <f t="shared" si="25"/>
        <v>283</v>
      </c>
      <c r="Q213" s="26"/>
      <c r="R213" s="23">
        <f t="shared" si="26"/>
        <v>0</v>
      </c>
      <c r="S213" s="27" t="s">
        <v>18</v>
      </c>
      <c r="T213" s="19" t="s">
        <v>253</v>
      </c>
    </row>
    <row r="214" spans="1:20" ht="37.5" customHeight="1" x14ac:dyDescent="0.25">
      <c r="A214" s="19" t="s">
        <v>254</v>
      </c>
      <c r="B214">
        <f t="shared" si="27"/>
        <v>53985</v>
      </c>
      <c r="C214">
        <v>8891</v>
      </c>
      <c r="D214">
        <v>45094</v>
      </c>
      <c r="F214">
        <f t="shared" si="28"/>
        <v>299</v>
      </c>
      <c r="G214" s="20">
        <f t="shared" si="29"/>
        <v>209</v>
      </c>
      <c r="H214" s="21">
        <v>23013010210</v>
      </c>
      <c r="I214" s="22">
        <v>253</v>
      </c>
      <c r="J214" s="23"/>
      <c r="K214" s="24">
        <v>53686</v>
      </c>
      <c r="L214" s="23">
        <f t="shared" si="23"/>
        <v>299</v>
      </c>
      <c r="M214" s="24">
        <v>8839</v>
      </c>
      <c r="N214" s="25">
        <f t="shared" si="24"/>
        <v>52</v>
      </c>
      <c r="O214" s="24">
        <v>44847</v>
      </c>
      <c r="P214" s="23">
        <f t="shared" si="25"/>
        <v>247</v>
      </c>
      <c r="Q214" s="26"/>
      <c r="R214" s="23">
        <f t="shared" si="26"/>
        <v>0</v>
      </c>
      <c r="S214" s="27" t="s">
        <v>18</v>
      </c>
      <c r="T214" s="19" t="s">
        <v>254</v>
      </c>
    </row>
    <row r="215" spans="1:20" ht="37.5" customHeight="1" x14ac:dyDescent="0.25">
      <c r="A215" s="19" t="s">
        <v>255</v>
      </c>
      <c r="B215">
        <f t="shared" si="27"/>
        <v>18558</v>
      </c>
      <c r="C215">
        <v>3460</v>
      </c>
      <c r="D215">
        <v>15098</v>
      </c>
      <c r="F215">
        <f t="shared" si="28"/>
        <v>120</v>
      </c>
      <c r="G215" s="20">
        <f t="shared" si="29"/>
        <v>210</v>
      </c>
      <c r="H215" s="21">
        <v>88820060149</v>
      </c>
      <c r="I215" s="22">
        <v>254</v>
      </c>
      <c r="J215" s="23"/>
      <c r="K215" s="24">
        <v>18438</v>
      </c>
      <c r="L215" s="23">
        <f t="shared" si="23"/>
        <v>120</v>
      </c>
      <c r="M215" s="24">
        <v>3440</v>
      </c>
      <c r="N215" s="25">
        <f t="shared" si="24"/>
        <v>20</v>
      </c>
      <c r="O215" s="24">
        <v>14998</v>
      </c>
      <c r="P215" s="23">
        <f t="shared" si="25"/>
        <v>100</v>
      </c>
      <c r="Q215" s="26"/>
      <c r="R215" s="23">
        <f t="shared" si="26"/>
        <v>0</v>
      </c>
      <c r="S215" s="27" t="s">
        <v>18</v>
      </c>
      <c r="T215" s="19" t="s">
        <v>255</v>
      </c>
    </row>
    <row r="216" spans="1:20" ht="37.5" customHeight="1" x14ac:dyDescent="0.25">
      <c r="A216" s="19" t="s">
        <v>256</v>
      </c>
      <c r="B216">
        <f t="shared" si="27"/>
        <v>48565</v>
      </c>
      <c r="C216">
        <v>8116</v>
      </c>
      <c r="D216">
        <v>40449</v>
      </c>
      <c r="F216">
        <f t="shared" si="28"/>
        <v>460</v>
      </c>
      <c r="G216" s="20">
        <f t="shared" si="29"/>
        <v>211</v>
      </c>
      <c r="H216" s="21">
        <v>66617020478</v>
      </c>
      <c r="I216" s="22">
        <v>255</v>
      </c>
      <c r="J216" s="23"/>
      <c r="K216" s="24">
        <v>48105</v>
      </c>
      <c r="L216" s="23">
        <f t="shared" si="23"/>
        <v>460</v>
      </c>
      <c r="M216" s="24">
        <v>8035</v>
      </c>
      <c r="N216" s="25">
        <f t="shared" si="24"/>
        <v>81</v>
      </c>
      <c r="O216" s="24">
        <v>40070</v>
      </c>
      <c r="P216" s="23">
        <f t="shared" si="25"/>
        <v>379</v>
      </c>
      <c r="Q216" s="26"/>
      <c r="R216" s="23">
        <f t="shared" si="26"/>
        <v>0</v>
      </c>
      <c r="S216" s="27" t="s">
        <v>18</v>
      </c>
      <c r="T216" s="19" t="s">
        <v>256</v>
      </c>
    </row>
    <row r="217" spans="1:20" ht="37.5" customHeight="1" x14ac:dyDescent="0.25">
      <c r="A217" s="19" t="s">
        <v>257</v>
      </c>
      <c r="B217">
        <f t="shared" si="27"/>
        <v>17707</v>
      </c>
      <c r="C217">
        <v>2278</v>
      </c>
      <c r="D217">
        <v>15429</v>
      </c>
      <c r="F217">
        <f t="shared" si="28"/>
        <v>264</v>
      </c>
      <c r="G217" s="20">
        <f t="shared" si="29"/>
        <v>212</v>
      </c>
      <c r="H217" s="21">
        <v>66619040347</v>
      </c>
      <c r="I217" s="22">
        <v>256</v>
      </c>
      <c r="J217" s="23"/>
      <c r="K217" s="24">
        <v>17443</v>
      </c>
      <c r="L217" s="23">
        <f t="shared" si="23"/>
        <v>264</v>
      </c>
      <c r="M217" s="24">
        <v>2228</v>
      </c>
      <c r="N217" s="25">
        <f t="shared" si="24"/>
        <v>50</v>
      </c>
      <c r="O217" s="24">
        <v>15215</v>
      </c>
      <c r="P217" s="23">
        <f t="shared" si="25"/>
        <v>214</v>
      </c>
      <c r="Q217" s="26"/>
      <c r="R217" s="23">
        <f t="shared" si="26"/>
        <v>0</v>
      </c>
      <c r="S217" s="27" t="s">
        <v>18</v>
      </c>
      <c r="T217" s="19" t="s">
        <v>257</v>
      </c>
    </row>
    <row r="218" spans="1:20" ht="37.5" customHeight="1" x14ac:dyDescent="0.25">
      <c r="A218" s="19" t="s">
        <v>258</v>
      </c>
      <c r="B218">
        <f t="shared" si="27"/>
        <v>85907</v>
      </c>
      <c r="C218">
        <v>16337</v>
      </c>
      <c r="D218">
        <v>69570</v>
      </c>
      <c r="F218">
        <f t="shared" si="28"/>
        <v>903</v>
      </c>
      <c r="G218" s="20">
        <f t="shared" si="29"/>
        <v>213</v>
      </c>
      <c r="H218" s="21">
        <v>23015010620</v>
      </c>
      <c r="I218" s="22">
        <v>264</v>
      </c>
      <c r="J218" s="23"/>
      <c r="K218" s="24">
        <v>85004</v>
      </c>
      <c r="L218" s="23">
        <f t="shared" si="23"/>
        <v>903</v>
      </c>
      <c r="M218" s="24">
        <v>16212</v>
      </c>
      <c r="N218" s="25">
        <f t="shared" si="24"/>
        <v>125</v>
      </c>
      <c r="O218" s="24">
        <v>68792</v>
      </c>
      <c r="P218" s="23">
        <f t="shared" si="25"/>
        <v>778</v>
      </c>
      <c r="Q218" s="26"/>
      <c r="R218" s="23">
        <f t="shared" si="26"/>
        <v>0</v>
      </c>
      <c r="S218" s="27" t="s">
        <v>18</v>
      </c>
      <c r="T218" s="19" t="s">
        <v>258</v>
      </c>
    </row>
    <row r="219" spans="1:20" ht="37.5" customHeight="1" x14ac:dyDescent="0.25">
      <c r="A219" s="19" t="s">
        <v>259</v>
      </c>
      <c r="B219">
        <f t="shared" si="27"/>
        <v>95002</v>
      </c>
      <c r="C219">
        <v>17942</v>
      </c>
      <c r="D219">
        <v>77060</v>
      </c>
      <c r="F219">
        <f t="shared" si="28"/>
        <v>1055</v>
      </c>
      <c r="G219" s="20">
        <f t="shared" si="29"/>
        <v>214</v>
      </c>
      <c r="H219" s="21">
        <v>66618010348</v>
      </c>
      <c r="I219" s="22">
        <v>265</v>
      </c>
      <c r="J219" s="23"/>
      <c r="K219" s="24">
        <v>93947</v>
      </c>
      <c r="L219" s="23">
        <f t="shared" si="23"/>
        <v>1055</v>
      </c>
      <c r="M219" s="24">
        <v>17722</v>
      </c>
      <c r="N219" s="25">
        <f t="shared" si="24"/>
        <v>220</v>
      </c>
      <c r="O219" s="24">
        <v>76225</v>
      </c>
      <c r="P219" s="23">
        <f t="shared" si="25"/>
        <v>835</v>
      </c>
      <c r="Q219" s="26"/>
      <c r="R219" s="23">
        <f t="shared" si="26"/>
        <v>0</v>
      </c>
      <c r="S219" s="27" t="s">
        <v>18</v>
      </c>
      <c r="T219" s="19" t="s">
        <v>259</v>
      </c>
    </row>
    <row r="220" spans="1:20" ht="37.5" customHeight="1" x14ac:dyDescent="0.25">
      <c r="A220" s="19" t="s">
        <v>260</v>
      </c>
      <c r="B220">
        <f t="shared" si="27"/>
        <v>16139</v>
      </c>
      <c r="C220">
        <v>2844</v>
      </c>
      <c r="D220">
        <v>13295</v>
      </c>
      <c r="F220">
        <f t="shared" si="28"/>
        <v>32</v>
      </c>
      <c r="G220" s="20">
        <f t="shared" si="29"/>
        <v>215</v>
      </c>
      <c r="H220" s="21">
        <v>23013010502</v>
      </c>
      <c r="I220" s="22">
        <v>269</v>
      </c>
      <c r="J220" s="23"/>
      <c r="K220" s="24">
        <v>16107</v>
      </c>
      <c r="L220" s="23">
        <f t="shared" si="23"/>
        <v>32</v>
      </c>
      <c r="M220" s="24">
        <v>2841</v>
      </c>
      <c r="N220" s="25">
        <f t="shared" si="24"/>
        <v>3</v>
      </c>
      <c r="O220" s="24">
        <v>13266</v>
      </c>
      <c r="P220" s="23">
        <f t="shared" si="25"/>
        <v>29</v>
      </c>
      <c r="Q220" s="26"/>
      <c r="R220" s="23">
        <f t="shared" si="26"/>
        <v>0</v>
      </c>
      <c r="S220" s="27" t="s">
        <v>18</v>
      </c>
      <c r="T220" s="19" t="s">
        <v>260</v>
      </c>
    </row>
    <row r="221" spans="1:20" ht="37.5" customHeight="1" x14ac:dyDescent="0.25">
      <c r="A221" s="19" t="s">
        <v>261</v>
      </c>
      <c r="B221">
        <f t="shared" si="27"/>
        <v>6996</v>
      </c>
      <c r="C221">
        <v>1676</v>
      </c>
      <c r="D221">
        <v>5320</v>
      </c>
      <c r="E221">
        <v>12477</v>
      </c>
      <c r="F221">
        <f t="shared" si="28"/>
        <v>335</v>
      </c>
      <c r="G221" s="20">
        <f t="shared" si="29"/>
        <v>216</v>
      </c>
      <c r="H221" s="21">
        <v>99723060055</v>
      </c>
      <c r="I221" s="22">
        <v>270</v>
      </c>
      <c r="J221" s="23"/>
      <c r="K221" s="24">
        <f>M221+O221</f>
        <v>6661</v>
      </c>
      <c r="L221" s="23">
        <f t="shared" si="23"/>
        <v>335</v>
      </c>
      <c r="M221" s="24">
        <v>1573</v>
      </c>
      <c r="N221" s="25">
        <f t="shared" si="24"/>
        <v>103</v>
      </c>
      <c r="O221" s="24">
        <v>5088</v>
      </c>
      <c r="P221" s="23">
        <f t="shared" si="25"/>
        <v>232</v>
      </c>
      <c r="Q221" s="26">
        <v>11408</v>
      </c>
      <c r="R221" s="23">
        <f t="shared" si="26"/>
        <v>1069</v>
      </c>
      <c r="S221" s="27" t="s">
        <v>18</v>
      </c>
      <c r="T221" s="19" t="s">
        <v>261</v>
      </c>
    </row>
    <row r="222" spans="1:20" ht="37.5" customHeight="1" x14ac:dyDescent="0.25">
      <c r="A222" s="19" t="s">
        <v>262</v>
      </c>
      <c r="B222">
        <f t="shared" si="27"/>
        <v>68579</v>
      </c>
      <c r="C222">
        <v>12944</v>
      </c>
      <c r="D222">
        <v>55635</v>
      </c>
      <c r="F222">
        <f t="shared" si="28"/>
        <v>667</v>
      </c>
      <c r="G222" s="20">
        <f t="shared" si="29"/>
        <v>217</v>
      </c>
      <c r="H222" s="21">
        <v>66617020060</v>
      </c>
      <c r="I222" s="22">
        <v>271</v>
      </c>
      <c r="J222" s="23"/>
      <c r="K222" s="24">
        <v>67912</v>
      </c>
      <c r="L222" s="23">
        <f t="shared" si="23"/>
        <v>667</v>
      </c>
      <c r="M222" s="24">
        <v>12818</v>
      </c>
      <c r="N222" s="25">
        <f t="shared" si="24"/>
        <v>126</v>
      </c>
      <c r="O222" s="24">
        <v>55094</v>
      </c>
      <c r="P222" s="23">
        <f t="shared" si="25"/>
        <v>541</v>
      </c>
      <c r="Q222" s="26"/>
      <c r="R222" s="23">
        <f t="shared" si="26"/>
        <v>0</v>
      </c>
      <c r="S222" s="27" t="s">
        <v>18</v>
      </c>
      <c r="T222" s="19" t="s">
        <v>262</v>
      </c>
    </row>
    <row r="223" spans="1:20" ht="37.5" customHeight="1" x14ac:dyDescent="0.25">
      <c r="A223" s="19" t="s">
        <v>263</v>
      </c>
      <c r="B223">
        <f t="shared" si="27"/>
        <v>22862</v>
      </c>
      <c r="C223">
        <v>4867</v>
      </c>
      <c r="D223">
        <v>17995</v>
      </c>
      <c r="E223">
        <v>9245</v>
      </c>
      <c r="F223">
        <f t="shared" si="28"/>
        <v>1117</v>
      </c>
      <c r="G223" s="20">
        <f t="shared" si="29"/>
        <v>218</v>
      </c>
      <c r="H223" s="21">
        <v>99723070172</v>
      </c>
      <c r="I223" s="22">
        <v>272</v>
      </c>
      <c r="J223" s="23"/>
      <c r="K223" s="24">
        <f>M223+O223</f>
        <v>21745</v>
      </c>
      <c r="L223" s="23">
        <f t="shared" si="23"/>
        <v>1117</v>
      </c>
      <c r="M223" s="24">
        <v>4608</v>
      </c>
      <c r="N223" s="25">
        <f t="shared" si="24"/>
        <v>259</v>
      </c>
      <c r="O223" s="24">
        <v>17137</v>
      </c>
      <c r="P223" s="23">
        <f t="shared" si="25"/>
        <v>858</v>
      </c>
      <c r="Q223" s="26">
        <v>8420</v>
      </c>
      <c r="R223" s="23">
        <f t="shared" si="26"/>
        <v>825</v>
      </c>
      <c r="S223" s="27" t="s">
        <v>18</v>
      </c>
      <c r="T223" s="19" t="s">
        <v>263</v>
      </c>
    </row>
    <row r="224" spans="1:20" ht="37.5" customHeight="1" x14ac:dyDescent="0.25">
      <c r="A224" s="19" t="s">
        <v>264</v>
      </c>
      <c r="B224">
        <f t="shared" si="27"/>
        <v>15936</v>
      </c>
      <c r="C224">
        <v>2737</v>
      </c>
      <c r="D224">
        <v>13199</v>
      </c>
      <c r="E224">
        <v>21565</v>
      </c>
      <c r="F224">
        <f t="shared" si="28"/>
        <v>269</v>
      </c>
      <c r="G224" s="20">
        <f t="shared" si="29"/>
        <v>219</v>
      </c>
      <c r="H224" s="21">
        <v>99722008220</v>
      </c>
      <c r="I224" s="22">
        <v>273</v>
      </c>
      <c r="J224" s="23"/>
      <c r="K224" s="24">
        <f>M224+O224</f>
        <v>15667</v>
      </c>
      <c r="L224" s="23">
        <f t="shared" si="23"/>
        <v>269</v>
      </c>
      <c r="M224" s="24">
        <v>2662</v>
      </c>
      <c r="N224" s="25">
        <f t="shared" si="24"/>
        <v>75</v>
      </c>
      <c r="O224" s="24">
        <v>13005</v>
      </c>
      <c r="P224" s="23">
        <f t="shared" si="25"/>
        <v>194</v>
      </c>
      <c r="Q224" s="26">
        <v>20658</v>
      </c>
      <c r="R224" s="23">
        <f t="shared" si="26"/>
        <v>907</v>
      </c>
      <c r="S224" s="27" t="s">
        <v>18</v>
      </c>
      <c r="T224" s="19" t="s">
        <v>264</v>
      </c>
    </row>
    <row r="225" spans="1:20" ht="37.5" customHeight="1" x14ac:dyDescent="0.25">
      <c r="A225" s="19" t="s">
        <v>265</v>
      </c>
      <c r="B225">
        <f t="shared" si="27"/>
        <v>35536</v>
      </c>
      <c r="C225">
        <v>5018</v>
      </c>
      <c r="D225">
        <v>30518</v>
      </c>
      <c r="F225">
        <f t="shared" si="28"/>
        <v>350</v>
      </c>
      <c r="G225" s="20">
        <f t="shared" si="29"/>
        <v>220</v>
      </c>
      <c r="H225" s="21">
        <v>66618010047</v>
      </c>
      <c r="I225" s="22">
        <v>274</v>
      </c>
      <c r="J225" s="23"/>
      <c r="K225" s="24">
        <v>35186</v>
      </c>
      <c r="L225" s="23">
        <f t="shared" si="23"/>
        <v>350</v>
      </c>
      <c r="M225" s="24">
        <v>4959</v>
      </c>
      <c r="N225" s="25">
        <f t="shared" si="24"/>
        <v>59</v>
      </c>
      <c r="O225" s="24">
        <v>30227</v>
      </c>
      <c r="P225" s="23">
        <f t="shared" si="25"/>
        <v>291</v>
      </c>
      <c r="Q225" s="26"/>
      <c r="R225" s="23">
        <f t="shared" si="26"/>
        <v>0</v>
      </c>
      <c r="S225" s="27" t="s">
        <v>18</v>
      </c>
      <c r="T225" s="19" t="s">
        <v>265</v>
      </c>
    </row>
    <row r="226" spans="1:20" ht="37.5" customHeight="1" x14ac:dyDescent="0.25">
      <c r="A226" s="19" t="s">
        <v>266</v>
      </c>
      <c r="B226">
        <f t="shared" si="27"/>
        <v>43100</v>
      </c>
      <c r="C226">
        <v>7083</v>
      </c>
      <c r="D226">
        <v>36017</v>
      </c>
      <c r="F226">
        <f t="shared" si="28"/>
        <v>435</v>
      </c>
      <c r="G226" s="20">
        <f t="shared" si="29"/>
        <v>221</v>
      </c>
      <c r="H226" s="21">
        <v>88819030449</v>
      </c>
      <c r="I226" s="22">
        <v>275</v>
      </c>
      <c r="J226" s="23"/>
      <c r="K226" s="24">
        <v>42665</v>
      </c>
      <c r="L226" s="23">
        <f t="shared" si="23"/>
        <v>435</v>
      </c>
      <c r="M226" s="24">
        <v>7008</v>
      </c>
      <c r="N226" s="25">
        <f t="shared" si="24"/>
        <v>75</v>
      </c>
      <c r="O226" s="24">
        <v>35657</v>
      </c>
      <c r="P226" s="23">
        <f t="shared" si="25"/>
        <v>360</v>
      </c>
      <c r="Q226" s="26"/>
      <c r="R226" s="23">
        <f t="shared" si="26"/>
        <v>0</v>
      </c>
      <c r="S226" s="27" t="s">
        <v>18</v>
      </c>
      <c r="T226" s="19" t="s">
        <v>266</v>
      </c>
    </row>
    <row r="227" spans="1:20" ht="37.5" customHeight="1" x14ac:dyDescent="0.25">
      <c r="A227" s="19" t="s">
        <v>267</v>
      </c>
      <c r="B227">
        <f t="shared" si="27"/>
        <v>34396</v>
      </c>
      <c r="C227">
        <v>6668</v>
      </c>
      <c r="D227">
        <v>27728</v>
      </c>
      <c r="F227">
        <f t="shared" si="28"/>
        <v>466</v>
      </c>
      <c r="G227" s="20">
        <f t="shared" si="29"/>
        <v>222</v>
      </c>
      <c r="H227" s="21">
        <v>88819030041</v>
      </c>
      <c r="I227" s="22">
        <v>276</v>
      </c>
      <c r="J227" s="23"/>
      <c r="K227" s="24">
        <v>33930</v>
      </c>
      <c r="L227" s="23">
        <f t="shared" si="23"/>
        <v>466</v>
      </c>
      <c r="M227" s="24">
        <v>6588</v>
      </c>
      <c r="N227" s="25">
        <f t="shared" si="24"/>
        <v>80</v>
      </c>
      <c r="O227" s="24">
        <v>27342</v>
      </c>
      <c r="P227" s="23">
        <f t="shared" si="25"/>
        <v>386</v>
      </c>
      <c r="Q227" s="26"/>
      <c r="R227" s="23">
        <f t="shared" si="26"/>
        <v>0</v>
      </c>
      <c r="S227" s="27" t="s">
        <v>18</v>
      </c>
      <c r="T227" s="19" t="s">
        <v>267</v>
      </c>
    </row>
    <row r="228" spans="1:20" ht="37.5" customHeight="1" x14ac:dyDescent="0.25">
      <c r="A228" s="19" t="s">
        <v>268</v>
      </c>
      <c r="B228">
        <f t="shared" si="27"/>
        <v>15054</v>
      </c>
      <c r="C228">
        <v>3069</v>
      </c>
      <c r="D228">
        <v>11985</v>
      </c>
      <c r="F228">
        <f t="shared" si="28"/>
        <v>451</v>
      </c>
      <c r="G228" s="20">
        <f t="shared" si="29"/>
        <v>223</v>
      </c>
      <c r="H228" s="21">
        <v>23015010566</v>
      </c>
      <c r="I228" s="22">
        <v>277</v>
      </c>
      <c r="J228" s="23"/>
      <c r="K228" s="24">
        <v>14603</v>
      </c>
      <c r="L228" s="23">
        <f t="shared" si="23"/>
        <v>451</v>
      </c>
      <c r="M228" s="24">
        <v>2990</v>
      </c>
      <c r="N228" s="25">
        <f t="shared" si="24"/>
        <v>79</v>
      </c>
      <c r="O228" s="24">
        <v>11613</v>
      </c>
      <c r="P228" s="23">
        <f t="shared" si="25"/>
        <v>372</v>
      </c>
      <c r="Q228" s="26"/>
      <c r="R228" s="23">
        <f t="shared" si="26"/>
        <v>0</v>
      </c>
      <c r="S228" s="27" t="s">
        <v>18</v>
      </c>
      <c r="T228" s="19" t="s">
        <v>268</v>
      </c>
    </row>
    <row r="229" spans="1:20" ht="37.5" customHeight="1" x14ac:dyDescent="0.25">
      <c r="A229" s="19" t="s">
        <v>269</v>
      </c>
      <c r="B229">
        <f t="shared" si="27"/>
        <v>13485</v>
      </c>
      <c r="C229">
        <v>4427</v>
      </c>
      <c r="D229">
        <v>9058</v>
      </c>
      <c r="E229">
        <v>22352</v>
      </c>
      <c r="F229">
        <f t="shared" si="28"/>
        <v>503</v>
      </c>
      <c r="G229" s="20">
        <f t="shared" si="29"/>
        <v>224</v>
      </c>
      <c r="H229" s="21">
        <v>99723050091</v>
      </c>
      <c r="I229" s="22">
        <v>278</v>
      </c>
      <c r="J229" s="23"/>
      <c r="K229" s="24">
        <f>M229+O229</f>
        <v>12982</v>
      </c>
      <c r="L229" s="23">
        <f t="shared" si="23"/>
        <v>503</v>
      </c>
      <c r="M229" s="24">
        <v>4248</v>
      </c>
      <c r="N229" s="25">
        <f t="shared" si="24"/>
        <v>179</v>
      </c>
      <c r="O229" s="24">
        <v>8734</v>
      </c>
      <c r="P229" s="23">
        <f t="shared" si="25"/>
        <v>324</v>
      </c>
      <c r="Q229" s="26">
        <v>20937</v>
      </c>
      <c r="R229" s="23">
        <f t="shared" si="26"/>
        <v>1415</v>
      </c>
      <c r="S229" s="27" t="s">
        <v>18</v>
      </c>
      <c r="T229" s="19" t="s">
        <v>269</v>
      </c>
    </row>
    <row r="230" spans="1:20" ht="37.5" customHeight="1" x14ac:dyDescent="0.25">
      <c r="A230" s="19" t="s">
        <v>270</v>
      </c>
      <c r="B230">
        <f t="shared" si="27"/>
        <v>5957</v>
      </c>
      <c r="C230">
        <v>1682</v>
      </c>
      <c r="D230">
        <v>4275</v>
      </c>
      <c r="E230">
        <v>5665</v>
      </c>
      <c r="F230">
        <f t="shared" si="28"/>
        <v>311</v>
      </c>
      <c r="G230" s="20">
        <f t="shared" si="29"/>
        <v>225</v>
      </c>
      <c r="H230" s="21">
        <v>99623080573</v>
      </c>
      <c r="I230" s="22">
        <v>279</v>
      </c>
      <c r="J230" s="23"/>
      <c r="K230" s="24">
        <f>M230+O230</f>
        <v>5646</v>
      </c>
      <c r="L230" s="23">
        <f t="shared" si="23"/>
        <v>311</v>
      </c>
      <c r="M230" s="24">
        <v>1589</v>
      </c>
      <c r="N230" s="25">
        <f t="shared" si="24"/>
        <v>93</v>
      </c>
      <c r="O230" s="24">
        <v>4057</v>
      </c>
      <c r="P230" s="23">
        <f t="shared" si="25"/>
        <v>218</v>
      </c>
      <c r="Q230" s="26">
        <v>5098</v>
      </c>
      <c r="R230" s="23">
        <f t="shared" si="26"/>
        <v>567</v>
      </c>
      <c r="S230" s="27" t="s">
        <v>18</v>
      </c>
      <c r="T230" s="19" t="s">
        <v>270</v>
      </c>
    </row>
    <row r="231" spans="1:20" ht="37.5" customHeight="1" x14ac:dyDescent="0.25">
      <c r="A231" s="19" t="s">
        <v>271</v>
      </c>
      <c r="B231">
        <f t="shared" si="27"/>
        <v>4596</v>
      </c>
      <c r="C231">
        <v>1123</v>
      </c>
      <c r="D231">
        <v>3473</v>
      </c>
      <c r="E231">
        <v>10968</v>
      </c>
      <c r="F231">
        <f t="shared" si="28"/>
        <v>204</v>
      </c>
      <c r="G231" s="20">
        <f t="shared" si="29"/>
        <v>226</v>
      </c>
      <c r="H231" s="21">
        <v>99624020117</v>
      </c>
      <c r="I231" s="22">
        <v>280</v>
      </c>
      <c r="J231" s="23"/>
      <c r="K231" s="24">
        <f>M231+O231</f>
        <v>4392</v>
      </c>
      <c r="L231" s="23">
        <f t="shared" si="23"/>
        <v>204</v>
      </c>
      <c r="M231" s="24">
        <v>1066</v>
      </c>
      <c r="N231" s="25">
        <f t="shared" si="24"/>
        <v>57</v>
      </c>
      <c r="O231" s="24">
        <v>3326</v>
      </c>
      <c r="P231" s="23">
        <f t="shared" si="25"/>
        <v>147</v>
      </c>
      <c r="Q231" s="26">
        <v>9455</v>
      </c>
      <c r="R231" s="23">
        <f t="shared" si="26"/>
        <v>1513</v>
      </c>
      <c r="S231" s="27" t="s">
        <v>18</v>
      </c>
      <c r="T231" s="19" t="s">
        <v>271</v>
      </c>
    </row>
    <row r="232" spans="1:20" ht="37.5" customHeight="1" x14ac:dyDescent="0.25">
      <c r="A232" s="19" t="s">
        <v>272</v>
      </c>
      <c r="B232">
        <v>6617</v>
      </c>
      <c r="F232">
        <f t="shared" si="28"/>
        <v>228</v>
      </c>
      <c r="G232" s="20">
        <f t="shared" si="29"/>
        <v>227</v>
      </c>
      <c r="H232" s="21">
        <v>11820010011</v>
      </c>
      <c r="I232" s="22" t="s">
        <v>273</v>
      </c>
      <c r="J232" s="23"/>
      <c r="K232" s="24">
        <v>6389</v>
      </c>
      <c r="L232" s="23">
        <f t="shared" si="23"/>
        <v>228</v>
      </c>
      <c r="M232" s="24"/>
      <c r="N232" s="25">
        <f t="shared" si="24"/>
        <v>0</v>
      </c>
      <c r="O232" s="24"/>
      <c r="P232" s="23">
        <f t="shared" si="25"/>
        <v>0</v>
      </c>
      <c r="Q232" s="26"/>
      <c r="R232" s="23">
        <f t="shared" si="26"/>
        <v>0</v>
      </c>
      <c r="S232" s="27" t="s">
        <v>18</v>
      </c>
      <c r="T232" s="19" t="s">
        <v>272</v>
      </c>
    </row>
    <row r="233" spans="1:20" ht="37.5" customHeight="1" x14ac:dyDescent="0.25">
      <c r="A233" s="19" t="s">
        <v>274</v>
      </c>
      <c r="B233">
        <v>37997</v>
      </c>
      <c r="F233">
        <f t="shared" si="28"/>
        <v>433</v>
      </c>
      <c r="G233" s="20">
        <f t="shared" si="29"/>
        <v>228</v>
      </c>
      <c r="H233" s="21">
        <v>11818020011</v>
      </c>
      <c r="I233" s="22" t="s">
        <v>275</v>
      </c>
      <c r="J233" s="23"/>
      <c r="K233" s="24">
        <v>37564</v>
      </c>
      <c r="L233" s="23">
        <f t="shared" si="23"/>
        <v>433</v>
      </c>
      <c r="M233" s="24"/>
      <c r="N233" s="25">
        <f t="shared" si="24"/>
        <v>0</v>
      </c>
      <c r="O233" s="24"/>
      <c r="P233" s="23">
        <f t="shared" si="25"/>
        <v>0</v>
      </c>
      <c r="Q233" s="26"/>
      <c r="R233" s="23">
        <f t="shared" si="26"/>
        <v>0</v>
      </c>
      <c r="S233" s="27" t="s">
        <v>276</v>
      </c>
      <c r="T233" s="19" t="s">
        <v>274</v>
      </c>
    </row>
    <row r="234" spans="1:20" ht="37.5" customHeight="1" x14ac:dyDescent="0.25">
      <c r="A234" s="19" t="s">
        <v>277</v>
      </c>
      <c r="B234">
        <v>9982</v>
      </c>
      <c r="F234">
        <f t="shared" si="28"/>
        <v>90</v>
      </c>
      <c r="G234" s="20">
        <f t="shared" si="29"/>
        <v>229</v>
      </c>
      <c r="H234" s="21">
        <v>11818020026</v>
      </c>
      <c r="I234" s="22" t="s">
        <v>278</v>
      </c>
      <c r="J234" s="23"/>
      <c r="K234" s="24">
        <v>9892</v>
      </c>
      <c r="L234" s="23">
        <f t="shared" si="23"/>
        <v>90</v>
      </c>
      <c r="M234" s="24"/>
      <c r="N234" s="25">
        <f t="shared" si="24"/>
        <v>0</v>
      </c>
      <c r="O234" s="24"/>
      <c r="P234" s="23">
        <f t="shared" si="25"/>
        <v>0</v>
      </c>
      <c r="Q234" s="26"/>
      <c r="R234" s="23">
        <f t="shared" si="26"/>
        <v>0</v>
      </c>
      <c r="S234" s="27" t="s">
        <v>276</v>
      </c>
      <c r="T234" s="19" t="s">
        <v>277</v>
      </c>
    </row>
    <row r="235" spans="1:20" ht="37.5" customHeight="1" x14ac:dyDescent="0.25">
      <c r="A235" s="19" t="s">
        <v>279</v>
      </c>
      <c r="B235">
        <v>16504</v>
      </c>
      <c r="F235">
        <f t="shared" si="28"/>
        <v>266</v>
      </c>
      <c r="G235" s="20">
        <f t="shared" si="29"/>
        <v>230</v>
      </c>
      <c r="H235" s="21">
        <v>11818020021</v>
      </c>
      <c r="I235" s="22" t="s">
        <v>280</v>
      </c>
      <c r="J235" s="23"/>
      <c r="K235" s="24">
        <v>16238</v>
      </c>
      <c r="L235" s="23">
        <f t="shared" si="23"/>
        <v>266</v>
      </c>
      <c r="M235" s="24"/>
      <c r="N235" s="25">
        <f t="shared" si="24"/>
        <v>0</v>
      </c>
      <c r="O235" s="24"/>
      <c r="P235" s="23">
        <f t="shared" si="25"/>
        <v>0</v>
      </c>
      <c r="Q235" s="26"/>
      <c r="R235" s="23">
        <f t="shared" si="26"/>
        <v>0</v>
      </c>
      <c r="S235" s="27" t="s">
        <v>276</v>
      </c>
      <c r="T235" s="19" t="s">
        <v>279</v>
      </c>
    </row>
    <row r="236" spans="1:20" ht="37.5" customHeight="1" x14ac:dyDescent="0.25">
      <c r="A236" s="19" t="s">
        <v>281</v>
      </c>
      <c r="B236">
        <v>4895</v>
      </c>
      <c r="F236">
        <f t="shared" si="28"/>
        <v>0</v>
      </c>
      <c r="G236" s="20">
        <f t="shared" si="29"/>
        <v>231</v>
      </c>
      <c r="H236" s="21">
        <v>11820010057</v>
      </c>
      <c r="I236" s="22" t="s">
        <v>282</v>
      </c>
      <c r="J236" s="23"/>
      <c r="K236" s="24">
        <v>4895</v>
      </c>
      <c r="L236" s="23">
        <f t="shared" si="23"/>
        <v>0</v>
      </c>
      <c r="M236" s="24"/>
      <c r="N236" s="25">
        <f t="shared" si="24"/>
        <v>0</v>
      </c>
      <c r="O236" s="24"/>
      <c r="P236" s="23">
        <f t="shared" si="25"/>
        <v>0</v>
      </c>
      <c r="Q236" s="26"/>
      <c r="R236" s="23">
        <f t="shared" si="26"/>
        <v>0</v>
      </c>
      <c r="S236" s="27" t="s">
        <v>276</v>
      </c>
      <c r="T236" s="19" t="s">
        <v>281</v>
      </c>
    </row>
    <row r="237" spans="1:20" ht="37.5" customHeight="1" x14ac:dyDescent="0.25">
      <c r="A237" s="19" t="s">
        <v>283</v>
      </c>
      <c r="B237">
        <v>22124</v>
      </c>
      <c r="F237">
        <f t="shared" si="28"/>
        <v>494</v>
      </c>
      <c r="G237" s="20">
        <f t="shared" si="29"/>
        <v>232</v>
      </c>
      <c r="H237" s="21">
        <v>11818020012</v>
      </c>
      <c r="I237" s="22" t="s">
        <v>284</v>
      </c>
      <c r="J237" s="23"/>
      <c r="K237" s="24">
        <v>21630</v>
      </c>
      <c r="L237" s="23">
        <f t="shared" si="23"/>
        <v>494</v>
      </c>
      <c r="M237" s="24"/>
      <c r="N237" s="25">
        <f t="shared" si="24"/>
        <v>0</v>
      </c>
      <c r="O237" s="24"/>
      <c r="P237" s="23">
        <f t="shared" si="25"/>
        <v>0</v>
      </c>
      <c r="Q237" s="26"/>
      <c r="R237" s="23">
        <f t="shared" si="26"/>
        <v>0</v>
      </c>
      <c r="S237" s="27" t="s">
        <v>276</v>
      </c>
      <c r="T237" s="19" t="s">
        <v>283</v>
      </c>
    </row>
    <row r="238" spans="1:20" ht="37.5" customHeight="1" x14ac:dyDescent="0.25">
      <c r="A238" s="19" t="s">
        <v>285</v>
      </c>
      <c r="B238">
        <v>2321</v>
      </c>
      <c r="F238">
        <f t="shared" si="28"/>
        <v>121</v>
      </c>
      <c r="G238" s="20">
        <f t="shared" si="29"/>
        <v>233</v>
      </c>
      <c r="H238" s="21">
        <v>11821010091</v>
      </c>
      <c r="I238" s="22" t="s">
        <v>286</v>
      </c>
      <c r="J238" s="23"/>
      <c r="K238" s="24">
        <v>2200</v>
      </c>
      <c r="L238" s="23">
        <f t="shared" si="23"/>
        <v>121</v>
      </c>
      <c r="M238" s="24">
        <v>0</v>
      </c>
      <c r="N238" s="25">
        <f t="shared" si="24"/>
        <v>0</v>
      </c>
      <c r="O238" s="24">
        <v>0</v>
      </c>
      <c r="P238" s="23">
        <f t="shared" si="25"/>
        <v>0</v>
      </c>
      <c r="Q238" s="26"/>
      <c r="R238" s="23">
        <f t="shared" si="26"/>
        <v>0</v>
      </c>
      <c r="S238" s="27" t="s">
        <v>276</v>
      </c>
      <c r="T238" s="19" t="s">
        <v>285</v>
      </c>
    </row>
    <row r="239" spans="1:20" ht="37.5" customHeight="1" x14ac:dyDescent="0.25">
      <c r="A239" s="19" t="s">
        <v>287</v>
      </c>
      <c r="B239">
        <v>1340</v>
      </c>
      <c r="F239">
        <f t="shared" si="28"/>
        <v>38</v>
      </c>
      <c r="G239" s="20">
        <f t="shared" si="29"/>
        <v>234</v>
      </c>
      <c r="H239" s="21">
        <v>11818020023</v>
      </c>
      <c r="I239" s="22" t="s">
        <v>288</v>
      </c>
      <c r="J239" s="23"/>
      <c r="K239" s="24">
        <v>1302</v>
      </c>
      <c r="L239" s="23">
        <f t="shared" si="23"/>
        <v>38</v>
      </c>
      <c r="M239" s="24"/>
      <c r="N239" s="25">
        <f t="shared" si="24"/>
        <v>0</v>
      </c>
      <c r="O239" s="24"/>
      <c r="P239" s="23">
        <f t="shared" si="25"/>
        <v>0</v>
      </c>
      <c r="Q239" s="26"/>
      <c r="R239" s="23">
        <f t="shared" si="26"/>
        <v>0</v>
      </c>
      <c r="S239" s="27" t="s">
        <v>276</v>
      </c>
      <c r="T239" s="19" t="s">
        <v>287</v>
      </c>
    </row>
    <row r="240" spans="1:20" ht="37.5" customHeight="1" x14ac:dyDescent="0.25">
      <c r="A240" s="19" t="s">
        <v>289</v>
      </c>
      <c r="B240">
        <v>23470</v>
      </c>
      <c r="F240">
        <f t="shared" si="28"/>
        <v>0</v>
      </c>
      <c r="G240" s="20">
        <f t="shared" si="29"/>
        <v>235</v>
      </c>
      <c r="H240" s="21">
        <v>11818020013</v>
      </c>
      <c r="I240" s="22" t="s">
        <v>290</v>
      </c>
      <c r="J240" s="23"/>
      <c r="K240" s="24">
        <v>23470</v>
      </c>
      <c r="L240" s="23">
        <f t="shared" si="23"/>
        <v>0</v>
      </c>
      <c r="M240" s="24"/>
      <c r="N240" s="25">
        <f t="shared" si="24"/>
        <v>0</v>
      </c>
      <c r="O240" s="24"/>
      <c r="P240" s="23">
        <f t="shared" si="25"/>
        <v>0</v>
      </c>
      <c r="Q240" s="26"/>
      <c r="R240" s="23">
        <f t="shared" si="26"/>
        <v>0</v>
      </c>
      <c r="S240" s="27" t="s">
        <v>276</v>
      </c>
      <c r="T240" s="19" t="s">
        <v>289</v>
      </c>
    </row>
    <row r="241" spans="1:20" ht="37.5" customHeight="1" x14ac:dyDescent="0.25">
      <c r="A241" s="19" t="s">
        <v>291</v>
      </c>
      <c r="B241">
        <v>10452</v>
      </c>
      <c r="F241">
        <f t="shared" si="28"/>
        <v>166</v>
      </c>
      <c r="G241" s="20">
        <f t="shared" si="29"/>
        <v>236</v>
      </c>
      <c r="H241" s="21">
        <v>11818020031</v>
      </c>
      <c r="I241" s="22" t="s">
        <v>292</v>
      </c>
      <c r="J241" s="23"/>
      <c r="K241" s="24">
        <v>10286</v>
      </c>
      <c r="L241" s="23">
        <f t="shared" si="23"/>
        <v>166</v>
      </c>
      <c r="M241" s="24"/>
      <c r="N241" s="25">
        <f t="shared" si="24"/>
        <v>0</v>
      </c>
      <c r="O241" s="24"/>
      <c r="P241" s="23">
        <f t="shared" si="25"/>
        <v>0</v>
      </c>
      <c r="Q241" s="26"/>
      <c r="R241" s="23">
        <f t="shared" si="26"/>
        <v>0</v>
      </c>
      <c r="S241" s="27" t="s">
        <v>276</v>
      </c>
      <c r="T241" s="19" t="s">
        <v>291</v>
      </c>
    </row>
    <row r="242" spans="1:20" ht="37.5" customHeight="1" x14ac:dyDescent="0.25">
      <c r="A242" s="19" t="s">
        <v>293</v>
      </c>
      <c r="B242">
        <v>9167</v>
      </c>
      <c r="F242">
        <f t="shared" si="28"/>
        <v>98</v>
      </c>
      <c r="G242" s="20">
        <f t="shared" si="29"/>
        <v>237</v>
      </c>
      <c r="H242" s="21">
        <v>11818020024</v>
      </c>
      <c r="I242" s="22" t="s">
        <v>294</v>
      </c>
      <c r="J242" s="23"/>
      <c r="K242" s="24">
        <v>9069</v>
      </c>
      <c r="L242" s="23">
        <f t="shared" si="23"/>
        <v>98</v>
      </c>
      <c r="M242" s="24"/>
      <c r="N242" s="25">
        <f t="shared" si="24"/>
        <v>0</v>
      </c>
      <c r="O242" s="24"/>
      <c r="P242" s="23">
        <f t="shared" si="25"/>
        <v>0</v>
      </c>
      <c r="Q242" s="26"/>
      <c r="R242" s="23">
        <f t="shared" si="26"/>
        <v>0</v>
      </c>
      <c r="S242" s="27" t="s">
        <v>276</v>
      </c>
      <c r="T242" s="19" t="s">
        <v>293</v>
      </c>
    </row>
    <row r="243" spans="1:20" ht="37.5" customHeight="1" x14ac:dyDescent="0.25">
      <c r="A243" s="19" t="s">
        <v>295</v>
      </c>
      <c r="B243">
        <v>24917</v>
      </c>
      <c r="F243">
        <f t="shared" si="28"/>
        <v>0</v>
      </c>
      <c r="G243" s="20">
        <f t="shared" si="29"/>
        <v>238</v>
      </c>
      <c r="H243" s="21">
        <v>11818020014</v>
      </c>
      <c r="I243" s="22" t="s">
        <v>296</v>
      </c>
      <c r="J243" s="23"/>
      <c r="K243" s="24">
        <v>24917</v>
      </c>
      <c r="L243" s="23">
        <f t="shared" si="23"/>
        <v>0</v>
      </c>
      <c r="M243" s="24"/>
      <c r="N243" s="25">
        <f t="shared" si="24"/>
        <v>0</v>
      </c>
      <c r="O243" s="24"/>
      <c r="P243" s="23">
        <f t="shared" si="25"/>
        <v>0</v>
      </c>
      <c r="Q243" s="26"/>
      <c r="R243" s="23">
        <f t="shared" si="26"/>
        <v>0</v>
      </c>
      <c r="S243" s="27" t="s">
        <v>276</v>
      </c>
      <c r="T243" s="19" t="s">
        <v>295</v>
      </c>
    </row>
    <row r="244" spans="1:20" ht="37.5" customHeight="1" x14ac:dyDescent="0.25">
      <c r="A244" s="19" t="s">
        <v>297</v>
      </c>
      <c r="B244">
        <v>24926</v>
      </c>
      <c r="F244">
        <f t="shared" si="28"/>
        <v>365</v>
      </c>
      <c r="G244" s="20">
        <f t="shared" si="29"/>
        <v>239</v>
      </c>
      <c r="H244" s="21">
        <v>11818020029</v>
      </c>
      <c r="I244" s="22" t="s">
        <v>298</v>
      </c>
      <c r="J244" s="23"/>
      <c r="K244" s="24">
        <v>24561</v>
      </c>
      <c r="L244" s="23">
        <f t="shared" si="23"/>
        <v>365</v>
      </c>
      <c r="M244" s="24"/>
      <c r="N244" s="25">
        <f t="shared" si="24"/>
        <v>0</v>
      </c>
      <c r="O244" s="24"/>
      <c r="P244" s="23">
        <f t="shared" si="25"/>
        <v>0</v>
      </c>
      <c r="Q244" s="26"/>
      <c r="R244" s="23">
        <f t="shared" si="26"/>
        <v>0</v>
      </c>
      <c r="S244" s="27" t="s">
        <v>276</v>
      </c>
      <c r="T244" s="19" t="s">
        <v>297</v>
      </c>
    </row>
    <row r="245" spans="1:20" ht="37.5" customHeight="1" x14ac:dyDescent="0.25">
      <c r="A245" s="19" t="s">
        <v>299</v>
      </c>
      <c r="B245">
        <v>10312</v>
      </c>
      <c r="F245">
        <f t="shared" si="28"/>
        <v>103</v>
      </c>
      <c r="G245" s="20">
        <f t="shared" si="29"/>
        <v>240</v>
      </c>
      <c r="H245" s="21">
        <v>11818020025</v>
      </c>
      <c r="I245" s="22" t="s">
        <v>300</v>
      </c>
      <c r="J245" s="23"/>
      <c r="K245" s="24">
        <v>10209</v>
      </c>
      <c r="L245" s="23">
        <f t="shared" si="23"/>
        <v>103</v>
      </c>
      <c r="M245" s="24"/>
      <c r="N245" s="25">
        <f t="shared" si="24"/>
        <v>0</v>
      </c>
      <c r="O245" s="24"/>
      <c r="P245" s="23">
        <f t="shared" si="25"/>
        <v>0</v>
      </c>
      <c r="Q245" s="26"/>
      <c r="R245" s="23">
        <f t="shared" si="26"/>
        <v>0</v>
      </c>
      <c r="S245" s="27" t="s">
        <v>276</v>
      </c>
      <c r="T245" s="19" t="s">
        <v>299</v>
      </c>
    </row>
    <row r="246" spans="1:20" ht="37.5" customHeight="1" x14ac:dyDescent="0.25">
      <c r="A246" s="19" t="s">
        <v>301</v>
      </c>
      <c r="B246">
        <v>12815</v>
      </c>
      <c r="F246">
        <f t="shared" si="28"/>
        <v>147</v>
      </c>
      <c r="G246" s="20">
        <f t="shared" si="29"/>
        <v>241</v>
      </c>
      <c r="H246" s="21">
        <v>11617020194</v>
      </c>
      <c r="I246" s="22" t="s">
        <v>302</v>
      </c>
      <c r="J246" s="23"/>
      <c r="K246" s="24">
        <v>12668</v>
      </c>
      <c r="L246" s="23">
        <f t="shared" si="23"/>
        <v>147</v>
      </c>
      <c r="M246" s="24"/>
      <c r="N246" s="25">
        <f t="shared" si="24"/>
        <v>0</v>
      </c>
      <c r="O246" s="24"/>
      <c r="P246" s="23">
        <f t="shared" si="25"/>
        <v>0</v>
      </c>
      <c r="Q246" s="26"/>
      <c r="R246" s="23">
        <f t="shared" si="26"/>
        <v>0</v>
      </c>
      <c r="S246" s="27" t="s">
        <v>276</v>
      </c>
      <c r="T246" s="19" t="s">
        <v>301</v>
      </c>
    </row>
    <row r="247" spans="1:20" ht="37.5" customHeight="1" x14ac:dyDescent="0.25">
      <c r="A247" s="19" t="s">
        <v>303</v>
      </c>
      <c r="B247">
        <v>4751</v>
      </c>
      <c r="F247">
        <f t="shared" si="28"/>
        <v>28</v>
      </c>
      <c r="G247" s="20">
        <f t="shared" si="29"/>
        <v>242</v>
      </c>
      <c r="H247" s="21">
        <v>11820010043</v>
      </c>
      <c r="I247" s="22" t="s">
        <v>304</v>
      </c>
      <c r="J247" s="23"/>
      <c r="K247" s="24">
        <v>4723</v>
      </c>
      <c r="L247" s="23">
        <f t="shared" si="23"/>
        <v>28</v>
      </c>
      <c r="M247" s="24"/>
      <c r="N247" s="25">
        <f t="shared" si="24"/>
        <v>0</v>
      </c>
      <c r="O247" s="24"/>
      <c r="P247" s="23">
        <f t="shared" si="25"/>
        <v>0</v>
      </c>
      <c r="Q247" s="26"/>
      <c r="R247" s="23">
        <f t="shared" si="26"/>
        <v>0</v>
      </c>
      <c r="S247" s="27" t="s">
        <v>276</v>
      </c>
      <c r="T247" s="19" t="s">
        <v>303</v>
      </c>
    </row>
    <row r="248" spans="1:20" ht="37.5" customHeight="1" x14ac:dyDescent="0.25">
      <c r="A248" s="19" t="s">
        <v>305</v>
      </c>
      <c r="B248">
        <v>16823</v>
      </c>
      <c r="F248">
        <f t="shared" si="28"/>
        <v>164</v>
      </c>
      <c r="G248" s="20">
        <f t="shared" si="29"/>
        <v>243</v>
      </c>
      <c r="H248" s="21">
        <v>11818020027</v>
      </c>
      <c r="I248" s="22" t="s">
        <v>306</v>
      </c>
      <c r="J248" s="23"/>
      <c r="K248" s="24">
        <v>16659</v>
      </c>
      <c r="L248" s="23">
        <f t="shared" si="23"/>
        <v>164</v>
      </c>
      <c r="M248" s="24"/>
      <c r="N248" s="25">
        <f t="shared" si="24"/>
        <v>0</v>
      </c>
      <c r="O248" s="24"/>
      <c r="P248" s="23">
        <f t="shared" si="25"/>
        <v>0</v>
      </c>
      <c r="Q248" s="26"/>
      <c r="R248" s="23">
        <f t="shared" si="26"/>
        <v>0</v>
      </c>
      <c r="S248" s="27" t="s">
        <v>276</v>
      </c>
      <c r="T248" s="19" t="s">
        <v>305</v>
      </c>
    </row>
    <row r="249" spans="1:20" ht="37.5" customHeight="1" x14ac:dyDescent="0.25">
      <c r="A249" s="19" t="s">
        <v>307</v>
      </c>
      <c r="B249">
        <v>14008</v>
      </c>
      <c r="F249">
        <f t="shared" si="28"/>
        <v>500</v>
      </c>
      <c r="G249" s="20">
        <f t="shared" si="29"/>
        <v>244</v>
      </c>
      <c r="H249" s="21">
        <v>11818020016</v>
      </c>
      <c r="I249" s="22" t="s">
        <v>308</v>
      </c>
      <c r="J249" s="23"/>
      <c r="K249" s="24">
        <v>13508</v>
      </c>
      <c r="L249" s="23">
        <f t="shared" si="23"/>
        <v>500</v>
      </c>
      <c r="M249" s="24"/>
      <c r="N249" s="25">
        <f t="shared" si="24"/>
        <v>0</v>
      </c>
      <c r="O249" s="24"/>
      <c r="P249" s="23">
        <f t="shared" si="25"/>
        <v>0</v>
      </c>
      <c r="Q249" s="26"/>
      <c r="R249" s="23">
        <f t="shared" si="26"/>
        <v>0</v>
      </c>
      <c r="S249" s="27" t="s">
        <v>276</v>
      </c>
      <c r="T249" s="19" t="s">
        <v>307</v>
      </c>
    </row>
    <row r="250" spans="1:20" ht="37.5" customHeight="1" x14ac:dyDescent="0.25">
      <c r="A250" s="19" t="s">
        <v>309</v>
      </c>
      <c r="B250">
        <v>2047</v>
      </c>
      <c r="F250">
        <f t="shared" si="28"/>
        <v>0</v>
      </c>
      <c r="G250" s="20">
        <f t="shared" si="29"/>
        <v>245</v>
      </c>
      <c r="H250" s="21">
        <v>11617020184</v>
      </c>
      <c r="I250" s="22" t="s">
        <v>310</v>
      </c>
      <c r="J250" s="23"/>
      <c r="K250" s="24">
        <v>2047</v>
      </c>
      <c r="L250" s="23">
        <f t="shared" si="23"/>
        <v>0</v>
      </c>
      <c r="M250" s="24"/>
      <c r="N250" s="25">
        <f t="shared" si="24"/>
        <v>0</v>
      </c>
      <c r="O250" s="24"/>
      <c r="P250" s="23">
        <f t="shared" si="25"/>
        <v>0</v>
      </c>
      <c r="Q250" s="26"/>
      <c r="R250" s="23">
        <f t="shared" si="26"/>
        <v>0</v>
      </c>
      <c r="S250" s="27" t="s">
        <v>276</v>
      </c>
      <c r="T250" s="19" t="s">
        <v>309</v>
      </c>
    </row>
    <row r="251" spans="1:20" ht="37.5" customHeight="1" x14ac:dyDescent="0.25">
      <c r="A251" s="19" t="s">
        <v>311</v>
      </c>
      <c r="B251">
        <v>13414</v>
      </c>
      <c r="F251">
        <f t="shared" si="28"/>
        <v>93</v>
      </c>
      <c r="G251" s="20">
        <f t="shared" si="29"/>
        <v>246</v>
      </c>
      <c r="H251" s="21">
        <v>11818020028</v>
      </c>
      <c r="I251" s="22" t="s">
        <v>312</v>
      </c>
      <c r="J251" s="23"/>
      <c r="K251" s="24">
        <v>13321</v>
      </c>
      <c r="L251" s="23">
        <f t="shared" si="23"/>
        <v>93</v>
      </c>
      <c r="M251" s="24"/>
      <c r="N251" s="25">
        <f t="shared" si="24"/>
        <v>0</v>
      </c>
      <c r="O251" s="24"/>
      <c r="P251" s="23">
        <f t="shared" si="25"/>
        <v>0</v>
      </c>
      <c r="Q251" s="26"/>
      <c r="R251" s="23">
        <f t="shared" si="26"/>
        <v>0</v>
      </c>
      <c r="S251" s="27" t="s">
        <v>276</v>
      </c>
      <c r="T251" s="19" t="s">
        <v>311</v>
      </c>
    </row>
    <row r="252" spans="1:20" ht="37.5" customHeight="1" x14ac:dyDescent="0.25">
      <c r="A252" s="19" t="s">
        <v>313</v>
      </c>
      <c r="B252">
        <v>15352</v>
      </c>
      <c r="F252">
        <f t="shared" si="28"/>
        <v>240</v>
      </c>
      <c r="G252" s="20">
        <f t="shared" si="29"/>
        <v>247</v>
      </c>
      <c r="H252" s="21">
        <v>11818020017</v>
      </c>
      <c r="I252" s="22" t="s">
        <v>314</v>
      </c>
      <c r="J252" s="23"/>
      <c r="K252" s="24">
        <v>15112</v>
      </c>
      <c r="L252" s="23">
        <f t="shared" si="23"/>
        <v>240</v>
      </c>
      <c r="M252" s="24"/>
      <c r="N252" s="25">
        <f t="shared" si="24"/>
        <v>0</v>
      </c>
      <c r="O252" s="24"/>
      <c r="P252" s="23">
        <f t="shared" si="25"/>
        <v>0</v>
      </c>
      <c r="Q252" s="26"/>
      <c r="R252" s="23">
        <f t="shared" si="26"/>
        <v>0</v>
      </c>
      <c r="S252" s="27" t="s">
        <v>276</v>
      </c>
      <c r="T252" s="19" t="s">
        <v>313</v>
      </c>
    </row>
    <row r="253" spans="1:20" ht="37.5" customHeight="1" x14ac:dyDescent="0.25">
      <c r="A253" s="19" t="s">
        <v>315</v>
      </c>
      <c r="B253">
        <v>15188</v>
      </c>
      <c r="F253">
        <f t="shared" si="28"/>
        <v>14</v>
      </c>
      <c r="G253" s="20">
        <f t="shared" si="29"/>
        <v>248</v>
      </c>
      <c r="H253" s="21">
        <v>11617020199</v>
      </c>
      <c r="I253" s="22" t="s">
        <v>316</v>
      </c>
      <c r="J253" s="23"/>
      <c r="K253" s="24">
        <v>15174</v>
      </c>
      <c r="L253" s="23">
        <f t="shared" si="23"/>
        <v>14</v>
      </c>
      <c r="M253" s="24"/>
      <c r="N253" s="25">
        <f t="shared" si="24"/>
        <v>0</v>
      </c>
      <c r="O253" s="24"/>
      <c r="P253" s="23">
        <f t="shared" si="25"/>
        <v>0</v>
      </c>
      <c r="Q253" s="26"/>
      <c r="R253" s="23">
        <f t="shared" si="26"/>
        <v>0</v>
      </c>
      <c r="S253" s="27" t="s">
        <v>276</v>
      </c>
      <c r="T253" s="19" t="s">
        <v>315</v>
      </c>
    </row>
    <row r="254" spans="1:20" ht="37.5" customHeight="1" x14ac:dyDescent="0.25">
      <c r="A254" s="19" t="s">
        <v>317</v>
      </c>
      <c r="B254">
        <v>3225</v>
      </c>
      <c r="F254">
        <f t="shared" si="28"/>
        <v>169</v>
      </c>
      <c r="G254" s="20">
        <f t="shared" si="29"/>
        <v>249</v>
      </c>
      <c r="H254" s="21">
        <v>11821010093</v>
      </c>
      <c r="I254" s="22" t="s">
        <v>318</v>
      </c>
      <c r="J254" s="23"/>
      <c r="K254" s="24">
        <v>3056</v>
      </c>
      <c r="L254" s="23">
        <f t="shared" si="23"/>
        <v>169</v>
      </c>
      <c r="M254" s="24">
        <v>0</v>
      </c>
      <c r="N254" s="25">
        <f t="shared" si="24"/>
        <v>0</v>
      </c>
      <c r="O254" s="24">
        <v>0</v>
      </c>
      <c r="P254" s="23">
        <f t="shared" si="25"/>
        <v>0</v>
      </c>
      <c r="Q254" s="26"/>
      <c r="R254" s="23">
        <f t="shared" si="26"/>
        <v>0</v>
      </c>
      <c r="S254" s="27" t="s">
        <v>276</v>
      </c>
      <c r="T254" s="19" t="s">
        <v>317</v>
      </c>
    </row>
    <row r="255" spans="1:20" ht="37.5" customHeight="1" x14ac:dyDescent="0.25">
      <c r="A255" s="19" t="s">
        <v>319</v>
      </c>
      <c r="F255">
        <f t="shared" si="28"/>
        <v>-6301</v>
      </c>
      <c r="G255" s="20">
        <f t="shared" si="29"/>
        <v>250</v>
      </c>
      <c r="H255" s="21">
        <v>11818020018</v>
      </c>
      <c r="I255" s="22" t="s">
        <v>320</v>
      </c>
      <c r="J255" s="23"/>
      <c r="K255" s="24">
        <v>6301</v>
      </c>
      <c r="L255" s="23">
        <f t="shared" si="23"/>
        <v>-6301</v>
      </c>
      <c r="M255" s="24"/>
      <c r="N255" s="25">
        <f t="shared" si="24"/>
        <v>0</v>
      </c>
      <c r="O255" s="24"/>
      <c r="P255" s="23">
        <f t="shared" si="25"/>
        <v>0</v>
      </c>
      <c r="Q255" s="26"/>
      <c r="R255" s="23">
        <f t="shared" si="26"/>
        <v>0</v>
      </c>
      <c r="S255" s="27" t="s">
        <v>276</v>
      </c>
      <c r="T255" s="19" t="s">
        <v>319</v>
      </c>
    </row>
    <row r="256" spans="1:20" ht="37.5" customHeight="1" x14ac:dyDescent="0.25">
      <c r="A256" s="19" t="s">
        <v>321</v>
      </c>
      <c r="B256">
        <v>14674</v>
      </c>
      <c r="F256">
        <f t="shared" si="28"/>
        <v>203</v>
      </c>
      <c r="G256" s="20">
        <f t="shared" si="29"/>
        <v>251</v>
      </c>
      <c r="H256" s="21">
        <v>11818020019</v>
      </c>
      <c r="I256" s="22" t="s">
        <v>322</v>
      </c>
      <c r="J256" s="23"/>
      <c r="K256" s="24">
        <v>14471</v>
      </c>
      <c r="L256" s="23">
        <f t="shared" si="23"/>
        <v>203</v>
      </c>
      <c r="M256" s="24"/>
      <c r="N256" s="25">
        <f t="shared" si="24"/>
        <v>0</v>
      </c>
      <c r="O256" s="24"/>
      <c r="P256" s="23">
        <f t="shared" si="25"/>
        <v>0</v>
      </c>
      <c r="Q256" s="26"/>
      <c r="R256" s="23">
        <f t="shared" si="26"/>
        <v>0</v>
      </c>
      <c r="S256" s="27" t="s">
        <v>276</v>
      </c>
      <c r="T256" s="19" t="s">
        <v>321</v>
      </c>
    </row>
    <row r="257" spans="1:20" ht="37.5" customHeight="1" x14ac:dyDescent="0.25">
      <c r="A257" s="19" t="s">
        <v>323</v>
      </c>
      <c r="B257">
        <v>8972</v>
      </c>
      <c r="F257">
        <f t="shared" si="28"/>
        <v>4</v>
      </c>
      <c r="G257" s="20">
        <f t="shared" si="29"/>
        <v>252</v>
      </c>
      <c r="H257" s="21">
        <v>11818020020</v>
      </c>
      <c r="I257" s="22" t="s">
        <v>324</v>
      </c>
      <c r="J257" s="23"/>
      <c r="K257" s="24">
        <v>8968</v>
      </c>
      <c r="L257" s="23">
        <f t="shared" si="23"/>
        <v>4</v>
      </c>
      <c r="M257" s="24"/>
      <c r="N257" s="25">
        <f t="shared" si="24"/>
        <v>0</v>
      </c>
      <c r="O257" s="24"/>
      <c r="P257" s="23">
        <f t="shared" si="25"/>
        <v>0</v>
      </c>
      <c r="Q257" s="26"/>
      <c r="R257" s="23">
        <f t="shared" si="26"/>
        <v>0</v>
      </c>
      <c r="S257" s="27" t="s">
        <v>276</v>
      </c>
      <c r="T257" s="19" t="s">
        <v>323</v>
      </c>
    </row>
    <row r="258" spans="1:20" ht="37.5" customHeight="1" x14ac:dyDescent="0.25">
      <c r="A258" s="19" t="s">
        <v>325</v>
      </c>
      <c r="B258">
        <f t="shared" si="27"/>
        <v>36329</v>
      </c>
      <c r="C258">
        <v>6473</v>
      </c>
      <c r="D258">
        <v>29856</v>
      </c>
      <c r="F258">
        <f t="shared" si="28"/>
        <v>1501</v>
      </c>
      <c r="G258" s="20">
        <f t="shared" si="29"/>
        <v>253</v>
      </c>
      <c r="H258" s="21">
        <v>66622050255</v>
      </c>
      <c r="I258" s="22" t="s">
        <v>326</v>
      </c>
      <c r="J258" s="23"/>
      <c r="K258" s="24">
        <v>34828</v>
      </c>
      <c r="L258" s="23">
        <f t="shared" si="23"/>
        <v>1501</v>
      </c>
      <c r="M258" s="24">
        <v>6237</v>
      </c>
      <c r="N258" s="25">
        <f t="shared" si="24"/>
        <v>236</v>
      </c>
      <c r="O258" s="24">
        <v>28591</v>
      </c>
      <c r="P258" s="23">
        <f t="shared" si="25"/>
        <v>1265</v>
      </c>
      <c r="Q258" s="26"/>
      <c r="R258" s="23">
        <f t="shared" si="26"/>
        <v>0</v>
      </c>
      <c r="S258" s="27" t="s">
        <v>276</v>
      </c>
      <c r="T258" s="19" t="s">
        <v>325</v>
      </c>
    </row>
    <row r="259" spans="1:20" ht="37.5" customHeight="1" x14ac:dyDescent="0.25">
      <c r="A259" s="19" t="s">
        <v>327</v>
      </c>
      <c r="B259">
        <f t="shared" si="27"/>
        <v>195101</v>
      </c>
      <c r="C259">
        <v>36008</v>
      </c>
      <c r="D259">
        <v>159093</v>
      </c>
      <c r="F259">
        <f t="shared" si="28"/>
        <v>2455</v>
      </c>
      <c r="G259" s="20">
        <f t="shared" si="29"/>
        <v>254</v>
      </c>
      <c r="H259" s="21">
        <v>66617010120</v>
      </c>
      <c r="I259" s="22" t="s">
        <v>328</v>
      </c>
      <c r="J259" s="23"/>
      <c r="K259" s="24">
        <v>192646</v>
      </c>
      <c r="L259" s="23">
        <f t="shared" si="23"/>
        <v>2455</v>
      </c>
      <c r="M259" s="24">
        <v>35542</v>
      </c>
      <c r="N259" s="25">
        <f t="shared" si="24"/>
        <v>466</v>
      </c>
      <c r="O259" s="24">
        <v>157104</v>
      </c>
      <c r="P259" s="23">
        <f t="shared" si="25"/>
        <v>1989</v>
      </c>
      <c r="Q259" s="26"/>
      <c r="R259" s="23">
        <f t="shared" si="26"/>
        <v>0</v>
      </c>
      <c r="S259" s="27" t="s">
        <v>276</v>
      </c>
      <c r="T259" s="19" t="s">
        <v>327</v>
      </c>
    </row>
    <row r="260" spans="1:20" ht="37.5" customHeight="1" x14ac:dyDescent="0.25">
      <c r="A260" s="19" t="s">
        <v>329</v>
      </c>
      <c r="B260">
        <f t="shared" si="27"/>
        <v>134208</v>
      </c>
      <c r="C260">
        <v>24364</v>
      </c>
      <c r="D260">
        <v>109844</v>
      </c>
      <c r="F260">
        <f t="shared" si="28"/>
        <v>1815</v>
      </c>
      <c r="G260" s="20">
        <f t="shared" si="29"/>
        <v>255</v>
      </c>
      <c r="H260" s="21">
        <v>88818030167</v>
      </c>
      <c r="I260" s="22" t="s">
        <v>330</v>
      </c>
      <c r="J260" s="23"/>
      <c r="K260" s="24">
        <v>132393</v>
      </c>
      <c r="L260" s="23">
        <f t="shared" si="23"/>
        <v>1815</v>
      </c>
      <c r="M260" s="24">
        <v>24040</v>
      </c>
      <c r="N260" s="25">
        <f t="shared" si="24"/>
        <v>324</v>
      </c>
      <c r="O260" s="24">
        <v>108353</v>
      </c>
      <c r="P260" s="23">
        <f t="shared" si="25"/>
        <v>1491</v>
      </c>
      <c r="Q260" s="26"/>
      <c r="R260" s="23">
        <f t="shared" si="26"/>
        <v>0</v>
      </c>
      <c r="S260" s="27" t="s">
        <v>276</v>
      </c>
      <c r="T260" s="19" t="s">
        <v>329</v>
      </c>
    </row>
    <row r="261" spans="1:20" ht="37.5" customHeight="1" x14ac:dyDescent="0.25">
      <c r="A261" s="19" t="s">
        <v>331</v>
      </c>
      <c r="B261">
        <v>37978</v>
      </c>
      <c r="F261">
        <f t="shared" si="28"/>
        <v>720</v>
      </c>
      <c r="G261" s="20">
        <f t="shared" si="29"/>
        <v>256</v>
      </c>
      <c r="H261" s="21">
        <v>200</v>
      </c>
      <c r="I261" s="22" t="s">
        <v>332</v>
      </c>
      <c r="J261" s="23"/>
      <c r="K261" s="24">
        <v>37258</v>
      </c>
      <c r="L261" s="23">
        <f t="shared" si="23"/>
        <v>720</v>
      </c>
      <c r="M261" s="24"/>
      <c r="N261" s="25">
        <f t="shared" si="24"/>
        <v>0</v>
      </c>
      <c r="O261" s="24"/>
      <c r="P261" s="23">
        <f t="shared" si="25"/>
        <v>0</v>
      </c>
      <c r="Q261" s="26"/>
      <c r="R261" s="23">
        <f t="shared" si="26"/>
        <v>0</v>
      </c>
      <c r="S261" s="27" t="s">
        <v>333</v>
      </c>
      <c r="T261" s="19" t="s">
        <v>331</v>
      </c>
    </row>
    <row r="262" spans="1:20" ht="37.5" customHeight="1" x14ac:dyDescent="0.25">
      <c r="A262" s="19" t="s">
        <v>334</v>
      </c>
      <c r="B262">
        <f t="shared" si="27"/>
        <v>832</v>
      </c>
      <c r="C262">
        <v>247</v>
      </c>
      <c r="D262">
        <v>585</v>
      </c>
      <c r="F262">
        <f t="shared" si="28"/>
        <v>54</v>
      </c>
      <c r="G262" s="20">
        <f t="shared" si="29"/>
        <v>257</v>
      </c>
      <c r="H262" s="21">
        <v>68228116310</v>
      </c>
      <c r="I262" s="22" t="s">
        <v>335</v>
      </c>
      <c r="J262" s="23"/>
      <c r="K262" s="24">
        <v>778</v>
      </c>
      <c r="L262" s="23">
        <f t="shared" ref="L262:L270" si="30">B262-K262</f>
        <v>54</v>
      </c>
      <c r="M262" s="24">
        <v>231</v>
      </c>
      <c r="N262" s="25">
        <f t="shared" ref="N262:N270" si="31">C262-M262</f>
        <v>16</v>
      </c>
      <c r="O262" s="24">
        <v>547</v>
      </c>
      <c r="P262" s="23">
        <f t="shared" ref="P262:P270" si="32">D262-O262</f>
        <v>38</v>
      </c>
      <c r="Q262" s="26"/>
      <c r="R262" s="23">
        <f t="shared" ref="R262:R270" si="33">E262-Q262</f>
        <v>0</v>
      </c>
      <c r="S262" s="27" t="s">
        <v>333</v>
      </c>
      <c r="T262" s="19" t="s">
        <v>334</v>
      </c>
    </row>
    <row r="263" spans="1:20" ht="37.5" customHeight="1" x14ac:dyDescent="0.25">
      <c r="A263" s="19" t="s">
        <v>336</v>
      </c>
      <c r="B263">
        <f t="shared" ref="B263:B270" si="34">C263+D263</f>
        <v>42606</v>
      </c>
      <c r="C263">
        <v>6382</v>
      </c>
      <c r="D263">
        <v>36224</v>
      </c>
      <c r="F263">
        <f t="shared" ref="F263:F270" si="35">L263</f>
        <v>104</v>
      </c>
      <c r="G263" s="20">
        <f t="shared" si="29"/>
        <v>258</v>
      </c>
      <c r="H263" s="21">
        <v>23014010190</v>
      </c>
      <c r="I263" s="22" t="s">
        <v>337</v>
      </c>
      <c r="J263" s="23"/>
      <c r="K263" s="24">
        <v>42502</v>
      </c>
      <c r="L263" s="23">
        <f t="shared" si="30"/>
        <v>104</v>
      </c>
      <c r="M263" s="24">
        <v>6378</v>
      </c>
      <c r="N263" s="25">
        <f t="shared" si="31"/>
        <v>4</v>
      </c>
      <c r="O263" s="24">
        <v>36124</v>
      </c>
      <c r="P263" s="23">
        <f t="shared" si="32"/>
        <v>100</v>
      </c>
      <c r="Q263" s="26"/>
      <c r="R263" s="23">
        <f t="shared" si="33"/>
        <v>0</v>
      </c>
      <c r="S263" s="27" t="s">
        <v>333</v>
      </c>
      <c r="T263" s="19" t="s">
        <v>336</v>
      </c>
    </row>
    <row r="264" spans="1:20" ht="37.5" customHeight="1" x14ac:dyDescent="0.25">
      <c r="A264" s="19" t="s">
        <v>338</v>
      </c>
      <c r="B264">
        <v>1384</v>
      </c>
      <c r="F264">
        <f t="shared" si="35"/>
        <v>29</v>
      </c>
      <c r="G264" s="20">
        <f t="shared" ref="G264:G270" si="36">G263+1</f>
        <v>259</v>
      </c>
      <c r="H264" s="21">
        <v>11818020126</v>
      </c>
      <c r="I264" s="22" t="s">
        <v>339</v>
      </c>
      <c r="J264" s="23"/>
      <c r="K264" s="24">
        <v>1355</v>
      </c>
      <c r="L264" s="23">
        <f t="shared" si="30"/>
        <v>29</v>
      </c>
      <c r="M264" s="24"/>
      <c r="N264" s="25">
        <f t="shared" si="31"/>
        <v>0</v>
      </c>
      <c r="O264" s="24"/>
      <c r="P264" s="23">
        <f t="shared" si="32"/>
        <v>0</v>
      </c>
      <c r="Q264" s="26"/>
      <c r="R264" s="23">
        <f t="shared" si="33"/>
        <v>0</v>
      </c>
      <c r="S264" s="27" t="s">
        <v>333</v>
      </c>
      <c r="T264" s="19" t="s">
        <v>338</v>
      </c>
    </row>
    <row r="265" spans="1:20" ht="37.5" customHeight="1" x14ac:dyDescent="0.25">
      <c r="A265" s="19" t="s">
        <v>340</v>
      </c>
      <c r="B265">
        <f t="shared" si="34"/>
        <v>67656</v>
      </c>
      <c r="C265">
        <v>12593</v>
      </c>
      <c r="D265">
        <v>55063</v>
      </c>
      <c r="F265">
        <f t="shared" si="35"/>
        <v>1110</v>
      </c>
      <c r="G265" s="20">
        <f t="shared" si="36"/>
        <v>260</v>
      </c>
      <c r="H265" s="21">
        <v>88818010272</v>
      </c>
      <c r="I265" s="22" t="s">
        <v>341</v>
      </c>
      <c r="J265" s="23"/>
      <c r="K265" s="24">
        <v>66546</v>
      </c>
      <c r="L265" s="23">
        <f t="shared" si="30"/>
        <v>1110</v>
      </c>
      <c r="M265" s="24">
        <v>12271</v>
      </c>
      <c r="N265" s="25">
        <f t="shared" si="31"/>
        <v>322</v>
      </c>
      <c r="O265" s="24">
        <v>54275</v>
      </c>
      <c r="P265" s="23">
        <f t="shared" si="32"/>
        <v>788</v>
      </c>
      <c r="Q265" s="26"/>
      <c r="R265" s="23">
        <f t="shared" si="33"/>
        <v>0</v>
      </c>
      <c r="S265" s="27" t="s">
        <v>333</v>
      </c>
      <c r="T265" s="19" t="s">
        <v>340</v>
      </c>
    </row>
    <row r="266" spans="1:20" ht="37.5" customHeight="1" x14ac:dyDescent="0.25">
      <c r="A266" s="19" t="s">
        <v>342</v>
      </c>
      <c r="B266">
        <f t="shared" si="34"/>
        <v>81159</v>
      </c>
      <c r="C266">
        <v>27219</v>
      </c>
      <c r="D266">
        <v>53940</v>
      </c>
      <c r="F266">
        <f t="shared" si="35"/>
        <v>491</v>
      </c>
      <c r="G266" s="20">
        <f t="shared" si="36"/>
        <v>261</v>
      </c>
      <c r="H266" s="21">
        <v>23009070029</v>
      </c>
      <c r="I266" s="22" t="s">
        <v>343</v>
      </c>
      <c r="J266" s="23"/>
      <c r="K266" s="24">
        <v>80668</v>
      </c>
      <c r="L266" s="23">
        <f t="shared" si="30"/>
        <v>491</v>
      </c>
      <c r="M266" s="24">
        <v>27152</v>
      </c>
      <c r="N266" s="25">
        <f t="shared" si="31"/>
        <v>67</v>
      </c>
      <c r="O266" s="24">
        <v>53516</v>
      </c>
      <c r="P266" s="23">
        <f t="shared" si="32"/>
        <v>424</v>
      </c>
      <c r="Q266" s="26"/>
      <c r="R266" s="23">
        <f t="shared" si="33"/>
        <v>0</v>
      </c>
      <c r="S266" s="27" t="s">
        <v>333</v>
      </c>
      <c r="T266" s="19" t="s">
        <v>342</v>
      </c>
    </row>
    <row r="267" spans="1:20" ht="37.5" customHeight="1" x14ac:dyDescent="0.25">
      <c r="A267" s="19" t="s">
        <v>344</v>
      </c>
      <c r="B267">
        <v>83923</v>
      </c>
      <c r="F267">
        <f t="shared" si="35"/>
        <v>717</v>
      </c>
      <c r="G267" s="20">
        <f t="shared" si="36"/>
        <v>262</v>
      </c>
      <c r="H267" s="21">
        <v>21</v>
      </c>
      <c r="I267" s="22" t="s">
        <v>345</v>
      </c>
      <c r="J267" s="23"/>
      <c r="K267" s="24">
        <v>83206</v>
      </c>
      <c r="L267" s="23">
        <f t="shared" si="30"/>
        <v>717</v>
      </c>
      <c r="M267" s="24"/>
      <c r="N267" s="25">
        <f t="shared" si="31"/>
        <v>0</v>
      </c>
      <c r="O267" s="24"/>
      <c r="P267" s="23">
        <f t="shared" si="32"/>
        <v>0</v>
      </c>
      <c r="Q267" s="26"/>
      <c r="R267" s="23">
        <f t="shared" si="33"/>
        <v>0</v>
      </c>
      <c r="S267" s="27" t="s">
        <v>333</v>
      </c>
      <c r="T267" s="19" t="s">
        <v>344</v>
      </c>
    </row>
    <row r="268" spans="1:20" ht="37.5" customHeight="1" x14ac:dyDescent="0.25">
      <c r="A268" s="19" t="s">
        <v>346</v>
      </c>
      <c r="B268">
        <f t="shared" si="34"/>
        <v>104987</v>
      </c>
      <c r="C268">
        <v>28496</v>
      </c>
      <c r="D268">
        <v>76491</v>
      </c>
      <c r="F268">
        <f t="shared" si="35"/>
        <v>1681</v>
      </c>
      <c r="G268" s="20">
        <f t="shared" si="36"/>
        <v>263</v>
      </c>
      <c r="H268" s="21">
        <v>23012010144</v>
      </c>
      <c r="I268" s="22" t="s">
        <v>347</v>
      </c>
      <c r="J268" s="23"/>
      <c r="K268" s="24">
        <v>103306</v>
      </c>
      <c r="L268" s="23">
        <f t="shared" si="30"/>
        <v>1681</v>
      </c>
      <c r="M268" s="24">
        <v>27879</v>
      </c>
      <c r="N268" s="25">
        <f t="shared" si="31"/>
        <v>617</v>
      </c>
      <c r="O268" s="24">
        <v>75427</v>
      </c>
      <c r="P268" s="23">
        <f t="shared" si="32"/>
        <v>1064</v>
      </c>
      <c r="Q268" s="26"/>
      <c r="R268" s="23">
        <f t="shared" si="33"/>
        <v>0</v>
      </c>
      <c r="S268" s="27" t="s">
        <v>333</v>
      </c>
      <c r="T268" s="19" t="s">
        <v>346</v>
      </c>
    </row>
    <row r="269" spans="1:20" ht="37.5" customHeight="1" x14ac:dyDescent="0.25">
      <c r="A269" s="19" t="s">
        <v>348</v>
      </c>
      <c r="B269">
        <f t="shared" si="34"/>
        <v>2944</v>
      </c>
      <c r="C269">
        <v>71</v>
      </c>
      <c r="D269">
        <v>2873</v>
      </c>
      <c r="F269">
        <f t="shared" si="35"/>
        <v>104</v>
      </c>
      <c r="G269" s="20">
        <f t="shared" si="36"/>
        <v>264</v>
      </c>
      <c r="H269" s="21">
        <v>88820020241</v>
      </c>
      <c r="I269" s="22" t="s">
        <v>349</v>
      </c>
      <c r="J269" s="23"/>
      <c r="K269" s="24">
        <v>2840</v>
      </c>
      <c r="L269" s="23">
        <f t="shared" si="30"/>
        <v>104</v>
      </c>
      <c r="M269" s="24">
        <v>71</v>
      </c>
      <c r="N269" s="25">
        <f t="shared" si="31"/>
        <v>0</v>
      </c>
      <c r="O269" s="24">
        <v>2769</v>
      </c>
      <c r="P269" s="23">
        <f t="shared" si="32"/>
        <v>104</v>
      </c>
      <c r="Q269" s="26"/>
      <c r="R269" s="23">
        <f t="shared" si="33"/>
        <v>0</v>
      </c>
      <c r="S269" s="27" t="s">
        <v>333</v>
      </c>
      <c r="T269" s="19" t="s">
        <v>348</v>
      </c>
    </row>
    <row r="270" spans="1:20" ht="37.5" customHeight="1" x14ac:dyDescent="0.25">
      <c r="A270" s="19" t="s">
        <v>350</v>
      </c>
      <c r="B270">
        <f t="shared" si="34"/>
        <v>33946</v>
      </c>
      <c r="C270">
        <v>5590</v>
      </c>
      <c r="D270">
        <v>28356</v>
      </c>
      <c r="F270">
        <f t="shared" si="35"/>
        <v>1049</v>
      </c>
      <c r="G270" s="20">
        <f t="shared" si="36"/>
        <v>265</v>
      </c>
      <c r="H270" s="21">
        <v>52521704278</v>
      </c>
      <c r="I270" s="22" t="s">
        <v>351</v>
      </c>
      <c r="J270" s="23"/>
      <c r="K270" s="24">
        <v>32897</v>
      </c>
      <c r="L270" s="23">
        <f t="shared" si="30"/>
        <v>1049</v>
      </c>
      <c r="M270" s="24">
        <v>5408</v>
      </c>
      <c r="N270" s="25">
        <f t="shared" si="31"/>
        <v>182</v>
      </c>
      <c r="O270" s="24">
        <v>27489</v>
      </c>
      <c r="P270" s="23">
        <f t="shared" si="32"/>
        <v>867</v>
      </c>
      <c r="Q270" s="26"/>
      <c r="R270" s="23">
        <f t="shared" si="33"/>
        <v>0</v>
      </c>
      <c r="S270" s="27" t="s">
        <v>333</v>
      </c>
      <c r="T270" s="19" t="s">
        <v>350</v>
      </c>
    </row>
    <row r="271" spans="1:20" ht="33.75" customHeight="1" x14ac:dyDescent="0.25">
      <c r="L271" s="33"/>
    </row>
    <row r="272" spans="1:20" ht="33.75" customHeight="1" x14ac:dyDescent="0.25">
      <c r="L272" s="33"/>
    </row>
    <row r="273" spans="12:12" ht="33.75" customHeight="1" x14ac:dyDescent="0.25">
      <c r="L273" s="33"/>
    </row>
    <row r="274" spans="12:12" ht="33.75" customHeight="1" x14ac:dyDescent="0.25">
      <c r="L274" s="33"/>
    </row>
    <row r="275" spans="12:12" ht="33.75" customHeight="1" x14ac:dyDescent="0.25">
      <c r="L275" s="33"/>
    </row>
    <row r="276" spans="12:12" ht="33.75" customHeight="1" x14ac:dyDescent="0.25">
      <c r="L276" s="33"/>
    </row>
    <row r="277" spans="12:12" ht="33.75" customHeight="1" x14ac:dyDescent="0.25">
      <c r="L277" s="33"/>
    </row>
    <row r="278" spans="12:12" ht="33.75" customHeight="1" x14ac:dyDescent="0.25">
      <c r="L278" s="33"/>
    </row>
    <row r="279" spans="12:12" ht="33.75" customHeight="1" x14ac:dyDescent="0.25">
      <c r="L279" s="33"/>
    </row>
    <row r="280" spans="12:12" ht="33.75" customHeight="1" x14ac:dyDescent="0.25">
      <c r="L280" s="33"/>
    </row>
    <row r="281" spans="12:12" ht="33.75" customHeight="1" x14ac:dyDescent="0.25">
      <c r="L281" s="33"/>
    </row>
    <row r="282" spans="12:12" ht="33.75" customHeight="1" x14ac:dyDescent="0.25">
      <c r="L282" s="33"/>
    </row>
    <row r="283" spans="12:12" ht="33.75" customHeight="1" x14ac:dyDescent="0.25">
      <c r="L283" s="33"/>
    </row>
    <row r="284" spans="12:12" ht="33.75" customHeight="1" x14ac:dyDescent="0.25">
      <c r="L284" s="33"/>
    </row>
    <row r="285" spans="12:12" ht="33.75" customHeight="1" x14ac:dyDescent="0.25">
      <c r="L285" s="33"/>
    </row>
    <row r="286" spans="12:12" ht="33.75" customHeight="1" x14ac:dyDescent="0.25">
      <c r="L286" s="33"/>
    </row>
    <row r="287" spans="12:12" ht="33.75" customHeight="1" x14ac:dyDescent="0.25">
      <c r="L287" s="33"/>
    </row>
    <row r="288" spans="12:12" ht="33.75" customHeight="1" x14ac:dyDescent="0.25">
      <c r="L288" s="33"/>
    </row>
    <row r="289" spans="12:12" ht="33.75" customHeight="1" x14ac:dyDescent="0.25">
      <c r="L289" s="33"/>
    </row>
    <row r="290" spans="12:12" ht="33.75" customHeight="1" x14ac:dyDescent="0.25">
      <c r="L290" s="33"/>
    </row>
    <row r="291" spans="12:12" ht="33.75" customHeight="1" x14ac:dyDescent="0.25">
      <c r="L291" s="33"/>
    </row>
    <row r="292" spans="12:12" ht="33.75" customHeight="1" x14ac:dyDescent="0.25">
      <c r="L292" s="33"/>
    </row>
    <row r="293" spans="12:12" ht="33.75" customHeight="1" x14ac:dyDescent="0.25">
      <c r="L293" s="33"/>
    </row>
    <row r="294" spans="12:12" ht="33.75" customHeight="1" x14ac:dyDescent="0.25">
      <c r="L294" s="33"/>
    </row>
    <row r="295" spans="12:12" ht="33.75" customHeight="1" x14ac:dyDescent="0.25">
      <c r="L295" s="33"/>
    </row>
    <row r="296" spans="12:12" ht="33.75" customHeight="1" x14ac:dyDescent="0.25">
      <c r="L296" s="33"/>
    </row>
    <row r="297" spans="12:12" ht="33.75" customHeight="1" x14ac:dyDescent="0.25">
      <c r="L297" s="33"/>
    </row>
    <row r="298" spans="12:12" ht="33.75" customHeight="1" x14ac:dyDescent="0.25">
      <c r="L298" s="33"/>
    </row>
    <row r="299" spans="12:12" ht="33.75" customHeight="1" x14ac:dyDescent="0.25">
      <c r="L299" s="33"/>
    </row>
    <row r="300" spans="12:12" ht="33.75" customHeight="1" x14ac:dyDescent="0.25">
      <c r="L300" s="33"/>
    </row>
    <row r="301" spans="12:12" ht="33.75" customHeight="1" x14ac:dyDescent="0.25">
      <c r="L301" s="33"/>
    </row>
    <row r="302" spans="12:12" ht="33.75" customHeight="1" x14ac:dyDescent="0.25">
      <c r="L302" s="33"/>
    </row>
    <row r="303" spans="12:12" ht="33.75" customHeight="1" x14ac:dyDescent="0.25">
      <c r="L303" s="33"/>
    </row>
    <row r="304" spans="12:12" ht="33.75" customHeight="1" x14ac:dyDescent="0.25">
      <c r="L304" s="33"/>
    </row>
    <row r="305" spans="12:12" ht="33.75" customHeight="1" x14ac:dyDescent="0.25">
      <c r="L305" s="33"/>
    </row>
    <row r="306" spans="12:12" ht="33.75" customHeight="1" x14ac:dyDescent="0.25">
      <c r="L306" s="33"/>
    </row>
    <row r="307" spans="12:12" ht="33.75" customHeight="1" x14ac:dyDescent="0.25">
      <c r="L307" s="33"/>
    </row>
    <row r="308" spans="12:12" ht="33.75" customHeight="1" x14ac:dyDescent="0.25">
      <c r="L308" s="33"/>
    </row>
    <row r="309" spans="12:12" ht="33.75" customHeight="1" x14ac:dyDescent="0.25">
      <c r="L309" s="33"/>
    </row>
    <row r="310" spans="12:12" ht="33.75" customHeight="1" x14ac:dyDescent="0.25">
      <c r="L310" s="33"/>
    </row>
    <row r="311" spans="12:12" ht="33.75" customHeight="1" x14ac:dyDescent="0.25">
      <c r="L311" s="33"/>
    </row>
    <row r="312" spans="12:12" ht="33.75" customHeight="1" x14ac:dyDescent="0.25">
      <c r="L312" s="33"/>
    </row>
    <row r="313" spans="12:12" ht="33.75" customHeight="1" x14ac:dyDescent="0.25">
      <c r="L313" s="33"/>
    </row>
    <row r="314" spans="12:12" ht="33.75" customHeight="1" x14ac:dyDescent="0.25">
      <c r="L314" s="33"/>
    </row>
    <row r="315" spans="12:12" ht="33.75" customHeight="1" x14ac:dyDescent="0.25">
      <c r="L315" s="33"/>
    </row>
    <row r="316" spans="12:12" ht="33.75" customHeight="1" x14ac:dyDescent="0.25">
      <c r="L316" s="33"/>
    </row>
    <row r="317" spans="12:12" ht="33.75" customHeight="1" x14ac:dyDescent="0.25">
      <c r="L317" s="33"/>
    </row>
    <row r="318" spans="12:12" ht="33.75" customHeight="1" x14ac:dyDescent="0.25">
      <c r="L318" s="33"/>
    </row>
    <row r="319" spans="12:12" ht="33.75" customHeight="1" x14ac:dyDescent="0.25">
      <c r="L319" s="33"/>
    </row>
    <row r="320" spans="12:12" ht="33.75" customHeight="1" x14ac:dyDescent="0.25">
      <c r="L320" s="33"/>
    </row>
    <row r="321" spans="12:12" ht="33.75" customHeight="1" x14ac:dyDescent="0.25">
      <c r="L321" s="33"/>
    </row>
    <row r="322" spans="12:12" ht="33.75" customHeight="1" x14ac:dyDescent="0.25">
      <c r="L322" s="33"/>
    </row>
    <row r="323" spans="12:12" ht="33.75" customHeight="1" x14ac:dyDescent="0.25">
      <c r="L323" s="33"/>
    </row>
    <row r="324" spans="12:12" ht="33.75" customHeight="1" x14ac:dyDescent="0.25">
      <c r="L324" s="33"/>
    </row>
    <row r="325" spans="12:12" ht="33.75" customHeight="1" x14ac:dyDescent="0.25">
      <c r="L325" s="33"/>
    </row>
    <row r="326" spans="12:12" ht="33.75" customHeight="1" x14ac:dyDescent="0.25">
      <c r="L326" s="33"/>
    </row>
    <row r="327" spans="12:12" ht="33.75" customHeight="1" x14ac:dyDescent="0.25">
      <c r="L327" s="33"/>
    </row>
    <row r="328" spans="12:12" ht="33.75" customHeight="1" x14ac:dyDescent="0.25">
      <c r="L328" s="33"/>
    </row>
    <row r="329" spans="12:12" ht="33.75" customHeight="1" x14ac:dyDescent="0.25">
      <c r="L329" s="33"/>
    </row>
    <row r="330" spans="12:12" ht="33.75" customHeight="1" x14ac:dyDescent="0.25">
      <c r="L330" s="33"/>
    </row>
    <row r="331" spans="12:12" ht="33.75" customHeight="1" x14ac:dyDescent="0.25">
      <c r="L331" s="33"/>
    </row>
    <row r="332" spans="12:12" ht="33.75" customHeight="1" x14ac:dyDescent="0.25">
      <c r="L332" s="33"/>
    </row>
    <row r="333" spans="12:12" ht="33.75" customHeight="1" x14ac:dyDescent="0.25">
      <c r="L333" s="33"/>
    </row>
    <row r="334" spans="12:12" ht="33.75" customHeight="1" x14ac:dyDescent="0.25">
      <c r="L334" s="33"/>
    </row>
    <row r="335" spans="12:12" ht="33.75" customHeight="1" x14ac:dyDescent="0.25">
      <c r="L335" s="33"/>
    </row>
    <row r="336" spans="12:12" ht="33.75" customHeight="1" x14ac:dyDescent="0.25">
      <c r="L336" s="33"/>
    </row>
    <row r="337" spans="12:12" ht="33.75" customHeight="1" x14ac:dyDescent="0.25">
      <c r="L337" s="33"/>
    </row>
    <row r="338" spans="12:12" ht="33.75" customHeight="1" x14ac:dyDescent="0.25">
      <c r="L338" s="33"/>
    </row>
    <row r="339" spans="12:12" ht="33.75" customHeight="1" x14ac:dyDescent="0.25">
      <c r="L339" s="33"/>
    </row>
    <row r="340" spans="12:12" ht="33.75" customHeight="1" x14ac:dyDescent="0.25">
      <c r="L340" s="33"/>
    </row>
    <row r="341" spans="12:12" ht="33.75" customHeight="1" x14ac:dyDescent="0.25">
      <c r="L341" s="33"/>
    </row>
    <row r="342" spans="12:12" ht="33.75" customHeight="1" x14ac:dyDescent="0.25">
      <c r="L342" s="33"/>
    </row>
    <row r="343" spans="12:12" ht="33.75" customHeight="1" x14ac:dyDescent="0.25">
      <c r="L343" s="33"/>
    </row>
    <row r="344" spans="12:12" ht="33.75" customHeight="1" x14ac:dyDescent="0.25">
      <c r="L344" s="33"/>
    </row>
    <row r="345" spans="12:12" ht="33.75" customHeight="1" x14ac:dyDescent="0.25">
      <c r="L345" s="33"/>
    </row>
    <row r="346" spans="12:12" ht="33.75" customHeight="1" x14ac:dyDescent="0.25">
      <c r="L346" s="33"/>
    </row>
    <row r="347" spans="12:12" ht="33.75" customHeight="1" x14ac:dyDescent="0.25">
      <c r="L347" s="33"/>
    </row>
    <row r="348" spans="12:12" ht="33.75" customHeight="1" x14ac:dyDescent="0.25">
      <c r="L348" s="33"/>
    </row>
    <row r="349" spans="12:12" ht="33.75" customHeight="1" x14ac:dyDescent="0.25">
      <c r="L349" s="33"/>
    </row>
    <row r="350" spans="12:12" ht="33.75" customHeight="1" x14ac:dyDescent="0.25">
      <c r="L350" s="33"/>
    </row>
    <row r="351" spans="12:12" ht="33.75" customHeight="1" x14ac:dyDescent="0.25">
      <c r="L351" s="33"/>
    </row>
    <row r="352" spans="12:12" ht="33.75" customHeight="1" x14ac:dyDescent="0.25">
      <c r="L352" s="33"/>
    </row>
    <row r="353" spans="12:12" ht="33.75" customHeight="1" x14ac:dyDescent="0.25">
      <c r="L353" s="33"/>
    </row>
    <row r="354" spans="12:12" ht="33.75" customHeight="1" x14ac:dyDescent="0.25">
      <c r="L354" s="33"/>
    </row>
    <row r="355" spans="12:12" ht="33.75" customHeight="1" x14ac:dyDescent="0.25">
      <c r="L355" s="33"/>
    </row>
    <row r="356" spans="12:12" ht="33.75" customHeight="1" x14ac:dyDescent="0.25">
      <c r="L356" s="33"/>
    </row>
    <row r="357" spans="12:12" ht="33.75" customHeight="1" x14ac:dyDescent="0.25">
      <c r="L357" s="33"/>
    </row>
    <row r="358" spans="12:12" ht="33.75" customHeight="1" x14ac:dyDescent="0.25">
      <c r="L358" s="33"/>
    </row>
    <row r="359" spans="12:12" ht="33.75" customHeight="1" x14ac:dyDescent="0.25">
      <c r="L359" s="33"/>
    </row>
    <row r="360" spans="12:12" ht="33.75" customHeight="1" x14ac:dyDescent="0.25">
      <c r="L360" s="33"/>
    </row>
    <row r="361" spans="12:12" ht="33.75" customHeight="1" x14ac:dyDescent="0.25">
      <c r="L361" s="33"/>
    </row>
    <row r="362" spans="12:12" ht="33.75" customHeight="1" x14ac:dyDescent="0.25">
      <c r="L362" s="33"/>
    </row>
    <row r="363" spans="12:12" ht="33.75" customHeight="1" x14ac:dyDescent="0.25">
      <c r="L363" s="33"/>
    </row>
    <row r="364" spans="12:12" ht="33.75" customHeight="1" x14ac:dyDescent="0.25">
      <c r="L364" s="33"/>
    </row>
    <row r="365" spans="12:12" ht="33.75" customHeight="1" x14ac:dyDescent="0.25">
      <c r="L365" s="33"/>
    </row>
    <row r="366" spans="12:12" ht="33.75" customHeight="1" x14ac:dyDescent="0.25">
      <c r="L366" s="33"/>
    </row>
    <row r="367" spans="12:12" ht="33.75" customHeight="1" x14ac:dyDescent="0.25">
      <c r="L367" s="33"/>
    </row>
    <row r="368" spans="12:12" ht="33.75" customHeight="1" x14ac:dyDescent="0.25">
      <c r="L368" s="33"/>
    </row>
    <row r="369" spans="12:12" ht="33.75" customHeight="1" x14ac:dyDescent="0.25">
      <c r="L369" s="33"/>
    </row>
    <row r="370" spans="12:12" ht="33.75" customHeight="1" x14ac:dyDescent="0.25">
      <c r="L370" s="33"/>
    </row>
    <row r="371" spans="12:12" ht="33.75" customHeight="1" x14ac:dyDescent="0.25">
      <c r="L371" s="33"/>
    </row>
    <row r="372" spans="12:12" ht="33.75" customHeight="1" x14ac:dyDescent="0.25">
      <c r="L372" s="33"/>
    </row>
    <row r="373" spans="12:12" ht="33.75" customHeight="1" x14ac:dyDescent="0.25">
      <c r="L373" s="33"/>
    </row>
    <row r="374" spans="12:12" ht="33.75" customHeight="1" x14ac:dyDescent="0.25">
      <c r="L374" s="33"/>
    </row>
    <row r="375" spans="12:12" ht="33.75" customHeight="1" x14ac:dyDescent="0.25">
      <c r="L375" s="33"/>
    </row>
    <row r="376" spans="12:12" ht="33.75" customHeight="1" x14ac:dyDescent="0.25">
      <c r="L376" s="33"/>
    </row>
    <row r="377" spans="12:12" ht="33.75" customHeight="1" x14ac:dyDescent="0.25">
      <c r="L377" s="33"/>
    </row>
    <row r="378" spans="12:12" ht="33.75" customHeight="1" x14ac:dyDescent="0.25">
      <c r="L378" s="33"/>
    </row>
    <row r="379" spans="12:12" ht="33.75" customHeight="1" x14ac:dyDescent="0.25">
      <c r="L379" s="33"/>
    </row>
    <row r="380" spans="12:12" ht="33.75" customHeight="1" x14ac:dyDescent="0.25">
      <c r="L380" s="33"/>
    </row>
    <row r="381" spans="12:12" ht="33.75" customHeight="1" x14ac:dyDescent="0.25">
      <c r="L381" s="33"/>
    </row>
    <row r="382" spans="12:12" ht="33.75" customHeight="1" x14ac:dyDescent="0.25">
      <c r="L382" s="33"/>
    </row>
    <row r="383" spans="12:12" ht="33.75" customHeight="1" x14ac:dyDescent="0.25">
      <c r="L383" s="33"/>
    </row>
    <row r="384" spans="12:12" ht="33.75" customHeight="1" x14ac:dyDescent="0.25">
      <c r="L384" s="33"/>
    </row>
    <row r="385" spans="12:12" ht="33.75" customHeight="1" x14ac:dyDescent="0.25">
      <c r="L385" s="33"/>
    </row>
    <row r="386" spans="12:12" ht="33.75" customHeight="1" x14ac:dyDescent="0.25">
      <c r="L386" s="33"/>
    </row>
    <row r="387" spans="12:12" ht="33.75" customHeight="1" x14ac:dyDescent="0.25">
      <c r="L387" s="33"/>
    </row>
    <row r="388" spans="12:12" ht="33.75" customHeight="1" x14ac:dyDescent="0.25">
      <c r="L388" s="33"/>
    </row>
    <row r="389" spans="12:12" ht="33.75" customHeight="1" x14ac:dyDescent="0.25">
      <c r="L389" s="33"/>
    </row>
    <row r="390" spans="12:12" ht="33.75" customHeight="1" x14ac:dyDescent="0.25">
      <c r="L390" s="33"/>
    </row>
    <row r="391" spans="12:12" ht="33.75" customHeight="1" x14ac:dyDescent="0.25">
      <c r="L391" s="33"/>
    </row>
    <row r="392" spans="12:12" ht="33.75" customHeight="1" x14ac:dyDescent="0.25">
      <c r="L392" s="33"/>
    </row>
    <row r="393" spans="12:12" ht="33.75" customHeight="1" x14ac:dyDescent="0.25">
      <c r="L393" s="33"/>
    </row>
    <row r="394" spans="12:12" ht="33.75" customHeight="1" x14ac:dyDescent="0.25">
      <c r="L394" s="33"/>
    </row>
    <row r="395" spans="12:12" ht="33.75" customHeight="1" x14ac:dyDescent="0.25">
      <c r="L395" s="33"/>
    </row>
    <row r="396" spans="12:12" ht="33.75" customHeight="1" x14ac:dyDescent="0.25">
      <c r="L396" s="33"/>
    </row>
    <row r="397" spans="12:12" ht="33.75" customHeight="1" x14ac:dyDescent="0.25">
      <c r="L397" s="33"/>
    </row>
    <row r="398" spans="12:12" ht="33.75" customHeight="1" x14ac:dyDescent="0.25">
      <c r="L398" s="33"/>
    </row>
    <row r="399" spans="12:12" ht="33.75" customHeight="1" x14ac:dyDescent="0.25">
      <c r="L399" s="33"/>
    </row>
    <row r="400" spans="12:12" ht="33.75" customHeight="1" x14ac:dyDescent="0.25">
      <c r="L400" s="33"/>
    </row>
    <row r="401" spans="12:12" ht="33.75" customHeight="1" x14ac:dyDescent="0.25">
      <c r="L401" s="33"/>
    </row>
    <row r="402" spans="12:12" ht="33.75" customHeight="1" x14ac:dyDescent="0.25">
      <c r="L402" s="33"/>
    </row>
    <row r="403" spans="12:12" ht="33.75" customHeight="1" x14ac:dyDescent="0.25">
      <c r="L403" s="33"/>
    </row>
    <row r="404" spans="12:12" ht="33.75" customHeight="1" x14ac:dyDescent="0.25">
      <c r="L404" s="33"/>
    </row>
    <row r="405" spans="12:12" ht="33.75" customHeight="1" x14ac:dyDescent="0.25">
      <c r="L405" s="33"/>
    </row>
    <row r="406" spans="12:12" ht="33.75" customHeight="1" x14ac:dyDescent="0.25">
      <c r="L406" s="33"/>
    </row>
    <row r="407" spans="12:12" ht="33.75" customHeight="1" x14ac:dyDescent="0.25">
      <c r="L407" s="33"/>
    </row>
    <row r="408" spans="12:12" ht="33.75" customHeight="1" x14ac:dyDescent="0.25">
      <c r="L408" s="33"/>
    </row>
    <row r="409" spans="12:12" ht="33.75" customHeight="1" x14ac:dyDescent="0.25">
      <c r="L409" s="33"/>
    </row>
    <row r="410" spans="12:12" ht="33.75" customHeight="1" x14ac:dyDescent="0.25">
      <c r="L410" s="33"/>
    </row>
    <row r="411" spans="12:12" ht="33.75" customHeight="1" x14ac:dyDescent="0.25">
      <c r="L411" s="33"/>
    </row>
    <row r="412" spans="12:12" ht="33.75" customHeight="1" x14ac:dyDescent="0.25">
      <c r="L412" s="33"/>
    </row>
    <row r="413" spans="12:12" ht="33.75" customHeight="1" x14ac:dyDescent="0.25">
      <c r="L413" s="33"/>
    </row>
    <row r="414" spans="12:12" ht="33.75" customHeight="1" x14ac:dyDescent="0.25">
      <c r="L414" s="33"/>
    </row>
    <row r="415" spans="12:12" ht="33.75" customHeight="1" x14ac:dyDescent="0.25">
      <c r="L415" s="33"/>
    </row>
    <row r="416" spans="12:12" ht="33.75" customHeight="1" x14ac:dyDescent="0.25">
      <c r="L416" s="33"/>
    </row>
    <row r="417" spans="12:12" ht="33.75" customHeight="1" x14ac:dyDescent="0.25">
      <c r="L417" s="33"/>
    </row>
    <row r="418" spans="12:12" ht="33.75" customHeight="1" x14ac:dyDescent="0.25">
      <c r="L418" s="33"/>
    </row>
    <row r="419" spans="12:12" ht="33.75" customHeight="1" x14ac:dyDescent="0.25">
      <c r="L419" s="33"/>
    </row>
    <row r="420" spans="12:12" ht="33.75" customHeight="1" x14ac:dyDescent="0.25">
      <c r="L420" s="33"/>
    </row>
    <row r="421" spans="12:12" ht="33.75" customHeight="1" x14ac:dyDescent="0.25">
      <c r="L421" s="33"/>
    </row>
    <row r="422" spans="12:12" ht="33.75" customHeight="1" x14ac:dyDescent="0.25">
      <c r="L422" s="33"/>
    </row>
    <row r="423" spans="12:12" ht="33.75" customHeight="1" x14ac:dyDescent="0.25">
      <c r="L423" s="33"/>
    </row>
    <row r="424" spans="12:12" ht="33.75" customHeight="1" x14ac:dyDescent="0.25">
      <c r="L424" s="33"/>
    </row>
    <row r="425" spans="12:12" ht="33.75" customHeight="1" x14ac:dyDescent="0.25">
      <c r="L425" s="33"/>
    </row>
    <row r="426" spans="12:12" ht="33.75" customHeight="1" x14ac:dyDescent="0.25">
      <c r="L426" s="33"/>
    </row>
    <row r="427" spans="12:12" ht="33.75" customHeight="1" x14ac:dyDescent="0.25">
      <c r="L427" s="33"/>
    </row>
    <row r="428" spans="12:12" ht="33.75" customHeight="1" x14ac:dyDescent="0.25">
      <c r="L428" s="33"/>
    </row>
    <row r="429" spans="12:12" ht="33.75" customHeight="1" x14ac:dyDescent="0.25">
      <c r="L429" s="33"/>
    </row>
    <row r="430" spans="12:12" ht="33.75" customHeight="1" x14ac:dyDescent="0.25">
      <c r="L430" s="33"/>
    </row>
    <row r="431" spans="12:12" ht="33.75" customHeight="1" x14ac:dyDescent="0.25">
      <c r="L431" s="33"/>
    </row>
    <row r="432" spans="12:12" ht="33.75" customHeight="1" x14ac:dyDescent="0.25">
      <c r="L432" s="33"/>
    </row>
    <row r="433" spans="12:12" ht="33.75" customHeight="1" x14ac:dyDescent="0.25">
      <c r="L433" s="33"/>
    </row>
    <row r="434" spans="12:12" ht="33.75" customHeight="1" x14ac:dyDescent="0.25">
      <c r="L434" s="33"/>
    </row>
    <row r="435" spans="12:12" ht="33.75" customHeight="1" x14ac:dyDescent="0.25">
      <c r="L435" s="33"/>
    </row>
    <row r="436" spans="12:12" ht="33.75" customHeight="1" x14ac:dyDescent="0.25">
      <c r="L436" s="33"/>
    </row>
    <row r="437" spans="12:12" ht="33.75" customHeight="1" x14ac:dyDescent="0.25">
      <c r="L437" s="33"/>
    </row>
    <row r="438" spans="12:12" ht="33.75" customHeight="1" x14ac:dyDescent="0.25">
      <c r="L438" s="33"/>
    </row>
    <row r="439" spans="12:12" ht="33.75" customHeight="1" x14ac:dyDescent="0.25">
      <c r="L439" s="33"/>
    </row>
    <row r="440" spans="12:12" ht="33.75" customHeight="1" x14ac:dyDescent="0.25">
      <c r="L440" s="33"/>
    </row>
    <row r="441" spans="12:12" ht="33.75" customHeight="1" x14ac:dyDescent="0.25">
      <c r="L441" s="33"/>
    </row>
    <row r="442" spans="12:12" ht="33.75" customHeight="1" x14ac:dyDescent="0.25">
      <c r="L442" s="33"/>
    </row>
    <row r="443" spans="12:12" ht="33.75" customHeight="1" x14ac:dyDescent="0.25">
      <c r="L443" s="33"/>
    </row>
    <row r="444" spans="12:12" ht="33.75" customHeight="1" x14ac:dyDescent="0.25">
      <c r="L444" s="33"/>
    </row>
    <row r="445" spans="12:12" ht="33.75" customHeight="1" x14ac:dyDescent="0.25">
      <c r="L445" s="33"/>
    </row>
    <row r="446" spans="12:12" ht="33.75" customHeight="1" x14ac:dyDescent="0.25">
      <c r="L446" s="33"/>
    </row>
    <row r="447" spans="12:12" ht="33.75" customHeight="1" x14ac:dyDescent="0.25">
      <c r="L447" s="33"/>
    </row>
    <row r="448" spans="12:12" ht="33.75" customHeight="1" x14ac:dyDescent="0.25">
      <c r="L448" s="33"/>
    </row>
    <row r="449" spans="12:12" ht="33.75" customHeight="1" x14ac:dyDescent="0.25">
      <c r="L449" s="33"/>
    </row>
    <row r="450" spans="12:12" ht="33.75" customHeight="1" x14ac:dyDescent="0.25">
      <c r="L450" s="33"/>
    </row>
    <row r="451" spans="12:12" ht="33.75" customHeight="1" x14ac:dyDescent="0.25">
      <c r="L451" s="33"/>
    </row>
    <row r="452" spans="12:12" ht="33.75" customHeight="1" x14ac:dyDescent="0.25">
      <c r="L452" s="33"/>
    </row>
    <row r="453" spans="12:12" ht="33.75" customHeight="1" x14ac:dyDescent="0.25">
      <c r="L453" s="33"/>
    </row>
    <row r="454" spans="12:12" ht="33.75" customHeight="1" x14ac:dyDescent="0.25">
      <c r="L454" s="33"/>
    </row>
    <row r="455" spans="12:12" ht="33.75" customHeight="1" x14ac:dyDescent="0.25">
      <c r="L455" s="33"/>
    </row>
    <row r="456" spans="12:12" ht="33.75" customHeight="1" x14ac:dyDescent="0.25">
      <c r="L456" s="33"/>
    </row>
    <row r="457" spans="12:12" ht="33.75" customHeight="1" x14ac:dyDescent="0.25">
      <c r="L457" s="33"/>
    </row>
    <row r="458" spans="12:12" ht="33.75" customHeight="1" x14ac:dyDescent="0.25">
      <c r="L458" s="33"/>
    </row>
    <row r="459" spans="12:12" ht="33.75" customHeight="1" x14ac:dyDescent="0.25">
      <c r="L459" s="33"/>
    </row>
    <row r="460" spans="12:12" ht="33.75" customHeight="1" x14ac:dyDescent="0.25">
      <c r="L460" s="33"/>
    </row>
    <row r="461" spans="12:12" ht="33.75" customHeight="1" x14ac:dyDescent="0.25">
      <c r="L461" s="33"/>
    </row>
    <row r="462" spans="12:12" ht="33.75" customHeight="1" x14ac:dyDescent="0.25">
      <c r="L462" s="33"/>
    </row>
    <row r="463" spans="12:12" ht="33.75" customHeight="1" x14ac:dyDescent="0.25">
      <c r="L463" s="33"/>
    </row>
    <row r="464" spans="12:12" ht="33.75" customHeight="1" x14ac:dyDescent="0.25">
      <c r="L464" s="33"/>
    </row>
    <row r="465" spans="12:12" ht="33.75" customHeight="1" x14ac:dyDescent="0.25">
      <c r="L465" s="33"/>
    </row>
    <row r="466" spans="12:12" ht="33.75" customHeight="1" x14ac:dyDescent="0.25">
      <c r="L466" s="33"/>
    </row>
    <row r="467" spans="12:12" ht="33.75" customHeight="1" x14ac:dyDescent="0.25">
      <c r="L467" s="33"/>
    </row>
    <row r="468" spans="12:12" ht="33.75" customHeight="1" x14ac:dyDescent="0.25">
      <c r="L468" s="33"/>
    </row>
    <row r="469" spans="12:12" ht="33.75" customHeight="1" x14ac:dyDescent="0.25">
      <c r="L469" s="33"/>
    </row>
    <row r="470" spans="12:12" ht="33.75" customHeight="1" x14ac:dyDescent="0.25">
      <c r="L470" s="33"/>
    </row>
    <row r="471" spans="12:12" ht="33.75" customHeight="1" x14ac:dyDescent="0.25">
      <c r="L471" s="33"/>
    </row>
    <row r="472" spans="12:12" ht="33.75" customHeight="1" x14ac:dyDescent="0.25">
      <c r="L472" s="33"/>
    </row>
    <row r="473" spans="12:12" ht="33.75" customHeight="1" x14ac:dyDescent="0.25">
      <c r="L473" s="33"/>
    </row>
    <row r="474" spans="12:12" ht="33.75" customHeight="1" x14ac:dyDescent="0.25">
      <c r="L474" s="33"/>
    </row>
    <row r="475" spans="12:12" ht="33.75" customHeight="1" x14ac:dyDescent="0.25">
      <c r="L475" s="33"/>
    </row>
    <row r="476" spans="12:12" ht="33.75" customHeight="1" x14ac:dyDescent="0.25">
      <c r="L476" s="33"/>
    </row>
    <row r="477" spans="12:12" ht="33.75" customHeight="1" x14ac:dyDescent="0.25">
      <c r="L477" s="33"/>
    </row>
    <row r="478" spans="12:12" ht="33.75" customHeight="1" x14ac:dyDescent="0.25">
      <c r="L478" s="33"/>
    </row>
    <row r="479" spans="12:12" ht="33.75" customHeight="1" x14ac:dyDescent="0.25">
      <c r="L479" s="33"/>
    </row>
    <row r="480" spans="12:12" ht="33.75" customHeight="1" x14ac:dyDescent="0.25">
      <c r="L480" s="33"/>
    </row>
    <row r="481" spans="12:12" ht="33.75" customHeight="1" x14ac:dyDescent="0.25">
      <c r="L481" s="33"/>
    </row>
    <row r="482" spans="12:12" ht="33.75" customHeight="1" x14ac:dyDescent="0.25">
      <c r="L482" s="33"/>
    </row>
    <row r="483" spans="12:12" ht="33.75" customHeight="1" x14ac:dyDescent="0.25">
      <c r="L483" s="33"/>
    </row>
    <row r="484" spans="12:12" ht="33.75" customHeight="1" x14ac:dyDescent="0.25">
      <c r="L484" s="33"/>
    </row>
    <row r="485" spans="12:12" ht="33.75" customHeight="1" x14ac:dyDescent="0.25">
      <c r="L485" s="33"/>
    </row>
    <row r="486" spans="12:12" ht="33.75" customHeight="1" x14ac:dyDescent="0.25">
      <c r="L486" s="33"/>
    </row>
    <row r="487" spans="12:12" ht="33.75" customHeight="1" x14ac:dyDescent="0.25">
      <c r="L487" s="33"/>
    </row>
    <row r="488" spans="12:12" ht="33.75" customHeight="1" x14ac:dyDescent="0.25">
      <c r="L488" s="33"/>
    </row>
    <row r="489" spans="12:12" ht="33.75" customHeight="1" x14ac:dyDescent="0.25">
      <c r="L489" s="33"/>
    </row>
    <row r="490" spans="12:12" ht="33.75" customHeight="1" x14ac:dyDescent="0.25">
      <c r="L490" s="33"/>
    </row>
    <row r="491" spans="12:12" ht="33.75" customHeight="1" x14ac:dyDescent="0.25">
      <c r="L491" s="33"/>
    </row>
    <row r="492" spans="12:12" ht="33.75" customHeight="1" x14ac:dyDescent="0.25">
      <c r="L492" s="33"/>
    </row>
    <row r="493" spans="12:12" ht="33.75" customHeight="1" x14ac:dyDescent="0.25">
      <c r="L493" s="33"/>
    </row>
    <row r="494" spans="12:12" ht="33.75" customHeight="1" x14ac:dyDescent="0.25">
      <c r="L494" s="33"/>
    </row>
    <row r="495" spans="12:12" ht="33.75" customHeight="1" x14ac:dyDescent="0.25">
      <c r="L495" s="33"/>
    </row>
    <row r="496" spans="12:12" ht="33.75" customHeight="1" x14ac:dyDescent="0.25">
      <c r="L496" s="33"/>
    </row>
    <row r="497" spans="12:12" ht="33.75" customHeight="1" x14ac:dyDescent="0.25">
      <c r="L497" s="33"/>
    </row>
    <row r="498" spans="12:12" ht="33.75" customHeight="1" x14ac:dyDescent="0.25">
      <c r="L498" s="33"/>
    </row>
    <row r="499" spans="12:12" ht="33.75" customHeight="1" x14ac:dyDescent="0.25">
      <c r="L499" s="33"/>
    </row>
    <row r="500" spans="12:12" ht="33.75" customHeight="1" x14ac:dyDescent="0.25">
      <c r="L500" s="33"/>
    </row>
    <row r="501" spans="12:12" ht="33.75" customHeight="1" x14ac:dyDescent="0.25">
      <c r="L501" s="33"/>
    </row>
    <row r="502" spans="12:12" ht="33.75" customHeight="1" x14ac:dyDescent="0.25">
      <c r="L502" s="33"/>
    </row>
    <row r="503" spans="12:12" ht="33.75" customHeight="1" x14ac:dyDescent="0.25">
      <c r="L503" s="33"/>
    </row>
    <row r="504" spans="12:12" ht="33.75" customHeight="1" x14ac:dyDescent="0.25">
      <c r="L504" s="33"/>
    </row>
    <row r="505" spans="12:12" ht="33.75" customHeight="1" x14ac:dyDescent="0.25">
      <c r="L505" s="33"/>
    </row>
    <row r="506" spans="12:12" ht="33.75" customHeight="1" x14ac:dyDescent="0.25">
      <c r="L506" s="33"/>
    </row>
    <row r="507" spans="12:12" ht="33.75" customHeight="1" x14ac:dyDescent="0.25">
      <c r="L507" s="33"/>
    </row>
    <row r="508" spans="12:12" ht="33.75" customHeight="1" x14ac:dyDescent="0.25">
      <c r="L508" s="33"/>
    </row>
    <row r="509" spans="12:12" ht="33.75" customHeight="1" x14ac:dyDescent="0.25">
      <c r="L509" s="33"/>
    </row>
    <row r="510" spans="12:12" ht="33.75" customHeight="1" x14ac:dyDescent="0.25">
      <c r="L510" s="33"/>
    </row>
    <row r="511" spans="12:12" ht="33.75" customHeight="1" x14ac:dyDescent="0.25">
      <c r="L511" s="33"/>
    </row>
    <row r="512" spans="12:12" ht="33.75" customHeight="1" x14ac:dyDescent="0.25">
      <c r="L512" s="33"/>
    </row>
    <row r="513" spans="12:12" ht="33.75" customHeight="1" x14ac:dyDescent="0.25">
      <c r="L513" s="33"/>
    </row>
    <row r="514" spans="12:12" ht="33.75" customHeight="1" x14ac:dyDescent="0.25">
      <c r="L514" s="33"/>
    </row>
    <row r="515" spans="12:12" ht="33.75" customHeight="1" x14ac:dyDescent="0.25"/>
    <row r="516" spans="12:12" ht="33.75" customHeight="1" x14ac:dyDescent="0.25"/>
    <row r="517" spans="12:12" ht="33.75" customHeight="1" x14ac:dyDescent="0.25"/>
    <row r="518" spans="12:12" ht="33.75" customHeight="1" x14ac:dyDescent="0.25"/>
    <row r="519" spans="12:12" ht="33.75" customHeight="1" x14ac:dyDescent="0.25"/>
    <row r="520" spans="12:12" ht="33.75" customHeight="1" x14ac:dyDescent="0.25"/>
    <row r="521" spans="12:12" ht="33.75" customHeight="1" x14ac:dyDescent="0.25"/>
    <row r="522" spans="12:12" ht="33.75" customHeight="1" x14ac:dyDescent="0.25"/>
    <row r="523" spans="12:12" ht="33.75" customHeight="1" x14ac:dyDescent="0.25"/>
    <row r="524" spans="12:12" ht="33.75" customHeight="1" x14ac:dyDescent="0.25"/>
    <row r="525" spans="12:12" ht="33.75" customHeight="1" x14ac:dyDescent="0.25"/>
    <row r="526" spans="12:12" ht="33.75" customHeight="1" x14ac:dyDescent="0.25"/>
    <row r="527" spans="12:12" ht="33.75" customHeight="1" x14ac:dyDescent="0.25"/>
    <row r="528" spans="12:12" ht="33.75" customHeight="1" x14ac:dyDescent="0.25"/>
    <row r="529" ht="33.75" customHeight="1" x14ac:dyDescent="0.25"/>
    <row r="530" ht="33.75" customHeight="1" x14ac:dyDescent="0.25"/>
    <row r="531" ht="33.75" customHeight="1" x14ac:dyDescent="0.25"/>
    <row r="532" ht="33.75" customHeight="1" x14ac:dyDescent="0.25"/>
    <row r="533" ht="33.75" customHeight="1" x14ac:dyDescent="0.25"/>
    <row r="534" ht="33.75" customHeight="1" x14ac:dyDescent="0.25"/>
    <row r="535" ht="33.75" customHeight="1" x14ac:dyDescent="0.25"/>
    <row r="536" ht="33.75" customHeight="1" x14ac:dyDescent="0.25"/>
    <row r="537" ht="33.75" customHeight="1" x14ac:dyDescent="0.25"/>
    <row r="538" ht="33.75" customHeight="1" x14ac:dyDescent="0.25"/>
    <row r="539" ht="33.75" customHeight="1" x14ac:dyDescent="0.25"/>
    <row r="540" ht="33.75" customHeight="1" x14ac:dyDescent="0.25"/>
    <row r="541" ht="33.75" customHeight="1" x14ac:dyDescent="0.25"/>
    <row r="542" ht="33.75" customHeight="1" x14ac:dyDescent="0.25"/>
    <row r="543" ht="33.75" customHeight="1" x14ac:dyDescent="0.25"/>
    <row r="544" ht="33.75" customHeight="1" x14ac:dyDescent="0.25"/>
    <row r="545" ht="33.75" customHeight="1" x14ac:dyDescent="0.25"/>
    <row r="546" ht="33.75" customHeight="1" x14ac:dyDescent="0.25"/>
    <row r="547" ht="33.75" customHeight="1" x14ac:dyDescent="0.25"/>
    <row r="548" ht="33.75" customHeight="1" x14ac:dyDescent="0.25"/>
    <row r="549" ht="33.75" customHeight="1" x14ac:dyDescent="0.25"/>
    <row r="550" ht="33.75" customHeight="1" x14ac:dyDescent="0.25"/>
    <row r="551" ht="33.75" customHeight="1" x14ac:dyDescent="0.25"/>
    <row r="552" ht="33.75" customHeight="1" x14ac:dyDescent="0.25"/>
    <row r="553" ht="33.75" customHeight="1" x14ac:dyDescent="0.25"/>
    <row r="554" ht="33.75" customHeight="1" x14ac:dyDescent="0.25"/>
    <row r="555" ht="33.75" customHeight="1" x14ac:dyDescent="0.25"/>
    <row r="556" ht="33.75" customHeight="1" x14ac:dyDescent="0.25"/>
    <row r="557" ht="33.75" customHeight="1" x14ac:dyDescent="0.25"/>
    <row r="558" ht="33.75" customHeight="1" x14ac:dyDescent="0.25"/>
    <row r="559" ht="33.75" customHeight="1" x14ac:dyDescent="0.25"/>
    <row r="56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spans="25:26" ht="33.75" customHeight="1" x14ac:dyDescent="0.25"/>
    <row r="1026" spans="25:26" ht="33.75" customHeight="1" x14ac:dyDescent="0.25"/>
    <row r="1027" spans="25:26" ht="33.75" customHeight="1" x14ac:dyDescent="0.25"/>
    <row r="1028" spans="25:26" ht="33.75" customHeight="1" x14ac:dyDescent="0.25"/>
    <row r="1029" spans="25:26" ht="33.75" customHeight="1" x14ac:dyDescent="0.25"/>
    <row r="1030" spans="25:26" ht="33.75" customHeight="1" x14ac:dyDescent="0.25"/>
    <row r="1031" spans="25:26" ht="33.75" customHeight="1" x14ac:dyDescent="0.25"/>
    <row r="1032" spans="25:26" ht="33.75" customHeight="1" x14ac:dyDescent="0.25">
      <c r="Y1032" s="30"/>
      <c r="Z1032" s="31"/>
    </row>
    <row r="1033" spans="25:26" ht="33.75" customHeight="1" x14ac:dyDescent="0.25"/>
    <row r="1034" spans="25:26" ht="33.75" customHeight="1" x14ac:dyDescent="0.25"/>
    <row r="1035" spans="25:26" ht="33.75" customHeight="1" x14ac:dyDescent="0.25"/>
    <row r="1036" spans="25:26" ht="33.75" customHeight="1" x14ac:dyDescent="0.25"/>
    <row r="1037" spans="25:26" ht="33.75" customHeight="1" x14ac:dyDescent="0.25"/>
    <row r="1038" spans="25:26" ht="33.75" customHeight="1" x14ac:dyDescent="0.25"/>
    <row r="1039" spans="25:26" ht="33.75" customHeight="1" x14ac:dyDescent="0.25"/>
    <row r="1040" spans="25:26" ht="33.75" customHeight="1" x14ac:dyDescent="0.25"/>
    <row r="1041" ht="33.75" customHeight="1" x14ac:dyDescent="0.25"/>
    <row r="1042" ht="33.75" customHeight="1" x14ac:dyDescent="0.25"/>
    <row r="1043" ht="33.75" customHeight="1" x14ac:dyDescent="0.25"/>
    <row r="1044" ht="33.75" customHeight="1" x14ac:dyDescent="0.25"/>
    <row r="1045" ht="33.75" customHeight="1" x14ac:dyDescent="0.25"/>
    <row r="1046" ht="33.75" customHeight="1" x14ac:dyDescent="0.25"/>
    <row r="1047" ht="33.75" customHeight="1" x14ac:dyDescent="0.25"/>
    <row r="1048" ht="33.75" customHeight="1" x14ac:dyDescent="0.25"/>
    <row r="1049" ht="33.75" customHeight="1" x14ac:dyDescent="0.25"/>
    <row r="1050" ht="33.75" customHeight="1" x14ac:dyDescent="0.25"/>
    <row r="1051" ht="33.75" customHeight="1" x14ac:dyDescent="0.25"/>
    <row r="1052" ht="33.75" customHeight="1" x14ac:dyDescent="0.25"/>
    <row r="1053" ht="33.75" customHeight="1" x14ac:dyDescent="0.25"/>
    <row r="1054" ht="33.75" customHeight="1" x14ac:dyDescent="0.25"/>
    <row r="1055" ht="33.75" customHeight="1" x14ac:dyDescent="0.25"/>
    <row r="1056" ht="33.75" customHeight="1" x14ac:dyDescent="0.25"/>
    <row r="1057" ht="33.75" customHeight="1" x14ac:dyDescent="0.25"/>
    <row r="1058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6 H8:H270">
    <cfRule type="beginsWith" dxfId="18" priority="13" operator="beginsWith" text="99">
      <formula>LEFT(H6,LEN("99"))="99"</formula>
    </cfRule>
  </conditionalFormatting>
  <conditionalFormatting sqref="H6 H8:H270">
    <cfRule type="beginsWith" dxfId="17" priority="14" operator="beginsWith" text="99">
      <formula>LEFT(H6,2)="99"</formula>
    </cfRule>
    <cfRule type="containsText" dxfId="16" priority="15" operator="containsText" text="rem">
      <formula>NOT(ISERROR(SEARCH("rem",H6)))</formula>
    </cfRule>
    <cfRule type="duplicateValues" dxfId="15" priority="16"/>
  </conditionalFormatting>
  <conditionalFormatting sqref="T6 T8:T270">
    <cfRule type="duplicateValues" dxfId="14" priority="17"/>
  </conditionalFormatting>
  <conditionalFormatting sqref="A6 A8:A270">
    <cfRule type="duplicateValues" dxfId="13" priority="12"/>
  </conditionalFormatting>
  <conditionalFormatting sqref="H7">
    <cfRule type="beginsWith" dxfId="12" priority="7" operator="beginsWith" text="99">
      <formula>LEFT(H7,LEN("99"))="99"</formula>
    </cfRule>
  </conditionalFormatting>
  <conditionalFormatting sqref="H7">
    <cfRule type="beginsWith" dxfId="11" priority="8" operator="beginsWith" text="99">
      <formula>LEFT(H7,2)="99"</formula>
    </cfRule>
    <cfRule type="containsText" dxfId="10" priority="9" operator="containsText" text="rem">
      <formula>NOT(ISERROR(SEARCH("rem",H7)))</formula>
    </cfRule>
    <cfRule type="duplicateValues" dxfId="9" priority="10"/>
  </conditionalFormatting>
  <conditionalFormatting sqref="T7">
    <cfRule type="duplicateValues" dxfId="8" priority="11"/>
  </conditionalFormatting>
  <conditionalFormatting sqref="A7">
    <cfRule type="duplicateValues" dxfId="7" priority="6"/>
  </conditionalFormatting>
  <conditionalFormatting sqref="L6:L270 N6:N270 P6:P270 R6:R270">
    <cfRule type="cellIs" dxfId="6" priority="5" operator="lessThan">
      <formula>0</formula>
    </cfRule>
  </conditionalFormatting>
  <conditionalFormatting sqref="L6:L270 R6:R270">
    <cfRule type="cellIs" dxfId="5" priority="4" operator="greaterThan">
      <formula>2000</formula>
    </cfRule>
  </conditionalFormatting>
  <conditionalFormatting sqref="R1:R1048576">
    <cfRule type="cellIs" dxfId="4" priority="3" operator="greaterThan">
      <formula>4000</formula>
    </cfRule>
  </conditionalFormatting>
  <conditionalFormatting sqref="F1:F1048576">
    <cfRule type="cellIs" dxfId="3" priority="2" operator="greaterThan">
      <formula>2000</formula>
    </cfRule>
    <cfRule type="cellIs" dxfId="2" priority="1" operator="lessThan">
      <formula>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Ghori</vt:lpstr>
      <vt:lpstr>Ghori!Print_Area</vt:lpstr>
      <vt:lpstr>Ghori!Print_Titles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2025-04-22T04:40:12Z</dcterms:created>
  <dcterms:modified xsi:type="dcterms:W3CDTF">2025-04-23T07:16:21Z</dcterms:modified>
</cp:coreProperties>
</file>