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mad\Desktop\Import Reading\01-Reading\"/>
    </mc:Choice>
  </mc:AlternateContent>
  <bookViews>
    <workbookView xWindow="0" yWindow="0" windowWidth="24000" windowHeight="9735"/>
  </bookViews>
  <sheets>
    <sheet name="D-1-2" sheetId="1" r:id="rId1"/>
  </sheets>
  <definedNames>
    <definedName name="_xlnm.Print_Area" localSheetId="0">'D-1-2'!$A$1:$T$55</definedName>
    <definedName name="_xlnm.Print_Titles" localSheetId="0">'D-1-2'!$4:$5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1" l="1"/>
  <c r="B47" i="1"/>
  <c r="B48" i="1"/>
  <c r="B49" i="1"/>
  <c r="L49" i="1" s="1"/>
  <c r="F49" i="1" s="1"/>
  <c r="B50" i="1"/>
  <c r="B51" i="1"/>
  <c r="L51" i="1" s="1"/>
  <c r="F51" i="1" s="1"/>
  <c r="B52" i="1"/>
  <c r="L52" i="1" s="1"/>
  <c r="F52" i="1" s="1"/>
  <c r="B53" i="1"/>
  <c r="L53" i="1" s="1"/>
  <c r="F53" i="1" s="1"/>
  <c r="B54" i="1"/>
  <c r="B55" i="1"/>
  <c r="L55" i="1" s="1"/>
  <c r="F55" i="1" s="1"/>
  <c r="B45" i="1"/>
  <c r="B40" i="1"/>
  <c r="L40" i="1" s="1"/>
  <c r="F40" i="1" s="1"/>
  <c r="B33" i="1"/>
  <c r="R55" i="1"/>
  <c r="P55" i="1"/>
  <c r="N55" i="1"/>
  <c r="R54" i="1"/>
  <c r="P54" i="1"/>
  <c r="N54" i="1"/>
  <c r="L54" i="1"/>
  <c r="F54" i="1" s="1"/>
  <c r="R53" i="1"/>
  <c r="P53" i="1"/>
  <c r="N53" i="1"/>
  <c r="R52" i="1"/>
  <c r="P52" i="1"/>
  <c r="N52" i="1"/>
  <c r="R51" i="1"/>
  <c r="P51" i="1"/>
  <c r="N51" i="1"/>
  <c r="R50" i="1"/>
  <c r="P50" i="1"/>
  <c r="N50" i="1"/>
  <c r="L50" i="1"/>
  <c r="F50" i="1" s="1"/>
  <c r="R49" i="1"/>
  <c r="P49" i="1"/>
  <c r="N49" i="1"/>
  <c r="R48" i="1"/>
  <c r="P48" i="1"/>
  <c r="N48" i="1"/>
  <c r="L48" i="1"/>
  <c r="F48" i="1"/>
  <c r="R47" i="1"/>
  <c r="P47" i="1"/>
  <c r="N47" i="1"/>
  <c r="L47" i="1"/>
  <c r="F47" i="1" s="1"/>
  <c r="R46" i="1"/>
  <c r="P46" i="1"/>
  <c r="N46" i="1"/>
  <c r="L46" i="1"/>
  <c r="F46" i="1" s="1"/>
  <c r="R45" i="1"/>
  <c r="P45" i="1"/>
  <c r="N45" i="1"/>
  <c r="L45" i="1"/>
  <c r="F45" i="1" s="1"/>
  <c r="R44" i="1"/>
  <c r="P44" i="1"/>
  <c r="N44" i="1"/>
  <c r="L44" i="1"/>
  <c r="F44" i="1" s="1"/>
  <c r="R43" i="1"/>
  <c r="P43" i="1"/>
  <c r="N43" i="1"/>
  <c r="L43" i="1"/>
  <c r="F43" i="1" s="1"/>
  <c r="R42" i="1"/>
  <c r="P42" i="1"/>
  <c r="N42" i="1"/>
  <c r="L42" i="1"/>
  <c r="F42" i="1" s="1"/>
  <c r="R41" i="1"/>
  <c r="P41" i="1"/>
  <c r="N41" i="1"/>
  <c r="L41" i="1"/>
  <c r="F41" i="1" s="1"/>
  <c r="R40" i="1"/>
  <c r="P40" i="1"/>
  <c r="N40" i="1"/>
  <c r="R39" i="1"/>
  <c r="P39" i="1"/>
  <c r="N39" i="1"/>
  <c r="L39" i="1"/>
  <c r="F39" i="1" s="1"/>
  <c r="R38" i="1"/>
  <c r="P38" i="1"/>
  <c r="N38" i="1"/>
  <c r="L38" i="1"/>
  <c r="F38" i="1" s="1"/>
  <c r="R37" i="1"/>
  <c r="P37" i="1"/>
  <c r="N37" i="1"/>
  <c r="L37" i="1"/>
  <c r="F37" i="1" s="1"/>
  <c r="R36" i="1"/>
  <c r="P36" i="1"/>
  <c r="N36" i="1"/>
  <c r="L36" i="1"/>
  <c r="F36" i="1" s="1"/>
  <c r="R35" i="1"/>
  <c r="P35" i="1"/>
  <c r="N35" i="1"/>
  <c r="L35" i="1"/>
  <c r="F35" i="1" s="1"/>
  <c r="G35" i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R34" i="1"/>
  <c r="P34" i="1"/>
  <c r="N34" i="1"/>
  <c r="L34" i="1"/>
  <c r="F34" i="1" s="1"/>
  <c r="R33" i="1"/>
  <c r="P33" i="1"/>
  <c r="N33" i="1"/>
  <c r="L33" i="1"/>
  <c r="F33" i="1" s="1"/>
  <c r="R32" i="1"/>
  <c r="P32" i="1"/>
  <c r="N32" i="1"/>
  <c r="B32" i="1"/>
  <c r="L32" i="1" s="1"/>
  <c r="F32" i="1" s="1"/>
  <c r="R31" i="1"/>
  <c r="P31" i="1"/>
  <c r="N31" i="1"/>
  <c r="B31" i="1"/>
  <c r="L31" i="1" s="1"/>
  <c r="F31" i="1" s="1"/>
  <c r="R30" i="1"/>
  <c r="P30" i="1"/>
  <c r="N30" i="1"/>
  <c r="L30" i="1"/>
  <c r="F30" i="1" s="1"/>
  <c r="B30" i="1"/>
  <c r="R29" i="1"/>
  <c r="P29" i="1"/>
  <c r="N29" i="1"/>
  <c r="B29" i="1"/>
  <c r="L29" i="1" s="1"/>
  <c r="F29" i="1" s="1"/>
  <c r="R28" i="1"/>
  <c r="P28" i="1"/>
  <c r="N28" i="1"/>
  <c r="B28" i="1"/>
  <c r="L28" i="1" s="1"/>
  <c r="F28" i="1" s="1"/>
  <c r="R27" i="1"/>
  <c r="P27" i="1"/>
  <c r="N27" i="1"/>
  <c r="B27" i="1"/>
  <c r="L27" i="1" s="1"/>
  <c r="F27" i="1" s="1"/>
  <c r="R26" i="1"/>
  <c r="P26" i="1"/>
  <c r="N26" i="1"/>
  <c r="B26" i="1"/>
  <c r="L26" i="1" s="1"/>
  <c r="F26" i="1" s="1"/>
  <c r="R25" i="1"/>
  <c r="P25" i="1"/>
  <c r="N25" i="1"/>
  <c r="B25" i="1"/>
  <c r="L25" i="1" s="1"/>
  <c r="F25" i="1" s="1"/>
  <c r="R24" i="1"/>
  <c r="P24" i="1"/>
  <c r="N24" i="1"/>
  <c r="B24" i="1"/>
  <c r="L24" i="1" s="1"/>
  <c r="F24" i="1" s="1"/>
  <c r="R23" i="1"/>
  <c r="P23" i="1"/>
  <c r="N23" i="1"/>
  <c r="B23" i="1"/>
  <c r="L23" i="1" s="1"/>
  <c r="F23" i="1" s="1"/>
  <c r="R22" i="1"/>
  <c r="P22" i="1"/>
  <c r="N22" i="1"/>
  <c r="B22" i="1"/>
  <c r="L22" i="1" s="1"/>
  <c r="F22" i="1" s="1"/>
  <c r="R21" i="1"/>
  <c r="P21" i="1"/>
  <c r="N21" i="1"/>
  <c r="B21" i="1"/>
  <c r="L21" i="1" s="1"/>
  <c r="F21" i="1" s="1"/>
  <c r="R20" i="1"/>
  <c r="P20" i="1"/>
  <c r="N20" i="1"/>
  <c r="B20" i="1"/>
  <c r="L20" i="1" s="1"/>
  <c r="F20" i="1" s="1"/>
  <c r="R19" i="1"/>
  <c r="P19" i="1"/>
  <c r="N19" i="1"/>
  <c r="B19" i="1"/>
  <c r="L19" i="1" s="1"/>
  <c r="F19" i="1" s="1"/>
  <c r="R18" i="1"/>
  <c r="P18" i="1"/>
  <c r="N18" i="1"/>
  <c r="L18" i="1"/>
  <c r="F18" i="1" s="1"/>
  <c r="R17" i="1"/>
  <c r="P17" i="1"/>
  <c r="N17" i="1"/>
  <c r="B17" i="1"/>
  <c r="L17" i="1" s="1"/>
  <c r="F17" i="1" s="1"/>
  <c r="R16" i="1"/>
  <c r="P16" i="1"/>
  <c r="N16" i="1"/>
  <c r="B16" i="1"/>
  <c r="L16" i="1" s="1"/>
  <c r="F16" i="1" s="1"/>
  <c r="R15" i="1"/>
  <c r="P15" i="1"/>
  <c r="N15" i="1"/>
  <c r="B15" i="1"/>
  <c r="L15" i="1" s="1"/>
  <c r="F15" i="1" s="1"/>
  <c r="R14" i="1"/>
  <c r="P14" i="1"/>
  <c r="N14" i="1"/>
  <c r="B14" i="1"/>
  <c r="L14" i="1" s="1"/>
  <c r="F14" i="1" s="1"/>
  <c r="R13" i="1"/>
  <c r="P13" i="1"/>
  <c r="N13" i="1"/>
  <c r="L13" i="1"/>
  <c r="F13" i="1" s="1"/>
  <c r="R12" i="1"/>
  <c r="P12" i="1"/>
  <c r="N12" i="1"/>
  <c r="B12" i="1"/>
  <c r="L12" i="1" s="1"/>
  <c r="F12" i="1" s="1"/>
  <c r="R11" i="1"/>
  <c r="P11" i="1"/>
  <c r="N11" i="1"/>
  <c r="L11" i="1"/>
  <c r="F11" i="1" s="1"/>
  <c r="R10" i="1"/>
  <c r="P10" i="1"/>
  <c r="N10" i="1"/>
  <c r="L10" i="1"/>
  <c r="F10" i="1" s="1"/>
  <c r="R9" i="1"/>
  <c r="P9" i="1"/>
  <c r="N9" i="1"/>
  <c r="L9" i="1"/>
  <c r="F9" i="1" s="1"/>
  <c r="R8" i="1"/>
  <c r="P8" i="1"/>
  <c r="N8" i="1"/>
  <c r="B8" i="1"/>
  <c r="L8" i="1" s="1"/>
  <c r="F8" i="1" s="1"/>
  <c r="R7" i="1"/>
  <c r="P7" i="1"/>
  <c r="N7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L7" i="1"/>
  <c r="F7" i="1" s="1"/>
  <c r="R6" i="1"/>
  <c r="P6" i="1"/>
  <c r="N6" i="1"/>
  <c r="L6" i="1"/>
  <c r="F6" i="1" s="1"/>
</calcChain>
</file>

<file path=xl/sharedStrings.xml><?xml version="1.0" encoding="utf-8"?>
<sst xmlns="http://schemas.openxmlformats.org/spreadsheetml/2006/main" count="226" uniqueCount="120">
  <si>
    <t>Bahria Town (Pvt) Ltd. Lahore</t>
  </si>
  <si>
    <t>Electricity Meter Reading Sheet April-2025</t>
  </si>
  <si>
    <t>D-1 Plaza, Sec-B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</si>
  <si>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</si>
  <si>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</si>
  <si>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</si>
  <si>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</si>
  <si>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</si>
  <si>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</si>
  <si>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</si>
  <si>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</si>
  <si>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</si>
  <si>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</si>
  <si>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</si>
  <si>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</si>
  <si>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</si>
  <si>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</si>
  <si>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BTL-14875</t>
  </si>
  <si>
    <t>01-A (SHOP)</t>
  </si>
  <si>
    <t>Commercial</t>
  </si>
  <si>
    <t>BTL-15888</t>
  </si>
  <si>
    <t>01-B G/F (SHOP)</t>
  </si>
  <si>
    <t>BTL-18014</t>
  </si>
  <si>
    <t>01-C F/F (SHOP)</t>
  </si>
  <si>
    <t>BTL-18949</t>
  </si>
  <si>
    <t>01-C G/F (SHOP)</t>
  </si>
  <si>
    <t>BTL-16093</t>
  </si>
  <si>
    <t>01 G/F (SHOP)</t>
  </si>
  <si>
    <t>BTL-17691</t>
  </si>
  <si>
    <t>02 G/F (SHOP)</t>
  </si>
  <si>
    <t>BTL-14175</t>
  </si>
  <si>
    <t>03 G/F (SHOP)</t>
  </si>
  <si>
    <t>BTL-16397</t>
  </si>
  <si>
    <t>04 G/F (SHOP)</t>
  </si>
  <si>
    <t>BTL-15379</t>
  </si>
  <si>
    <t>05 F/F (SHOP)</t>
  </si>
  <si>
    <t>BTL-15517</t>
  </si>
  <si>
    <t>05 G/F (SHOP)</t>
  </si>
  <si>
    <t>BTL-14178</t>
  </si>
  <si>
    <t>06 G/F (SHOP)</t>
  </si>
  <si>
    <t>BTL-13800</t>
  </si>
  <si>
    <t>07 G/F (SHOP)</t>
  </si>
  <si>
    <t>BTL-12940</t>
  </si>
  <si>
    <t>08 G/F (SHOP)</t>
  </si>
  <si>
    <t>BTL-14876</t>
  </si>
  <si>
    <t>09 F/F (SHOP)</t>
  </si>
  <si>
    <t>BTL-12854</t>
  </si>
  <si>
    <t>09 G/F (SHOP)</t>
  </si>
  <si>
    <t>BTL-14164</t>
  </si>
  <si>
    <t>10-A G/F (SHOP)</t>
  </si>
  <si>
    <t>BTL-23177</t>
  </si>
  <si>
    <t>10-B F/F (SHOP)</t>
  </si>
  <si>
    <t>BTL-14371</t>
  </si>
  <si>
    <t>10-B G/F (SHOP)</t>
  </si>
  <si>
    <t>BTL-17461</t>
  </si>
  <si>
    <t>10-C F/F (SHOP)</t>
  </si>
  <si>
    <t>BTL-14306</t>
  </si>
  <si>
    <t>10-C G/F (SHOP)</t>
  </si>
  <si>
    <t>BTL-14877</t>
  </si>
  <si>
    <t>10 F/F (SHOP)</t>
  </si>
  <si>
    <t>BTL-14403</t>
  </si>
  <si>
    <t>10 G/F (SHOP)</t>
  </si>
  <si>
    <t>BTL-14712</t>
  </si>
  <si>
    <t>11 G/F (SHOP)</t>
  </si>
  <si>
    <t>BTL-14717</t>
  </si>
  <si>
    <t>12 G/F (SHOP)</t>
  </si>
  <si>
    <t>BTL-14716</t>
  </si>
  <si>
    <t>13 G/F (SHOP)</t>
  </si>
  <si>
    <t>BTL-14713</t>
  </si>
  <si>
    <t>14 G/F (SHOP)</t>
  </si>
  <si>
    <t>BTL-17692</t>
  </si>
  <si>
    <t>15 G/F (SHOP)</t>
  </si>
  <si>
    <t>BTL-31855</t>
  </si>
  <si>
    <t>APP NO-1</t>
  </si>
  <si>
    <t>Residential</t>
  </si>
  <si>
    <t>BTL-12531</t>
  </si>
  <si>
    <t>01-SHOP</t>
  </si>
  <si>
    <t>BTL-12705</t>
  </si>
  <si>
    <t>02-SHOP</t>
  </si>
  <si>
    <t>BTL-12815</t>
  </si>
  <si>
    <t>03-SHOP</t>
  </si>
  <si>
    <t>BTL-12816</t>
  </si>
  <si>
    <t>04-SHOP</t>
  </si>
  <si>
    <t>BTL-12986</t>
  </si>
  <si>
    <t>05-SHOP</t>
  </si>
  <si>
    <t>BTL-13096</t>
  </si>
  <si>
    <t>06-SHOP</t>
  </si>
  <si>
    <t>BTL-12817</t>
  </si>
  <si>
    <t>07-SHOP</t>
  </si>
  <si>
    <t>BTL-13115</t>
  </si>
  <si>
    <t>08-SHOP</t>
  </si>
  <si>
    <t>BTL-12530</t>
  </si>
  <si>
    <t>09-SHOP</t>
  </si>
  <si>
    <t>BTL-12532</t>
  </si>
  <si>
    <t>10-SHOP</t>
  </si>
  <si>
    <t>BTL-12446</t>
  </si>
  <si>
    <t>11-SHOP</t>
  </si>
  <si>
    <t>BTL-27700</t>
  </si>
  <si>
    <t>APARTMENT NO 1 (F/F)</t>
  </si>
  <si>
    <t>BTL-21949</t>
  </si>
  <si>
    <t>APARTMENT NO 3</t>
  </si>
  <si>
    <t>BTL-26131</t>
  </si>
  <si>
    <t>APARTMENT NO 3 2nd/F</t>
  </si>
  <si>
    <t>BTL-23472</t>
  </si>
  <si>
    <t>APARTMENT NO 5</t>
  </si>
  <si>
    <t>BTL-26858</t>
  </si>
  <si>
    <t>APARTMENT NO 6 (F/F)</t>
  </si>
  <si>
    <t>BTL-26859</t>
  </si>
  <si>
    <t>APARTMENT NO 7 (F/F)</t>
  </si>
  <si>
    <t>BTL-31533</t>
  </si>
  <si>
    <t>APP NO-2</t>
  </si>
  <si>
    <t>BTL-31534</t>
  </si>
  <si>
    <t>APP NO-4</t>
  </si>
  <si>
    <t>BTL-28461</t>
  </si>
  <si>
    <t>BANK ALFALAH</t>
  </si>
  <si>
    <t>BTL-21193</t>
  </si>
  <si>
    <t>OFFICES</t>
  </si>
  <si>
    <t>Bahria Self Consumption</t>
  </si>
  <si>
    <t>BTL-12274</t>
  </si>
  <si>
    <t>UBL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</si>
</sst>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9" fillId="3" borderId="17" xfId="0" applyFont="1" applyFill="1" applyBorder="1" applyAlignment="1">
      <alignment vertical="center"/>
    </xf>
    <xf numFmtId="0" fontId="15" fillId="3" borderId="17" xfId="0" applyFont="1" applyFill="1" applyBorder="1" applyAlignment="1">
      <alignment vertical="center"/>
    </xf>
    <xf numFmtId="0" fontId="19" fillId="7" borderId="0" xfId="0" applyFont="1" applyFill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15" fillId="0" borderId="19" xfId="0" applyFont="1" applyBorder="1" applyAlignment="1">
      <alignment horizontal="center" vertical="center"/>
    </xf>
    <xf numFmtId="0" fontId="9" fillId="5" borderId="0" xfId="0" applyFont="1" applyFill="1"/>
    <xf numFmtId="0" fontId="9" fillId="0" borderId="0" xfId="0" applyFont="1"/>
    <xf numFmtId="0" fontId="20" fillId="4" borderId="0" xfId="0" applyFont="1" applyFill="1" applyAlignment="1">
      <alignment horizontal="left" wrapText="1"/>
    </xf>
    <xf numFmtId="0" fontId="0" fillId="8" borderId="0" xfId="0" applyFill="1"/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35300</xdr:rowOff>
    </xdr:to>
    <xdr:pic>
      <xdr:nvPicPr>
        <xdr:cNvPr id="2" name="Picture 1" descr="logo bahria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8068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102"/>
  <sheetViews>
    <sheetView tabSelected="1" view="pageBreakPreview" topLeftCell="A46" zoomScaleSheetLayoutView="100" workbookViewId="0">
      <selection activeCell="J57" sqref="J57"/>
    </sheetView>
  </sheetViews>
  <sheetFormatPr defaultRowHeight="15.75" x14ac:dyDescent="0.25"/>
  <cols>
    <col min="1" max="1" width="11.28515625" style="31" customWidth="1"/>
    <col min="7" max="7" width="4.28515625" style="32" customWidth="1"/>
    <col min="8" max="8" width="13.5703125" style="33" customWidth="1"/>
    <col min="9" max="9" width="14.7109375" style="34" customWidth="1"/>
    <col min="10" max="10" width="8.5703125" customWidth="1"/>
    <col min="11" max="11" width="7.7109375" style="35" customWidth="1"/>
    <col min="12" max="12" width="13" customWidth="1"/>
    <col min="13" max="13" width="7.7109375" style="37" customWidth="1"/>
    <col min="14" max="14" width="13" customWidth="1"/>
    <col min="15" max="15" width="7.7109375" style="37" customWidth="1"/>
    <col min="16" max="16" width="13" customWidth="1"/>
    <col min="17" max="17" width="7.7109375" style="38" customWidth="1"/>
    <col min="18" max="18" width="13" customWidth="1"/>
    <col min="19" max="19" width="14.140625" style="39" customWidth="1"/>
    <col min="20" max="20" width="11.28515625" style="31" customWidth="1"/>
  </cols>
  <sheetData>
    <row r="1" spans="1:20" ht="31.5" customHeight="1" x14ac:dyDescent="0.25">
      <c r="A1"/>
      <c r="G1" s="43" t="s">
        <v>0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29.25" customHeight="1" thickBot="1" x14ac:dyDescent="0.3">
      <c r="A2"/>
      <c r="G2" s="44" t="s">
        <v>1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5" t="s">
        <v>4</v>
      </c>
      <c r="H4" s="47" t="s">
        <v>5</v>
      </c>
      <c r="I4" s="49" t="s">
        <v>6</v>
      </c>
      <c r="J4" s="51" t="s">
        <v>7</v>
      </c>
      <c r="K4" s="53" t="s">
        <v>8</v>
      </c>
      <c r="L4" s="54"/>
      <c r="M4" s="55" t="s">
        <v>9</v>
      </c>
      <c r="N4" s="53"/>
      <c r="O4" s="56" t="s">
        <v>10</v>
      </c>
      <c r="P4" s="57"/>
      <c r="Q4" s="56" t="s">
        <v>11</v>
      </c>
      <c r="R4" s="58"/>
      <c r="S4" s="41" t="s">
        <v>12</v>
      </c>
      <c r="T4" s="42"/>
    </row>
    <row r="5" spans="1:20" ht="31.5" customHeight="1" thickBot="1" x14ac:dyDescent="0.3">
      <c r="A5" s="13" t="s">
        <v>13</v>
      </c>
      <c r="G5" s="46"/>
      <c r="H5" s="48" t="s">
        <v>5</v>
      </c>
      <c r="I5" s="50" t="s">
        <v>6</v>
      </c>
      <c r="J5" s="52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B6">
        <v>22893</v>
      </c>
      <c r="F6">
        <f>L6</f>
        <v>423</v>
      </c>
      <c r="G6" s="20">
        <v>1</v>
      </c>
      <c r="H6" s="21">
        <v>11820010041</v>
      </c>
      <c r="I6" s="22" t="s">
        <v>18</v>
      </c>
      <c r="J6" s="23"/>
      <c r="K6" s="24">
        <v>22470</v>
      </c>
      <c r="L6" s="23">
        <f t="shared" ref="L6:L55" si="0">B6-K6</f>
        <v>423</v>
      </c>
      <c r="M6" s="24"/>
      <c r="N6" s="25">
        <f t="shared" ref="N6:N55" si="1">C6-M6</f>
        <v>0</v>
      </c>
      <c r="O6" s="24"/>
      <c r="P6" s="23">
        <f t="shared" ref="P6:P55" si="2">D6-O6</f>
        <v>0</v>
      </c>
      <c r="Q6" s="26"/>
      <c r="R6" s="23">
        <f t="shared" ref="R6:R55" si="3">E6-Q6</f>
        <v>0</v>
      </c>
      <c r="S6" s="27" t="s">
        <v>19</v>
      </c>
      <c r="T6" s="19" t="s">
        <v>17</v>
      </c>
    </row>
    <row r="7" spans="1:20" ht="37.5" customHeight="1" x14ac:dyDescent="0.25">
      <c r="A7" s="19" t="s">
        <v>20</v>
      </c>
      <c r="B7">
        <v>13405</v>
      </c>
      <c r="F7">
        <f t="shared" ref="F7:F55" si="4">L7</f>
        <v>268</v>
      </c>
      <c r="G7" s="20">
        <f>G6+1</f>
        <v>2</v>
      </c>
      <c r="H7" s="21">
        <v>11818020174</v>
      </c>
      <c r="I7" s="22" t="s">
        <v>21</v>
      </c>
      <c r="J7" s="23"/>
      <c r="K7" s="24">
        <v>13137</v>
      </c>
      <c r="L7" s="23">
        <f t="shared" si="0"/>
        <v>268</v>
      </c>
      <c r="M7" s="24"/>
      <c r="N7" s="25">
        <f t="shared" si="1"/>
        <v>0</v>
      </c>
      <c r="O7" s="24"/>
      <c r="P7" s="23">
        <f t="shared" si="2"/>
        <v>0</v>
      </c>
      <c r="Q7" s="26"/>
      <c r="R7" s="23">
        <f t="shared" si="3"/>
        <v>0</v>
      </c>
      <c r="S7" s="27" t="s">
        <v>19</v>
      </c>
      <c r="T7" s="19" t="s">
        <v>20</v>
      </c>
    </row>
    <row r="8" spans="1:20" ht="37.5" customHeight="1" x14ac:dyDescent="0.25">
      <c r="A8" s="19" t="s">
        <v>22</v>
      </c>
      <c r="B8">
        <f t="shared" ref="B8:B33" si="5">C8+D8</f>
        <v>32741</v>
      </c>
      <c r="C8">
        <v>4895</v>
      </c>
      <c r="D8">
        <v>27846</v>
      </c>
      <c r="F8">
        <f t="shared" si="4"/>
        <v>0</v>
      </c>
      <c r="G8" s="20">
        <f t="shared" ref="G8:G33" si="6">G7+1</f>
        <v>3</v>
      </c>
      <c r="H8" s="21">
        <v>23014060988</v>
      </c>
      <c r="I8" s="22" t="s">
        <v>23</v>
      </c>
      <c r="J8" s="23"/>
      <c r="K8" s="24">
        <v>32741</v>
      </c>
      <c r="L8" s="23">
        <f t="shared" si="0"/>
        <v>0</v>
      </c>
      <c r="M8" s="24">
        <v>4895</v>
      </c>
      <c r="N8" s="25">
        <f t="shared" si="1"/>
        <v>0</v>
      </c>
      <c r="O8" s="24">
        <v>27846</v>
      </c>
      <c r="P8" s="23">
        <f t="shared" si="2"/>
        <v>0</v>
      </c>
      <c r="Q8" s="26"/>
      <c r="R8" s="23">
        <f t="shared" si="3"/>
        <v>0</v>
      </c>
      <c r="S8" s="27" t="s">
        <v>19</v>
      </c>
      <c r="T8" s="19" t="s">
        <v>22</v>
      </c>
    </row>
    <row r="9" spans="1:20" ht="37.5" customHeight="1" x14ac:dyDescent="0.25">
      <c r="A9" s="19" t="s">
        <v>24</v>
      </c>
      <c r="B9">
        <v>12731</v>
      </c>
      <c r="F9">
        <f t="shared" si="4"/>
        <v>137</v>
      </c>
      <c r="G9" s="20">
        <f t="shared" si="6"/>
        <v>4</v>
      </c>
      <c r="H9" s="21">
        <v>11818020177</v>
      </c>
      <c r="I9" s="22" t="s">
        <v>25</v>
      </c>
      <c r="J9" s="23"/>
      <c r="K9" s="24">
        <v>12594</v>
      </c>
      <c r="L9" s="23">
        <f t="shared" si="0"/>
        <v>137</v>
      </c>
      <c r="M9" s="24"/>
      <c r="N9" s="25">
        <f t="shared" si="1"/>
        <v>0</v>
      </c>
      <c r="O9" s="24"/>
      <c r="P9" s="23">
        <f t="shared" si="2"/>
        <v>0</v>
      </c>
      <c r="Q9" s="26"/>
      <c r="R9" s="23">
        <f t="shared" si="3"/>
        <v>0</v>
      </c>
      <c r="S9" s="27" t="s">
        <v>19</v>
      </c>
      <c r="T9" s="19" t="s">
        <v>24</v>
      </c>
    </row>
    <row r="10" spans="1:20" ht="37.5" customHeight="1" x14ac:dyDescent="0.25">
      <c r="A10" s="19" t="s">
        <v>26</v>
      </c>
      <c r="B10">
        <v>3403</v>
      </c>
      <c r="F10">
        <f t="shared" si="4"/>
        <v>1</v>
      </c>
      <c r="G10" s="20">
        <f t="shared" si="6"/>
        <v>5</v>
      </c>
      <c r="H10" s="21">
        <v>11818020022</v>
      </c>
      <c r="I10" s="22" t="s">
        <v>27</v>
      </c>
      <c r="J10" s="23"/>
      <c r="K10" s="24">
        <v>3402</v>
      </c>
      <c r="L10" s="23">
        <f t="shared" si="0"/>
        <v>1</v>
      </c>
      <c r="M10" s="24"/>
      <c r="N10" s="25">
        <f t="shared" si="1"/>
        <v>0</v>
      </c>
      <c r="O10" s="24"/>
      <c r="P10" s="23">
        <f t="shared" si="2"/>
        <v>0</v>
      </c>
      <c r="Q10" s="26"/>
      <c r="R10" s="23">
        <f t="shared" si="3"/>
        <v>0</v>
      </c>
      <c r="S10" s="27" t="s">
        <v>19</v>
      </c>
      <c r="T10" s="19" t="s">
        <v>26</v>
      </c>
    </row>
    <row r="11" spans="1:20" ht="37.5" customHeight="1" x14ac:dyDescent="0.25">
      <c r="A11" s="19" t="s">
        <v>28</v>
      </c>
      <c r="B11">
        <v>22428</v>
      </c>
      <c r="F11">
        <f t="shared" si="4"/>
        <v>291</v>
      </c>
      <c r="G11" s="20">
        <f t="shared" si="6"/>
        <v>6</v>
      </c>
      <c r="H11" s="21">
        <v>11818020175</v>
      </c>
      <c r="I11" s="22" t="s">
        <v>29</v>
      </c>
      <c r="J11" s="23"/>
      <c r="K11" s="24">
        <v>22137</v>
      </c>
      <c r="L11" s="23">
        <f t="shared" si="0"/>
        <v>291</v>
      </c>
      <c r="M11" s="24"/>
      <c r="N11" s="25">
        <f t="shared" si="1"/>
        <v>0</v>
      </c>
      <c r="O11" s="24"/>
      <c r="P11" s="23">
        <f t="shared" si="2"/>
        <v>0</v>
      </c>
      <c r="Q11" s="26"/>
      <c r="R11" s="23">
        <f t="shared" si="3"/>
        <v>0</v>
      </c>
      <c r="S11" s="27" t="s">
        <v>19</v>
      </c>
      <c r="T11" s="19" t="s">
        <v>28</v>
      </c>
    </row>
    <row r="12" spans="1:20" ht="37.5" customHeight="1" x14ac:dyDescent="0.25">
      <c r="A12" s="19" t="s">
        <v>30</v>
      </c>
      <c r="B12">
        <f t="shared" si="5"/>
        <v>26523</v>
      </c>
      <c r="C12">
        <v>6058</v>
      </c>
      <c r="D12">
        <v>20465</v>
      </c>
      <c r="F12">
        <f t="shared" si="4"/>
        <v>218</v>
      </c>
      <c r="G12" s="20">
        <f t="shared" si="6"/>
        <v>7</v>
      </c>
      <c r="H12" s="21">
        <v>23013010117</v>
      </c>
      <c r="I12" s="22" t="s">
        <v>31</v>
      </c>
      <c r="J12" s="23"/>
      <c r="K12" s="24">
        <v>26305</v>
      </c>
      <c r="L12" s="23">
        <f t="shared" si="0"/>
        <v>218</v>
      </c>
      <c r="M12" s="24">
        <v>6016</v>
      </c>
      <c r="N12" s="25">
        <f t="shared" si="1"/>
        <v>42</v>
      </c>
      <c r="O12" s="24">
        <v>20289</v>
      </c>
      <c r="P12" s="23">
        <f t="shared" si="2"/>
        <v>176</v>
      </c>
      <c r="Q12" s="26"/>
      <c r="R12" s="23">
        <f t="shared" si="3"/>
        <v>0</v>
      </c>
      <c r="S12" s="27" t="s">
        <v>19</v>
      </c>
      <c r="T12" s="19" t="s">
        <v>30</v>
      </c>
    </row>
    <row r="13" spans="1:20" ht="37.5" customHeight="1" x14ac:dyDescent="0.25">
      <c r="A13" s="19" t="s">
        <v>32</v>
      </c>
      <c r="B13">
        <v>19124</v>
      </c>
      <c r="F13">
        <f t="shared" si="4"/>
        <v>268</v>
      </c>
      <c r="G13" s="20">
        <f t="shared" si="6"/>
        <v>8</v>
      </c>
      <c r="H13" s="21">
        <v>11818020172</v>
      </c>
      <c r="I13" s="22" t="s">
        <v>33</v>
      </c>
      <c r="J13" s="23"/>
      <c r="K13" s="24">
        <v>18856</v>
      </c>
      <c r="L13" s="23">
        <f t="shared" si="0"/>
        <v>268</v>
      </c>
      <c r="M13" s="24"/>
      <c r="N13" s="25">
        <f t="shared" si="1"/>
        <v>0</v>
      </c>
      <c r="O13" s="24"/>
      <c r="P13" s="23">
        <f t="shared" si="2"/>
        <v>0</v>
      </c>
      <c r="Q13" s="26"/>
      <c r="R13" s="23">
        <f t="shared" si="3"/>
        <v>0</v>
      </c>
      <c r="S13" s="27" t="s">
        <v>19</v>
      </c>
      <c r="T13" s="19" t="s">
        <v>32</v>
      </c>
    </row>
    <row r="14" spans="1:20" ht="37.5" customHeight="1" x14ac:dyDescent="0.25">
      <c r="A14" s="19" t="s">
        <v>34</v>
      </c>
      <c r="B14">
        <f t="shared" si="5"/>
        <v>4345</v>
      </c>
      <c r="C14">
        <v>1377</v>
      </c>
      <c r="D14">
        <v>2968</v>
      </c>
      <c r="F14">
        <f t="shared" si="4"/>
        <v>16</v>
      </c>
      <c r="G14" s="20">
        <f t="shared" si="6"/>
        <v>9</v>
      </c>
      <c r="H14" s="21">
        <v>23013090305</v>
      </c>
      <c r="I14" s="22" t="s">
        <v>35</v>
      </c>
      <c r="J14" s="23"/>
      <c r="K14" s="24">
        <v>4329</v>
      </c>
      <c r="L14" s="23">
        <f t="shared" si="0"/>
        <v>16</v>
      </c>
      <c r="M14" s="24">
        <v>1374</v>
      </c>
      <c r="N14" s="25">
        <f t="shared" si="1"/>
        <v>3</v>
      </c>
      <c r="O14" s="24">
        <v>2955</v>
      </c>
      <c r="P14" s="23">
        <f t="shared" si="2"/>
        <v>13</v>
      </c>
      <c r="Q14" s="26"/>
      <c r="R14" s="23">
        <f t="shared" si="3"/>
        <v>0</v>
      </c>
      <c r="S14" s="27" t="s">
        <v>19</v>
      </c>
      <c r="T14" s="19" t="s">
        <v>34</v>
      </c>
    </row>
    <row r="15" spans="1:20" ht="37.5" customHeight="1" x14ac:dyDescent="0.25">
      <c r="A15" s="19" t="s">
        <v>36</v>
      </c>
      <c r="B15">
        <f t="shared" si="5"/>
        <v>73056</v>
      </c>
      <c r="C15">
        <v>20930</v>
      </c>
      <c r="D15">
        <v>52126</v>
      </c>
      <c r="F15">
        <f t="shared" si="4"/>
        <v>575</v>
      </c>
      <c r="G15" s="20">
        <f t="shared" si="6"/>
        <v>10</v>
      </c>
      <c r="H15" s="21">
        <v>23013090023</v>
      </c>
      <c r="I15" s="22" t="s">
        <v>37</v>
      </c>
      <c r="J15" s="23"/>
      <c r="K15" s="24">
        <v>72481</v>
      </c>
      <c r="L15" s="23">
        <f t="shared" si="0"/>
        <v>575</v>
      </c>
      <c r="M15" s="24">
        <v>20751</v>
      </c>
      <c r="N15" s="25">
        <f t="shared" si="1"/>
        <v>179</v>
      </c>
      <c r="O15" s="24">
        <v>51730</v>
      </c>
      <c r="P15" s="23">
        <f t="shared" si="2"/>
        <v>396</v>
      </c>
      <c r="Q15" s="26"/>
      <c r="R15" s="23">
        <f t="shared" si="3"/>
        <v>0</v>
      </c>
      <c r="S15" s="27" t="s">
        <v>19</v>
      </c>
      <c r="T15" s="19" t="s">
        <v>36</v>
      </c>
    </row>
    <row r="16" spans="1:20" ht="37.5" customHeight="1" x14ac:dyDescent="0.25">
      <c r="A16" s="19" t="s">
        <v>38</v>
      </c>
      <c r="B16">
        <f t="shared" si="5"/>
        <v>48118</v>
      </c>
      <c r="C16">
        <v>16111</v>
      </c>
      <c r="D16">
        <v>32007</v>
      </c>
      <c r="F16">
        <f t="shared" si="4"/>
        <v>483</v>
      </c>
      <c r="G16" s="20">
        <f t="shared" si="6"/>
        <v>11</v>
      </c>
      <c r="H16" s="21">
        <v>23013010216</v>
      </c>
      <c r="I16" s="22" t="s">
        <v>39</v>
      </c>
      <c r="J16" s="23"/>
      <c r="K16" s="24">
        <v>47635</v>
      </c>
      <c r="L16" s="23">
        <f t="shared" si="0"/>
        <v>483</v>
      </c>
      <c r="M16" s="24">
        <v>15975</v>
      </c>
      <c r="N16" s="25">
        <f t="shared" si="1"/>
        <v>136</v>
      </c>
      <c r="O16" s="24">
        <v>31660</v>
      </c>
      <c r="P16" s="23">
        <f t="shared" si="2"/>
        <v>347</v>
      </c>
      <c r="Q16" s="26"/>
      <c r="R16" s="23">
        <f t="shared" si="3"/>
        <v>0</v>
      </c>
      <c r="S16" s="27" t="s">
        <v>19</v>
      </c>
      <c r="T16" s="19" t="s">
        <v>38</v>
      </c>
    </row>
    <row r="17" spans="1:20" ht="37.5" customHeight="1" x14ac:dyDescent="0.25">
      <c r="A17" s="19" t="s">
        <v>40</v>
      </c>
      <c r="B17">
        <f t="shared" si="5"/>
        <v>6525</v>
      </c>
      <c r="C17">
        <v>2069</v>
      </c>
      <c r="D17">
        <v>4456</v>
      </c>
      <c r="F17">
        <f t="shared" si="4"/>
        <v>173</v>
      </c>
      <c r="G17" s="20">
        <f t="shared" si="6"/>
        <v>12</v>
      </c>
      <c r="H17" s="21">
        <v>66623011227</v>
      </c>
      <c r="I17" s="22" t="s">
        <v>41</v>
      </c>
      <c r="J17" s="23"/>
      <c r="K17" s="24">
        <v>6352</v>
      </c>
      <c r="L17" s="23">
        <f t="shared" si="0"/>
        <v>173</v>
      </c>
      <c r="M17" s="24">
        <v>2005</v>
      </c>
      <c r="N17" s="25">
        <f t="shared" si="1"/>
        <v>64</v>
      </c>
      <c r="O17" s="24">
        <v>4347</v>
      </c>
      <c r="P17" s="23">
        <f t="shared" si="2"/>
        <v>109</v>
      </c>
      <c r="Q17" s="26"/>
      <c r="R17" s="23">
        <f t="shared" si="3"/>
        <v>0</v>
      </c>
      <c r="S17" s="27" t="s">
        <v>19</v>
      </c>
      <c r="T17" s="19" t="s">
        <v>40</v>
      </c>
    </row>
    <row r="18" spans="1:20" ht="37.5" customHeight="1" x14ac:dyDescent="0.25">
      <c r="A18" s="19" t="s">
        <v>42</v>
      </c>
      <c r="B18">
        <v>36528</v>
      </c>
      <c r="C18" s="40"/>
      <c r="D18" s="40"/>
      <c r="F18">
        <f t="shared" si="4"/>
        <v>46</v>
      </c>
      <c r="G18" s="20">
        <f t="shared" si="6"/>
        <v>13</v>
      </c>
      <c r="H18" s="21">
        <v>23012040086</v>
      </c>
      <c r="I18" s="22" t="s">
        <v>43</v>
      </c>
      <c r="J18" s="23"/>
      <c r="K18" s="24">
        <v>36482</v>
      </c>
      <c r="L18" s="23">
        <f t="shared" si="0"/>
        <v>46</v>
      </c>
      <c r="M18" s="24">
        <v>8800</v>
      </c>
      <c r="N18" s="25">
        <f t="shared" si="1"/>
        <v>-8800</v>
      </c>
      <c r="O18" s="24">
        <v>27682</v>
      </c>
      <c r="P18" s="23">
        <f t="shared" si="2"/>
        <v>-27682</v>
      </c>
      <c r="Q18" s="26"/>
      <c r="R18" s="23">
        <f t="shared" si="3"/>
        <v>0</v>
      </c>
      <c r="S18" s="27" t="s">
        <v>19</v>
      </c>
      <c r="T18" s="19" t="s">
        <v>42</v>
      </c>
    </row>
    <row r="19" spans="1:20" ht="37.5" customHeight="1" x14ac:dyDescent="0.25">
      <c r="A19" s="19" t="s">
        <v>44</v>
      </c>
      <c r="B19">
        <f t="shared" si="5"/>
        <v>4254</v>
      </c>
      <c r="C19">
        <v>1935</v>
      </c>
      <c r="D19">
        <v>2319</v>
      </c>
      <c r="F19">
        <f t="shared" si="4"/>
        <v>17</v>
      </c>
      <c r="G19" s="20">
        <f t="shared" si="6"/>
        <v>14</v>
      </c>
      <c r="H19" s="21">
        <v>23013080298</v>
      </c>
      <c r="I19" s="22" t="s">
        <v>45</v>
      </c>
      <c r="J19" s="23"/>
      <c r="K19" s="24">
        <v>4237</v>
      </c>
      <c r="L19" s="23">
        <f t="shared" si="0"/>
        <v>17</v>
      </c>
      <c r="M19" s="24">
        <v>1925</v>
      </c>
      <c r="N19" s="25">
        <f t="shared" si="1"/>
        <v>10</v>
      </c>
      <c r="O19" s="24">
        <v>2312</v>
      </c>
      <c r="P19" s="23">
        <f t="shared" si="2"/>
        <v>7</v>
      </c>
      <c r="Q19" s="26"/>
      <c r="R19" s="23">
        <f t="shared" si="3"/>
        <v>0</v>
      </c>
      <c r="S19" s="27" t="s">
        <v>19</v>
      </c>
      <c r="T19" s="19" t="s">
        <v>44</v>
      </c>
    </row>
    <row r="20" spans="1:20" ht="37.5" customHeight="1" x14ac:dyDescent="0.25">
      <c r="A20" s="19" t="s">
        <v>46</v>
      </c>
      <c r="B20">
        <f t="shared" si="5"/>
        <v>52466</v>
      </c>
      <c r="C20">
        <v>19187</v>
      </c>
      <c r="D20">
        <v>33279</v>
      </c>
      <c r="F20">
        <f t="shared" si="4"/>
        <v>188</v>
      </c>
      <c r="G20" s="20">
        <f t="shared" si="6"/>
        <v>15</v>
      </c>
      <c r="H20" s="21">
        <v>23010020067</v>
      </c>
      <c r="I20" s="22" t="s">
        <v>47</v>
      </c>
      <c r="J20" s="23"/>
      <c r="K20" s="24">
        <v>52278</v>
      </c>
      <c r="L20" s="23">
        <f t="shared" si="0"/>
        <v>188</v>
      </c>
      <c r="M20" s="24">
        <v>19129</v>
      </c>
      <c r="N20" s="25">
        <f t="shared" si="1"/>
        <v>58</v>
      </c>
      <c r="O20" s="24">
        <v>33149</v>
      </c>
      <c r="P20" s="23">
        <f t="shared" si="2"/>
        <v>130</v>
      </c>
      <c r="Q20" s="26"/>
      <c r="R20" s="23">
        <f t="shared" si="3"/>
        <v>0</v>
      </c>
      <c r="S20" s="27" t="s">
        <v>19</v>
      </c>
      <c r="T20" s="19" t="s">
        <v>46</v>
      </c>
    </row>
    <row r="21" spans="1:20" ht="37.5" customHeight="1" x14ac:dyDescent="0.25">
      <c r="A21" s="19" t="s">
        <v>48</v>
      </c>
      <c r="B21">
        <f t="shared" si="5"/>
        <v>76846</v>
      </c>
      <c r="C21">
        <v>16325</v>
      </c>
      <c r="D21">
        <v>60521</v>
      </c>
      <c r="F21">
        <f t="shared" si="4"/>
        <v>379</v>
      </c>
      <c r="G21" s="20">
        <f t="shared" si="6"/>
        <v>16</v>
      </c>
      <c r="H21" s="21">
        <v>23013010118</v>
      </c>
      <c r="I21" s="22" t="s">
        <v>49</v>
      </c>
      <c r="J21" s="23"/>
      <c r="K21" s="24">
        <v>76467</v>
      </c>
      <c r="L21" s="23">
        <f t="shared" si="0"/>
        <v>379</v>
      </c>
      <c r="M21" s="24">
        <v>16252</v>
      </c>
      <c r="N21" s="25">
        <f t="shared" si="1"/>
        <v>73</v>
      </c>
      <c r="O21" s="24">
        <v>60215</v>
      </c>
      <c r="P21" s="23">
        <f t="shared" si="2"/>
        <v>306</v>
      </c>
      <c r="Q21" s="26"/>
      <c r="R21" s="23">
        <f t="shared" si="3"/>
        <v>0</v>
      </c>
      <c r="S21" s="27" t="s">
        <v>19</v>
      </c>
      <c r="T21" s="19" t="s">
        <v>48</v>
      </c>
    </row>
    <row r="22" spans="1:20" ht="37.5" customHeight="1" x14ac:dyDescent="0.25">
      <c r="A22" s="19" t="s">
        <v>50</v>
      </c>
      <c r="B22">
        <f t="shared" si="5"/>
        <v>3388</v>
      </c>
      <c r="C22">
        <v>505</v>
      </c>
      <c r="D22">
        <v>2883</v>
      </c>
      <c r="F22">
        <f t="shared" si="4"/>
        <v>0</v>
      </c>
      <c r="G22" s="20">
        <f t="shared" si="6"/>
        <v>17</v>
      </c>
      <c r="H22" s="21">
        <v>88819020364</v>
      </c>
      <c r="I22" s="22" t="s">
        <v>51</v>
      </c>
      <c r="J22" s="23"/>
      <c r="K22" s="24">
        <v>3388</v>
      </c>
      <c r="L22" s="23">
        <f t="shared" si="0"/>
        <v>0</v>
      </c>
      <c r="M22" s="24">
        <v>505</v>
      </c>
      <c r="N22" s="25">
        <f t="shared" si="1"/>
        <v>0</v>
      </c>
      <c r="O22" s="24">
        <v>2883</v>
      </c>
      <c r="P22" s="23">
        <f t="shared" si="2"/>
        <v>0</v>
      </c>
      <c r="Q22" s="26"/>
      <c r="R22" s="23">
        <f t="shared" si="3"/>
        <v>0</v>
      </c>
      <c r="S22" s="27" t="s">
        <v>19</v>
      </c>
      <c r="T22" s="19" t="s">
        <v>50</v>
      </c>
    </row>
    <row r="23" spans="1:20" ht="37.5" customHeight="1" x14ac:dyDescent="0.25">
      <c r="A23" s="19" t="s">
        <v>52</v>
      </c>
      <c r="B23">
        <f t="shared" si="5"/>
        <v>122406</v>
      </c>
      <c r="C23">
        <v>24217</v>
      </c>
      <c r="D23">
        <v>98189</v>
      </c>
      <c r="F23">
        <f t="shared" si="4"/>
        <v>585</v>
      </c>
      <c r="G23" s="20">
        <f t="shared" si="6"/>
        <v>18</v>
      </c>
      <c r="H23" s="21">
        <v>23013040047</v>
      </c>
      <c r="I23" s="22" t="s">
        <v>53</v>
      </c>
      <c r="J23" s="23"/>
      <c r="K23" s="24">
        <v>121821</v>
      </c>
      <c r="L23" s="23">
        <f t="shared" si="0"/>
        <v>585</v>
      </c>
      <c r="M23" s="24">
        <v>24103</v>
      </c>
      <c r="N23" s="25">
        <f t="shared" si="1"/>
        <v>114</v>
      </c>
      <c r="O23" s="24">
        <v>97718</v>
      </c>
      <c r="P23" s="23">
        <f t="shared" si="2"/>
        <v>471</v>
      </c>
      <c r="Q23" s="26"/>
      <c r="R23" s="23">
        <f t="shared" si="3"/>
        <v>0</v>
      </c>
      <c r="S23" s="27" t="s">
        <v>19</v>
      </c>
      <c r="T23" s="19" t="s">
        <v>52</v>
      </c>
    </row>
    <row r="24" spans="1:20" ht="37.5" customHeight="1" x14ac:dyDescent="0.25">
      <c r="A24" s="19" t="s">
        <v>54</v>
      </c>
      <c r="B24">
        <f t="shared" si="5"/>
        <v>6615</v>
      </c>
      <c r="C24">
        <v>1296</v>
      </c>
      <c r="D24">
        <v>5319</v>
      </c>
      <c r="F24">
        <f t="shared" si="4"/>
        <v>25</v>
      </c>
      <c r="G24" s="20">
        <f t="shared" si="6"/>
        <v>19</v>
      </c>
      <c r="H24" s="21">
        <v>23014090141</v>
      </c>
      <c r="I24" s="22" t="s">
        <v>55</v>
      </c>
      <c r="J24" s="23"/>
      <c r="K24" s="24">
        <v>6590</v>
      </c>
      <c r="L24" s="23">
        <f t="shared" si="0"/>
        <v>25</v>
      </c>
      <c r="M24" s="24">
        <v>1294</v>
      </c>
      <c r="N24" s="25">
        <f t="shared" si="1"/>
        <v>2</v>
      </c>
      <c r="O24" s="24">
        <v>5296</v>
      </c>
      <c r="P24" s="23">
        <f t="shared" si="2"/>
        <v>23</v>
      </c>
      <c r="Q24" s="26"/>
      <c r="R24" s="23">
        <f t="shared" si="3"/>
        <v>0</v>
      </c>
      <c r="S24" s="27" t="s">
        <v>19</v>
      </c>
      <c r="T24" s="19" t="s">
        <v>54</v>
      </c>
    </row>
    <row r="25" spans="1:20" ht="37.5" customHeight="1" x14ac:dyDescent="0.25">
      <c r="A25" s="19" t="s">
        <v>56</v>
      </c>
      <c r="B25">
        <f t="shared" si="5"/>
        <v>51548</v>
      </c>
      <c r="C25">
        <v>12003</v>
      </c>
      <c r="D25">
        <v>39545</v>
      </c>
      <c r="F25">
        <f t="shared" si="4"/>
        <v>40</v>
      </c>
      <c r="G25" s="20">
        <f t="shared" si="6"/>
        <v>20</v>
      </c>
      <c r="H25" s="21">
        <v>23013042298</v>
      </c>
      <c r="I25" s="22" t="s">
        <v>57</v>
      </c>
      <c r="J25" s="23"/>
      <c r="K25" s="24">
        <v>51508</v>
      </c>
      <c r="L25" s="23">
        <f t="shared" si="0"/>
        <v>40</v>
      </c>
      <c r="M25" s="24">
        <v>11999</v>
      </c>
      <c r="N25" s="25">
        <f t="shared" si="1"/>
        <v>4</v>
      </c>
      <c r="O25" s="24">
        <v>39509</v>
      </c>
      <c r="P25" s="23">
        <f t="shared" si="2"/>
        <v>36</v>
      </c>
      <c r="Q25" s="26"/>
      <c r="R25" s="23">
        <f t="shared" si="3"/>
        <v>0</v>
      </c>
      <c r="S25" s="27" t="s">
        <v>19</v>
      </c>
      <c r="T25" s="19" t="s">
        <v>56</v>
      </c>
    </row>
    <row r="26" spans="1:20" ht="37.5" customHeight="1" x14ac:dyDescent="0.25">
      <c r="A26" s="19" t="s">
        <v>58</v>
      </c>
      <c r="B26">
        <f t="shared" si="5"/>
        <v>8583</v>
      </c>
      <c r="C26">
        <v>3803</v>
      </c>
      <c r="D26">
        <v>4780</v>
      </c>
      <c r="F26">
        <f t="shared" si="4"/>
        <v>23</v>
      </c>
      <c r="G26" s="20">
        <f t="shared" si="6"/>
        <v>21</v>
      </c>
      <c r="H26" s="21">
        <v>23013080297</v>
      </c>
      <c r="I26" s="22" t="s">
        <v>59</v>
      </c>
      <c r="J26" s="23"/>
      <c r="K26" s="24">
        <v>8560</v>
      </c>
      <c r="L26" s="23">
        <f t="shared" si="0"/>
        <v>23</v>
      </c>
      <c r="M26" s="24">
        <v>3800</v>
      </c>
      <c r="N26" s="25">
        <f t="shared" si="1"/>
        <v>3</v>
      </c>
      <c r="O26" s="24">
        <v>4760</v>
      </c>
      <c r="P26" s="23">
        <f t="shared" si="2"/>
        <v>20</v>
      </c>
      <c r="Q26" s="26"/>
      <c r="R26" s="23">
        <f t="shared" si="3"/>
        <v>0</v>
      </c>
      <c r="S26" s="27" t="s">
        <v>19</v>
      </c>
      <c r="T26" s="19" t="s">
        <v>58</v>
      </c>
    </row>
    <row r="27" spans="1:20" ht="37.5" customHeight="1" x14ac:dyDescent="0.25">
      <c r="A27" s="19" t="s">
        <v>60</v>
      </c>
      <c r="B27">
        <f t="shared" si="5"/>
        <v>26198</v>
      </c>
      <c r="C27">
        <v>4519</v>
      </c>
      <c r="D27">
        <v>21679</v>
      </c>
      <c r="F27">
        <f t="shared" si="4"/>
        <v>624</v>
      </c>
      <c r="G27" s="20">
        <f t="shared" si="6"/>
        <v>22</v>
      </c>
      <c r="H27" s="21">
        <v>23013040479</v>
      </c>
      <c r="I27" s="22" t="s">
        <v>61</v>
      </c>
      <c r="J27" s="23"/>
      <c r="K27" s="24">
        <v>25574</v>
      </c>
      <c r="L27" s="23">
        <f t="shared" si="0"/>
        <v>624</v>
      </c>
      <c r="M27" s="24">
        <v>4431</v>
      </c>
      <c r="N27" s="25">
        <f t="shared" si="1"/>
        <v>88</v>
      </c>
      <c r="O27" s="24">
        <v>21143</v>
      </c>
      <c r="P27" s="23">
        <f t="shared" si="2"/>
        <v>536</v>
      </c>
      <c r="Q27" s="26"/>
      <c r="R27" s="23">
        <f t="shared" si="3"/>
        <v>0</v>
      </c>
      <c r="S27" s="27" t="s">
        <v>19</v>
      </c>
      <c r="T27" s="19" t="s">
        <v>60</v>
      </c>
    </row>
    <row r="28" spans="1:20" ht="37.5" customHeight="1" x14ac:dyDescent="0.25">
      <c r="A28" s="19" t="s">
        <v>62</v>
      </c>
      <c r="B28">
        <f t="shared" si="5"/>
        <v>47034</v>
      </c>
      <c r="C28">
        <v>11196</v>
      </c>
      <c r="D28">
        <v>35838</v>
      </c>
      <c r="F28">
        <f t="shared" si="4"/>
        <v>271</v>
      </c>
      <c r="G28" s="20">
        <f t="shared" si="6"/>
        <v>23</v>
      </c>
      <c r="H28" s="21">
        <v>23013040144</v>
      </c>
      <c r="I28" s="22" t="s">
        <v>63</v>
      </c>
      <c r="J28" s="23"/>
      <c r="K28" s="24">
        <v>46763</v>
      </c>
      <c r="L28" s="23">
        <f t="shared" si="0"/>
        <v>271</v>
      </c>
      <c r="M28" s="24">
        <v>11157</v>
      </c>
      <c r="N28" s="25">
        <f t="shared" si="1"/>
        <v>39</v>
      </c>
      <c r="O28" s="24">
        <v>35606</v>
      </c>
      <c r="P28" s="23">
        <f t="shared" si="2"/>
        <v>232</v>
      </c>
      <c r="Q28" s="26"/>
      <c r="R28" s="23">
        <f t="shared" si="3"/>
        <v>0</v>
      </c>
      <c r="S28" s="27" t="s">
        <v>19</v>
      </c>
      <c r="T28" s="19" t="s">
        <v>62</v>
      </c>
    </row>
    <row r="29" spans="1:20" ht="37.5" customHeight="1" x14ac:dyDescent="0.25">
      <c r="A29" s="19" t="s">
        <v>64</v>
      </c>
      <c r="B29">
        <f t="shared" si="5"/>
        <v>47939</v>
      </c>
      <c r="C29">
        <v>12322</v>
      </c>
      <c r="D29">
        <v>35617</v>
      </c>
      <c r="F29">
        <f t="shared" si="4"/>
        <v>376</v>
      </c>
      <c r="G29" s="20">
        <f t="shared" si="6"/>
        <v>24</v>
      </c>
      <c r="H29" s="21">
        <v>23013040370</v>
      </c>
      <c r="I29" s="22" t="s">
        <v>65</v>
      </c>
      <c r="J29" s="23"/>
      <c r="K29" s="24">
        <v>47563</v>
      </c>
      <c r="L29" s="23">
        <f t="shared" si="0"/>
        <v>376</v>
      </c>
      <c r="M29" s="24">
        <v>12291</v>
      </c>
      <c r="N29" s="25">
        <f t="shared" si="1"/>
        <v>31</v>
      </c>
      <c r="O29" s="24">
        <v>35272</v>
      </c>
      <c r="P29" s="23">
        <f t="shared" si="2"/>
        <v>345</v>
      </c>
      <c r="Q29" s="26"/>
      <c r="R29" s="23">
        <f t="shared" si="3"/>
        <v>0</v>
      </c>
      <c r="S29" s="27" t="s">
        <v>19</v>
      </c>
      <c r="T29" s="19" t="s">
        <v>64</v>
      </c>
    </row>
    <row r="30" spans="1:20" ht="37.5" customHeight="1" x14ac:dyDescent="0.25">
      <c r="A30" s="19" t="s">
        <v>66</v>
      </c>
      <c r="B30">
        <f t="shared" si="5"/>
        <v>80803</v>
      </c>
      <c r="C30">
        <v>18562</v>
      </c>
      <c r="D30">
        <v>62241</v>
      </c>
      <c r="F30">
        <f t="shared" si="4"/>
        <v>863</v>
      </c>
      <c r="G30" s="20">
        <f t="shared" si="6"/>
        <v>25</v>
      </c>
      <c r="H30" s="21">
        <v>23013040369</v>
      </c>
      <c r="I30" s="22" t="s">
        <v>67</v>
      </c>
      <c r="J30" s="23"/>
      <c r="K30" s="24">
        <v>79940</v>
      </c>
      <c r="L30" s="23">
        <f t="shared" si="0"/>
        <v>863</v>
      </c>
      <c r="M30" s="24">
        <v>18366</v>
      </c>
      <c r="N30" s="25">
        <f t="shared" si="1"/>
        <v>196</v>
      </c>
      <c r="O30" s="24">
        <v>61574</v>
      </c>
      <c r="P30" s="23">
        <f t="shared" si="2"/>
        <v>667</v>
      </c>
      <c r="Q30" s="26"/>
      <c r="R30" s="23">
        <f t="shared" si="3"/>
        <v>0</v>
      </c>
      <c r="S30" s="27" t="s">
        <v>19</v>
      </c>
      <c r="T30" s="19" t="s">
        <v>66</v>
      </c>
    </row>
    <row r="31" spans="1:20" ht="37.5" customHeight="1" x14ac:dyDescent="0.25">
      <c r="A31" s="19" t="s">
        <v>68</v>
      </c>
      <c r="B31">
        <f t="shared" si="5"/>
        <v>74067</v>
      </c>
      <c r="C31">
        <v>13879</v>
      </c>
      <c r="D31">
        <v>60188</v>
      </c>
      <c r="F31">
        <f t="shared" si="4"/>
        <v>701</v>
      </c>
      <c r="G31" s="20">
        <f t="shared" si="6"/>
        <v>26</v>
      </c>
      <c r="H31" s="21">
        <v>23013040452</v>
      </c>
      <c r="I31" s="22" t="s">
        <v>69</v>
      </c>
      <c r="J31" s="23"/>
      <c r="K31" s="24">
        <v>73366</v>
      </c>
      <c r="L31" s="23">
        <f t="shared" si="0"/>
        <v>701</v>
      </c>
      <c r="M31" s="24">
        <v>13698</v>
      </c>
      <c r="N31" s="25">
        <f t="shared" si="1"/>
        <v>181</v>
      </c>
      <c r="O31" s="24">
        <v>59668</v>
      </c>
      <c r="P31" s="23">
        <f t="shared" si="2"/>
        <v>520</v>
      </c>
      <c r="Q31" s="26"/>
      <c r="R31" s="23">
        <f t="shared" si="3"/>
        <v>0</v>
      </c>
      <c r="S31" s="27" t="s">
        <v>19</v>
      </c>
      <c r="T31" s="19" t="s">
        <v>68</v>
      </c>
    </row>
    <row r="32" spans="1:20" ht="37.5" customHeight="1" x14ac:dyDescent="0.25">
      <c r="A32" s="19" t="s">
        <v>70</v>
      </c>
      <c r="B32">
        <f t="shared" si="5"/>
        <v>51707</v>
      </c>
      <c r="C32">
        <v>12254</v>
      </c>
      <c r="D32">
        <v>39453</v>
      </c>
      <c r="F32">
        <f t="shared" si="4"/>
        <v>503</v>
      </c>
      <c r="G32" s="20">
        <f t="shared" si="6"/>
        <v>27</v>
      </c>
      <c r="H32" s="21">
        <v>23014090406</v>
      </c>
      <c r="I32" s="22" t="s">
        <v>71</v>
      </c>
      <c r="J32" s="23"/>
      <c r="K32" s="24">
        <v>51204</v>
      </c>
      <c r="L32" s="23">
        <f t="shared" si="0"/>
        <v>503</v>
      </c>
      <c r="M32" s="24">
        <v>12111</v>
      </c>
      <c r="N32" s="25">
        <f t="shared" si="1"/>
        <v>143</v>
      </c>
      <c r="O32" s="24">
        <v>39093</v>
      </c>
      <c r="P32" s="23">
        <f t="shared" si="2"/>
        <v>360</v>
      </c>
      <c r="Q32" s="26"/>
      <c r="R32" s="23">
        <f t="shared" si="3"/>
        <v>0</v>
      </c>
      <c r="S32" s="27" t="s">
        <v>19</v>
      </c>
      <c r="T32" s="19" t="s">
        <v>70</v>
      </c>
    </row>
    <row r="33" spans="1:20" ht="37.5" customHeight="1" x14ac:dyDescent="0.25">
      <c r="A33" s="19" t="s">
        <v>72</v>
      </c>
      <c r="B33">
        <f>20+K33</f>
        <v>113180</v>
      </c>
      <c r="F33">
        <f t="shared" si="4"/>
        <v>20</v>
      </c>
      <c r="G33" s="20">
        <f t="shared" si="6"/>
        <v>28</v>
      </c>
      <c r="H33" s="21">
        <v>23012110241</v>
      </c>
      <c r="I33" s="22" t="s">
        <v>73</v>
      </c>
      <c r="J33" s="23"/>
      <c r="K33" s="24">
        <v>113160</v>
      </c>
      <c r="L33" s="23">
        <f t="shared" si="0"/>
        <v>20</v>
      </c>
      <c r="M33" s="24">
        <v>16963</v>
      </c>
      <c r="N33" s="25">
        <f t="shared" si="1"/>
        <v>-16963</v>
      </c>
      <c r="O33" s="24">
        <v>96197</v>
      </c>
      <c r="P33" s="23">
        <f t="shared" si="2"/>
        <v>-96197</v>
      </c>
      <c r="Q33" s="26"/>
      <c r="R33" s="23">
        <f t="shared" si="3"/>
        <v>0</v>
      </c>
      <c r="S33" s="27" t="s">
        <v>74</v>
      </c>
      <c r="T33" s="19" t="s">
        <v>72</v>
      </c>
    </row>
    <row r="34" spans="1:20" ht="37.5" customHeight="1" x14ac:dyDescent="0.25">
      <c r="A34" s="19" t="s">
        <v>75</v>
      </c>
      <c r="B34">
        <v>7422</v>
      </c>
      <c r="F34">
        <f t="shared" si="4"/>
        <v>178</v>
      </c>
      <c r="G34" s="20">
        <v>1</v>
      </c>
      <c r="H34" s="21">
        <v>11820010048</v>
      </c>
      <c r="I34" s="22" t="s">
        <v>76</v>
      </c>
      <c r="J34" s="23"/>
      <c r="K34" s="24">
        <v>7244</v>
      </c>
      <c r="L34" s="23">
        <f t="shared" si="0"/>
        <v>178</v>
      </c>
      <c r="M34" s="24"/>
      <c r="N34" s="25">
        <f t="shared" si="1"/>
        <v>0</v>
      </c>
      <c r="O34" s="24"/>
      <c r="P34" s="23">
        <f t="shared" si="2"/>
        <v>0</v>
      </c>
      <c r="Q34" s="26"/>
      <c r="R34" s="23">
        <f t="shared" si="3"/>
        <v>0</v>
      </c>
      <c r="S34" s="27" t="s">
        <v>19</v>
      </c>
      <c r="T34" s="19" t="s">
        <v>75</v>
      </c>
    </row>
    <row r="35" spans="1:20" ht="37.5" customHeight="1" x14ac:dyDescent="0.25">
      <c r="A35" s="19" t="s">
        <v>77</v>
      </c>
      <c r="B35">
        <v>8560</v>
      </c>
      <c r="F35">
        <f t="shared" si="4"/>
        <v>75</v>
      </c>
      <c r="G35" s="20">
        <f>G34+1</f>
        <v>2</v>
      </c>
      <c r="H35" s="21">
        <v>11820010045</v>
      </c>
      <c r="I35" s="22" t="s">
        <v>78</v>
      </c>
      <c r="J35" s="23"/>
      <c r="K35" s="24">
        <v>8485</v>
      </c>
      <c r="L35" s="23">
        <f t="shared" si="0"/>
        <v>75</v>
      </c>
      <c r="M35" s="24"/>
      <c r="N35" s="25">
        <f t="shared" si="1"/>
        <v>0</v>
      </c>
      <c r="O35" s="24"/>
      <c r="P35" s="23">
        <f t="shared" si="2"/>
        <v>0</v>
      </c>
      <c r="Q35" s="26"/>
      <c r="R35" s="23">
        <f t="shared" si="3"/>
        <v>0</v>
      </c>
      <c r="S35" s="27" t="s">
        <v>19</v>
      </c>
      <c r="T35" s="19" t="s">
        <v>77</v>
      </c>
    </row>
    <row r="36" spans="1:20" ht="37.5" customHeight="1" x14ac:dyDescent="0.25">
      <c r="A36" s="19" t="s">
        <v>79</v>
      </c>
      <c r="B36">
        <v>8051</v>
      </c>
      <c r="F36">
        <f t="shared" si="4"/>
        <v>205</v>
      </c>
      <c r="G36" s="20">
        <f t="shared" ref="G36:G55" si="7">G35+1</f>
        <v>3</v>
      </c>
      <c r="H36" s="21">
        <v>11820010049</v>
      </c>
      <c r="I36" s="22" t="s">
        <v>80</v>
      </c>
      <c r="J36" s="23"/>
      <c r="K36" s="24">
        <v>7846</v>
      </c>
      <c r="L36" s="23">
        <f t="shared" si="0"/>
        <v>205</v>
      </c>
      <c r="M36" s="24"/>
      <c r="N36" s="25">
        <f t="shared" si="1"/>
        <v>0</v>
      </c>
      <c r="O36" s="24"/>
      <c r="P36" s="23">
        <f t="shared" si="2"/>
        <v>0</v>
      </c>
      <c r="Q36" s="26"/>
      <c r="R36" s="23">
        <f t="shared" si="3"/>
        <v>0</v>
      </c>
      <c r="S36" s="27" t="s">
        <v>19</v>
      </c>
      <c r="T36" s="19" t="s">
        <v>79</v>
      </c>
    </row>
    <row r="37" spans="1:20" ht="37.5" customHeight="1" x14ac:dyDescent="0.25">
      <c r="A37" s="19" t="s">
        <v>81</v>
      </c>
      <c r="B37">
        <v>18875</v>
      </c>
      <c r="F37">
        <f t="shared" si="4"/>
        <v>199</v>
      </c>
      <c r="G37" s="20">
        <f t="shared" si="7"/>
        <v>4</v>
      </c>
      <c r="H37" s="21">
        <v>11617020021</v>
      </c>
      <c r="I37" s="22" t="s">
        <v>82</v>
      </c>
      <c r="J37" s="23"/>
      <c r="K37" s="24">
        <v>18676</v>
      </c>
      <c r="L37" s="23">
        <f t="shared" si="0"/>
        <v>199</v>
      </c>
      <c r="M37" s="24"/>
      <c r="N37" s="25">
        <f t="shared" si="1"/>
        <v>0</v>
      </c>
      <c r="O37" s="24"/>
      <c r="P37" s="23">
        <f t="shared" si="2"/>
        <v>0</v>
      </c>
      <c r="Q37" s="26"/>
      <c r="R37" s="23">
        <f t="shared" si="3"/>
        <v>0</v>
      </c>
      <c r="S37" s="27" t="s">
        <v>19</v>
      </c>
      <c r="T37" s="19" t="s">
        <v>81</v>
      </c>
    </row>
    <row r="38" spans="1:20" ht="37.5" customHeight="1" x14ac:dyDescent="0.25">
      <c r="A38" s="19" t="s">
        <v>83</v>
      </c>
      <c r="B38">
        <v>3279</v>
      </c>
      <c r="F38">
        <f t="shared" si="4"/>
        <v>45</v>
      </c>
      <c r="G38" s="20">
        <f t="shared" si="7"/>
        <v>5</v>
      </c>
      <c r="H38" s="21">
        <v>11821010006</v>
      </c>
      <c r="I38" s="22" t="s">
        <v>84</v>
      </c>
      <c r="J38" s="23"/>
      <c r="K38" s="24">
        <v>3234</v>
      </c>
      <c r="L38" s="23">
        <f t="shared" si="0"/>
        <v>45</v>
      </c>
      <c r="M38" s="24"/>
      <c r="N38" s="25">
        <f t="shared" si="1"/>
        <v>0</v>
      </c>
      <c r="O38" s="24"/>
      <c r="P38" s="23">
        <f t="shared" si="2"/>
        <v>0</v>
      </c>
      <c r="Q38" s="26"/>
      <c r="R38" s="23">
        <f t="shared" si="3"/>
        <v>0</v>
      </c>
      <c r="S38" s="27" t="s">
        <v>19</v>
      </c>
      <c r="T38" s="19" t="s">
        <v>83</v>
      </c>
    </row>
    <row r="39" spans="1:20" ht="37.5" customHeight="1" x14ac:dyDescent="0.25">
      <c r="A39" s="19" t="s">
        <v>85</v>
      </c>
      <c r="B39">
        <v>32460</v>
      </c>
      <c r="F39">
        <f t="shared" si="4"/>
        <v>585</v>
      </c>
      <c r="G39" s="20">
        <f t="shared" si="7"/>
        <v>6</v>
      </c>
      <c r="H39" s="21">
        <v>11821010007</v>
      </c>
      <c r="I39" s="22" t="s">
        <v>86</v>
      </c>
      <c r="J39" s="23"/>
      <c r="K39" s="24">
        <v>31875</v>
      </c>
      <c r="L39" s="23">
        <f t="shared" si="0"/>
        <v>585</v>
      </c>
      <c r="M39" s="24"/>
      <c r="N39" s="25">
        <f t="shared" si="1"/>
        <v>0</v>
      </c>
      <c r="O39" s="24"/>
      <c r="P39" s="23">
        <f t="shared" si="2"/>
        <v>0</v>
      </c>
      <c r="Q39" s="26"/>
      <c r="R39" s="23">
        <f t="shared" si="3"/>
        <v>0</v>
      </c>
      <c r="S39" s="27" t="s">
        <v>19</v>
      </c>
      <c r="T39" s="19" t="s">
        <v>85</v>
      </c>
    </row>
    <row r="40" spans="1:20" ht="37.5" customHeight="1" x14ac:dyDescent="0.25">
      <c r="A40" s="19" t="s">
        <v>87</v>
      </c>
      <c r="B40">
        <f>C40+D40</f>
        <v>59074</v>
      </c>
      <c r="C40">
        <v>24137</v>
      </c>
      <c r="D40">
        <v>34937</v>
      </c>
      <c r="F40">
        <f t="shared" si="4"/>
        <v>139</v>
      </c>
      <c r="G40" s="20">
        <f t="shared" si="7"/>
        <v>7</v>
      </c>
      <c r="H40" s="21">
        <v>23012010101</v>
      </c>
      <c r="I40" s="22" t="s">
        <v>88</v>
      </c>
      <c r="J40" s="23"/>
      <c r="K40" s="24">
        <v>58935</v>
      </c>
      <c r="L40" s="23">
        <f t="shared" si="0"/>
        <v>139</v>
      </c>
      <c r="M40" s="24">
        <v>24115</v>
      </c>
      <c r="N40" s="25">
        <f t="shared" si="1"/>
        <v>22</v>
      </c>
      <c r="O40" s="24">
        <v>34820</v>
      </c>
      <c r="P40" s="23">
        <f t="shared" si="2"/>
        <v>117</v>
      </c>
      <c r="Q40" s="26"/>
      <c r="R40" s="23">
        <f t="shared" si="3"/>
        <v>0</v>
      </c>
      <c r="S40" s="27" t="s">
        <v>19</v>
      </c>
      <c r="T40" s="19" t="s">
        <v>87</v>
      </c>
    </row>
    <row r="41" spans="1:20" ht="37.5" customHeight="1" x14ac:dyDescent="0.25">
      <c r="A41" s="19" t="s">
        <v>89</v>
      </c>
      <c r="B41">
        <v>14175</v>
      </c>
      <c r="F41">
        <f t="shared" si="4"/>
        <v>350</v>
      </c>
      <c r="G41" s="20">
        <f t="shared" si="7"/>
        <v>8</v>
      </c>
      <c r="H41" s="21">
        <v>11821010008</v>
      </c>
      <c r="I41" s="22" t="s">
        <v>90</v>
      </c>
      <c r="J41" s="23"/>
      <c r="K41" s="24">
        <v>13825</v>
      </c>
      <c r="L41" s="23">
        <f t="shared" si="0"/>
        <v>350</v>
      </c>
      <c r="M41" s="24"/>
      <c r="N41" s="25">
        <f t="shared" si="1"/>
        <v>0</v>
      </c>
      <c r="O41" s="24"/>
      <c r="P41" s="23">
        <f t="shared" si="2"/>
        <v>0</v>
      </c>
      <c r="Q41" s="26"/>
      <c r="R41" s="23">
        <f t="shared" si="3"/>
        <v>0</v>
      </c>
      <c r="S41" s="27" t="s">
        <v>19</v>
      </c>
      <c r="T41" s="19" t="s">
        <v>89</v>
      </c>
    </row>
    <row r="42" spans="1:20" ht="37.5" customHeight="1" x14ac:dyDescent="0.25">
      <c r="A42" s="19" t="s">
        <v>91</v>
      </c>
      <c r="B42">
        <v>5035</v>
      </c>
      <c r="F42">
        <f t="shared" si="4"/>
        <v>45</v>
      </c>
      <c r="G42" s="20">
        <f t="shared" si="7"/>
        <v>9</v>
      </c>
      <c r="H42" s="21">
        <v>11821010009</v>
      </c>
      <c r="I42" s="22" t="s">
        <v>92</v>
      </c>
      <c r="J42" s="23"/>
      <c r="K42" s="24">
        <v>4990</v>
      </c>
      <c r="L42" s="23">
        <f t="shared" si="0"/>
        <v>45</v>
      </c>
      <c r="M42" s="24"/>
      <c r="N42" s="25">
        <f t="shared" si="1"/>
        <v>0</v>
      </c>
      <c r="O42" s="24"/>
      <c r="P42" s="23">
        <f t="shared" si="2"/>
        <v>0</v>
      </c>
      <c r="Q42" s="26"/>
      <c r="R42" s="23">
        <f t="shared" si="3"/>
        <v>0</v>
      </c>
      <c r="S42" s="27" t="s">
        <v>19</v>
      </c>
      <c r="T42" s="19" t="s">
        <v>91</v>
      </c>
    </row>
    <row r="43" spans="1:20" ht="37.5" customHeight="1" x14ac:dyDescent="0.25">
      <c r="A43" s="19" t="s">
        <v>93</v>
      </c>
      <c r="B43">
        <v>20039</v>
      </c>
      <c r="F43">
        <f t="shared" si="4"/>
        <v>378</v>
      </c>
      <c r="G43" s="20">
        <f t="shared" si="7"/>
        <v>10</v>
      </c>
      <c r="H43" s="21">
        <v>11821010010</v>
      </c>
      <c r="I43" s="22" t="s">
        <v>94</v>
      </c>
      <c r="J43" s="23"/>
      <c r="K43" s="24">
        <v>19661</v>
      </c>
      <c r="L43" s="23">
        <f t="shared" si="0"/>
        <v>378</v>
      </c>
      <c r="M43" s="24"/>
      <c r="N43" s="25">
        <f t="shared" si="1"/>
        <v>0</v>
      </c>
      <c r="O43" s="24"/>
      <c r="P43" s="23">
        <f t="shared" si="2"/>
        <v>0</v>
      </c>
      <c r="Q43" s="26"/>
      <c r="R43" s="23">
        <f t="shared" si="3"/>
        <v>0</v>
      </c>
      <c r="S43" s="27" t="s">
        <v>19</v>
      </c>
      <c r="T43" s="19" t="s">
        <v>93</v>
      </c>
    </row>
    <row r="44" spans="1:20" ht="37.5" customHeight="1" x14ac:dyDescent="0.25">
      <c r="A44" s="19" t="s">
        <v>95</v>
      </c>
      <c r="B44">
        <v>45751</v>
      </c>
      <c r="F44">
        <f t="shared" si="4"/>
        <v>754</v>
      </c>
      <c r="G44" s="20">
        <f t="shared" si="7"/>
        <v>11</v>
      </c>
      <c r="H44" s="21">
        <v>11820010050</v>
      </c>
      <c r="I44" s="22" t="s">
        <v>96</v>
      </c>
      <c r="J44" s="23"/>
      <c r="K44" s="24">
        <v>44997</v>
      </c>
      <c r="L44" s="23">
        <f t="shared" si="0"/>
        <v>754</v>
      </c>
      <c r="M44" s="24"/>
      <c r="N44" s="25">
        <f t="shared" si="1"/>
        <v>0</v>
      </c>
      <c r="O44" s="24"/>
      <c r="P44" s="23">
        <f t="shared" si="2"/>
        <v>0</v>
      </c>
      <c r="Q44" s="26"/>
      <c r="R44" s="23">
        <f t="shared" si="3"/>
        <v>0</v>
      </c>
      <c r="S44" s="27" t="s">
        <v>19</v>
      </c>
      <c r="T44" s="19" t="s">
        <v>95</v>
      </c>
    </row>
    <row r="45" spans="1:20" ht="37.5" customHeight="1" x14ac:dyDescent="0.25">
      <c r="A45" s="19" t="s">
        <v>97</v>
      </c>
      <c r="B45">
        <f>C45+D45</f>
        <v>8041</v>
      </c>
      <c r="C45">
        <v>1539</v>
      </c>
      <c r="D45">
        <v>6502</v>
      </c>
      <c r="F45">
        <f t="shared" si="4"/>
        <v>270</v>
      </c>
      <c r="G45" s="20">
        <f t="shared" si="7"/>
        <v>12</v>
      </c>
      <c r="H45" s="21">
        <v>66621090340</v>
      </c>
      <c r="I45" s="22" t="s">
        <v>98</v>
      </c>
      <c r="J45" s="23"/>
      <c r="K45" s="24">
        <v>7771</v>
      </c>
      <c r="L45" s="23">
        <f t="shared" si="0"/>
        <v>270</v>
      </c>
      <c r="M45" s="24">
        <v>1492</v>
      </c>
      <c r="N45" s="25">
        <f t="shared" si="1"/>
        <v>47</v>
      </c>
      <c r="O45" s="24">
        <v>6279</v>
      </c>
      <c r="P45" s="23">
        <f t="shared" si="2"/>
        <v>223</v>
      </c>
      <c r="Q45" s="26"/>
      <c r="R45" s="23">
        <f t="shared" si="3"/>
        <v>0</v>
      </c>
      <c r="S45" s="27" t="s">
        <v>74</v>
      </c>
      <c r="T45" s="19" t="s">
        <v>97</v>
      </c>
    </row>
    <row r="46" spans="1:20" ht="37.5" customHeight="1" x14ac:dyDescent="0.25">
      <c r="A46" s="19" t="s">
        <v>99</v>
      </c>
      <c r="B46">
        <f t="shared" ref="B46:B55" si="8">C46+D46</f>
        <v>49721</v>
      </c>
      <c r="C46">
        <v>9332</v>
      </c>
      <c r="D46">
        <v>40389</v>
      </c>
      <c r="F46">
        <f t="shared" si="4"/>
        <v>279</v>
      </c>
      <c r="G46" s="20">
        <f t="shared" si="7"/>
        <v>13</v>
      </c>
      <c r="H46" s="21">
        <v>23011100163</v>
      </c>
      <c r="I46" s="22" t="s">
        <v>100</v>
      </c>
      <c r="J46" s="23"/>
      <c r="K46" s="24">
        <v>49442</v>
      </c>
      <c r="L46" s="23">
        <f t="shared" si="0"/>
        <v>279</v>
      </c>
      <c r="M46" s="24">
        <v>9282</v>
      </c>
      <c r="N46" s="25">
        <f t="shared" si="1"/>
        <v>50</v>
      </c>
      <c r="O46" s="24">
        <v>40160</v>
      </c>
      <c r="P46" s="23">
        <f t="shared" si="2"/>
        <v>229</v>
      </c>
      <c r="Q46" s="26"/>
      <c r="R46" s="23">
        <f t="shared" si="3"/>
        <v>0</v>
      </c>
      <c r="S46" s="27" t="s">
        <v>74</v>
      </c>
      <c r="T46" s="19" t="s">
        <v>99</v>
      </c>
    </row>
    <row r="47" spans="1:20" ht="37.5" customHeight="1" x14ac:dyDescent="0.25">
      <c r="A47" s="19" t="s">
        <v>101</v>
      </c>
      <c r="B47">
        <f t="shared" si="8"/>
        <v>28574</v>
      </c>
      <c r="C47">
        <v>6682</v>
      </c>
      <c r="D47">
        <v>21892</v>
      </c>
      <c r="F47">
        <f t="shared" si="4"/>
        <v>396</v>
      </c>
      <c r="G47" s="20">
        <f t="shared" si="7"/>
        <v>14</v>
      </c>
      <c r="H47" s="21">
        <v>2301409255</v>
      </c>
      <c r="I47" s="22" t="s">
        <v>102</v>
      </c>
      <c r="J47" s="23"/>
      <c r="K47" s="24">
        <v>28178</v>
      </c>
      <c r="L47" s="23">
        <f t="shared" si="0"/>
        <v>396</v>
      </c>
      <c r="M47" s="24">
        <v>6607</v>
      </c>
      <c r="N47" s="25">
        <f t="shared" si="1"/>
        <v>75</v>
      </c>
      <c r="O47" s="24">
        <v>21571</v>
      </c>
      <c r="P47" s="23">
        <f t="shared" si="2"/>
        <v>321</v>
      </c>
      <c r="Q47" s="26"/>
      <c r="R47" s="23">
        <f t="shared" si="3"/>
        <v>0</v>
      </c>
      <c r="S47" s="27" t="s">
        <v>74</v>
      </c>
      <c r="T47" s="19" t="s">
        <v>101</v>
      </c>
    </row>
    <row r="48" spans="1:20" ht="37.5" customHeight="1" x14ac:dyDescent="0.25">
      <c r="A48" s="19" t="s">
        <v>103</v>
      </c>
      <c r="B48">
        <f t="shared" si="8"/>
        <v>12768</v>
      </c>
      <c r="C48">
        <v>2189</v>
      </c>
      <c r="D48">
        <v>10579</v>
      </c>
      <c r="F48">
        <f t="shared" si="4"/>
        <v>66</v>
      </c>
      <c r="G48" s="20">
        <f t="shared" si="7"/>
        <v>15</v>
      </c>
      <c r="H48" s="21">
        <v>66621070396</v>
      </c>
      <c r="I48" s="22" t="s">
        <v>104</v>
      </c>
      <c r="J48" s="23"/>
      <c r="K48" s="24">
        <v>12702</v>
      </c>
      <c r="L48" s="23">
        <f t="shared" si="0"/>
        <v>66</v>
      </c>
      <c r="M48" s="24">
        <v>2178</v>
      </c>
      <c r="N48" s="25">
        <f t="shared" si="1"/>
        <v>11</v>
      </c>
      <c r="O48" s="24">
        <v>10524</v>
      </c>
      <c r="P48" s="23">
        <f t="shared" si="2"/>
        <v>55</v>
      </c>
      <c r="Q48" s="26"/>
      <c r="R48" s="23">
        <f t="shared" si="3"/>
        <v>0</v>
      </c>
      <c r="S48" s="27" t="s">
        <v>74</v>
      </c>
      <c r="T48" s="19" t="s">
        <v>103</v>
      </c>
    </row>
    <row r="49" spans="1:20" ht="37.5" customHeight="1" x14ac:dyDescent="0.25">
      <c r="A49" s="19" t="s">
        <v>105</v>
      </c>
      <c r="B49">
        <f t="shared" si="8"/>
        <v>36118</v>
      </c>
      <c r="C49">
        <v>11146</v>
      </c>
      <c r="D49">
        <v>24972</v>
      </c>
      <c r="F49">
        <f t="shared" si="4"/>
        <v>119</v>
      </c>
      <c r="G49" s="20">
        <f t="shared" si="7"/>
        <v>16</v>
      </c>
      <c r="H49" s="21">
        <v>23012010095</v>
      </c>
      <c r="I49" s="22" t="s">
        <v>106</v>
      </c>
      <c r="J49" s="23"/>
      <c r="K49" s="24">
        <v>35999</v>
      </c>
      <c r="L49" s="23">
        <f t="shared" si="0"/>
        <v>119</v>
      </c>
      <c r="M49" s="24">
        <v>11126</v>
      </c>
      <c r="N49" s="25">
        <f t="shared" si="1"/>
        <v>20</v>
      </c>
      <c r="O49" s="24">
        <v>24873</v>
      </c>
      <c r="P49" s="23">
        <f t="shared" si="2"/>
        <v>99</v>
      </c>
      <c r="Q49" s="26"/>
      <c r="R49" s="23">
        <f t="shared" si="3"/>
        <v>0</v>
      </c>
      <c r="S49" s="27" t="s">
        <v>74</v>
      </c>
      <c r="T49" s="19" t="s">
        <v>105</v>
      </c>
    </row>
    <row r="50" spans="1:20" ht="37.5" customHeight="1" x14ac:dyDescent="0.25">
      <c r="A50" s="19" t="s">
        <v>107</v>
      </c>
      <c r="B50">
        <f t="shared" si="8"/>
        <v>106971</v>
      </c>
      <c r="C50">
        <v>30724</v>
      </c>
      <c r="D50">
        <v>76247</v>
      </c>
      <c r="F50">
        <f t="shared" si="4"/>
        <v>151</v>
      </c>
      <c r="G50" s="20">
        <f t="shared" si="7"/>
        <v>17</v>
      </c>
      <c r="H50" s="21">
        <v>23011090096</v>
      </c>
      <c r="I50" s="22" t="s">
        <v>108</v>
      </c>
      <c r="J50" s="23"/>
      <c r="K50" s="24">
        <v>106820</v>
      </c>
      <c r="L50" s="23">
        <f t="shared" si="0"/>
        <v>151</v>
      </c>
      <c r="M50" s="24">
        <v>30692</v>
      </c>
      <c r="N50" s="25">
        <f t="shared" si="1"/>
        <v>32</v>
      </c>
      <c r="O50" s="24">
        <v>76128</v>
      </c>
      <c r="P50" s="23">
        <f t="shared" si="2"/>
        <v>119</v>
      </c>
      <c r="Q50" s="26"/>
      <c r="R50" s="23">
        <f t="shared" si="3"/>
        <v>0</v>
      </c>
      <c r="S50" s="27" t="s">
        <v>74</v>
      </c>
      <c r="T50" s="19" t="s">
        <v>107</v>
      </c>
    </row>
    <row r="51" spans="1:20" ht="37.5" customHeight="1" x14ac:dyDescent="0.25">
      <c r="A51" s="19" t="s">
        <v>109</v>
      </c>
      <c r="B51">
        <f t="shared" si="8"/>
        <v>74773</v>
      </c>
      <c r="C51">
        <v>11276</v>
      </c>
      <c r="D51">
        <v>63497</v>
      </c>
      <c r="F51">
        <f t="shared" si="4"/>
        <v>252</v>
      </c>
      <c r="G51" s="20">
        <f t="shared" si="7"/>
        <v>18</v>
      </c>
      <c r="H51" s="21">
        <v>23014040172</v>
      </c>
      <c r="I51" s="22" t="s">
        <v>110</v>
      </c>
      <c r="J51" s="23"/>
      <c r="K51" s="24">
        <v>74521</v>
      </c>
      <c r="L51" s="23">
        <f t="shared" si="0"/>
        <v>252</v>
      </c>
      <c r="M51" s="24">
        <v>11237</v>
      </c>
      <c r="N51" s="25">
        <f t="shared" si="1"/>
        <v>39</v>
      </c>
      <c r="O51" s="24">
        <v>63284</v>
      </c>
      <c r="P51" s="23">
        <f t="shared" si="2"/>
        <v>213</v>
      </c>
      <c r="Q51" s="26"/>
      <c r="R51" s="23">
        <f t="shared" si="3"/>
        <v>0</v>
      </c>
      <c r="S51" s="27" t="s">
        <v>74</v>
      </c>
      <c r="T51" s="19" t="s">
        <v>109</v>
      </c>
    </row>
    <row r="52" spans="1:20" ht="37.5" customHeight="1" x14ac:dyDescent="0.25">
      <c r="A52" s="19" t="s">
        <v>111</v>
      </c>
      <c r="B52">
        <f t="shared" si="8"/>
        <v>76773</v>
      </c>
      <c r="C52">
        <v>14050</v>
      </c>
      <c r="D52">
        <v>62723</v>
      </c>
      <c r="F52">
        <f t="shared" si="4"/>
        <v>43</v>
      </c>
      <c r="G52" s="20">
        <f t="shared" si="7"/>
        <v>19</v>
      </c>
      <c r="H52" s="21">
        <v>23011100160</v>
      </c>
      <c r="I52" s="22" t="s">
        <v>112</v>
      </c>
      <c r="J52" s="23"/>
      <c r="K52" s="24">
        <v>76730</v>
      </c>
      <c r="L52" s="23">
        <f t="shared" si="0"/>
        <v>43</v>
      </c>
      <c r="M52" s="24">
        <v>14043</v>
      </c>
      <c r="N52" s="25">
        <f t="shared" si="1"/>
        <v>7</v>
      </c>
      <c r="O52" s="24">
        <v>62687</v>
      </c>
      <c r="P52" s="23">
        <f t="shared" si="2"/>
        <v>36</v>
      </c>
      <c r="Q52" s="26"/>
      <c r="R52" s="23">
        <f t="shared" si="3"/>
        <v>0</v>
      </c>
      <c r="S52" s="27" t="s">
        <v>74</v>
      </c>
      <c r="T52" s="19" t="s">
        <v>111</v>
      </c>
    </row>
    <row r="53" spans="1:20" ht="37.5" customHeight="1" x14ac:dyDescent="0.25">
      <c r="A53" s="19" t="s">
        <v>113</v>
      </c>
      <c r="B53">
        <f t="shared" si="8"/>
        <v>60321</v>
      </c>
      <c r="C53">
        <v>7075</v>
      </c>
      <c r="D53">
        <v>53246</v>
      </c>
      <c r="F53">
        <f t="shared" si="4"/>
        <v>2021</v>
      </c>
      <c r="G53" s="20">
        <f t="shared" si="7"/>
        <v>20</v>
      </c>
      <c r="H53" s="21">
        <v>66622010577</v>
      </c>
      <c r="I53" s="22" t="s">
        <v>114</v>
      </c>
      <c r="J53" s="23"/>
      <c r="K53" s="24">
        <v>58300</v>
      </c>
      <c r="L53" s="23">
        <f t="shared" si="0"/>
        <v>2021</v>
      </c>
      <c r="M53" s="24">
        <v>6798</v>
      </c>
      <c r="N53" s="25">
        <f t="shared" si="1"/>
        <v>277</v>
      </c>
      <c r="O53" s="24">
        <v>51502</v>
      </c>
      <c r="P53" s="23">
        <f t="shared" si="2"/>
        <v>1744</v>
      </c>
      <c r="Q53" s="26"/>
      <c r="R53" s="23">
        <f t="shared" si="3"/>
        <v>0</v>
      </c>
      <c r="S53" s="27" t="s">
        <v>19</v>
      </c>
      <c r="T53" s="19" t="s">
        <v>113</v>
      </c>
    </row>
    <row r="54" spans="1:20" ht="37.5" customHeight="1" x14ac:dyDescent="0.25">
      <c r="A54" s="19" t="s">
        <v>115</v>
      </c>
      <c r="B54">
        <f t="shared" si="8"/>
        <v>4067</v>
      </c>
      <c r="C54">
        <v>675</v>
      </c>
      <c r="D54">
        <v>3392</v>
      </c>
      <c r="F54">
        <f t="shared" si="4"/>
        <v>91</v>
      </c>
      <c r="G54" s="20">
        <f t="shared" si="7"/>
        <v>21</v>
      </c>
      <c r="H54" s="21">
        <v>52521704284</v>
      </c>
      <c r="I54" s="22" t="s">
        <v>116</v>
      </c>
      <c r="J54" s="23"/>
      <c r="K54" s="24">
        <v>3976</v>
      </c>
      <c r="L54" s="23">
        <f t="shared" si="0"/>
        <v>91</v>
      </c>
      <c r="M54" s="24">
        <v>661</v>
      </c>
      <c r="N54" s="25">
        <f t="shared" si="1"/>
        <v>14</v>
      </c>
      <c r="O54" s="24">
        <v>3315</v>
      </c>
      <c r="P54" s="23">
        <f t="shared" si="2"/>
        <v>77</v>
      </c>
      <c r="Q54" s="26"/>
      <c r="R54" s="23">
        <f t="shared" si="3"/>
        <v>0</v>
      </c>
      <c r="S54" s="27" t="s">
        <v>117</v>
      </c>
      <c r="T54" s="19" t="s">
        <v>115</v>
      </c>
    </row>
    <row r="55" spans="1:20" ht="37.5" customHeight="1" x14ac:dyDescent="0.25">
      <c r="A55" s="19" t="s">
        <v>118</v>
      </c>
      <c r="B55">
        <f t="shared" si="8"/>
        <v>114681</v>
      </c>
      <c r="C55">
        <v>17523</v>
      </c>
      <c r="D55">
        <v>97158</v>
      </c>
      <c r="F55">
        <f t="shared" si="4"/>
        <v>3603</v>
      </c>
      <c r="G55" s="20">
        <f t="shared" si="7"/>
        <v>22</v>
      </c>
      <c r="H55" s="21">
        <v>66621050185</v>
      </c>
      <c r="I55" s="22" t="s">
        <v>119</v>
      </c>
      <c r="J55" s="23"/>
      <c r="K55" s="24">
        <v>111078</v>
      </c>
      <c r="L55" s="23">
        <f t="shared" si="0"/>
        <v>3603</v>
      </c>
      <c r="M55" s="24">
        <v>16893</v>
      </c>
      <c r="N55" s="25">
        <f t="shared" si="1"/>
        <v>630</v>
      </c>
      <c r="O55" s="24">
        <v>94185</v>
      </c>
      <c r="P55" s="23">
        <f t="shared" si="2"/>
        <v>2973</v>
      </c>
      <c r="Q55" s="26"/>
      <c r="R55" s="23">
        <f t="shared" si="3"/>
        <v>0</v>
      </c>
      <c r="S55" s="27" t="s">
        <v>19</v>
      </c>
      <c r="T55" s="19" t="s">
        <v>118</v>
      </c>
    </row>
    <row r="56" spans="1:20" ht="37.5" customHeight="1" x14ac:dyDescent="0.25">
      <c r="A56" s="19"/>
      <c r="G56" s="20"/>
      <c r="H56" s="21"/>
      <c r="I56" s="22"/>
      <c r="J56" s="23"/>
      <c r="K56" s="26"/>
      <c r="L56" s="23"/>
      <c r="M56" s="26"/>
      <c r="N56" s="28"/>
      <c r="O56" s="26"/>
      <c r="P56" s="23"/>
      <c r="Q56" s="29"/>
      <c r="R56" s="30"/>
      <c r="S56" s="27"/>
      <c r="T56" s="19"/>
    </row>
    <row r="57" spans="1:20" ht="37.5" customHeight="1" x14ac:dyDescent="0.25">
      <c r="A57" s="19"/>
      <c r="G57" s="20"/>
      <c r="H57" s="21"/>
      <c r="I57" s="22"/>
      <c r="J57" s="23"/>
      <c r="K57" s="26"/>
      <c r="L57" s="23"/>
      <c r="M57" s="26"/>
      <c r="N57" s="28"/>
      <c r="O57" s="26"/>
      <c r="P57" s="23"/>
      <c r="Q57" s="29"/>
      <c r="R57" s="30"/>
      <c r="S57" s="27"/>
      <c r="T57" s="19"/>
    </row>
    <row r="58" spans="1:20" ht="37.5" customHeight="1" x14ac:dyDescent="0.25">
      <c r="A58" s="19"/>
      <c r="G58" s="20"/>
      <c r="H58" s="21"/>
      <c r="I58" s="22"/>
      <c r="J58" s="23"/>
      <c r="K58" s="26"/>
      <c r="L58" s="23"/>
      <c r="M58" s="26"/>
      <c r="N58" s="28"/>
      <c r="O58" s="26"/>
      <c r="P58" s="23"/>
      <c r="Q58" s="29"/>
      <c r="R58" s="30"/>
      <c r="S58" s="27"/>
      <c r="T58" s="19"/>
    </row>
    <row r="59" spans="1:20" ht="37.5" customHeight="1" x14ac:dyDescent="0.25">
      <c r="A59" s="19"/>
      <c r="G59" s="20"/>
      <c r="H59" s="21"/>
      <c r="I59" s="22"/>
      <c r="J59" s="23"/>
      <c r="K59" s="26"/>
      <c r="L59" s="23"/>
      <c r="M59" s="26"/>
      <c r="N59" s="28"/>
      <c r="O59" s="26"/>
      <c r="P59" s="23"/>
      <c r="Q59" s="29"/>
      <c r="R59" s="30"/>
      <c r="S59" s="27"/>
      <c r="T59" s="19"/>
    </row>
    <row r="60" spans="1:20" ht="37.5" customHeight="1" x14ac:dyDescent="0.25">
      <c r="A60" s="19"/>
      <c r="G60" s="20"/>
      <c r="H60" s="21"/>
      <c r="I60" s="22"/>
      <c r="J60" s="23"/>
      <c r="K60" s="26"/>
      <c r="L60" s="23"/>
      <c r="M60" s="26"/>
      <c r="N60" s="28"/>
      <c r="O60" s="26"/>
      <c r="P60" s="23"/>
      <c r="Q60" s="29"/>
      <c r="R60" s="30"/>
      <c r="S60" s="27"/>
      <c r="T60" s="19"/>
    </row>
    <row r="61" spans="1:20" ht="37.5" customHeight="1" x14ac:dyDescent="0.25">
      <c r="A61" s="19"/>
      <c r="G61" s="20"/>
      <c r="H61" s="21"/>
      <c r="I61" s="22"/>
      <c r="J61" s="23"/>
      <c r="K61" s="26"/>
      <c r="L61" s="23"/>
      <c r="M61" s="26"/>
      <c r="N61" s="28"/>
      <c r="O61" s="26"/>
      <c r="P61" s="23"/>
      <c r="Q61" s="29"/>
      <c r="R61" s="30"/>
      <c r="S61" s="27"/>
      <c r="T61" s="19"/>
    </row>
    <row r="62" spans="1:20" ht="37.5" customHeight="1" x14ac:dyDescent="0.25">
      <c r="A62" s="19"/>
      <c r="G62" s="20"/>
      <c r="H62" s="21"/>
      <c r="I62" s="22"/>
      <c r="J62" s="23"/>
      <c r="K62" s="26"/>
      <c r="L62" s="23"/>
      <c r="M62" s="26"/>
      <c r="N62" s="28"/>
      <c r="O62" s="26"/>
      <c r="P62" s="23"/>
      <c r="Q62" s="29"/>
      <c r="R62" s="30"/>
      <c r="S62" s="27"/>
      <c r="T62" s="19"/>
    </row>
    <row r="63" spans="1:20" ht="37.5" customHeight="1" x14ac:dyDescent="0.25">
      <c r="A63" s="19"/>
      <c r="G63" s="20"/>
      <c r="H63" s="21"/>
      <c r="I63" s="22"/>
      <c r="J63" s="23"/>
      <c r="K63" s="26"/>
      <c r="L63" s="23"/>
      <c r="M63" s="26"/>
      <c r="N63" s="28"/>
      <c r="O63" s="26"/>
      <c r="P63" s="23"/>
      <c r="Q63" s="29"/>
      <c r="R63" s="30"/>
      <c r="S63" s="27"/>
      <c r="T63" s="19"/>
    </row>
    <row r="64" spans="1:20" ht="37.5" customHeight="1" x14ac:dyDescent="0.25">
      <c r="A64" s="19"/>
      <c r="G64" s="20"/>
      <c r="H64" s="21"/>
      <c r="I64" s="22"/>
      <c r="J64" s="23"/>
      <c r="K64" s="26"/>
      <c r="L64" s="23"/>
      <c r="M64" s="26"/>
      <c r="N64" s="28"/>
      <c r="O64" s="26"/>
      <c r="P64" s="23"/>
      <c r="Q64" s="29"/>
      <c r="R64" s="30"/>
      <c r="S64" s="27"/>
      <c r="T64" s="19"/>
    </row>
    <row r="65" spans="1:20" ht="37.5" customHeight="1" x14ac:dyDescent="0.25">
      <c r="A65" s="19"/>
      <c r="G65" s="20"/>
      <c r="H65" s="21"/>
      <c r="I65" s="22"/>
      <c r="J65" s="23"/>
      <c r="K65" s="26"/>
      <c r="L65" s="23"/>
      <c r="M65" s="26"/>
      <c r="N65" s="28"/>
      <c r="O65" s="26"/>
      <c r="P65" s="23"/>
      <c r="Q65" s="29"/>
      <c r="R65" s="30"/>
      <c r="S65" s="27"/>
      <c r="T65" s="19"/>
    </row>
    <row r="66" spans="1:20" ht="37.5" customHeight="1" x14ac:dyDescent="0.25">
      <c r="A66" s="19"/>
      <c r="G66" s="20"/>
      <c r="H66" s="21"/>
      <c r="I66" s="22"/>
      <c r="J66" s="23"/>
      <c r="K66" s="26"/>
      <c r="L66" s="23"/>
      <c r="M66" s="26"/>
      <c r="N66" s="28"/>
      <c r="O66" s="26"/>
      <c r="P66" s="23"/>
      <c r="Q66" s="29"/>
      <c r="R66" s="30"/>
      <c r="S66" s="27"/>
      <c r="T66" s="19"/>
    </row>
    <row r="67" spans="1:20" ht="37.5" customHeight="1" x14ac:dyDescent="0.25">
      <c r="A67" s="19"/>
      <c r="G67" s="20"/>
      <c r="H67" s="21"/>
      <c r="I67" s="22"/>
      <c r="J67" s="23"/>
      <c r="K67" s="26"/>
      <c r="L67" s="23"/>
      <c r="M67" s="26"/>
      <c r="N67" s="28"/>
      <c r="O67" s="26"/>
      <c r="P67" s="23"/>
      <c r="Q67" s="29"/>
      <c r="R67" s="30"/>
      <c r="S67" s="27"/>
      <c r="T67" s="19"/>
    </row>
    <row r="68" spans="1:20" ht="37.5" customHeight="1" x14ac:dyDescent="0.25">
      <c r="A68" s="19"/>
      <c r="G68" s="20"/>
      <c r="H68" s="21"/>
      <c r="I68" s="22"/>
      <c r="J68" s="23"/>
      <c r="K68" s="26"/>
      <c r="L68" s="23"/>
      <c r="M68" s="26"/>
      <c r="N68" s="28"/>
      <c r="O68" s="26"/>
      <c r="P68" s="23"/>
      <c r="Q68" s="29"/>
      <c r="R68" s="30"/>
      <c r="S68" s="27"/>
      <c r="T68" s="19"/>
    </row>
    <row r="69" spans="1:20" ht="37.5" customHeight="1" x14ac:dyDescent="0.25">
      <c r="A69" s="19"/>
      <c r="G69" s="20"/>
      <c r="H69" s="21"/>
      <c r="I69" s="22"/>
      <c r="J69" s="23"/>
      <c r="K69" s="26"/>
      <c r="L69" s="23"/>
      <c r="M69" s="26"/>
      <c r="N69" s="28"/>
      <c r="O69" s="26"/>
      <c r="P69" s="23"/>
      <c r="Q69" s="29"/>
      <c r="R69" s="30"/>
      <c r="S69" s="27"/>
      <c r="T69" s="19"/>
    </row>
    <row r="70" spans="1:20" ht="37.5" customHeight="1" x14ac:dyDescent="0.25">
      <c r="A70" s="19"/>
      <c r="G70" s="20"/>
      <c r="H70" s="21"/>
      <c r="I70" s="22"/>
      <c r="J70" s="23"/>
      <c r="K70" s="26"/>
      <c r="L70" s="23"/>
      <c r="M70" s="26"/>
      <c r="N70" s="28"/>
      <c r="O70" s="26"/>
      <c r="P70" s="23"/>
      <c r="Q70" s="29"/>
      <c r="R70" s="30"/>
      <c r="S70" s="27"/>
      <c r="T70" s="19"/>
    </row>
    <row r="71" spans="1:20" ht="37.5" customHeight="1" x14ac:dyDescent="0.25">
      <c r="A71" s="19"/>
      <c r="G71" s="20"/>
      <c r="H71" s="21"/>
      <c r="I71" s="22"/>
      <c r="J71" s="23"/>
      <c r="K71" s="26"/>
      <c r="L71" s="23"/>
      <c r="M71" s="26"/>
      <c r="N71" s="28"/>
      <c r="O71" s="26"/>
      <c r="P71" s="23"/>
      <c r="Q71" s="29"/>
      <c r="R71" s="30"/>
      <c r="S71" s="27"/>
      <c r="T71" s="19"/>
    </row>
    <row r="72" spans="1:20" ht="37.5" customHeight="1" x14ac:dyDescent="0.25">
      <c r="A72" s="19"/>
      <c r="G72" s="20"/>
      <c r="H72" s="21"/>
      <c r="I72" s="22"/>
      <c r="J72" s="23"/>
      <c r="K72" s="26"/>
      <c r="L72" s="23"/>
      <c r="M72" s="26"/>
      <c r="N72" s="28"/>
      <c r="O72" s="26"/>
      <c r="P72" s="23"/>
      <c r="Q72" s="29"/>
      <c r="R72" s="30"/>
      <c r="S72" s="27"/>
      <c r="T72" s="19"/>
    </row>
    <row r="73" spans="1:20" ht="37.5" customHeight="1" x14ac:dyDescent="0.25">
      <c r="A73" s="19"/>
      <c r="G73" s="20"/>
      <c r="H73" s="21"/>
      <c r="I73" s="22"/>
      <c r="J73" s="23"/>
      <c r="K73" s="26"/>
      <c r="L73" s="23"/>
      <c r="M73" s="26"/>
      <c r="N73" s="28"/>
      <c r="O73" s="26"/>
      <c r="P73" s="23"/>
      <c r="Q73" s="29"/>
      <c r="R73" s="30"/>
      <c r="S73" s="27"/>
      <c r="T73" s="19"/>
    </row>
    <row r="74" spans="1:20" ht="37.5" customHeight="1" x14ac:dyDescent="0.25">
      <c r="A74" s="19"/>
      <c r="G74" s="20"/>
      <c r="H74" s="21"/>
      <c r="I74" s="22"/>
      <c r="J74" s="23"/>
      <c r="K74" s="26"/>
      <c r="L74" s="23"/>
      <c r="M74" s="26"/>
      <c r="N74" s="28"/>
      <c r="O74" s="26"/>
      <c r="P74" s="23"/>
      <c r="Q74" s="29"/>
      <c r="R74" s="30"/>
      <c r="S74" s="27"/>
      <c r="T74" s="19"/>
    </row>
    <row r="75" spans="1:20" ht="37.5" customHeight="1" x14ac:dyDescent="0.25">
      <c r="A75" s="19"/>
      <c r="G75" s="20"/>
      <c r="H75" s="21"/>
      <c r="I75" s="22"/>
      <c r="J75" s="23"/>
      <c r="K75" s="26"/>
      <c r="L75" s="23"/>
      <c r="M75" s="26"/>
      <c r="N75" s="28"/>
      <c r="O75" s="26"/>
      <c r="P75" s="23"/>
      <c r="Q75" s="29"/>
      <c r="R75" s="30"/>
      <c r="S75" s="27"/>
      <c r="T75" s="19"/>
    </row>
    <row r="76" spans="1:20" ht="37.5" customHeight="1" x14ac:dyDescent="0.25">
      <c r="A76" s="19"/>
      <c r="G76" s="20"/>
      <c r="H76" s="21"/>
      <c r="I76" s="22"/>
      <c r="J76" s="23"/>
      <c r="K76" s="26"/>
      <c r="L76" s="23"/>
      <c r="M76" s="26"/>
      <c r="N76" s="28"/>
      <c r="O76" s="26"/>
      <c r="P76" s="23"/>
      <c r="Q76" s="29"/>
      <c r="R76" s="30"/>
      <c r="S76" s="27"/>
      <c r="T76" s="19"/>
    </row>
    <row r="77" spans="1:20" ht="37.5" customHeight="1" x14ac:dyDescent="0.25">
      <c r="A77" s="19"/>
      <c r="G77" s="20"/>
      <c r="H77" s="21"/>
      <c r="I77" s="22"/>
      <c r="J77" s="23"/>
      <c r="K77" s="26"/>
      <c r="L77" s="23"/>
      <c r="M77" s="26"/>
      <c r="N77" s="28"/>
      <c r="O77" s="26"/>
      <c r="P77" s="23"/>
      <c r="Q77" s="29"/>
      <c r="R77" s="30"/>
      <c r="S77" s="27"/>
      <c r="T77" s="19"/>
    </row>
    <row r="78" spans="1:20" ht="37.5" customHeight="1" x14ac:dyDescent="0.25">
      <c r="A78" s="19"/>
      <c r="G78" s="20"/>
      <c r="H78" s="21"/>
      <c r="I78" s="22"/>
      <c r="J78" s="23"/>
      <c r="K78" s="26"/>
      <c r="L78" s="23"/>
      <c r="M78" s="26"/>
      <c r="N78" s="28"/>
      <c r="O78" s="26"/>
      <c r="P78" s="23"/>
      <c r="Q78" s="29"/>
      <c r="R78" s="30"/>
      <c r="S78" s="27"/>
      <c r="T78" s="19"/>
    </row>
    <row r="79" spans="1:20" ht="37.5" customHeight="1" x14ac:dyDescent="0.25">
      <c r="A79" s="19"/>
      <c r="G79" s="20"/>
      <c r="H79" s="21"/>
      <c r="I79" s="22"/>
      <c r="J79" s="23"/>
      <c r="K79" s="26"/>
      <c r="L79" s="23"/>
      <c r="M79" s="26"/>
      <c r="N79" s="28"/>
      <c r="O79" s="26"/>
      <c r="P79" s="23"/>
      <c r="Q79" s="29"/>
      <c r="R79" s="30"/>
      <c r="S79" s="27"/>
      <c r="T79" s="19"/>
    </row>
    <row r="80" spans="1:20" ht="37.5" customHeight="1" x14ac:dyDescent="0.25">
      <c r="A80" s="19"/>
      <c r="G80" s="20"/>
      <c r="H80" s="21"/>
      <c r="I80" s="22"/>
      <c r="J80" s="23"/>
      <c r="K80" s="26"/>
      <c r="L80" s="23"/>
      <c r="M80" s="26"/>
      <c r="N80" s="28"/>
      <c r="O80" s="26"/>
      <c r="P80" s="23"/>
      <c r="Q80" s="29"/>
      <c r="R80" s="30"/>
      <c r="S80" s="27"/>
      <c r="T80" s="19"/>
    </row>
    <row r="81" spans="1:20" ht="37.5" customHeight="1" x14ac:dyDescent="0.25">
      <c r="A81" s="19"/>
      <c r="G81" s="20"/>
      <c r="H81" s="21"/>
      <c r="I81" s="22"/>
      <c r="J81" s="23"/>
      <c r="K81" s="26"/>
      <c r="L81" s="23"/>
      <c r="M81" s="26"/>
      <c r="N81" s="28"/>
      <c r="O81" s="26"/>
      <c r="P81" s="23"/>
      <c r="Q81" s="29"/>
      <c r="R81" s="30"/>
      <c r="S81" s="27"/>
      <c r="T81" s="19"/>
    </row>
    <row r="82" spans="1:20" ht="37.5" customHeight="1" x14ac:dyDescent="0.25">
      <c r="A82" s="19"/>
      <c r="G82" s="20"/>
      <c r="H82" s="21"/>
      <c r="I82" s="22"/>
      <c r="J82" s="23"/>
      <c r="K82" s="26"/>
      <c r="L82" s="23"/>
      <c r="M82" s="26"/>
      <c r="N82" s="28"/>
      <c r="O82" s="26"/>
      <c r="P82" s="23"/>
      <c r="Q82" s="29"/>
      <c r="R82" s="30"/>
      <c r="S82" s="27"/>
      <c r="T82" s="19"/>
    </row>
    <row r="83" spans="1:20" ht="37.5" customHeight="1" x14ac:dyDescent="0.25">
      <c r="A83" s="19"/>
      <c r="G83" s="20"/>
      <c r="H83" s="21"/>
      <c r="I83" s="22"/>
      <c r="J83" s="23"/>
      <c r="K83" s="26"/>
      <c r="L83" s="23"/>
      <c r="M83" s="26"/>
      <c r="N83" s="28"/>
      <c r="O83" s="26"/>
      <c r="P83" s="23"/>
      <c r="Q83" s="29"/>
      <c r="R83" s="30"/>
      <c r="S83" s="27"/>
      <c r="T83" s="19"/>
    </row>
    <row r="84" spans="1:20" ht="37.5" customHeight="1" x14ac:dyDescent="0.25">
      <c r="A84" s="19"/>
      <c r="G84" s="20"/>
      <c r="H84" s="21"/>
      <c r="I84" s="22"/>
      <c r="J84" s="23"/>
      <c r="K84" s="26"/>
      <c r="L84" s="23"/>
      <c r="M84" s="26"/>
      <c r="N84" s="28"/>
      <c r="O84" s="26"/>
      <c r="P84" s="23"/>
      <c r="Q84" s="29"/>
      <c r="R84" s="30"/>
      <c r="S84" s="27"/>
      <c r="T84" s="19"/>
    </row>
    <row r="85" spans="1:20" ht="37.5" customHeight="1" x14ac:dyDescent="0.25">
      <c r="A85" s="19"/>
      <c r="G85" s="20"/>
      <c r="H85" s="21"/>
      <c r="I85" s="22"/>
      <c r="J85" s="23"/>
      <c r="K85" s="26"/>
      <c r="L85" s="23"/>
      <c r="M85" s="26"/>
      <c r="N85" s="28"/>
      <c r="O85" s="26"/>
      <c r="P85" s="23"/>
      <c r="Q85" s="29"/>
      <c r="R85" s="30"/>
      <c r="S85" s="27"/>
      <c r="T85" s="19"/>
    </row>
    <row r="86" spans="1:20" ht="37.5" customHeight="1" x14ac:dyDescent="0.25">
      <c r="A86" s="19"/>
      <c r="G86" s="20"/>
      <c r="H86" s="21"/>
      <c r="I86" s="22"/>
      <c r="J86" s="23"/>
      <c r="K86" s="26"/>
      <c r="L86" s="23"/>
      <c r="M86" s="26"/>
      <c r="N86" s="28"/>
      <c r="O86" s="26"/>
      <c r="P86" s="23"/>
      <c r="Q86" s="29"/>
      <c r="R86" s="30"/>
      <c r="S86" s="27"/>
      <c r="T86" s="19"/>
    </row>
    <row r="87" spans="1:20" ht="37.5" customHeight="1" x14ac:dyDescent="0.25">
      <c r="A87" s="19"/>
      <c r="G87" s="20"/>
      <c r="H87" s="21"/>
      <c r="I87" s="22"/>
      <c r="J87" s="23"/>
      <c r="K87" s="26"/>
      <c r="L87" s="23"/>
      <c r="M87" s="26"/>
      <c r="N87" s="28"/>
      <c r="O87" s="26"/>
      <c r="P87" s="23"/>
      <c r="Q87" s="29"/>
      <c r="R87" s="30"/>
      <c r="S87" s="27"/>
      <c r="T87" s="19"/>
    </row>
    <row r="88" spans="1:20" ht="37.5" customHeight="1" x14ac:dyDescent="0.25">
      <c r="A88" s="19"/>
      <c r="G88" s="20"/>
      <c r="H88" s="21"/>
      <c r="I88" s="22"/>
      <c r="J88" s="23"/>
      <c r="K88" s="26"/>
      <c r="L88" s="23"/>
      <c r="M88" s="26"/>
      <c r="N88" s="28"/>
      <c r="O88" s="26"/>
      <c r="P88" s="23"/>
      <c r="Q88" s="29"/>
      <c r="R88" s="30"/>
      <c r="S88" s="27"/>
      <c r="T88" s="19"/>
    </row>
    <row r="89" spans="1:20" ht="37.5" customHeight="1" x14ac:dyDescent="0.25">
      <c r="A89" s="19"/>
      <c r="G89" s="20"/>
      <c r="H89" s="21"/>
      <c r="I89" s="22"/>
      <c r="J89" s="23"/>
      <c r="K89" s="26"/>
      <c r="L89" s="23"/>
      <c r="M89" s="26"/>
      <c r="N89" s="28"/>
      <c r="O89" s="26"/>
      <c r="P89" s="23"/>
      <c r="Q89" s="29"/>
      <c r="R89" s="30"/>
      <c r="S89" s="27"/>
      <c r="T89" s="19"/>
    </row>
    <row r="90" spans="1:20" ht="37.5" customHeight="1" x14ac:dyDescent="0.25">
      <c r="A90" s="19"/>
      <c r="G90" s="20"/>
      <c r="H90" s="21"/>
      <c r="I90" s="22"/>
      <c r="J90" s="23"/>
      <c r="K90" s="26"/>
      <c r="L90" s="23"/>
      <c r="M90" s="26"/>
      <c r="N90" s="28"/>
      <c r="O90" s="26"/>
      <c r="P90" s="23"/>
      <c r="Q90" s="29"/>
      <c r="R90" s="30"/>
      <c r="S90" s="27"/>
      <c r="T90" s="19"/>
    </row>
    <row r="91" spans="1:20" ht="37.5" customHeight="1" x14ac:dyDescent="0.25">
      <c r="A91" s="19"/>
      <c r="G91" s="20"/>
      <c r="H91" s="21"/>
      <c r="I91" s="22"/>
      <c r="J91" s="23"/>
      <c r="K91" s="26"/>
      <c r="L91" s="23"/>
      <c r="M91" s="26"/>
      <c r="N91" s="28"/>
      <c r="O91" s="26"/>
      <c r="P91" s="23"/>
      <c r="Q91" s="29"/>
      <c r="R91" s="30"/>
      <c r="S91" s="27"/>
      <c r="T91" s="19"/>
    </row>
    <row r="92" spans="1:20" ht="37.5" customHeight="1" x14ac:dyDescent="0.25">
      <c r="A92" s="19"/>
      <c r="G92" s="20"/>
      <c r="H92" s="21"/>
      <c r="I92" s="22"/>
      <c r="J92" s="23"/>
      <c r="K92" s="26"/>
      <c r="L92" s="23"/>
      <c r="M92" s="26"/>
      <c r="N92" s="28"/>
      <c r="O92" s="26"/>
      <c r="P92" s="23"/>
      <c r="Q92" s="29"/>
      <c r="R92" s="30"/>
      <c r="S92" s="27"/>
      <c r="T92" s="19"/>
    </row>
    <row r="93" spans="1:20" ht="37.5" customHeight="1" x14ac:dyDescent="0.25">
      <c r="A93" s="19"/>
      <c r="G93" s="20"/>
      <c r="H93" s="21"/>
      <c r="I93" s="22"/>
      <c r="J93" s="23"/>
      <c r="K93" s="26"/>
      <c r="L93" s="23"/>
      <c r="M93" s="26"/>
      <c r="N93" s="28"/>
      <c r="O93" s="26"/>
      <c r="P93" s="23"/>
      <c r="Q93" s="29"/>
      <c r="R93" s="30"/>
      <c r="S93" s="27"/>
      <c r="T93" s="19"/>
    </row>
    <row r="94" spans="1:20" ht="37.5" customHeight="1" x14ac:dyDescent="0.25">
      <c r="A94" s="19"/>
      <c r="G94" s="20"/>
      <c r="H94" s="21"/>
      <c r="I94" s="22"/>
      <c r="J94" s="23"/>
      <c r="K94" s="26"/>
      <c r="L94" s="23"/>
      <c r="M94" s="26"/>
      <c r="N94" s="28"/>
      <c r="O94" s="26"/>
      <c r="P94" s="23"/>
      <c r="Q94" s="29"/>
      <c r="R94" s="30"/>
      <c r="S94" s="27"/>
      <c r="T94" s="19"/>
    </row>
    <row r="95" spans="1:20" ht="37.5" customHeight="1" x14ac:dyDescent="0.25">
      <c r="A95" s="19"/>
      <c r="G95" s="20"/>
      <c r="H95" s="21"/>
      <c r="I95" s="22"/>
      <c r="J95" s="23"/>
      <c r="K95" s="26"/>
      <c r="L95" s="23"/>
      <c r="M95" s="26"/>
      <c r="N95" s="28"/>
      <c r="O95" s="26"/>
      <c r="P95" s="23"/>
      <c r="Q95" s="29"/>
      <c r="R95" s="30"/>
      <c r="S95" s="27"/>
      <c r="T95" s="19"/>
    </row>
    <row r="96" spans="1:20" ht="37.5" customHeight="1" x14ac:dyDescent="0.25">
      <c r="A96" s="19"/>
      <c r="G96" s="20"/>
      <c r="H96" s="21"/>
      <c r="I96" s="22"/>
      <c r="J96" s="23"/>
      <c r="K96" s="26"/>
      <c r="L96" s="23"/>
      <c r="M96" s="26"/>
      <c r="N96" s="28"/>
      <c r="O96" s="26"/>
      <c r="P96" s="23"/>
      <c r="Q96" s="29"/>
      <c r="R96" s="30"/>
      <c r="S96" s="27"/>
      <c r="T96" s="19"/>
    </row>
    <row r="97" spans="1:20" ht="37.5" customHeight="1" x14ac:dyDescent="0.25">
      <c r="A97" s="19"/>
      <c r="G97" s="20"/>
      <c r="H97" s="21"/>
      <c r="I97" s="22"/>
      <c r="J97" s="23"/>
      <c r="K97" s="26"/>
      <c r="L97" s="23"/>
      <c r="M97" s="26"/>
      <c r="N97" s="28"/>
      <c r="O97" s="26"/>
      <c r="P97" s="23"/>
      <c r="Q97" s="29"/>
      <c r="R97" s="30"/>
      <c r="S97" s="27"/>
      <c r="T97" s="19"/>
    </row>
    <row r="98" spans="1:20" ht="37.5" customHeight="1" x14ac:dyDescent="0.25">
      <c r="A98" s="19"/>
      <c r="G98" s="20"/>
      <c r="H98" s="21"/>
      <c r="I98" s="22"/>
      <c r="J98" s="23"/>
      <c r="K98" s="26"/>
      <c r="L98" s="23"/>
      <c r="M98" s="26"/>
      <c r="N98" s="28"/>
      <c r="O98" s="26"/>
      <c r="P98" s="23"/>
      <c r="Q98" s="29"/>
      <c r="R98" s="30"/>
      <c r="S98" s="27"/>
      <c r="T98" s="19"/>
    </row>
    <row r="99" spans="1:20" ht="37.5" customHeight="1" x14ac:dyDescent="0.25">
      <c r="A99" s="19"/>
      <c r="G99" s="20"/>
      <c r="H99" s="21"/>
      <c r="I99" s="22"/>
      <c r="J99" s="23"/>
      <c r="K99" s="26"/>
      <c r="L99" s="23"/>
      <c r="M99" s="26"/>
      <c r="N99" s="28"/>
      <c r="O99" s="26"/>
      <c r="P99" s="23"/>
      <c r="Q99" s="29"/>
      <c r="R99" s="30"/>
      <c r="S99" s="27"/>
      <c r="T99" s="19"/>
    </row>
    <row r="100" spans="1:20" ht="37.5" customHeight="1" x14ac:dyDescent="0.25">
      <c r="A100" s="19"/>
      <c r="G100" s="20"/>
      <c r="H100" s="21"/>
      <c r="I100" s="22"/>
      <c r="J100" s="23"/>
      <c r="K100" s="26"/>
      <c r="L100" s="23"/>
      <c r="M100" s="26"/>
      <c r="N100" s="28"/>
      <c r="O100" s="26"/>
      <c r="P100" s="23"/>
      <c r="Q100" s="29"/>
      <c r="R100" s="30"/>
      <c r="S100" s="27"/>
      <c r="T100" s="19"/>
    </row>
    <row r="101" spans="1:20" ht="37.5" customHeight="1" x14ac:dyDescent="0.25">
      <c r="A101" s="19"/>
      <c r="G101" s="20"/>
      <c r="H101" s="21"/>
      <c r="I101" s="22"/>
      <c r="J101" s="23"/>
      <c r="K101" s="26"/>
      <c r="L101" s="23"/>
      <c r="M101" s="26"/>
      <c r="N101" s="28"/>
      <c r="O101" s="26"/>
      <c r="P101" s="23"/>
      <c r="Q101" s="29"/>
      <c r="R101" s="30"/>
      <c r="S101" s="27"/>
      <c r="T101" s="19"/>
    </row>
    <row r="102" spans="1:20" ht="37.5" customHeight="1" x14ac:dyDescent="0.25">
      <c r="A102" s="19"/>
      <c r="G102" s="20"/>
      <c r="H102" s="21"/>
      <c r="I102" s="22"/>
      <c r="J102" s="23"/>
      <c r="K102" s="26"/>
      <c r="L102" s="23"/>
      <c r="M102" s="26"/>
      <c r="N102" s="28"/>
      <c r="O102" s="26"/>
      <c r="P102" s="23"/>
      <c r="Q102" s="29"/>
      <c r="R102" s="30"/>
      <c r="S102" s="27"/>
      <c r="T102" s="19"/>
    </row>
    <row r="103" spans="1:20" ht="37.5" customHeight="1" x14ac:dyDescent="0.25">
      <c r="A103" s="19"/>
      <c r="G103" s="20"/>
      <c r="H103" s="21"/>
      <c r="I103" s="22"/>
      <c r="J103" s="23"/>
      <c r="K103" s="26"/>
      <c r="L103" s="23"/>
      <c r="M103" s="26"/>
      <c r="N103" s="28"/>
      <c r="O103" s="26"/>
      <c r="P103" s="23"/>
      <c r="Q103" s="29"/>
      <c r="R103" s="30"/>
      <c r="S103" s="27"/>
      <c r="T103" s="19"/>
    </row>
    <row r="104" spans="1:20" ht="37.5" customHeight="1" x14ac:dyDescent="0.25">
      <c r="A104" s="19"/>
      <c r="G104" s="20"/>
      <c r="H104" s="21"/>
      <c r="I104" s="22"/>
      <c r="J104" s="23"/>
      <c r="K104" s="26"/>
      <c r="L104" s="23"/>
      <c r="M104" s="26"/>
      <c r="N104" s="28"/>
      <c r="O104" s="26"/>
      <c r="P104" s="23"/>
      <c r="Q104" s="29"/>
      <c r="R104" s="30"/>
      <c r="S104" s="27"/>
      <c r="T104" s="19"/>
    </row>
    <row r="105" spans="1:20" ht="37.5" customHeight="1" x14ac:dyDescent="0.25">
      <c r="A105" s="19"/>
      <c r="G105" s="20"/>
      <c r="H105" s="21"/>
      <c r="I105" s="22"/>
      <c r="J105" s="23"/>
      <c r="K105" s="26"/>
      <c r="L105" s="23"/>
      <c r="M105" s="26"/>
      <c r="N105" s="28"/>
      <c r="O105" s="26"/>
      <c r="P105" s="23"/>
      <c r="Q105" s="29"/>
      <c r="R105" s="30"/>
      <c r="S105" s="27"/>
      <c r="T105" s="19"/>
    </row>
    <row r="106" spans="1:20" ht="37.5" customHeight="1" x14ac:dyDescent="0.25">
      <c r="A106" s="19"/>
      <c r="G106" s="20"/>
      <c r="H106" s="21"/>
      <c r="I106" s="22"/>
      <c r="J106" s="23"/>
      <c r="K106" s="26"/>
      <c r="L106" s="23"/>
      <c r="M106" s="26"/>
      <c r="N106" s="28"/>
      <c r="O106" s="26"/>
      <c r="P106" s="23"/>
      <c r="Q106" s="29"/>
      <c r="R106" s="30"/>
      <c r="S106" s="27"/>
      <c r="T106" s="19"/>
    </row>
    <row r="107" spans="1:20" ht="37.5" customHeight="1" x14ac:dyDescent="0.25">
      <c r="A107" s="19"/>
      <c r="G107" s="20"/>
      <c r="H107" s="21"/>
      <c r="I107" s="22"/>
      <c r="J107" s="23"/>
      <c r="K107" s="26"/>
      <c r="L107" s="23"/>
      <c r="M107" s="26"/>
      <c r="N107" s="28"/>
      <c r="O107" s="26"/>
      <c r="P107" s="23"/>
      <c r="Q107" s="29"/>
      <c r="R107" s="30"/>
      <c r="S107" s="27"/>
      <c r="T107" s="19"/>
    </row>
    <row r="108" spans="1:20" ht="37.5" customHeight="1" x14ac:dyDescent="0.25">
      <c r="A108" s="19"/>
      <c r="G108" s="20"/>
      <c r="H108" s="21"/>
      <c r="I108" s="22"/>
      <c r="J108" s="23"/>
      <c r="K108" s="26"/>
      <c r="L108" s="23"/>
      <c r="M108" s="26"/>
      <c r="N108" s="28"/>
      <c r="O108" s="26"/>
      <c r="P108" s="23"/>
      <c r="Q108" s="29"/>
      <c r="R108" s="30"/>
      <c r="S108" s="27"/>
      <c r="T108" s="19"/>
    </row>
    <row r="109" spans="1:20" ht="37.5" customHeight="1" x14ac:dyDescent="0.25">
      <c r="A109" s="19"/>
      <c r="G109" s="20"/>
      <c r="H109" s="21"/>
      <c r="I109" s="22"/>
      <c r="J109" s="23"/>
      <c r="K109" s="26"/>
      <c r="L109" s="23"/>
      <c r="M109" s="26"/>
      <c r="N109" s="28"/>
      <c r="O109" s="26"/>
      <c r="P109" s="23"/>
      <c r="Q109" s="29"/>
      <c r="R109" s="30"/>
      <c r="S109" s="27"/>
      <c r="T109" s="19"/>
    </row>
    <row r="110" spans="1:20" ht="37.5" customHeight="1" x14ac:dyDescent="0.25">
      <c r="A110" s="19"/>
      <c r="G110" s="20"/>
      <c r="H110" s="21"/>
      <c r="I110" s="22"/>
      <c r="J110" s="23"/>
      <c r="K110" s="26"/>
      <c r="L110" s="23"/>
      <c r="M110" s="26"/>
      <c r="N110" s="28"/>
      <c r="O110" s="26"/>
      <c r="P110" s="23"/>
      <c r="Q110" s="29"/>
      <c r="R110" s="30"/>
      <c r="S110" s="27"/>
      <c r="T110" s="19"/>
    </row>
    <row r="111" spans="1:20" ht="37.5" customHeight="1" x14ac:dyDescent="0.25">
      <c r="A111" s="19"/>
      <c r="G111" s="20"/>
      <c r="H111" s="21"/>
      <c r="I111" s="22"/>
      <c r="J111" s="23"/>
      <c r="K111" s="26"/>
      <c r="L111" s="23"/>
      <c r="M111" s="26"/>
      <c r="N111" s="28"/>
      <c r="O111" s="26"/>
      <c r="P111" s="23"/>
      <c r="Q111" s="29"/>
      <c r="R111" s="30"/>
      <c r="S111" s="27"/>
      <c r="T111" s="19"/>
    </row>
    <row r="112" spans="1:20" ht="37.5" customHeight="1" x14ac:dyDescent="0.25">
      <c r="A112" s="19"/>
      <c r="G112" s="20"/>
      <c r="H112" s="21"/>
      <c r="I112" s="22"/>
      <c r="J112" s="23"/>
      <c r="K112" s="26"/>
      <c r="L112" s="23"/>
      <c r="M112" s="26"/>
      <c r="N112" s="28"/>
      <c r="O112" s="26"/>
      <c r="P112" s="23"/>
      <c r="Q112" s="29"/>
      <c r="R112" s="30"/>
      <c r="S112" s="27"/>
      <c r="T112" s="19"/>
    </row>
    <row r="113" spans="1:20" ht="37.5" customHeight="1" x14ac:dyDescent="0.25">
      <c r="A113" s="19"/>
      <c r="G113" s="20"/>
      <c r="H113" s="21"/>
      <c r="I113" s="22"/>
      <c r="J113" s="23"/>
      <c r="K113" s="26"/>
      <c r="L113" s="23"/>
      <c r="M113" s="26"/>
      <c r="N113" s="28"/>
      <c r="O113" s="26"/>
      <c r="P113" s="23"/>
      <c r="Q113" s="29"/>
      <c r="R113" s="30"/>
      <c r="S113" s="27"/>
      <c r="T113" s="19"/>
    </row>
    <row r="114" spans="1:20" ht="37.5" customHeight="1" x14ac:dyDescent="0.25">
      <c r="A114" s="19"/>
      <c r="G114" s="20"/>
      <c r="H114" s="21"/>
      <c r="I114" s="22"/>
      <c r="J114" s="23"/>
      <c r="K114" s="26"/>
      <c r="L114" s="23"/>
      <c r="M114" s="26"/>
      <c r="N114" s="28"/>
      <c r="O114" s="26"/>
      <c r="P114" s="23"/>
      <c r="Q114" s="29"/>
      <c r="R114" s="30"/>
      <c r="S114" s="27"/>
      <c r="T114" s="19"/>
    </row>
    <row r="115" spans="1:20" ht="37.5" customHeight="1" x14ac:dyDescent="0.25">
      <c r="A115" s="19"/>
      <c r="G115" s="20"/>
      <c r="H115" s="21"/>
      <c r="I115" s="22"/>
      <c r="J115" s="23"/>
      <c r="K115" s="26"/>
      <c r="L115" s="23"/>
      <c r="M115" s="26"/>
      <c r="N115" s="28"/>
      <c r="O115" s="26"/>
      <c r="P115" s="23"/>
      <c r="Q115" s="29"/>
      <c r="R115" s="30"/>
      <c r="S115" s="27"/>
      <c r="T115" s="19"/>
    </row>
    <row r="116" spans="1:20" ht="37.5" customHeight="1" x14ac:dyDescent="0.25">
      <c r="A116" s="19"/>
      <c r="G116" s="20"/>
      <c r="H116" s="21"/>
      <c r="I116" s="22"/>
      <c r="J116" s="23"/>
      <c r="K116" s="26"/>
      <c r="L116" s="23"/>
      <c r="M116" s="26"/>
      <c r="N116" s="28"/>
      <c r="O116" s="26"/>
      <c r="P116" s="23"/>
      <c r="Q116" s="29"/>
      <c r="R116" s="30"/>
      <c r="S116" s="27"/>
      <c r="T116" s="19"/>
    </row>
    <row r="117" spans="1:20" ht="37.5" customHeight="1" x14ac:dyDescent="0.25">
      <c r="A117" s="19"/>
      <c r="G117" s="20"/>
      <c r="H117" s="21"/>
      <c r="I117" s="22"/>
      <c r="J117" s="23"/>
      <c r="K117" s="26"/>
      <c r="L117" s="23"/>
      <c r="M117" s="26"/>
      <c r="N117" s="28"/>
      <c r="O117" s="26"/>
      <c r="P117" s="23"/>
      <c r="Q117" s="29"/>
      <c r="R117" s="30"/>
      <c r="S117" s="27"/>
      <c r="T117" s="19"/>
    </row>
    <row r="118" spans="1:20" ht="37.5" customHeight="1" x14ac:dyDescent="0.25">
      <c r="A118" s="19"/>
      <c r="G118" s="20"/>
      <c r="H118" s="21"/>
      <c r="I118" s="22"/>
      <c r="J118" s="23"/>
      <c r="K118" s="26"/>
      <c r="L118" s="23"/>
      <c r="M118" s="26"/>
      <c r="N118" s="28"/>
      <c r="O118" s="26"/>
      <c r="P118" s="23"/>
      <c r="Q118" s="29"/>
      <c r="R118" s="30"/>
      <c r="S118" s="27"/>
      <c r="T118" s="19"/>
    </row>
    <row r="119" spans="1:20" ht="37.5" customHeight="1" x14ac:dyDescent="0.25">
      <c r="A119" s="19"/>
      <c r="G119" s="20"/>
      <c r="H119" s="21"/>
      <c r="I119" s="22"/>
      <c r="J119" s="23"/>
      <c r="K119" s="26"/>
      <c r="L119" s="23"/>
      <c r="M119" s="26"/>
      <c r="N119" s="28"/>
      <c r="O119" s="26"/>
      <c r="P119" s="23"/>
      <c r="Q119" s="29"/>
      <c r="R119" s="30"/>
      <c r="S119" s="27"/>
      <c r="T119" s="19"/>
    </row>
    <row r="120" spans="1:20" ht="37.5" customHeight="1" x14ac:dyDescent="0.25">
      <c r="A120" s="19"/>
      <c r="G120" s="20"/>
      <c r="H120" s="21"/>
      <c r="I120" s="22"/>
      <c r="J120" s="23"/>
      <c r="K120" s="26"/>
      <c r="L120" s="23"/>
      <c r="M120" s="26"/>
      <c r="N120" s="28"/>
      <c r="O120" s="26"/>
      <c r="P120" s="23"/>
      <c r="Q120" s="29"/>
      <c r="R120" s="30"/>
      <c r="S120" s="27"/>
      <c r="T120" s="19"/>
    </row>
    <row r="121" spans="1:20" ht="37.5" customHeight="1" x14ac:dyDescent="0.25">
      <c r="A121" s="19"/>
      <c r="G121" s="20"/>
      <c r="H121" s="21"/>
      <c r="I121" s="22"/>
      <c r="J121" s="23"/>
      <c r="K121" s="26"/>
      <c r="L121" s="23"/>
      <c r="M121" s="26"/>
      <c r="N121" s="28"/>
      <c r="O121" s="26"/>
      <c r="P121" s="23"/>
      <c r="Q121" s="29"/>
      <c r="R121" s="30"/>
      <c r="S121" s="27"/>
      <c r="T121" s="19"/>
    </row>
    <row r="122" spans="1:20" ht="37.5" customHeight="1" x14ac:dyDescent="0.25">
      <c r="A122" s="19"/>
      <c r="G122" s="20"/>
      <c r="H122" s="21"/>
      <c r="I122" s="22"/>
      <c r="J122" s="23"/>
      <c r="K122" s="26"/>
      <c r="L122" s="23"/>
      <c r="M122" s="26"/>
      <c r="N122" s="28"/>
      <c r="O122" s="26"/>
      <c r="P122" s="23"/>
      <c r="Q122" s="29"/>
      <c r="R122" s="30"/>
      <c r="S122" s="27"/>
      <c r="T122" s="19"/>
    </row>
    <row r="123" spans="1:20" ht="37.5" customHeight="1" x14ac:dyDescent="0.25">
      <c r="A123" s="19"/>
      <c r="G123" s="20"/>
      <c r="H123" s="21"/>
      <c r="I123" s="22"/>
      <c r="J123" s="23"/>
      <c r="K123" s="26"/>
      <c r="L123" s="23"/>
      <c r="M123" s="26"/>
      <c r="N123" s="28"/>
      <c r="O123" s="26"/>
      <c r="P123" s="23"/>
      <c r="Q123" s="29"/>
      <c r="R123" s="30"/>
      <c r="S123" s="27"/>
      <c r="T123" s="19"/>
    </row>
    <row r="124" spans="1:20" ht="33.75" customHeight="1" x14ac:dyDescent="0.25">
      <c r="L124" s="36"/>
    </row>
    <row r="125" spans="1:20" ht="33.75" customHeight="1" x14ac:dyDescent="0.25">
      <c r="L125" s="36"/>
    </row>
    <row r="126" spans="1:20" ht="33.75" customHeight="1" x14ac:dyDescent="0.25">
      <c r="L126" s="36"/>
    </row>
    <row r="127" spans="1:20" ht="33.75" customHeight="1" x14ac:dyDescent="0.25">
      <c r="L127" s="36"/>
    </row>
    <row r="128" spans="1:20" ht="33.75" customHeight="1" x14ac:dyDescent="0.25">
      <c r="L128" s="36"/>
    </row>
    <row r="129" spans="12:12" ht="33.75" customHeight="1" x14ac:dyDescent="0.25">
      <c r="L129" s="36"/>
    </row>
    <row r="130" spans="12:12" ht="33.75" customHeight="1" x14ac:dyDescent="0.25">
      <c r="L130" s="36"/>
    </row>
    <row r="131" spans="12:12" ht="33.75" customHeight="1" x14ac:dyDescent="0.25">
      <c r="L131" s="36"/>
    </row>
    <row r="132" spans="12:12" ht="33.75" customHeight="1" x14ac:dyDescent="0.25">
      <c r="L132" s="36"/>
    </row>
    <row r="133" spans="12:12" ht="33.75" customHeight="1" x14ac:dyDescent="0.25">
      <c r="L133" s="36"/>
    </row>
    <row r="134" spans="12:12" ht="33.75" customHeight="1" x14ac:dyDescent="0.25">
      <c r="L134" s="36"/>
    </row>
    <row r="135" spans="12:12" ht="33.75" customHeight="1" x14ac:dyDescent="0.25">
      <c r="L135" s="36"/>
    </row>
    <row r="136" spans="12:12" ht="33.75" customHeight="1" x14ac:dyDescent="0.25">
      <c r="L136" s="36"/>
    </row>
    <row r="137" spans="12:12" ht="33.75" customHeight="1" x14ac:dyDescent="0.25">
      <c r="L137" s="36"/>
    </row>
    <row r="138" spans="12:12" ht="33.75" customHeight="1" x14ac:dyDescent="0.25">
      <c r="L138" s="36"/>
    </row>
    <row r="139" spans="12:12" ht="33.75" customHeight="1" x14ac:dyDescent="0.25">
      <c r="L139" s="36"/>
    </row>
    <row r="140" spans="12:12" ht="33.75" customHeight="1" x14ac:dyDescent="0.25">
      <c r="L140" s="36"/>
    </row>
    <row r="141" spans="12:12" ht="33.75" customHeight="1" x14ac:dyDescent="0.25">
      <c r="L141" s="36"/>
    </row>
    <row r="142" spans="12:12" ht="33.75" customHeight="1" x14ac:dyDescent="0.25">
      <c r="L142" s="36"/>
    </row>
    <row r="143" spans="12:12" ht="33.75" customHeight="1" x14ac:dyDescent="0.25">
      <c r="L143" s="36"/>
    </row>
    <row r="144" spans="12:12" ht="33.75" customHeight="1" x14ac:dyDescent="0.25">
      <c r="L144" s="36"/>
    </row>
    <row r="145" spans="12:12" ht="33.75" customHeight="1" x14ac:dyDescent="0.25">
      <c r="L145" s="36"/>
    </row>
    <row r="146" spans="12:12" ht="33.75" customHeight="1" x14ac:dyDescent="0.25">
      <c r="L146" s="36"/>
    </row>
    <row r="147" spans="12:12" ht="33.75" customHeight="1" x14ac:dyDescent="0.25">
      <c r="L147" s="36"/>
    </row>
    <row r="148" spans="12:12" ht="33.75" customHeight="1" x14ac:dyDescent="0.25">
      <c r="L148" s="36"/>
    </row>
    <row r="149" spans="12:12" ht="33.75" customHeight="1" x14ac:dyDescent="0.25">
      <c r="L149" s="36"/>
    </row>
    <row r="150" spans="12:12" ht="33.75" customHeight="1" x14ac:dyDescent="0.25">
      <c r="L150" s="36"/>
    </row>
    <row r="151" spans="12:12" ht="33.75" customHeight="1" x14ac:dyDescent="0.25">
      <c r="L151" s="36"/>
    </row>
    <row r="152" spans="12:12" ht="33.75" customHeight="1" x14ac:dyDescent="0.25">
      <c r="L152" s="36"/>
    </row>
    <row r="153" spans="12:12" ht="33.75" customHeight="1" x14ac:dyDescent="0.25">
      <c r="L153" s="36"/>
    </row>
    <row r="154" spans="12:12" ht="33.75" customHeight="1" x14ac:dyDescent="0.25">
      <c r="L154" s="36"/>
    </row>
    <row r="155" spans="12:12" ht="33.75" customHeight="1" x14ac:dyDescent="0.25">
      <c r="L155" s="36"/>
    </row>
    <row r="156" spans="12:12" ht="33.75" customHeight="1" x14ac:dyDescent="0.25">
      <c r="L156" s="36"/>
    </row>
    <row r="157" spans="12:12" ht="33.75" customHeight="1" x14ac:dyDescent="0.25">
      <c r="L157" s="36"/>
    </row>
    <row r="158" spans="12:12" ht="33.75" customHeight="1" x14ac:dyDescent="0.25">
      <c r="L158" s="36"/>
    </row>
    <row r="159" spans="12:12" ht="33.75" customHeight="1" x14ac:dyDescent="0.25">
      <c r="L159" s="36"/>
    </row>
    <row r="160" spans="12:12" ht="33.75" customHeight="1" x14ac:dyDescent="0.25">
      <c r="L160" s="36"/>
    </row>
    <row r="161" spans="12:12" ht="33.75" customHeight="1" x14ac:dyDescent="0.25">
      <c r="L161" s="36"/>
    </row>
    <row r="162" spans="12:12" ht="33.75" customHeight="1" x14ac:dyDescent="0.25">
      <c r="L162" s="36"/>
    </row>
    <row r="163" spans="12:12" ht="33.75" customHeight="1" x14ac:dyDescent="0.25">
      <c r="L163" s="36"/>
    </row>
    <row r="164" spans="12:12" ht="33.75" customHeight="1" x14ac:dyDescent="0.25">
      <c r="L164" s="36"/>
    </row>
    <row r="165" spans="12:12" ht="33.75" customHeight="1" x14ac:dyDescent="0.25">
      <c r="L165" s="36"/>
    </row>
    <row r="166" spans="12:12" ht="33.75" customHeight="1" x14ac:dyDescent="0.25">
      <c r="L166" s="36"/>
    </row>
    <row r="167" spans="12:12" ht="33.75" customHeight="1" x14ac:dyDescent="0.25">
      <c r="L167" s="36"/>
    </row>
    <row r="168" spans="12:12" ht="33.75" customHeight="1" x14ac:dyDescent="0.25">
      <c r="L168" s="36"/>
    </row>
    <row r="169" spans="12:12" ht="33.75" customHeight="1" x14ac:dyDescent="0.25">
      <c r="L169" s="36"/>
    </row>
    <row r="170" spans="12:12" ht="33.75" customHeight="1" x14ac:dyDescent="0.25">
      <c r="L170" s="36"/>
    </row>
    <row r="171" spans="12:12" ht="33.75" customHeight="1" x14ac:dyDescent="0.25">
      <c r="L171" s="36"/>
    </row>
    <row r="172" spans="12:12" ht="33.75" customHeight="1" x14ac:dyDescent="0.25">
      <c r="L172" s="36"/>
    </row>
    <row r="173" spans="12:12" ht="33.75" customHeight="1" x14ac:dyDescent="0.25">
      <c r="L173" s="36"/>
    </row>
    <row r="174" spans="12:12" ht="33.75" customHeight="1" x14ac:dyDescent="0.25">
      <c r="L174" s="36"/>
    </row>
    <row r="175" spans="12:12" ht="33.75" customHeight="1" x14ac:dyDescent="0.25">
      <c r="L175" s="36"/>
    </row>
    <row r="176" spans="12:12" ht="33.75" customHeight="1" x14ac:dyDescent="0.25">
      <c r="L176" s="36"/>
    </row>
    <row r="177" spans="12:12" ht="33.75" customHeight="1" x14ac:dyDescent="0.25">
      <c r="L177" s="36"/>
    </row>
    <row r="178" spans="12:12" ht="33.75" customHeight="1" x14ac:dyDescent="0.25">
      <c r="L178" s="36"/>
    </row>
    <row r="179" spans="12:12" ht="33.75" customHeight="1" x14ac:dyDescent="0.25">
      <c r="L179" s="36"/>
    </row>
    <row r="180" spans="12:12" ht="33.75" customHeight="1" x14ac:dyDescent="0.25">
      <c r="L180" s="36"/>
    </row>
    <row r="181" spans="12:12" ht="33.75" customHeight="1" x14ac:dyDescent="0.25">
      <c r="L181" s="36"/>
    </row>
    <row r="182" spans="12:12" ht="33.75" customHeight="1" x14ac:dyDescent="0.25">
      <c r="L182" s="36"/>
    </row>
    <row r="183" spans="12:12" ht="33.75" customHeight="1" x14ac:dyDescent="0.25">
      <c r="L183" s="36"/>
    </row>
    <row r="184" spans="12:12" ht="33.75" customHeight="1" x14ac:dyDescent="0.25">
      <c r="L184" s="36"/>
    </row>
    <row r="185" spans="12:12" ht="33.75" customHeight="1" x14ac:dyDescent="0.25">
      <c r="L185" s="36"/>
    </row>
    <row r="186" spans="12:12" ht="33.75" customHeight="1" x14ac:dyDescent="0.25">
      <c r="L186" s="36"/>
    </row>
    <row r="187" spans="12:12" ht="33.75" customHeight="1" x14ac:dyDescent="0.25">
      <c r="L187" s="36"/>
    </row>
    <row r="188" spans="12:12" ht="33.75" customHeight="1" x14ac:dyDescent="0.25">
      <c r="L188" s="36"/>
    </row>
    <row r="189" spans="12:12" ht="33.75" customHeight="1" x14ac:dyDescent="0.25">
      <c r="L189" s="36"/>
    </row>
    <row r="190" spans="12:12" ht="33.75" customHeight="1" x14ac:dyDescent="0.25">
      <c r="L190" s="36"/>
    </row>
    <row r="191" spans="12:12" ht="33.75" customHeight="1" x14ac:dyDescent="0.25">
      <c r="L191" s="36"/>
    </row>
    <row r="192" spans="12:12" ht="33.75" customHeight="1" x14ac:dyDescent="0.25">
      <c r="L192" s="36"/>
    </row>
    <row r="193" spans="12:12" ht="33.75" customHeight="1" x14ac:dyDescent="0.25">
      <c r="L193" s="36"/>
    </row>
    <row r="194" spans="12:12" ht="33.75" customHeight="1" x14ac:dyDescent="0.25">
      <c r="L194" s="36"/>
    </row>
    <row r="195" spans="12:12" ht="33.75" customHeight="1" x14ac:dyDescent="0.25">
      <c r="L195" s="36"/>
    </row>
    <row r="196" spans="12:12" ht="33.75" customHeight="1" x14ac:dyDescent="0.25">
      <c r="L196" s="36"/>
    </row>
    <row r="197" spans="12:12" ht="33.75" customHeight="1" x14ac:dyDescent="0.25">
      <c r="L197" s="36"/>
    </row>
    <row r="198" spans="12:12" ht="33.75" customHeight="1" x14ac:dyDescent="0.25">
      <c r="L198" s="36"/>
    </row>
    <row r="199" spans="12:12" ht="33.75" customHeight="1" x14ac:dyDescent="0.25">
      <c r="L199" s="36"/>
    </row>
    <row r="200" spans="12:12" ht="33.75" customHeight="1" x14ac:dyDescent="0.25">
      <c r="L200" s="36"/>
    </row>
    <row r="201" spans="12:12" ht="33.75" customHeight="1" x14ac:dyDescent="0.25">
      <c r="L201" s="36"/>
    </row>
    <row r="202" spans="12:12" ht="33.75" customHeight="1" x14ac:dyDescent="0.25">
      <c r="L202" s="36"/>
    </row>
    <row r="203" spans="12:12" ht="33.75" customHeight="1" x14ac:dyDescent="0.25">
      <c r="L203" s="36"/>
    </row>
    <row r="204" spans="12:12" ht="33.75" customHeight="1" x14ac:dyDescent="0.25">
      <c r="L204" s="36"/>
    </row>
    <row r="205" spans="12:12" ht="33.75" customHeight="1" x14ac:dyDescent="0.25">
      <c r="L205" s="36"/>
    </row>
    <row r="206" spans="12:12" ht="33.75" customHeight="1" x14ac:dyDescent="0.25">
      <c r="L206" s="36"/>
    </row>
    <row r="207" spans="12:12" ht="33.75" customHeight="1" x14ac:dyDescent="0.25">
      <c r="L207" s="36"/>
    </row>
    <row r="208" spans="12:12" ht="33.75" customHeight="1" x14ac:dyDescent="0.25">
      <c r="L208" s="36"/>
    </row>
    <row r="209" spans="12:12" ht="33.75" customHeight="1" x14ac:dyDescent="0.25">
      <c r="L209" s="36"/>
    </row>
    <row r="210" spans="12:12" ht="33.75" customHeight="1" x14ac:dyDescent="0.25">
      <c r="L210" s="36"/>
    </row>
    <row r="211" spans="12:12" ht="33.75" customHeight="1" x14ac:dyDescent="0.25">
      <c r="L211" s="36"/>
    </row>
    <row r="212" spans="12:12" ht="33.75" customHeight="1" x14ac:dyDescent="0.25">
      <c r="L212" s="36"/>
    </row>
    <row r="213" spans="12:12" ht="33.75" customHeight="1" x14ac:dyDescent="0.25">
      <c r="L213" s="36"/>
    </row>
    <row r="214" spans="12:12" ht="33.75" customHeight="1" x14ac:dyDescent="0.25">
      <c r="L214" s="36"/>
    </row>
    <row r="215" spans="12:12" ht="33.75" customHeight="1" x14ac:dyDescent="0.25">
      <c r="L215" s="36"/>
    </row>
    <row r="216" spans="12:12" ht="33.75" customHeight="1" x14ac:dyDescent="0.25">
      <c r="L216" s="36"/>
    </row>
    <row r="217" spans="12:12" ht="33.75" customHeight="1" x14ac:dyDescent="0.25">
      <c r="L217" s="36"/>
    </row>
    <row r="218" spans="12:12" ht="33.75" customHeight="1" x14ac:dyDescent="0.25">
      <c r="L218" s="36"/>
    </row>
    <row r="219" spans="12:12" ht="33.75" customHeight="1" x14ac:dyDescent="0.25">
      <c r="L219" s="36"/>
    </row>
    <row r="220" spans="12:12" ht="33.75" customHeight="1" x14ac:dyDescent="0.25">
      <c r="L220" s="36"/>
    </row>
    <row r="221" spans="12:12" ht="33.75" customHeight="1" x14ac:dyDescent="0.25">
      <c r="L221" s="36"/>
    </row>
    <row r="222" spans="12:12" ht="33.75" customHeight="1" x14ac:dyDescent="0.25">
      <c r="L222" s="36"/>
    </row>
    <row r="223" spans="12:12" ht="33.75" customHeight="1" x14ac:dyDescent="0.25">
      <c r="L223" s="36"/>
    </row>
    <row r="224" spans="12:12" ht="33.75" customHeight="1" x14ac:dyDescent="0.25">
      <c r="L224" s="36"/>
    </row>
    <row r="225" spans="12:12" ht="33.75" customHeight="1" x14ac:dyDescent="0.25">
      <c r="L225" s="36"/>
    </row>
    <row r="226" spans="12:12" ht="33.75" customHeight="1" x14ac:dyDescent="0.25">
      <c r="L226" s="36"/>
    </row>
    <row r="227" spans="12:12" ht="33.75" customHeight="1" x14ac:dyDescent="0.25">
      <c r="L227" s="36"/>
    </row>
    <row r="228" spans="12:12" ht="33.75" customHeight="1" x14ac:dyDescent="0.25">
      <c r="L228" s="36"/>
    </row>
    <row r="229" spans="12:12" ht="33.75" customHeight="1" x14ac:dyDescent="0.25">
      <c r="L229" s="36"/>
    </row>
    <row r="230" spans="12:12" ht="33.75" customHeight="1" x14ac:dyDescent="0.25">
      <c r="L230" s="36"/>
    </row>
    <row r="231" spans="12:12" ht="33.75" customHeight="1" x14ac:dyDescent="0.25">
      <c r="L231" s="36"/>
    </row>
    <row r="232" spans="12:12" ht="33.75" customHeight="1" x14ac:dyDescent="0.25">
      <c r="L232" s="36"/>
    </row>
    <row r="233" spans="12:12" ht="33.75" customHeight="1" x14ac:dyDescent="0.25">
      <c r="L233" s="36"/>
    </row>
    <row r="234" spans="12:12" ht="33.75" customHeight="1" x14ac:dyDescent="0.25">
      <c r="L234" s="36"/>
    </row>
    <row r="235" spans="12:12" ht="33.75" customHeight="1" x14ac:dyDescent="0.25">
      <c r="L235" s="36"/>
    </row>
    <row r="236" spans="12:12" ht="33.75" customHeight="1" x14ac:dyDescent="0.25">
      <c r="L236" s="36"/>
    </row>
    <row r="237" spans="12:12" ht="33.75" customHeight="1" x14ac:dyDescent="0.25">
      <c r="L237" s="36"/>
    </row>
    <row r="238" spans="12:12" ht="33.75" customHeight="1" x14ac:dyDescent="0.25">
      <c r="L238" s="36"/>
    </row>
    <row r="239" spans="12:12" ht="33.75" customHeight="1" x14ac:dyDescent="0.25">
      <c r="L239" s="36"/>
    </row>
    <row r="240" spans="12:12" ht="33.75" customHeight="1" x14ac:dyDescent="0.25">
      <c r="L240" s="36"/>
    </row>
    <row r="241" spans="12:12" ht="33.75" customHeight="1" x14ac:dyDescent="0.25">
      <c r="L241" s="36"/>
    </row>
    <row r="242" spans="12:12" ht="33.75" customHeight="1" x14ac:dyDescent="0.25">
      <c r="L242" s="36"/>
    </row>
    <row r="243" spans="12:12" ht="33.75" customHeight="1" x14ac:dyDescent="0.25">
      <c r="L243" s="36"/>
    </row>
    <row r="244" spans="12:12" ht="33.75" customHeight="1" x14ac:dyDescent="0.25">
      <c r="L244" s="36"/>
    </row>
    <row r="245" spans="12:12" ht="33.75" customHeight="1" x14ac:dyDescent="0.25">
      <c r="L245" s="36"/>
    </row>
    <row r="246" spans="12:12" ht="33.75" customHeight="1" x14ac:dyDescent="0.25">
      <c r="L246" s="36"/>
    </row>
    <row r="247" spans="12:12" ht="33.75" customHeight="1" x14ac:dyDescent="0.25">
      <c r="L247" s="36"/>
    </row>
    <row r="248" spans="12:12" ht="33.75" customHeight="1" x14ac:dyDescent="0.25">
      <c r="L248" s="36"/>
    </row>
    <row r="249" spans="12:12" ht="33.75" customHeight="1" x14ac:dyDescent="0.25">
      <c r="L249" s="36"/>
    </row>
    <row r="250" spans="12:12" ht="33.75" customHeight="1" x14ac:dyDescent="0.25">
      <c r="L250" s="36"/>
    </row>
    <row r="251" spans="12:12" ht="33.75" customHeight="1" x14ac:dyDescent="0.25">
      <c r="L251" s="36"/>
    </row>
    <row r="252" spans="12:12" ht="33.75" customHeight="1" x14ac:dyDescent="0.25">
      <c r="L252" s="36"/>
    </row>
    <row r="253" spans="12:12" ht="33.75" customHeight="1" x14ac:dyDescent="0.25">
      <c r="L253" s="36"/>
    </row>
    <row r="254" spans="12:12" ht="33.75" customHeight="1" x14ac:dyDescent="0.25">
      <c r="L254" s="36"/>
    </row>
    <row r="255" spans="12:12" ht="33.75" customHeight="1" x14ac:dyDescent="0.25">
      <c r="L255" s="36"/>
    </row>
    <row r="256" spans="12:12" ht="33.75" customHeight="1" x14ac:dyDescent="0.25">
      <c r="L256" s="36"/>
    </row>
    <row r="257" spans="12:12" ht="33.75" customHeight="1" x14ac:dyDescent="0.25">
      <c r="L257" s="36"/>
    </row>
    <row r="258" spans="12:12" ht="33.75" customHeight="1" x14ac:dyDescent="0.25">
      <c r="L258" s="36"/>
    </row>
    <row r="259" spans="12:12" ht="33.75" customHeight="1" x14ac:dyDescent="0.25">
      <c r="L259" s="36"/>
    </row>
    <row r="260" spans="12:12" ht="33.75" customHeight="1" x14ac:dyDescent="0.25">
      <c r="L260" s="36"/>
    </row>
    <row r="261" spans="12:12" ht="33.75" customHeight="1" x14ac:dyDescent="0.25">
      <c r="L261" s="36"/>
    </row>
    <row r="262" spans="12:12" ht="33.75" customHeight="1" x14ac:dyDescent="0.25">
      <c r="L262" s="36"/>
    </row>
    <row r="263" spans="12:12" ht="33.75" customHeight="1" x14ac:dyDescent="0.25">
      <c r="L263" s="36"/>
    </row>
    <row r="264" spans="12:12" ht="33.75" customHeight="1" x14ac:dyDescent="0.25">
      <c r="L264" s="36"/>
    </row>
    <row r="265" spans="12:12" ht="33.75" customHeight="1" x14ac:dyDescent="0.25">
      <c r="L265" s="36"/>
    </row>
    <row r="266" spans="12:12" ht="33.75" customHeight="1" x14ac:dyDescent="0.25">
      <c r="L266" s="36"/>
    </row>
    <row r="267" spans="12:12" ht="33.75" customHeight="1" x14ac:dyDescent="0.25">
      <c r="L267" s="36"/>
    </row>
    <row r="268" spans="12:12" ht="33.75" customHeight="1" x14ac:dyDescent="0.25">
      <c r="L268" s="36"/>
    </row>
    <row r="269" spans="12:12" ht="33.75" customHeight="1" x14ac:dyDescent="0.25">
      <c r="L269" s="36"/>
    </row>
    <row r="270" spans="12:12" ht="33.75" customHeight="1" x14ac:dyDescent="0.25">
      <c r="L270" s="36"/>
    </row>
    <row r="271" spans="12:12" ht="33.75" customHeight="1" x14ac:dyDescent="0.25">
      <c r="L271" s="36"/>
    </row>
    <row r="272" spans="12:12" ht="33.75" customHeight="1" x14ac:dyDescent="0.25">
      <c r="L272" s="36"/>
    </row>
    <row r="273" spans="12:12" ht="33.75" customHeight="1" x14ac:dyDescent="0.25">
      <c r="L273" s="36"/>
    </row>
    <row r="274" spans="12:12" ht="33.75" customHeight="1" x14ac:dyDescent="0.25">
      <c r="L274" s="36"/>
    </row>
    <row r="275" spans="12:12" ht="33.75" customHeight="1" x14ac:dyDescent="0.25">
      <c r="L275" s="36"/>
    </row>
    <row r="276" spans="12:12" ht="33.75" customHeight="1" x14ac:dyDescent="0.25">
      <c r="L276" s="36"/>
    </row>
    <row r="277" spans="12:12" ht="33.75" customHeight="1" x14ac:dyDescent="0.25">
      <c r="L277" s="36"/>
    </row>
    <row r="278" spans="12:12" ht="33.75" customHeight="1" x14ac:dyDescent="0.25">
      <c r="L278" s="36"/>
    </row>
    <row r="279" spans="12:12" ht="33.75" customHeight="1" x14ac:dyDescent="0.25">
      <c r="L279" s="36"/>
    </row>
    <row r="280" spans="12:12" ht="33.75" customHeight="1" x14ac:dyDescent="0.25">
      <c r="L280" s="36"/>
    </row>
    <row r="281" spans="12:12" ht="33.75" customHeight="1" x14ac:dyDescent="0.25">
      <c r="L281" s="36"/>
    </row>
    <row r="282" spans="12:12" ht="33.75" customHeight="1" x14ac:dyDescent="0.25">
      <c r="L282" s="36"/>
    </row>
    <row r="283" spans="12:12" ht="33.75" customHeight="1" x14ac:dyDescent="0.25">
      <c r="L283" s="36"/>
    </row>
    <row r="284" spans="12:12" ht="33.75" customHeight="1" x14ac:dyDescent="0.25">
      <c r="L284" s="36"/>
    </row>
    <row r="285" spans="12:12" ht="33.75" customHeight="1" x14ac:dyDescent="0.25">
      <c r="L285" s="36"/>
    </row>
    <row r="286" spans="12:12" ht="33.75" customHeight="1" x14ac:dyDescent="0.25">
      <c r="L286" s="36"/>
    </row>
    <row r="287" spans="12:12" ht="33.75" customHeight="1" x14ac:dyDescent="0.25">
      <c r="L287" s="36"/>
    </row>
    <row r="288" spans="12:12" ht="33.75" customHeight="1" x14ac:dyDescent="0.25">
      <c r="L288" s="36"/>
    </row>
    <row r="289" spans="12:12" ht="33.75" customHeight="1" x14ac:dyDescent="0.25">
      <c r="L289" s="36"/>
    </row>
    <row r="290" spans="12:12" ht="33.75" customHeight="1" x14ac:dyDescent="0.25">
      <c r="L290" s="36"/>
    </row>
    <row r="291" spans="12:12" ht="33.75" customHeight="1" x14ac:dyDescent="0.25">
      <c r="L291" s="36"/>
    </row>
    <row r="292" spans="12:12" ht="33.75" customHeight="1" x14ac:dyDescent="0.25">
      <c r="L292" s="36"/>
    </row>
    <row r="293" spans="12:12" ht="33.75" customHeight="1" x14ac:dyDescent="0.25">
      <c r="L293" s="36"/>
    </row>
    <row r="294" spans="12:12" ht="33.75" customHeight="1" x14ac:dyDescent="0.25">
      <c r="L294" s="36"/>
    </row>
    <row r="295" spans="12:12" ht="33.75" customHeight="1" x14ac:dyDescent="0.25">
      <c r="L295" s="36"/>
    </row>
    <row r="296" spans="12:12" ht="33.75" customHeight="1" x14ac:dyDescent="0.25">
      <c r="L296" s="36"/>
    </row>
    <row r="297" spans="12:12" ht="33.75" customHeight="1" x14ac:dyDescent="0.25">
      <c r="L297" s="36"/>
    </row>
    <row r="298" spans="12:12" ht="33.75" customHeight="1" x14ac:dyDescent="0.25">
      <c r="L298" s="36"/>
    </row>
    <row r="299" spans="12:12" ht="33.75" customHeight="1" x14ac:dyDescent="0.25">
      <c r="L299" s="36"/>
    </row>
    <row r="300" spans="12:12" ht="33.75" customHeight="1" x14ac:dyDescent="0.25">
      <c r="L300" s="36"/>
    </row>
    <row r="301" spans="12:12" ht="33.75" customHeight="1" x14ac:dyDescent="0.25">
      <c r="L301" s="36"/>
    </row>
    <row r="302" spans="12:12" ht="33.75" customHeight="1" x14ac:dyDescent="0.25">
      <c r="L302" s="36"/>
    </row>
    <row r="303" spans="12:12" ht="33.75" customHeight="1" x14ac:dyDescent="0.25">
      <c r="L303" s="36"/>
    </row>
    <row r="304" spans="12:12" ht="33.75" customHeight="1" x14ac:dyDescent="0.25">
      <c r="L304" s="36"/>
    </row>
    <row r="305" spans="12:12" ht="33.75" customHeight="1" x14ac:dyDescent="0.25">
      <c r="L305" s="36"/>
    </row>
    <row r="306" spans="12:12" ht="33.75" customHeight="1" x14ac:dyDescent="0.25">
      <c r="L306" s="36"/>
    </row>
    <row r="307" spans="12:12" ht="33.75" customHeight="1" x14ac:dyDescent="0.25">
      <c r="L307" s="36"/>
    </row>
    <row r="308" spans="12:12" ht="33.75" customHeight="1" x14ac:dyDescent="0.25">
      <c r="L308" s="36"/>
    </row>
    <row r="309" spans="12:12" ht="33.75" customHeight="1" x14ac:dyDescent="0.25">
      <c r="L309" s="36"/>
    </row>
    <row r="310" spans="12:12" ht="33.75" customHeight="1" x14ac:dyDescent="0.25">
      <c r="L310" s="36"/>
    </row>
    <row r="311" spans="12:12" ht="33.75" customHeight="1" x14ac:dyDescent="0.25">
      <c r="L311" s="36"/>
    </row>
    <row r="312" spans="12:12" ht="33.75" customHeight="1" x14ac:dyDescent="0.25">
      <c r="L312" s="36"/>
    </row>
    <row r="313" spans="12:12" ht="33.75" customHeight="1" x14ac:dyDescent="0.25">
      <c r="L313" s="36"/>
    </row>
    <row r="314" spans="12:12" ht="33.75" customHeight="1" x14ac:dyDescent="0.25">
      <c r="L314" s="36"/>
    </row>
    <row r="315" spans="12:12" ht="33.75" customHeight="1" x14ac:dyDescent="0.25">
      <c r="L315" s="36"/>
    </row>
    <row r="316" spans="12:12" ht="33.75" customHeight="1" x14ac:dyDescent="0.25">
      <c r="L316" s="36"/>
    </row>
    <row r="317" spans="12:12" ht="33.75" customHeight="1" x14ac:dyDescent="0.25">
      <c r="L317" s="36"/>
    </row>
    <row r="318" spans="12:12" ht="33.75" customHeight="1" x14ac:dyDescent="0.25">
      <c r="L318" s="36"/>
    </row>
    <row r="319" spans="12:12" ht="33.75" customHeight="1" x14ac:dyDescent="0.25">
      <c r="L319" s="36"/>
    </row>
    <row r="320" spans="12:12" ht="33.75" customHeight="1" x14ac:dyDescent="0.25">
      <c r="L320" s="36"/>
    </row>
    <row r="321" spans="12:12" ht="33.75" customHeight="1" x14ac:dyDescent="0.25">
      <c r="L321" s="36"/>
    </row>
    <row r="322" spans="12:12" ht="33.75" customHeight="1" x14ac:dyDescent="0.25">
      <c r="L322" s="36"/>
    </row>
    <row r="323" spans="12:12" ht="33.75" customHeight="1" x14ac:dyDescent="0.25">
      <c r="L323" s="36"/>
    </row>
    <row r="324" spans="12:12" ht="33.75" customHeight="1" x14ac:dyDescent="0.25">
      <c r="L324" s="36"/>
    </row>
    <row r="325" spans="12:12" ht="33.75" customHeight="1" x14ac:dyDescent="0.25">
      <c r="L325" s="36"/>
    </row>
    <row r="326" spans="12:12" ht="33.75" customHeight="1" x14ac:dyDescent="0.25">
      <c r="L326" s="36"/>
    </row>
    <row r="327" spans="12:12" ht="33.75" customHeight="1" x14ac:dyDescent="0.25">
      <c r="L327" s="36"/>
    </row>
    <row r="328" spans="12:12" ht="33.75" customHeight="1" x14ac:dyDescent="0.25">
      <c r="L328" s="36"/>
    </row>
    <row r="329" spans="12:12" ht="33.75" customHeight="1" x14ac:dyDescent="0.25">
      <c r="L329" s="36"/>
    </row>
    <row r="330" spans="12:12" ht="33.75" customHeight="1" x14ac:dyDescent="0.25">
      <c r="L330" s="36"/>
    </row>
    <row r="331" spans="12:12" ht="33.75" customHeight="1" x14ac:dyDescent="0.25">
      <c r="L331" s="36"/>
    </row>
    <row r="332" spans="12:12" ht="33.75" customHeight="1" x14ac:dyDescent="0.25">
      <c r="L332" s="36"/>
    </row>
    <row r="333" spans="12:12" ht="33.75" customHeight="1" x14ac:dyDescent="0.25">
      <c r="L333" s="36"/>
    </row>
    <row r="334" spans="12:12" ht="33.75" customHeight="1" x14ac:dyDescent="0.25">
      <c r="L334" s="36"/>
    </row>
    <row r="335" spans="12:12" ht="33.75" customHeight="1" x14ac:dyDescent="0.25">
      <c r="L335" s="36"/>
    </row>
    <row r="336" spans="12:12" ht="33.75" customHeight="1" x14ac:dyDescent="0.25">
      <c r="L336" s="36"/>
    </row>
    <row r="337" spans="12:12" ht="33.75" customHeight="1" x14ac:dyDescent="0.25">
      <c r="L337" s="36"/>
    </row>
    <row r="338" spans="12:12" ht="33.75" customHeight="1" x14ac:dyDescent="0.25">
      <c r="L338" s="36"/>
    </row>
    <row r="339" spans="12:12" ht="33.75" customHeight="1" x14ac:dyDescent="0.25">
      <c r="L339" s="36"/>
    </row>
    <row r="340" spans="12:12" ht="33.75" customHeight="1" x14ac:dyDescent="0.25">
      <c r="L340" s="36"/>
    </row>
    <row r="341" spans="12:12" ht="33.75" customHeight="1" x14ac:dyDescent="0.25">
      <c r="L341" s="36"/>
    </row>
    <row r="342" spans="12:12" ht="33.75" customHeight="1" x14ac:dyDescent="0.25">
      <c r="L342" s="36"/>
    </row>
    <row r="343" spans="12:12" ht="33.75" customHeight="1" x14ac:dyDescent="0.25">
      <c r="L343" s="36"/>
    </row>
    <row r="344" spans="12:12" ht="33.75" customHeight="1" x14ac:dyDescent="0.25">
      <c r="L344" s="36"/>
    </row>
    <row r="345" spans="12:12" ht="33.75" customHeight="1" x14ac:dyDescent="0.25">
      <c r="L345" s="36"/>
    </row>
    <row r="346" spans="12:12" ht="33.75" customHeight="1" x14ac:dyDescent="0.25">
      <c r="L346" s="36"/>
    </row>
    <row r="347" spans="12:12" ht="33.75" customHeight="1" x14ac:dyDescent="0.25">
      <c r="L347" s="36"/>
    </row>
    <row r="348" spans="12:12" ht="33.75" customHeight="1" x14ac:dyDescent="0.25">
      <c r="L348" s="36"/>
    </row>
    <row r="349" spans="12:12" ht="33.75" customHeight="1" x14ac:dyDescent="0.25">
      <c r="L349" s="36"/>
    </row>
    <row r="350" spans="12:12" ht="33.75" customHeight="1" x14ac:dyDescent="0.25">
      <c r="L350" s="36"/>
    </row>
    <row r="351" spans="12:12" ht="33.75" customHeight="1" x14ac:dyDescent="0.25">
      <c r="L351" s="36"/>
    </row>
    <row r="352" spans="12:12" ht="33.75" customHeight="1" x14ac:dyDescent="0.25">
      <c r="L352" s="36"/>
    </row>
    <row r="353" spans="12:12" ht="33.75" customHeight="1" x14ac:dyDescent="0.25">
      <c r="L353" s="36"/>
    </row>
    <row r="354" spans="12:12" ht="33.75" customHeight="1" x14ac:dyDescent="0.25">
      <c r="L354" s="36"/>
    </row>
    <row r="355" spans="12:12" ht="33.75" customHeight="1" x14ac:dyDescent="0.25">
      <c r="L355" s="36"/>
    </row>
    <row r="356" spans="12:12" ht="33.75" customHeight="1" x14ac:dyDescent="0.25">
      <c r="L356" s="36"/>
    </row>
    <row r="357" spans="12:12" ht="33.75" customHeight="1" x14ac:dyDescent="0.25">
      <c r="L357" s="36"/>
    </row>
    <row r="358" spans="12:12" ht="33.75" customHeight="1" x14ac:dyDescent="0.25">
      <c r="L358" s="36"/>
    </row>
    <row r="359" spans="12:12" ht="33.75" customHeight="1" x14ac:dyDescent="0.25">
      <c r="L359" s="36"/>
    </row>
    <row r="360" spans="12:12" ht="33.75" customHeight="1" x14ac:dyDescent="0.25">
      <c r="L360" s="36"/>
    </row>
    <row r="361" spans="12:12" ht="33.75" customHeight="1" x14ac:dyDescent="0.25">
      <c r="L361" s="36"/>
    </row>
    <row r="362" spans="12:12" ht="33.75" customHeight="1" x14ac:dyDescent="0.25">
      <c r="L362" s="36"/>
    </row>
    <row r="363" spans="12:12" ht="33.75" customHeight="1" x14ac:dyDescent="0.25">
      <c r="L363" s="36"/>
    </row>
    <row r="364" spans="12:12" ht="33.75" customHeight="1" x14ac:dyDescent="0.25">
      <c r="L364" s="36"/>
    </row>
    <row r="365" spans="12:12" ht="33.75" customHeight="1" x14ac:dyDescent="0.25">
      <c r="L365" s="36"/>
    </row>
    <row r="366" spans="12:12" ht="33.75" customHeight="1" x14ac:dyDescent="0.25">
      <c r="L366" s="36"/>
    </row>
    <row r="367" spans="12:12" ht="33.75" customHeight="1" x14ac:dyDescent="0.25">
      <c r="L367" s="36"/>
    </row>
    <row r="368" spans="12:12" ht="33.75" customHeight="1" x14ac:dyDescent="0.25">
      <c r="L368" s="36"/>
    </row>
    <row r="369" spans="12:12" ht="33.75" customHeight="1" x14ac:dyDescent="0.25">
      <c r="L369" s="36"/>
    </row>
    <row r="370" spans="12:12" ht="33.75" customHeight="1" x14ac:dyDescent="0.25">
      <c r="L370" s="36"/>
    </row>
    <row r="371" spans="12:12" ht="33.75" customHeight="1" x14ac:dyDescent="0.25">
      <c r="L371" s="36"/>
    </row>
    <row r="372" spans="12:12" ht="33.75" customHeight="1" x14ac:dyDescent="0.25">
      <c r="L372" s="36"/>
    </row>
    <row r="373" spans="12:12" ht="33.75" customHeight="1" x14ac:dyDescent="0.25">
      <c r="L373" s="36"/>
    </row>
    <row r="374" spans="12:12" ht="33.75" customHeight="1" x14ac:dyDescent="0.25">
      <c r="L374" s="36"/>
    </row>
    <row r="375" spans="12:12" ht="33.75" customHeight="1" x14ac:dyDescent="0.25">
      <c r="L375" s="36"/>
    </row>
    <row r="376" spans="12:12" ht="33.75" customHeight="1" x14ac:dyDescent="0.25">
      <c r="L376" s="36"/>
    </row>
    <row r="377" spans="12:12" ht="33.75" customHeight="1" x14ac:dyDescent="0.25">
      <c r="L377" s="36"/>
    </row>
    <row r="378" spans="12:12" ht="33.75" customHeight="1" x14ac:dyDescent="0.25">
      <c r="L378" s="36"/>
    </row>
    <row r="379" spans="12:12" ht="33.75" customHeight="1" x14ac:dyDescent="0.25">
      <c r="L379" s="36"/>
    </row>
    <row r="380" spans="12:12" ht="33.75" customHeight="1" x14ac:dyDescent="0.25">
      <c r="L380" s="36"/>
    </row>
    <row r="381" spans="12:12" ht="33.75" customHeight="1" x14ac:dyDescent="0.25">
      <c r="L381" s="36"/>
    </row>
    <row r="382" spans="12:12" ht="33.75" customHeight="1" x14ac:dyDescent="0.25">
      <c r="L382" s="36"/>
    </row>
    <row r="383" spans="12:12" ht="33.75" customHeight="1" x14ac:dyDescent="0.25">
      <c r="L383" s="36"/>
    </row>
    <row r="384" spans="12:12" ht="33.75" customHeight="1" x14ac:dyDescent="0.25">
      <c r="L384" s="36"/>
    </row>
    <row r="385" spans="12:12" ht="33.75" customHeight="1" x14ac:dyDescent="0.25">
      <c r="L385" s="36"/>
    </row>
    <row r="386" spans="12:12" ht="33.75" customHeight="1" x14ac:dyDescent="0.25">
      <c r="L386" s="36"/>
    </row>
    <row r="387" spans="12:12" ht="33.75" customHeight="1" x14ac:dyDescent="0.25">
      <c r="L387" s="36"/>
    </row>
    <row r="388" spans="12:12" ht="33.75" customHeight="1" x14ac:dyDescent="0.25">
      <c r="L388" s="36"/>
    </row>
    <row r="389" spans="12:12" ht="33.75" customHeight="1" x14ac:dyDescent="0.25">
      <c r="L389" s="36"/>
    </row>
    <row r="390" spans="12:12" ht="33.75" customHeight="1" x14ac:dyDescent="0.25">
      <c r="L390" s="36"/>
    </row>
    <row r="391" spans="12:12" ht="33.75" customHeight="1" x14ac:dyDescent="0.25">
      <c r="L391" s="36"/>
    </row>
    <row r="392" spans="12:12" ht="33.75" customHeight="1" x14ac:dyDescent="0.25">
      <c r="L392" s="36"/>
    </row>
    <row r="393" spans="12:12" ht="33.75" customHeight="1" x14ac:dyDescent="0.25">
      <c r="L393" s="36"/>
    </row>
    <row r="394" spans="12:12" ht="33.75" customHeight="1" x14ac:dyDescent="0.25">
      <c r="L394" s="36"/>
    </row>
    <row r="395" spans="12:12" ht="33.75" customHeight="1" x14ac:dyDescent="0.25">
      <c r="L395" s="36"/>
    </row>
    <row r="396" spans="12:12" ht="33.75" customHeight="1" x14ac:dyDescent="0.25">
      <c r="L396" s="36"/>
    </row>
    <row r="397" spans="12:12" ht="33.75" customHeight="1" x14ac:dyDescent="0.25">
      <c r="L397" s="36"/>
    </row>
    <row r="398" spans="12:12" ht="33.75" customHeight="1" x14ac:dyDescent="0.25">
      <c r="L398" s="36"/>
    </row>
    <row r="399" spans="12:12" ht="33.75" customHeight="1" x14ac:dyDescent="0.25">
      <c r="L399" s="36"/>
    </row>
    <row r="400" spans="12:12" ht="33.75" customHeight="1" x14ac:dyDescent="0.25">
      <c r="L400" s="36"/>
    </row>
    <row r="401" spans="12:12" ht="33.75" customHeight="1" x14ac:dyDescent="0.25">
      <c r="L401" s="36"/>
    </row>
    <row r="402" spans="12:12" ht="33.75" customHeight="1" x14ac:dyDescent="0.25">
      <c r="L402" s="36"/>
    </row>
    <row r="403" spans="12:12" ht="33.75" customHeight="1" x14ac:dyDescent="0.25">
      <c r="L403" s="36"/>
    </row>
    <row r="404" spans="12:12" ht="33.75" customHeight="1" x14ac:dyDescent="0.25">
      <c r="L404" s="36"/>
    </row>
    <row r="405" spans="12:12" ht="33.75" customHeight="1" x14ac:dyDescent="0.25">
      <c r="L405" s="36"/>
    </row>
    <row r="406" spans="12:12" ht="33.75" customHeight="1" x14ac:dyDescent="0.25">
      <c r="L406" s="36"/>
    </row>
    <row r="407" spans="12:12" ht="33.75" customHeight="1" x14ac:dyDescent="0.25">
      <c r="L407" s="36"/>
    </row>
    <row r="408" spans="12:12" ht="33.75" customHeight="1" x14ac:dyDescent="0.25">
      <c r="L408" s="36"/>
    </row>
    <row r="409" spans="12:12" ht="33.75" customHeight="1" x14ac:dyDescent="0.25">
      <c r="L409" s="36"/>
    </row>
    <row r="410" spans="12:12" ht="33.75" customHeight="1" x14ac:dyDescent="0.25">
      <c r="L410" s="36"/>
    </row>
    <row r="411" spans="12:12" ht="33.75" customHeight="1" x14ac:dyDescent="0.25">
      <c r="L411" s="36"/>
    </row>
    <row r="412" spans="12:12" ht="33.75" customHeight="1" x14ac:dyDescent="0.25">
      <c r="L412" s="36"/>
    </row>
    <row r="413" spans="12:12" ht="33.75" customHeight="1" x14ac:dyDescent="0.25">
      <c r="L413" s="36"/>
    </row>
    <row r="414" spans="12:12" ht="33.75" customHeight="1" x14ac:dyDescent="0.25">
      <c r="L414" s="36"/>
    </row>
    <row r="415" spans="12:12" ht="33.75" customHeight="1" x14ac:dyDescent="0.25">
      <c r="L415" s="36"/>
    </row>
    <row r="416" spans="12:12" ht="33.75" customHeight="1" x14ac:dyDescent="0.25">
      <c r="L416" s="36"/>
    </row>
    <row r="417" spans="12:12" ht="33.75" customHeight="1" x14ac:dyDescent="0.25">
      <c r="L417" s="36"/>
    </row>
    <row r="418" spans="12:12" ht="33.75" customHeight="1" x14ac:dyDescent="0.25">
      <c r="L418" s="36"/>
    </row>
    <row r="419" spans="12:12" ht="33.75" customHeight="1" x14ac:dyDescent="0.25">
      <c r="L419" s="36"/>
    </row>
    <row r="420" spans="12:12" ht="33.75" customHeight="1" x14ac:dyDescent="0.25">
      <c r="L420" s="36"/>
    </row>
    <row r="421" spans="12:12" ht="33.75" customHeight="1" x14ac:dyDescent="0.25">
      <c r="L421" s="36"/>
    </row>
    <row r="422" spans="12:12" ht="33.75" customHeight="1" x14ac:dyDescent="0.25">
      <c r="L422" s="36"/>
    </row>
    <row r="423" spans="12:12" ht="33.75" customHeight="1" x14ac:dyDescent="0.25">
      <c r="L423" s="36"/>
    </row>
    <row r="424" spans="12:12" ht="33.75" customHeight="1" x14ac:dyDescent="0.25">
      <c r="L424" s="36"/>
    </row>
    <row r="425" spans="12:12" ht="33.75" customHeight="1" x14ac:dyDescent="0.25">
      <c r="L425" s="36"/>
    </row>
    <row r="426" spans="12:12" ht="33.75" customHeight="1" x14ac:dyDescent="0.25">
      <c r="L426" s="36"/>
    </row>
    <row r="427" spans="12:12" ht="33.75" customHeight="1" x14ac:dyDescent="0.25">
      <c r="L427" s="36"/>
    </row>
    <row r="428" spans="12:12" ht="33.75" customHeight="1" x14ac:dyDescent="0.25">
      <c r="L428" s="36"/>
    </row>
    <row r="429" spans="12:12" ht="33.75" customHeight="1" x14ac:dyDescent="0.25">
      <c r="L429" s="36"/>
    </row>
    <row r="430" spans="12:12" ht="33.75" customHeight="1" x14ac:dyDescent="0.25">
      <c r="L430" s="36"/>
    </row>
    <row r="431" spans="12:12" ht="33.75" customHeight="1" x14ac:dyDescent="0.25">
      <c r="L431" s="36"/>
    </row>
    <row r="432" spans="12:12" ht="33.75" customHeight="1" x14ac:dyDescent="0.25">
      <c r="L432" s="36"/>
    </row>
    <row r="433" spans="12:12" ht="33.75" customHeight="1" x14ac:dyDescent="0.25">
      <c r="L433" s="36"/>
    </row>
    <row r="434" spans="12:12" ht="33.75" customHeight="1" x14ac:dyDescent="0.25">
      <c r="L434" s="36"/>
    </row>
    <row r="435" spans="12:12" ht="33.75" customHeight="1" x14ac:dyDescent="0.25">
      <c r="L435" s="36"/>
    </row>
    <row r="436" spans="12:12" ht="33.75" customHeight="1" x14ac:dyDescent="0.25">
      <c r="L436" s="36"/>
    </row>
    <row r="437" spans="12:12" ht="33.75" customHeight="1" x14ac:dyDescent="0.25">
      <c r="L437" s="36"/>
    </row>
    <row r="438" spans="12:12" ht="33.75" customHeight="1" x14ac:dyDescent="0.25">
      <c r="L438" s="36"/>
    </row>
    <row r="439" spans="12:12" ht="33.75" customHeight="1" x14ac:dyDescent="0.25">
      <c r="L439" s="36"/>
    </row>
    <row r="440" spans="12:12" ht="33.75" customHeight="1" x14ac:dyDescent="0.25">
      <c r="L440" s="36"/>
    </row>
    <row r="441" spans="12:12" ht="33.75" customHeight="1" x14ac:dyDescent="0.25">
      <c r="L441" s="36"/>
    </row>
    <row r="442" spans="12:12" ht="33.75" customHeight="1" x14ac:dyDescent="0.25">
      <c r="L442" s="36"/>
    </row>
    <row r="443" spans="12:12" ht="33.75" customHeight="1" x14ac:dyDescent="0.25">
      <c r="L443" s="36"/>
    </row>
    <row r="444" spans="12:12" ht="33.75" customHeight="1" x14ac:dyDescent="0.25">
      <c r="L444" s="36"/>
    </row>
    <row r="445" spans="12:12" ht="33.75" customHeight="1" x14ac:dyDescent="0.25">
      <c r="L445" s="36"/>
    </row>
    <row r="446" spans="12:12" ht="33.75" customHeight="1" x14ac:dyDescent="0.25">
      <c r="L446" s="36"/>
    </row>
    <row r="447" spans="12:12" ht="33.75" customHeight="1" x14ac:dyDescent="0.25">
      <c r="L447" s="36"/>
    </row>
    <row r="448" spans="12:12" ht="33.75" customHeight="1" x14ac:dyDescent="0.25">
      <c r="L448" s="36"/>
    </row>
    <row r="449" spans="12:12" ht="33.75" customHeight="1" x14ac:dyDescent="0.25">
      <c r="L449" s="36"/>
    </row>
    <row r="450" spans="12:12" ht="33.75" customHeight="1" x14ac:dyDescent="0.25">
      <c r="L450" s="36"/>
    </row>
    <row r="451" spans="12:12" ht="33.75" customHeight="1" x14ac:dyDescent="0.25">
      <c r="L451" s="36"/>
    </row>
    <row r="452" spans="12:12" ht="33.75" customHeight="1" x14ac:dyDescent="0.25">
      <c r="L452" s="36"/>
    </row>
    <row r="453" spans="12:12" ht="33.75" customHeight="1" x14ac:dyDescent="0.25">
      <c r="L453" s="36"/>
    </row>
    <row r="454" spans="12:12" ht="33.75" customHeight="1" x14ac:dyDescent="0.25">
      <c r="L454" s="36"/>
    </row>
    <row r="455" spans="12:12" ht="33.75" customHeight="1" x14ac:dyDescent="0.25">
      <c r="L455" s="36"/>
    </row>
    <row r="456" spans="12:12" ht="33.75" customHeight="1" x14ac:dyDescent="0.25">
      <c r="L456" s="36"/>
    </row>
    <row r="457" spans="12:12" ht="33.75" customHeight="1" x14ac:dyDescent="0.25">
      <c r="L457" s="36"/>
    </row>
    <row r="458" spans="12:12" ht="33.75" customHeight="1" x14ac:dyDescent="0.25">
      <c r="L458" s="36"/>
    </row>
    <row r="459" spans="12:12" ht="33.75" customHeight="1" x14ac:dyDescent="0.25">
      <c r="L459" s="36"/>
    </row>
    <row r="460" spans="12:12" ht="33.75" customHeight="1" x14ac:dyDescent="0.25">
      <c r="L460" s="36"/>
    </row>
    <row r="461" spans="12:12" ht="33.75" customHeight="1" x14ac:dyDescent="0.25">
      <c r="L461" s="36"/>
    </row>
    <row r="462" spans="12:12" ht="33.75" customHeight="1" x14ac:dyDescent="0.25">
      <c r="L462" s="36"/>
    </row>
    <row r="463" spans="12:12" ht="33.75" customHeight="1" x14ac:dyDescent="0.25">
      <c r="L463" s="36"/>
    </row>
    <row r="464" spans="12:12" ht="33.75" customHeight="1" x14ac:dyDescent="0.25">
      <c r="L464" s="36"/>
    </row>
    <row r="465" spans="12:12" ht="33.75" customHeight="1" x14ac:dyDescent="0.25">
      <c r="L465" s="36"/>
    </row>
    <row r="466" spans="12:12" ht="33.75" customHeight="1" x14ac:dyDescent="0.25">
      <c r="L466" s="36"/>
    </row>
    <row r="467" spans="12:12" ht="33.75" customHeight="1" x14ac:dyDescent="0.25">
      <c r="L467" s="36"/>
    </row>
    <row r="468" spans="12:12" ht="33.75" customHeight="1" x14ac:dyDescent="0.25">
      <c r="L468" s="36"/>
    </row>
    <row r="469" spans="12:12" ht="33.75" customHeight="1" x14ac:dyDescent="0.25">
      <c r="L469" s="36"/>
    </row>
    <row r="470" spans="12:12" ht="33.75" customHeight="1" x14ac:dyDescent="0.25">
      <c r="L470" s="36"/>
    </row>
    <row r="471" spans="12:12" ht="33.75" customHeight="1" x14ac:dyDescent="0.25">
      <c r="L471" s="36"/>
    </row>
    <row r="472" spans="12:12" ht="33.75" customHeight="1" x14ac:dyDescent="0.25">
      <c r="L472" s="36"/>
    </row>
    <row r="473" spans="12:12" ht="33.75" customHeight="1" x14ac:dyDescent="0.25">
      <c r="L473" s="36"/>
    </row>
    <row r="474" spans="12:12" ht="33.75" customHeight="1" x14ac:dyDescent="0.25">
      <c r="L474" s="36"/>
    </row>
    <row r="475" spans="12:12" ht="33.75" customHeight="1" x14ac:dyDescent="0.25">
      <c r="L475" s="36"/>
    </row>
    <row r="476" spans="12:12" ht="33.75" customHeight="1" x14ac:dyDescent="0.25">
      <c r="L476" s="36"/>
    </row>
    <row r="477" spans="12:12" ht="33.75" customHeight="1" x14ac:dyDescent="0.25">
      <c r="L477" s="36"/>
    </row>
    <row r="478" spans="12:12" ht="33.75" customHeight="1" x14ac:dyDescent="0.25">
      <c r="L478" s="36"/>
    </row>
    <row r="479" spans="12:12" ht="33.75" customHeight="1" x14ac:dyDescent="0.25">
      <c r="L479" s="36"/>
    </row>
    <row r="480" spans="12:12" ht="33.75" customHeight="1" x14ac:dyDescent="0.25">
      <c r="L480" s="36"/>
    </row>
    <row r="481" spans="12:12" ht="33.75" customHeight="1" x14ac:dyDescent="0.25">
      <c r="L481" s="36"/>
    </row>
    <row r="482" spans="12:12" ht="33.75" customHeight="1" x14ac:dyDescent="0.25">
      <c r="L482" s="36"/>
    </row>
    <row r="483" spans="12:12" ht="33.75" customHeight="1" x14ac:dyDescent="0.25">
      <c r="L483" s="36"/>
    </row>
    <row r="484" spans="12:12" ht="33.75" customHeight="1" x14ac:dyDescent="0.25">
      <c r="L484" s="36"/>
    </row>
    <row r="485" spans="12:12" ht="33.75" customHeight="1" x14ac:dyDescent="0.25">
      <c r="L485" s="36"/>
    </row>
    <row r="486" spans="12:12" ht="33.75" customHeight="1" x14ac:dyDescent="0.25">
      <c r="L486" s="36"/>
    </row>
    <row r="487" spans="12:12" ht="33.75" customHeight="1" x14ac:dyDescent="0.25">
      <c r="L487" s="36"/>
    </row>
    <row r="488" spans="12:12" ht="33.75" customHeight="1" x14ac:dyDescent="0.25">
      <c r="L488" s="36"/>
    </row>
    <row r="489" spans="12:12" ht="33.75" customHeight="1" x14ac:dyDescent="0.25">
      <c r="L489" s="36"/>
    </row>
    <row r="490" spans="12:12" ht="33.75" customHeight="1" x14ac:dyDescent="0.25">
      <c r="L490" s="36"/>
    </row>
    <row r="491" spans="12:12" ht="33.75" customHeight="1" x14ac:dyDescent="0.25">
      <c r="L491" s="36"/>
    </row>
    <row r="492" spans="12:12" ht="33.75" customHeight="1" x14ac:dyDescent="0.25">
      <c r="L492" s="36"/>
    </row>
    <row r="493" spans="12:12" ht="33.75" customHeight="1" x14ac:dyDescent="0.25">
      <c r="L493" s="36"/>
    </row>
    <row r="494" spans="12:12" ht="33.75" customHeight="1" x14ac:dyDescent="0.25">
      <c r="L494" s="36"/>
    </row>
    <row r="495" spans="12:12" ht="33.75" customHeight="1" x14ac:dyDescent="0.25">
      <c r="L495" s="36"/>
    </row>
    <row r="496" spans="12:12" ht="33.75" customHeight="1" x14ac:dyDescent="0.25">
      <c r="L496" s="36"/>
    </row>
    <row r="497" spans="12:12" ht="33.75" customHeight="1" x14ac:dyDescent="0.25">
      <c r="L497" s="36"/>
    </row>
    <row r="498" spans="12:12" ht="33.75" customHeight="1" x14ac:dyDescent="0.25">
      <c r="L498" s="36"/>
    </row>
    <row r="499" spans="12:12" ht="33.75" customHeight="1" x14ac:dyDescent="0.25">
      <c r="L499" s="36"/>
    </row>
    <row r="500" spans="12:12" ht="33.75" customHeight="1" x14ac:dyDescent="0.25">
      <c r="L500" s="36"/>
    </row>
    <row r="501" spans="12:12" ht="33.75" customHeight="1" x14ac:dyDescent="0.25">
      <c r="L501" s="36"/>
    </row>
    <row r="502" spans="12:12" ht="33.75" customHeight="1" x14ac:dyDescent="0.25">
      <c r="L502" s="36"/>
    </row>
    <row r="503" spans="12:12" ht="33.75" customHeight="1" x14ac:dyDescent="0.25">
      <c r="L503" s="36"/>
    </row>
    <row r="504" spans="12:12" ht="33.75" customHeight="1" x14ac:dyDescent="0.25">
      <c r="L504" s="36"/>
    </row>
    <row r="505" spans="12:12" ht="33.75" customHeight="1" x14ac:dyDescent="0.25">
      <c r="L505" s="36"/>
    </row>
    <row r="506" spans="12:12" ht="33.75" customHeight="1" x14ac:dyDescent="0.25">
      <c r="L506" s="36"/>
    </row>
    <row r="507" spans="12:12" ht="33.75" customHeight="1" x14ac:dyDescent="0.25">
      <c r="L507" s="36"/>
    </row>
    <row r="508" spans="12:12" ht="33.75" customHeight="1" x14ac:dyDescent="0.25">
      <c r="L508" s="36"/>
    </row>
    <row r="509" spans="12:12" ht="33.75" customHeight="1" x14ac:dyDescent="0.25">
      <c r="L509" s="36"/>
    </row>
    <row r="510" spans="12:12" ht="33.75" customHeight="1" x14ac:dyDescent="0.25">
      <c r="L510" s="36"/>
    </row>
    <row r="511" spans="12:12" ht="33.75" customHeight="1" x14ac:dyDescent="0.25">
      <c r="L511" s="36"/>
    </row>
    <row r="512" spans="12:12" ht="33.75" customHeight="1" x14ac:dyDescent="0.25">
      <c r="L512" s="36"/>
    </row>
    <row r="513" spans="12:12" ht="33.75" customHeight="1" x14ac:dyDescent="0.25">
      <c r="L513" s="36"/>
    </row>
    <row r="514" spans="12:12" ht="33.75" customHeight="1" x14ac:dyDescent="0.25">
      <c r="L514" s="36"/>
    </row>
    <row r="515" spans="12:12" ht="33.75" customHeight="1" x14ac:dyDescent="0.25">
      <c r="L515" s="36"/>
    </row>
    <row r="516" spans="12:12" ht="33.75" customHeight="1" x14ac:dyDescent="0.25">
      <c r="L516" s="36"/>
    </row>
    <row r="517" spans="12:12" ht="33.75" customHeight="1" x14ac:dyDescent="0.25">
      <c r="L517" s="36"/>
    </row>
    <row r="518" spans="12:12" ht="33.75" customHeight="1" x14ac:dyDescent="0.25">
      <c r="L518" s="36"/>
    </row>
    <row r="519" spans="12:12" ht="33.75" customHeight="1" x14ac:dyDescent="0.25">
      <c r="L519" s="36"/>
    </row>
    <row r="520" spans="12:12" ht="33.75" customHeight="1" x14ac:dyDescent="0.25">
      <c r="L520" s="36"/>
    </row>
    <row r="521" spans="12:12" ht="33.75" customHeight="1" x14ac:dyDescent="0.25">
      <c r="L521" s="36"/>
    </row>
    <row r="522" spans="12:12" ht="33.75" customHeight="1" x14ac:dyDescent="0.25">
      <c r="L522" s="36"/>
    </row>
    <row r="523" spans="12:12" ht="33.75" customHeight="1" x14ac:dyDescent="0.25">
      <c r="L523" s="36"/>
    </row>
    <row r="524" spans="12:12" ht="33.75" customHeight="1" x14ac:dyDescent="0.25">
      <c r="L524" s="36"/>
    </row>
    <row r="525" spans="12:12" ht="33.75" customHeight="1" x14ac:dyDescent="0.25">
      <c r="L525" s="36"/>
    </row>
    <row r="526" spans="12:12" ht="33.75" customHeight="1" x14ac:dyDescent="0.25">
      <c r="L526" s="36"/>
    </row>
    <row r="527" spans="12:12" ht="33.75" customHeight="1" x14ac:dyDescent="0.25">
      <c r="L527" s="36"/>
    </row>
    <row r="528" spans="12:12" ht="33.75" customHeight="1" x14ac:dyDescent="0.25">
      <c r="L528" s="36"/>
    </row>
    <row r="529" spans="12:12" ht="33.75" customHeight="1" x14ac:dyDescent="0.25">
      <c r="L529" s="36"/>
    </row>
    <row r="530" spans="12:12" ht="33.75" customHeight="1" x14ac:dyDescent="0.25">
      <c r="L530" s="36"/>
    </row>
    <row r="531" spans="12:12" ht="33.75" customHeight="1" x14ac:dyDescent="0.25">
      <c r="L531" s="36"/>
    </row>
    <row r="532" spans="12:12" ht="33.75" customHeight="1" x14ac:dyDescent="0.25">
      <c r="L532" s="36"/>
    </row>
    <row r="533" spans="12:12" ht="33.75" customHeight="1" x14ac:dyDescent="0.25">
      <c r="L533" s="36"/>
    </row>
    <row r="534" spans="12:12" ht="33.75" customHeight="1" x14ac:dyDescent="0.25">
      <c r="L534" s="36"/>
    </row>
    <row r="535" spans="12:12" ht="33.75" customHeight="1" x14ac:dyDescent="0.25">
      <c r="L535" s="36"/>
    </row>
    <row r="536" spans="12:12" ht="33.75" customHeight="1" x14ac:dyDescent="0.25">
      <c r="L536" s="36"/>
    </row>
    <row r="537" spans="12:12" ht="33.75" customHeight="1" x14ac:dyDescent="0.25">
      <c r="L537" s="36"/>
    </row>
    <row r="538" spans="12:12" ht="33.75" customHeight="1" x14ac:dyDescent="0.25">
      <c r="L538" s="36"/>
    </row>
    <row r="539" spans="12:12" ht="33.75" customHeight="1" x14ac:dyDescent="0.25">
      <c r="L539" s="36"/>
    </row>
    <row r="540" spans="12:12" ht="33.75" customHeight="1" x14ac:dyDescent="0.25">
      <c r="L540" s="36"/>
    </row>
    <row r="541" spans="12:12" ht="33.75" customHeight="1" x14ac:dyDescent="0.25">
      <c r="L541" s="36"/>
    </row>
    <row r="542" spans="12:12" ht="33.75" customHeight="1" x14ac:dyDescent="0.25">
      <c r="L542" s="36"/>
    </row>
    <row r="543" spans="12:12" ht="33.75" customHeight="1" x14ac:dyDescent="0.25">
      <c r="L543" s="36"/>
    </row>
    <row r="544" spans="12:12" ht="33.75" customHeight="1" x14ac:dyDescent="0.25">
      <c r="L544" s="36"/>
    </row>
    <row r="545" spans="12:12" ht="33.75" customHeight="1" x14ac:dyDescent="0.25">
      <c r="L545" s="36"/>
    </row>
    <row r="546" spans="12:12" ht="33.75" customHeight="1" x14ac:dyDescent="0.25">
      <c r="L546" s="36"/>
    </row>
    <row r="547" spans="12:12" ht="33.75" customHeight="1" x14ac:dyDescent="0.25">
      <c r="L547" s="36"/>
    </row>
    <row r="548" spans="12:12" ht="33.75" customHeight="1" x14ac:dyDescent="0.25">
      <c r="L548" s="36"/>
    </row>
    <row r="549" spans="12:12" ht="33.75" customHeight="1" x14ac:dyDescent="0.25">
      <c r="L549" s="36"/>
    </row>
    <row r="550" spans="12:12" ht="33.75" customHeight="1" x14ac:dyDescent="0.25">
      <c r="L550" s="36"/>
    </row>
    <row r="551" spans="12:12" ht="33.75" customHeight="1" x14ac:dyDescent="0.25">
      <c r="L551" s="36"/>
    </row>
    <row r="552" spans="12:12" ht="33.75" customHeight="1" x14ac:dyDescent="0.25">
      <c r="L552" s="36"/>
    </row>
    <row r="553" spans="12:12" ht="33.75" customHeight="1" x14ac:dyDescent="0.25">
      <c r="L553" s="36"/>
    </row>
    <row r="554" spans="12:12" ht="33.75" customHeight="1" x14ac:dyDescent="0.25">
      <c r="L554" s="36"/>
    </row>
    <row r="555" spans="12:12" ht="33.75" customHeight="1" x14ac:dyDescent="0.25">
      <c r="L555" s="36"/>
    </row>
    <row r="556" spans="12:12" ht="33.75" customHeight="1" x14ac:dyDescent="0.25">
      <c r="L556" s="36"/>
    </row>
    <row r="557" spans="12:12" ht="33.75" customHeight="1" x14ac:dyDescent="0.25">
      <c r="L557" s="36"/>
    </row>
    <row r="558" spans="12:12" ht="33.75" customHeight="1" x14ac:dyDescent="0.25">
      <c r="L558" s="36"/>
    </row>
    <row r="559" spans="12:12" ht="33.75" customHeight="1" x14ac:dyDescent="0.25"/>
    <row r="560" spans="12:12" ht="33.75" customHeight="1" x14ac:dyDescent="0.25"/>
    <row r="561" ht="33.75" customHeight="1" x14ac:dyDescent="0.25"/>
    <row r="562" ht="33.75" customHeight="1" x14ac:dyDescent="0.25"/>
    <row r="563" ht="33.75" customHeight="1" x14ac:dyDescent="0.25"/>
    <row r="564" ht="33.75" customHeight="1" x14ac:dyDescent="0.25"/>
    <row r="565" ht="33.75" customHeight="1" x14ac:dyDescent="0.25"/>
    <row r="566" ht="33.75" customHeight="1" x14ac:dyDescent="0.25"/>
    <row r="567" ht="33.75" customHeight="1" x14ac:dyDescent="0.25"/>
    <row r="568" ht="33.75" customHeight="1" x14ac:dyDescent="0.25"/>
    <row r="569" ht="33.75" customHeight="1" x14ac:dyDescent="0.25"/>
    <row r="570" ht="33.75" customHeight="1" x14ac:dyDescent="0.25"/>
    <row r="571" ht="33.75" customHeight="1" x14ac:dyDescent="0.25"/>
    <row r="572" ht="33.75" customHeight="1" x14ac:dyDescent="0.25"/>
    <row r="573" ht="33.75" customHeight="1" x14ac:dyDescent="0.25"/>
    <row r="574" ht="33.75" customHeight="1" x14ac:dyDescent="0.25"/>
    <row r="575" ht="33.75" customHeight="1" x14ac:dyDescent="0.25"/>
    <row r="576" ht="33.75" customHeight="1" x14ac:dyDescent="0.25"/>
    <row r="577" ht="33.75" customHeight="1" x14ac:dyDescent="0.25"/>
    <row r="578" ht="33.75" customHeight="1" x14ac:dyDescent="0.25"/>
    <row r="579" ht="33.75" customHeight="1" x14ac:dyDescent="0.25"/>
    <row r="580" ht="33.75" customHeight="1" x14ac:dyDescent="0.25"/>
    <row r="581" ht="33.75" customHeight="1" x14ac:dyDescent="0.25"/>
    <row r="582" ht="33.75" customHeight="1" x14ac:dyDescent="0.25"/>
    <row r="583" ht="33.75" customHeight="1" x14ac:dyDescent="0.25"/>
    <row r="584" ht="33.75" customHeight="1" x14ac:dyDescent="0.25"/>
    <row r="585" ht="33.75" customHeight="1" x14ac:dyDescent="0.25"/>
    <row r="586" ht="33.75" customHeight="1" x14ac:dyDescent="0.25"/>
    <row r="587" ht="33.75" customHeight="1" x14ac:dyDescent="0.25"/>
    <row r="588" ht="33.75" customHeight="1" x14ac:dyDescent="0.25"/>
    <row r="589" ht="33.75" customHeight="1" x14ac:dyDescent="0.25"/>
    <row r="590" ht="33.75" customHeight="1" x14ac:dyDescent="0.25"/>
    <row r="591" ht="33.75" customHeight="1" x14ac:dyDescent="0.25"/>
    <row r="592" ht="33.75" customHeight="1" x14ac:dyDescent="0.25"/>
    <row r="593" ht="33.75" customHeight="1" x14ac:dyDescent="0.25"/>
    <row r="594" ht="33.75" customHeight="1" x14ac:dyDescent="0.25"/>
    <row r="595" ht="33.75" customHeight="1" x14ac:dyDescent="0.25"/>
    <row r="596" ht="33.75" customHeight="1" x14ac:dyDescent="0.25"/>
    <row r="597" ht="33.75" customHeight="1" x14ac:dyDescent="0.25"/>
    <row r="598" ht="33.75" customHeight="1" x14ac:dyDescent="0.25"/>
    <row r="599" ht="33.75" customHeight="1" x14ac:dyDescent="0.25"/>
    <row r="600" ht="33.75" customHeight="1" x14ac:dyDescent="0.25"/>
    <row r="601" ht="33.75" customHeight="1" x14ac:dyDescent="0.25"/>
    <row r="602" ht="33.75" customHeight="1" x14ac:dyDescent="0.25"/>
    <row r="603" ht="33.75" customHeight="1" x14ac:dyDescent="0.25"/>
    <row r="604" ht="33.75" customHeight="1" x14ac:dyDescent="0.25"/>
    <row r="605" ht="33.75" customHeight="1" x14ac:dyDescent="0.25"/>
    <row r="606" ht="33.75" customHeight="1" x14ac:dyDescent="0.25"/>
    <row r="607" ht="33.75" customHeight="1" x14ac:dyDescent="0.25"/>
    <row r="608" ht="33.75" customHeight="1" x14ac:dyDescent="0.25"/>
    <row r="609" ht="33.75" customHeight="1" x14ac:dyDescent="0.25"/>
    <row r="610" ht="33.75" customHeight="1" x14ac:dyDescent="0.25"/>
    <row r="611" ht="33.75" customHeight="1" x14ac:dyDescent="0.25"/>
    <row r="612" ht="33.75" customHeight="1" x14ac:dyDescent="0.25"/>
    <row r="613" ht="33.75" customHeight="1" x14ac:dyDescent="0.25"/>
    <row r="614" ht="33.75" customHeight="1" x14ac:dyDescent="0.25"/>
    <row r="615" ht="33.75" customHeight="1" x14ac:dyDescent="0.25"/>
    <row r="616" ht="33.75" customHeight="1" x14ac:dyDescent="0.25"/>
    <row r="617" ht="33.75" customHeight="1" x14ac:dyDescent="0.25"/>
    <row r="618" ht="33.75" customHeight="1" x14ac:dyDescent="0.25"/>
    <row r="619" ht="33.75" customHeight="1" x14ac:dyDescent="0.25"/>
    <row r="620" ht="33.75" customHeight="1" x14ac:dyDescent="0.25"/>
    <row r="621" ht="33.75" customHeight="1" x14ac:dyDescent="0.25"/>
    <row r="622" ht="33.75" customHeight="1" x14ac:dyDescent="0.25"/>
    <row r="623" ht="33.75" customHeight="1" x14ac:dyDescent="0.25"/>
    <row r="624" ht="33.75" customHeight="1" x14ac:dyDescent="0.25"/>
    <row r="625" ht="33.75" customHeight="1" x14ac:dyDescent="0.25"/>
    <row r="626" ht="33.75" customHeight="1" x14ac:dyDescent="0.25"/>
    <row r="627" ht="33.75" customHeight="1" x14ac:dyDescent="0.25"/>
    <row r="628" ht="33.75" customHeight="1" x14ac:dyDescent="0.25"/>
    <row r="629" ht="33.75" customHeight="1" x14ac:dyDescent="0.25"/>
    <row r="630" ht="33.75" customHeight="1" x14ac:dyDescent="0.25"/>
    <row r="631" ht="33.75" customHeight="1" x14ac:dyDescent="0.25"/>
    <row r="632" ht="33.75" customHeight="1" x14ac:dyDescent="0.25"/>
    <row r="633" ht="33.75" customHeight="1" x14ac:dyDescent="0.25"/>
    <row r="634" ht="33.75" customHeight="1" x14ac:dyDescent="0.25"/>
    <row r="635" ht="33.75" customHeight="1" x14ac:dyDescent="0.25"/>
    <row r="636" ht="33.75" customHeight="1" x14ac:dyDescent="0.25"/>
    <row r="637" ht="33.75" customHeight="1" x14ac:dyDescent="0.25"/>
    <row r="638" ht="33.75" customHeight="1" x14ac:dyDescent="0.25"/>
    <row r="639" ht="33.75" customHeight="1" x14ac:dyDescent="0.25"/>
    <row r="640" ht="33.75" customHeight="1" x14ac:dyDescent="0.25"/>
    <row r="641" ht="33.75" customHeight="1" x14ac:dyDescent="0.25"/>
    <row r="642" ht="33.75" customHeight="1" x14ac:dyDescent="0.25"/>
    <row r="643" ht="33.75" customHeight="1" x14ac:dyDescent="0.25"/>
    <row r="644" ht="33.75" customHeight="1" x14ac:dyDescent="0.25"/>
    <row r="645" ht="33.75" customHeight="1" x14ac:dyDescent="0.25"/>
    <row r="646" ht="33.75" customHeight="1" x14ac:dyDescent="0.25"/>
    <row r="647" ht="33.75" customHeight="1" x14ac:dyDescent="0.25"/>
    <row r="648" ht="33.75" customHeight="1" x14ac:dyDescent="0.25"/>
    <row r="649" ht="33.75" customHeight="1" x14ac:dyDescent="0.25"/>
    <row r="650" ht="33.75" customHeight="1" x14ac:dyDescent="0.25"/>
    <row r="651" ht="33.75" customHeight="1" x14ac:dyDescent="0.25"/>
    <row r="652" ht="33.75" customHeight="1" x14ac:dyDescent="0.25"/>
    <row r="653" ht="33.75" customHeight="1" x14ac:dyDescent="0.25"/>
    <row r="654" ht="33.75" customHeight="1" x14ac:dyDescent="0.25"/>
    <row r="655" ht="33.75" customHeight="1" x14ac:dyDescent="0.25"/>
    <row r="656" ht="33.75" customHeight="1" x14ac:dyDescent="0.25"/>
    <row r="657" ht="33.75" customHeight="1" x14ac:dyDescent="0.25"/>
    <row r="658" ht="33.75" customHeight="1" x14ac:dyDescent="0.25"/>
    <row r="659" ht="33.75" customHeight="1" x14ac:dyDescent="0.25"/>
    <row r="660" ht="33.75" customHeight="1" x14ac:dyDescent="0.25"/>
    <row r="661" ht="33.75" customHeight="1" x14ac:dyDescent="0.25"/>
    <row r="662" ht="33.75" customHeight="1" x14ac:dyDescent="0.25"/>
    <row r="663" ht="33.75" customHeight="1" x14ac:dyDescent="0.25"/>
    <row r="664" ht="33.75" customHeight="1" x14ac:dyDescent="0.25"/>
    <row r="665" ht="33.75" customHeight="1" x14ac:dyDescent="0.25"/>
    <row r="666" ht="33.75" customHeight="1" x14ac:dyDescent="0.25"/>
    <row r="667" ht="33.75" customHeight="1" x14ac:dyDescent="0.25"/>
    <row r="668" ht="33.75" customHeight="1" x14ac:dyDescent="0.25"/>
    <row r="669" ht="33.75" customHeight="1" x14ac:dyDescent="0.25"/>
    <row r="670" ht="33.75" customHeight="1" x14ac:dyDescent="0.25"/>
    <row r="671" ht="33.75" customHeight="1" x14ac:dyDescent="0.25"/>
    <row r="672" ht="33.75" customHeight="1" x14ac:dyDescent="0.25"/>
    <row r="673" ht="33.75" customHeight="1" x14ac:dyDescent="0.25"/>
    <row r="674" ht="33.75" customHeight="1" x14ac:dyDescent="0.25"/>
    <row r="675" ht="33.75" customHeight="1" x14ac:dyDescent="0.25"/>
    <row r="676" ht="33.75" customHeight="1" x14ac:dyDescent="0.25"/>
    <row r="677" ht="33.75" customHeight="1" x14ac:dyDescent="0.25"/>
    <row r="678" ht="33.75" customHeight="1" x14ac:dyDescent="0.25"/>
    <row r="679" ht="33.75" customHeight="1" x14ac:dyDescent="0.25"/>
    <row r="680" ht="33.75" customHeight="1" x14ac:dyDescent="0.25"/>
    <row r="681" ht="33.75" customHeight="1" x14ac:dyDescent="0.25"/>
    <row r="682" ht="33.75" customHeight="1" x14ac:dyDescent="0.25"/>
    <row r="683" ht="33.75" customHeight="1" x14ac:dyDescent="0.25"/>
    <row r="684" ht="33.75" customHeight="1" x14ac:dyDescent="0.25"/>
    <row r="685" ht="33.75" customHeight="1" x14ac:dyDescent="0.25"/>
    <row r="686" ht="33.75" customHeight="1" x14ac:dyDescent="0.25"/>
    <row r="687" ht="33.75" customHeight="1" x14ac:dyDescent="0.25"/>
    <row r="688" ht="33.75" customHeight="1" x14ac:dyDescent="0.25"/>
    <row r="689" ht="33.75" customHeight="1" x14ac:dyDescent="0.25"/>
    <row r="690" ht="33.75" customHeight="1" x14ac:dyDescent="0.25"/>
    <row r="691" ht="33.75" customHeight="1" x14ac:dyDescent="0.25"/>
    <row r="692" ht="33.75" customHeight="1" x14ac:dyDescent="0.25"/>
    <row r="693" ht="33.75" customHeight="1" x14ac:dyDescent="0.25"/>
    <row r="694" ht="33.75" customHeight="1" x14ac:dyDescent="0.25"/>
    <row r="695" ht="33.75" customHeight="1" x14ac:dyDescent="0.25"/>
    <row r="696" ht="33.75" customHeight="1" x14ac:dyDescent="0.25"/>
    <row r="697" ht="33.75" customHeight="1" x14ac:dyDescent="0.25"/>
    <row r="698" ht="33.75" customHeight="1" x14ac:dyDescent="0.25"/>
    <row r="699" ht="33.75" customHeight="1" x14ac:dyDescent="0.25"/>
    <row r="700" ht="33.75" customHeight="1" x14ac:dyDescent="0.25"/>
    <row r="701" ht="33.75" customHeight="1" x14ac:dyDescent="0.25"/>
    <row r="702" ht="33.75" customHeight="1" x14ac:dyDescent="0.25"/>
    <row r="703" ht="33.75" customHeight="1" x14ac:dyDescent="0.25"/>
    <row r="704" ht="33.75" customHeight="1" x14ac:dyDescent="0.25"/>
    <row r="705" ht="33.75" customHeight="1" x14ac:dyDescent="0.25"/>
    <row r="706" ht="33.75" customHeight="1" x14ac:dyDescent="0.25"/>
    <row r="707" ht="33.75" customHeight="1" x14ac:dyDescent="0.25"/>
    <row r="708" ht="33.75" customHeight="1" x14ac:dyDescent="0.25"/>
    <row r="709" ht="33.75" customHeight="1" x14ac:dyDescent="0.25"/>
    <row r="710" ht="33.75" customHeight="1" x14ac:dyDescent="0.25"/>
    <row r="711" ht="33.75" customHeight="1" x14ac:dyDescent="0.25"/>
    <row r="712" ht="33.75" customHeight="1" x14ac:dyDescent="0.25"/>
    <row r="713" ht="33.75" customHeight="1" x14ac:dyDescent="0.25"/>
    <row r="714" ht="33.75" customHeight="1" x14ac:dyDescent="0.25"/>
    <row r="715" ht="33.75" customHeight="1" x14ac:dyDescent="0.25"/>
    <row r="716" ht="33.75" customHeight="1" x14ac:dyDescent="0.25"/>
    <row r="717" ht="33.75" customHeight="1" x14ac:dyDescent="0.25"/>
    <row r="718" ht="33.75" customHeight="1" x14ac:dyDescent="0.25"/>
    <row r="719" ht="33.75" customHeight="1" x14ac:dyDescent="0.25"/>
    <row r="720" ht="33.75" customHeight="1" x14ac:dyDescent="0.25"/>
    <row r="721" ht="33.75" customHeight="1" x14ac:dyDescent="0.25"/>
    <row r="722" ht="33.75" customHeight="1" x14ac:dyDescent="0.25"/>
    <row r="723" ht="33.75" customHeight="1" x14ac:dyDescent="0.25"/>
    <row r="724" ht="33.75" customHeight="1" x14ac:dyDescent="0.25"/>
    <row r="725" ht="33.75" customHeight="1" x14ac:dyDescent="0.25"/>
    <row r="726" ht="33.75" customHeight="1" x14ac:dyDescent="0.25"/>
    <row r="727" ht="33.75" customHeight="1" x14ac:dyDescent="0.25"/>
    <row r="728" ht="33.75" customHeight="1" x14ac:dyDescent="0.25"/>
    <row r="729" ht="33.75" customHeight="1" x14ac:dyDescent="0.25"/>
    <row r="730" ht="33.75" customHeight="1" x14ac:dyDescent="0.25"/>
    <row r="731" ht="33.75" customHeight="1" x14ac:dyDescent="0.25"/>
    <row r="732" ht="33.75" customHeight="1" x14ac:dyDescent="0.25"/>
    <row r="733" ht="33.75" customHeight="1" x14ac:dyDescent="0.25"/>
    <row r="734" ht="33.75" customHeight="1" x14ac:dyDescent="0.25"/>
    <row r="735" ht="33.75" customHeight="1" x14ac:dyDescent="0.25"/>
    <row r="736" ht="33.75" customHeight="1" x14ac:dyDescent="0.25"/>
    <row r="737" ht="33.75" customHeight="1" x14ac:dyDescent="0.25"/>
    <row r="738" ht="33.75" customHeight="1" x14ac:dyDescent="0.25"/>
    <row r="739" ht="33.75" customHeight="1" x14ac:dyDescent="0.25"/>
    <row r="740" ht="33.75" customHeight="1" x14ac:dyDescent="0.25"/>
    <row r="741" ht="33.75" customHeight="1" x14ac:dyDescent="0.25"/>
    <row r="742" ht="33.75" customHeight="1" x14ac:dyDescent="0.25"/>
    <row r="743" ht="33.75" customHeight="1" x14ac:dyDescent="0.25"/>
    <row r="744" ht="33.75" customHeight="1" x14ac:dyDescent="0.25"/>
    <row r="745" ht="33.75" customHeight="1" x14ac:dyDescent="0.25"/>
    <row r="746" ht="33.75" customHeight="1" x14ac:dyDescent="0.25"/>
    <row r="747" ht="33.75" customHeight="1" x14ac:dyDescent="0.25"/>
    <row r="748" ht="33.75" customHeight="1" x14ac:dyDescent="0.25"/>
    <row r="749" ht="33.75" customHeight="1" x14ac:dyDescent="0.25"/>
    <row r="750" ht="33.75" customHeight="1" x14ac:dyDescent="0.25"/>
    <row r="751" ht="33.75" customHeight="1" x14ac:dyDescent="0.25"/>
    <row r="752" ht="33.75" customHeight="1" x14ac:dyDescent="0.25"/>
    <row r="753" ht="33.75" customHeight="1" x14ac:dyDescent="0.25"/>
    <row r="754" ht="33.75" customHeight="1" x14ac:dyDescent="0.25"/>
    <row r="755" ht="33.75" customHeight="1" x14ac:dyDescent="0.25"/>
    <row r="756" ht="33.75" customHeight="1" x14ac:dyDescent="0.25"/>
    <row r="757" ht="33.75" customHeight="1" x14ac:dyDescent="0.25"/>
    <row r="758" ht="33.75" customHeight="1" x14ac:dyDescent="0.25"/>
    <row r="759" ht="33.75" customHeight="1" x14ac:dyDescent="0.25"/>
    <row r="760" ht="33.75" customHeight="1" x14ac:dyDescent="0.25"/>
    <row r="761" ht="33.75" customHeight="1" x14ac:dyDescent="0.25"/>
    <row r="762" ht="33.75" customHeight="1" x14ac:dyDescent="0.25"/>
    <row r="763" ht="33.75" customHeight="1" x14ac:dyDescent="0.25"/>
    <row r="764" ht="33.75" customHeight="1" x14ac:dyDescent="0.25"/>
    <row r="765" ht="33.75" customHeight="1" x14ac:dyDescent="0.25"/>
    <row r="766" ht="33.75" customHeight="1" x14ac:dyDescent="0.25"/>
    <row r="767" ht="33.75" customHeight="1" x14ac:dyDescent="0.25"/>
    <row r="768" ht="33.75" customHeight="1" x14ac:dyDescent="0.25"/>
    <row r="769" ht="33.75" customHeight="1" x14ac:dyDescent="0.25"/>
    <row r="770" ht="33.75" customHeight="1" x14ac:dyDescent="0.25"/>
    <row r="771" ht="33.75" customHeight="1" x14ac:dyDescent="0.25"/>
    <row r="772" ht="33.75" customHeight="1" x14ac:dyDescent="0.25"/>
    <row r="773" ht="33.75" customHeight="1" x14ac:dyDescent="0.25"/>
    <row r="774" ht="33.75" customHeight="1" x14ac:dyDescent="0.25"/>
    <row r="775" ht="33.75" customHeight="1" x14ac:dyDescent="0.25"/>
    <row r="776" ht="33.75" customHeight="1" x14ac:dyDescent="0.25"/>
    <row r="777" ht="33.75" customHeight="1" x14ac:dyDescent="0.25"/>
    <row r="778" ht="33.75" customHeight="1" x14ac:dyDescent="0.25"/>
    <row r="779" ht="33.75" customHeight="1" x14ac:dyDescent="0.25"/>
    <row r="780" ht="33.75" customHeight="1" x14ac:dyDescent="0.25"/>
    <row r="781" ht="33.75" customHeight="1" x14ac:dyDescent="0.25"/>
    <row r="782" ht="33.75" customHeight="1" x14ac:dyDescent="0.25"/>
    <row r="783" ht="33.75" customHeight="1" x14ac:dyDescent="0.25"/>
    <row r="784" ht="33.75" customHeight="1" x14ac:dyDescent="0.25"/>
    <row r="785" ht="33.75" customHeight="1" x14ac:dyDescent="0.25"/>
    <row r="786" ht="33.75" customHeight="1" x14ac:dyDescent="0.25"/>
    <row r="787" ht="33.75" customHeight="1" x14ac:dyDescent="0.25"/>
    <row r="788" ht="33.75" customHeight="1" x14ac:dyDescent="0.25"/>
    <row r="789" ht="33.75" customHeight="1" x14ac:dyDescent="0.25"/>
    <row r="790" ht="33.75" customHeight="1" x14ac:dyDescent="0.25"/>
    <row r="791" ht="33.75" customHeight="1" x14ac:dyDescent="0.25"/>
    <row r="792" ht="33.75" customHeight="1" x14ac:dyDescent="0.25"/>
    <row r="793" ht="33.75" customHeight="1" x14ac:dyDescent="0.25"/>
    <row r="794" ht="33.75" customHeight="1" x14ac:dyDescent="0.25"/>
    <row r="795" ht="33.75" customHeight="1" x14ac:dyDescent="0.25"/>
    <row r="796" ht="33.75" customHeight="1" x14ac:dyDescent="0.25"/>
    <row r="797" ht="33.75" customHeight="1" x14ac:dyDescent="0.25"/>
    <row r="798" ht="33.75" customHeight="1" x14ac:dyDescent="0.25"/>
    <row r="799" ht="33.75" customHeight="1" x14ac:dyDescent="0.25"/>
    <row r="800" ht="33.75" customHeight="1" x14ac:dyDescent="0.25"/>
    <row r="801" ht="33.75" customHeight="1" x14ac:dyDescent="0.25"/>
    <row r="802" ht="33.75" customHeight="1" x14ac:dyDescent="0.25"/>
    <row r="803" ht="33.75" customHeight="1" x14ac:dyDescent="0.25"/>
    <row r="804" ht="33.75" customHeight="1" x14ac:dyDescent="0.25"/>
    <row r="805" ht="33.75" customHeight="1" x14ac:dyDescent="0.25"/>
    <row r="806" ht="33.75" customHeight="1" x14ac:dyDescent="0.25"/>
    <row r="807" ht="33.75" customHeight="1" x14ac:dyDescent="0.25"/>
    <row r="808" ht="33.75" customHeight="1" x14ac:dyDescent="0.25"/>
    <row r="809" ht="33.75" customHeight="1" x14ac:dyDescent="0.25"/>
    <row r="810" ht="33.75" customHeight="1" x14ac:dyDescent="0.25"/>
    <row r="811" ht="33.75" customHeight="1" x14ac:dyDescent="0.25"/>
    <row r="812" ht="33.75" customHeight="1" x14ac:dyDescent="0.25"/>
    <row r="813" ht="33.75" customHeight="1" x14ac:dyDescent="0.25"/>
    <row r="814" ht="33.75" customHeight="1" x14ac:dyDescent="0.25"/>
    <row r="815" ht="33.75" customHeight="1" x14ac:dyDescent="0.25"/>
    <row r="816" ht="33.75" customHeight="1" x14ac:dyDescent="0.25"/>
    <row r="817" ht="33.75" customHeight="1" x14ac:dyDescent="0.25"/>
    <row r="818" ht="33.75" customHeight="1" x14ac:dyDescent="0.25"/>
    <row r="819" ht="33.75" customHeight="1" x14ac:dyDescent="0.25"/>
    <row r="820" ht="33.75" customHeight="1" x14ac:dyDescent="0.25"/>
    <row r="821" ht="33.75" customHeight="1" x14ac:dyDescent="0.25"/>
    <row r="822" ht="33.75" customHeight="1" x14ac:dyDescent="0.25"/>
    <row r="823" ht="33.75" customHeight="1" x14ac:dyDescent="0.25"/>
    <row r="824" ht="33.75" customHeight="1" x14ac:dyDescent="0.25"/>
    <row r="825" ht="33.75" customHeight="1" x14ac:dyDescent="0.25"/>
    <row r="826" ht="33.75" customHeight="1" x14ac:dyDescent="0.25"/>
    <row r="827" ht="33.75" customHeight="1" x14ac:dyDescent="0.25"/>
    <row r="828" ht="33.75" customHeight="1" x14ac:dyDescent="0.25"/>
    <row r="829" ht="33.75" customHeight="1" x14ac:dyDescent="0.25"/>
    <row r="830" ht="33.75" customHeight="1" x14ac:dyDescent="0.25"/>
    <row r="831" ht="33.75" customHeight="1" x14ac:dyDescent="0.25"/>
    <row r="832" ht="33.75" customHeight="1" x14ac:dyDescent="0.25"/>
    <row r="833" ht="33.75" customHeight="1" x14ac:dyDescent="0.25"/>
    <row r="834" ht="33.75" customHeight="1" x14ac:dyDescent="0.25"/>
    <row r="835" ht="33.75" customHeight="1" x14ac:dyDescent="0.25"/>
    <row r="836" ht="33.75" customHeight="1" x14ac:dyDescent="0.25"/>
    <row r="837" ht="33.75" customHeight="1" x14ac:dyDescent="0.25"/>
    <row r="838" ht="33.75" customHeight="1" x14ac:dyDescent="0.25"/>
    <row r="839" ht="33.75" customHeight="1" x14ac:dyDescent="0.25"/>
    <row r="840" ht="33.75" customHeight="1" x14ac:dyDescent="0.25"/>
    <row r="841" ht="33.75" customHeight="1" x14ac:dyDescent="0.25"/>
    <row r="842" ht="33.75" customHeight="1" x14ac:dyDescent="0.25"/>
    <row r="843" ht="33.75" customHeight="1" x14ac:dyDescent="0.25"/>
    <row r="844" ht="33.75" customHeight="1" x14ac:dyDescent="0.25"/>
    <row r="845" ht="33.75" customHeight="1" x14ac:dyDescent="0.25"/>
    <row r="846" ht="33.75" customHeight="1" x14ac:dyDescent="0.25"/>
    <row r="847" ht="33.75" customHeight="1" x14ac:dyDescent="0.25"/>
    <row r="848" ht="33.75" customHeight="1" x14ac:dyDescent="0.25"/>
    <row r="849" ht="33.75" customHeight="1" x14ac:dyDescent="0.25"/>
    <row r="850" ht="33.75" customHeight="1" x14ac:dyDescent="0.25"/>
    <row r="851" ht="33.75" customHeight="1" x14ac:dyDescent="0.25"/>
    <row r="852" ht="33.75" customHeight="1" x14ac:dyDescent="0.25"/>
    <row r="853" ht="33.75" customHeight="1" x14ac:dyDescent="0.25"/>
    <row r="854" ht="33.75" customHeight="1" x14ac:dyDescent="0.25"/>
    <row r="855" ht="33.75" customHeight="1" x14ac:dyDescent="0.25"/>
    <row r="856" ht="33.75" customHeight="1" x14ac:dyDescent="0.25"/>
    <row r="857" ht="33.75" customHeight="1" x14ac:dyDescent="0.25"/>
    <row r="858" ht="33.75" customHeight="1" x14ac:dyDescent="0.25"/>
    <row r="859" ht="33.75" customHeight="1" x14ac:dyDescent="0.25"/>
    <row r="860" ht="33.75" customHeight="1" x14ac:dyDescent="0.25"/>
    <row r="861" ht="33.75" customHeight="1" x14ac:dyDescent="0.25"/>
    <row r="862" ht="33.75" customHeight="1" x14ac:dyDescent="0.25"/>
    <row r="863" ht="33.75" customHeight="1" x14ac:dyDescent="0.25"/>
    <row r="864" ht="33.75" customHeight="1" x14ac:dyDescent="0.25"/>
    <row r="865" ht="33.75" customHeight="1" x14ac:dyDescent="0.25"/>
    <row r="866" ht="33.75" customHeight="1" x14ac:dyDescent="0.25"/>
    <row r="867" ht="33.75" customHeight="1" x14ac:dyDescent="0.25"/>
    <row r="868" ht="33.75" customHeight="1" x14ac:dyDescent="0.25"/>
    <row r="869" ht="33.75" customHeight="1" x14ac:dyDescent="0.25"/>
    <row r="870" ht="33.75" customHeight="1" x14ac:dyDescent="0.25"/>
    <row r="871" ht="33.75" customHeight="1" x14ac:dyDescent="0.25"/>
    <row r="872" ht="33.75" customHeight="1" x14ac:dyDescent="0.25"/>
    <row r="873" ht="33.75" customHeight="1" x14ac:dyDescent="0.25"/>
    <row r="874" ht="33.75" customHeight="1" x14ac:dyDescent="0.25"/>
    <row r="875" ht="33.75" customHeight="1" x14ac:dyDescent="0.25"/>
    <row r="876" ht="33.75" customHeight="1" x14ac:dyDescent="0.25"/>
    <row r="877" ht="33.75" customHeight="1" x14ac:dyDescent="0.25"/>
    <row r="878" ht="33.75" customHeight="1" x14ac:dyDescent="0.25"/>
    <row r="879" ht="33.75" customHeight="1" x14ac:dyDescent="0.25"/>
    <row r="880" ht="33.75" customHeight="1" x14ac:dyDescent="0.25"/>
    <row r="881" ht="33.75" customHeight="1" x14ac:dyDescent="0.25"/>
    <row r="882" ht="33.75" customHeight="1" x14ac:dyDescent="0.25"/>
    <row r="883" ht="33.75" customHeight="1" x14ac:dyDescent="0.25"/>
    <row r="884" ht="33.75" customHeight="1" x14ac:dyDescent="0.25"/>
    <row r="885" ht="33.75" customHeight="1" x14ac:dyDescent="0.25"/>
    <row r="886" ht="33.75" customHeight="1" x14ac:dyDescent="0.25"/>
    <row r="887" ht="33.75" customHeight="1" x14ac:dyDescent="0.25"/>
    <row r="888" ht="33.75" customHeight="1" x14ac:dyDescent="0.25"/>
    <row r="889" ht="33.75" customHeight="1" x14ac:dyDescent="0.25"/>
    <row r="890" ht="33.75" customHeight="1" x14ac:dyDescent="0.25"/>
    <row r="891" ht="33.75" customHeight="1" x14ac:dyDescent="0.25"/>
    <row r="892" ht="33.75" customHeight="1" x14ac:dyDescent="0.25"/>
    <row r="893" ht="33.75" customHeight="1" x14ac:dyDescent="0.25"/>
    <row r="894" ht="33.75" customHeight="1" x14ac:dyDescent="0.25"/>
    <row r="895" ht="33.75" customHeight="1" x14ac:dyDescent="0.25"/>
    <row r="896" ht="33.75" customHeight="1" x14ac:dyDescent="0.25"/>
    <row r="897" ht="33.75" customHeight="1" x14ac:dyDescent="0.25"/>
    <row r="898" ht="33.75" customHeight="1" x14ac:dyDescent="0.25"/>
    <row r="899" ht="33.75" customHeight="1" x14ac:dyDescent="0.25"/>
    <row r="900" ht="33.75" customHeight="1" x14ac:dyDescent="0.25"/>
    <row r="901" ht="33.75" customHeight="1" x14ac:dyDescent="0.25"/>
    <row r="902" ht="33.75" customHeight="1" x14ac:dyDescent="0.25"/>
    <row r="903" ht="33.75" customHeight="1" x14ac:dyDescent="0.25"/>
    <row r="904" ht="33.75" customHeight="1" x14ac:dyDescent="0.25"/>
    <row r="905" ht="33.75" customHeight="1" x14ac:dyDescent="0.25"/>
    <row r="906" ht="33.75" customHeight="1" x14ac:dyDescent="0.25"/>
    <row r="907" ht="33.75" customHeight="1" x14ac:dyDescent="0.25"/>
    <row r="908" ht="33.75" customHeight="1" x14ac:dyDescent="0.25"/>
    <row r="909" ht="33.75" customHeight="1" x14ac:dyDescent="0.25"/>
    <row r="910" ht="33.75" customHeight="1" x14ac:dyDescent="0.25"/>
    <row r="911" ht="33.75" customHeight="1" x14ac:dyDescent="0.25"/>
    <row r="912" ht="33.75" customHeight="1" x14ac:dyDescent="0.25"/>
    <row r="913" ht="33.75" customHeight="1" x14ac:dyDescent="0.25"/>
    <row r="914" ht="33.75" customHeight="1" x14ac:dyDescent="0.25"/>
    <row r="915" ht="33.75" customHeight="1" x14ac:dyDescent="0.25"/>
    <row r="916" ht="33.75" customHeight="1" x14ac:dyDescent="0.25"/>
    <row r="917" ht="33.75" customHeight="1" x14ac:dyDescent="0.25"/>
    <row r="918" ht="33.75" customHeight="1" x14ac:dyDescent="0.25"/>
    <row r="919" ht="33.75" customHeight="1" x14ac:dyDescent="0.25"/>
    <row r="920" ht="33.75" customHeight="1" x14ac:dyDescent="0.25"/>
    <row r="921" ht="33.75" customHeight="1" x14ac:dyDescent="0.25"/>
    <row r="922" ht="33.75" customHeight="1" x14ac:dyDescent="0.25"/>
    <row r="923" ht="33.75" customHeight="1" x14ac:dyDescent="0.25"/>
    <row r="924" ht="33.75" customHeight="1" x14ac:dyDescent="0.25"/>
    <row r="925" ht="33.75" customHeight="1" x14ac:dyDescent="0.25"/>
    <row r="926" ht="33.75" customHeight="1" x14ac:dyDescent="0.25"/>
    <row r="927" ht="33.75" customHeight="1" x14ac:dyDescent="0.25"/>
    <row r="928" ht="33.75" customHeight="1" x14ac:dyDescent="0.25"/>
    <row r="929" ht="33.75" customHeight="1" x14ac:dyDescent="0.25"/>
    <row r="930" ht="33.75" customHeight="1" x14ac:dyDescent="0.25"/>
    <row r="931" ht="33.75" customHeight="1" x14ac:dyDescent="0.25"/>
    <row r="932" ht="33.75" customHeight="1" x14ac:dyDescent="0.25"/>
    <row r="933" ht="33.75" customHeight="1" x14ac:dyDescent="0.25"/>
    <row r="934" ht="33.75" customHeight="1" x14ac:dyDescent="0.25"/>
    <row r="935" ht="33.75" customHeight="1" x14ac:dyDescent="0.25"/>
    <row r="936" ht="33.75" customHeight="1" x14ac:dyDescent="0.25"/>
    <row r="937" ht="33.75" customHeight="1" x14ac:dyDescent="0.25"/>
    <row r="938" ht="33.75" customHeight="1" x14ac:dyDescent="0.25"/>
    <row r="939" ht="33.75" customHeight="1" x14ac:dyDescent="0.25"/>
    <row r="940" ht="33.75" customHeight="1" x14ac:dyDescent="0.25"/>
    <row r="941" ht="33.75" customHeight="1" x14ac:dyDescent="0.25"/>
    <row r="942" ht="33.75" customHeight="1" x14ac:dyDescent="0.25"/>
    <row r="943" ht="33.75" customHeight="1" x14ac:dyDescent="0.25"/>
    <row r="944" ht="33.75" customHeight="1" x14ac:dyDescent="0.25"/>
    <row r="945" ht="33.75" customHeight="1" x14ac:dyDescent="0.25"/>
    <row r="946" ht="33.75" customHeight="1" x14ac:dyDescent="0.25"/>
    <row r="947" ht="33.75" customHeight="1" x14ac:dyDescent="0.25"/>
    <row r="948" ht="33.75" customHeight="1" x14ac:dyDescent="0.25"/>
    <row r="949" ht="33.75" customHeight="1" x14ac:dyDescent="0.25"/>
    <row r="950" ht="33.75" customHeight="1" x14ac:dyDescent="0.25"/>
    <row r="951" ht="33.75" customHeight="1" x14ac:dyDescent="0.25"/>
    <row r="952" ht="33.75" customHeight="1" x14ac:dyDescent="0.25"/>
    <row r="953" ht="33.75" customHeight="1" x14ac:dyDescent="0.25"/>
    <row r="954" ht="33.75" customHeight="1" x14ac:dyDescent="0.25"/>
    <row r="955" ht="33.75" customHeight="1" x14ac:dyDescent="0.25"/>
    <row r="956" ht="33.75" customHeight="1" x14ac:dyDescent="0.25"/>
    <row r="957" ht="33.75" customHeight="1" x14ac:dyDescent="0.25"/>
    <row r="958" ht="33.75" customHeight="1" x14ac:dyDescent="0.25"/>
    <row r="959" ht="33.75" customHeight="1" x14ac:dyDescent="0.25"/>
    <row r="960" ht="33.75" customHeight="1" x14ac:dyDescent="0.25"/>
    <row r="961" ht="33.75" customHeight="1" x14ac:dyDescent="0.25"/>
    <row r="962" ht="33.75" customHeight="1" x14ac:dyDescent="0.25"/>
    <row r="963" ht="33.75" customHeight="1" x14ac:dyDescent="0.25"/>
    <row r="964" ht="33.75" customHeight="1" x14ac:dyDescent="0.25"/>
    <row r="965" ht="33.75" customHeight="1" x14ac:dyDescent="0.25"/>
    <row r="966" ht="33.75" customHeight="1" x14ac:dyDescent="0.25"/>
    <row r="967" ht="33.75" customHeight="1" x14ac:dyDescent="0.25"/>
    <row r="968" ht="33.75" customHeight="1" x14ac:dyDescent="0.25"/>
    <row r="969" ht="33.75" customHeight="1" x14ac:dyDescent="0.25"/>
    <row r="970" ht="33.75" customHeight="1" x14ac:dyDescent="0.25"/>
    <row r="971" ht="33.75" customHeight="1" x14ac:dyDescent="0.25"/>
    <row r="972" ht="33.75" customHeight="1" x14ac:dyDescent="0.25"/>
    <row r="973" ht="33.75" customHeight="1" x14ac:dyDescent="0.25"/>
    <row r="974" ht="33.75" customHeight="1" x14ac:dyDescent="0.25"/>
    <row r="975" ht="33.75" customHeight="1" x14ac:dyDescent="0.25"/>
    <row r="976" ht="33.75" customHeight="1" x14ac:dyDescent="0.25"/>
    <row r="977" ht="33.75" customHeight="1" x14ac:dyDescent="0.25"/>
    <row r="978" ht="33.75" customHeight="1" x14ac:dyDescent="0.25"/>
    <row r="979" ht="33.75" customHeight="1" x14ac:dyDescent="0.25"/>
    <row r="980" ht="33.75" customHeight="1" x14ac:dyDescent="0.25"/>
    <row r="981" ht="33.75" customHeight="1" x14ac:dyDescent="0.25"/>
    <row r="982" ht="33.75" customHeight="1" x14ac:dyDescent="0.25"/>
    <row r="983" ht="33.75" customHeight="1" x14ac:dyDescent="0.25"/>
    <row r="984" ht="33.75" customHeight="1" x14ac:dyDescent="0.25"/>
    <row r="985" ht="33.75" customHeight="1" x14ac:dyDescent="0.25"/>
    <row r="986" ht="33.75" customHeight="1" x14ac:dyDescent="0.25"/>
    <row r="987" ht="33.75" customHeight="1" x14ac:dyDescent="0.25"/>
    <row r="988" ht="33.75" customHeight="1" x14ac:dyDescent="0.25"/>
    <row r="989" ht="33.75" customHeight="1" x14ac:dyDescent="0.25"/>
    <row r="990" ht="33.75" customHeight="1" x14ac:dyDescent="0.25"/>
    <row r="991" ht="33.75" customHeight="1" x14ac:dyDescent="0.25"/>
    <row r="992" ht="33.75" customHeight="1" x14ac:dyDescent="0.25"/>
    <row r="993" ht="33.75" customHeight="1" x14ac:dyDescent="0.25"/>
    <row r="994" ht="33.75" customHeight="1" x14ac:dyDescent="0.25"/>
    <row r="995" ht="33.75" customHeight="1" x14ac:dyDescent="0.25"/>
    <row r="996" ht="33.75" customHeight="1" x14ac:dyDescent="0.25"/>
    <row r="997" ht="33.75" customHeight="1" x14ac:dyDescent="0.25"/>
    <row r="998" ht="33.75" customHeight="1" x14ac:dyDescent="0.25"/>
    <row r="999" ht="33.75" customHeight="1" x14ac:dyDescent="0.25"/>
    <row r="1000" ht="33.75" customHeight="1" x14ac:dyDescent="0.25"/>
    <row r="1001" ht="33.75" customHeight="1" x14ac:dyDescent="0.25"/>
    <row r="1002" ht="33.75" customHeight="1" x14ac:dyDescent="0.25"/>
    <row r="1003" ht="33.75" customHeight="1" x14ac:dyDescent="0.25"/>
    <row r="1004" ht="33.75" customHeight="1" x14ac:dyDescent="0.25"/>
    <row r="1005" ht="33.75" customHeight="1" x14ac:dyDescent="0.25"/>
    <row r="1006" ht="33.75" customHeight="1" x14ac:dyDescent="0.25"/>
    <row r="1007" ht="33.75" customHeight="1" x14ac:dyDescent="0.25"/>
    <row r="1008" ht="33.75" customHeight="1" x14ac:dyDescent="0.25"/>
    <row r="1009" ht="33.75" customHeight="1" x14ac:dyDescent="0.25"/>
    <row r="1010" ht="33.75" customHeight="1" x14ac:dyDescent="0.25"/>
    <row r="1011" ht="33.75" customHeight="1" x14ac:dyDescent="0.25"/>
    <row r="1012" ht="33.75" customHeight="1" x14ac:dyDescent="0.25"/>
    <row r="1013" ht="33.75" customHeight="1" x14ac:dyDescent="0.25"/>
    <row r="1014" ht="33.75" customHeight="1" x14ac:dyDescent="0.25"/>
    <row r="1015" ht="33.75" customHeight="1" x14ac:dyDescent="0.25"/>
    <row r="1016" ht="33.75" customHeight="1" x14ac:dyDescent="0.25"/>
    <row r="1017" ht="33.75" customHeight="1" x14ac:dyDescent="0.25"/>
    <row r="1018" ht="33.75" customHeight="1" x14ac:dyDescent="0.25"/>
    <row r="1019" ht="33.75" customHeight="1" x14ac:dyDescent="0.25"/>
    <row r="1020" ht="33.75" customHeight="1" x14ac:dyDescent="0.25"/>
    <row r="1021" ht="33.75" customHeight="1" x14ac:dyDescent="0.25"/>
    <row r="1022" ht="33.75" customHeight="1" x14ac:dyDescent="0.25"/>
    <row r="1023" ht="33.75" customHeight="1" x14ac:dyDescent="0.25"/>
    <row r="1024" ht="33.75" customHeight="1" x14ac:dyDescent="0.25"/>
    <row r="1025" ht="33.75" customHeight="1" x14ac:dyDescent="0.25"/>
    <row r="1026" ht="33.75" customHeight="1" x14ac:dyDescent="0.25"/>
    <row r="1027" ht="33.75" customHeight="1" x14ac:dyDescent="0.25"/>
    <row r="1028" ht="33.75" customHeight="1" x14ac:dyDescent="0.25"/>
    <row r="1029" ht="33.75" customHeight="1" x14ac:dyDescent="0.25"/>
    <row r="1030" ht="33.75" customHeight="1" x14ac:dyDescent="0.25"/>
    <row r="1031" ht="33.75" customHeight="1" x14ac:dyDescent="0.25"/>
    <row r="1032" ht="33.75" customHeight="1" x14ac:dyDescent="0.25"/>
    <row r="1033" ht="33.75" customHeight="1" x14ac:dyDescent="0.25"/>
    <row r="1034" ht="33.75" customHeight="1" x14ac:dyDescent="0.25"/>
    <row r="1035" ht="33.75" customHeight="1" x14ac:dyDescent="0.25"/>
    <row r="1036" ht="33.75" customHeight="1" x14ac:dyDescent="0.25"/>
    <row r="1037" ht="33.75" customHeight="1" x14ac:dyDescent="0.25"/>
    <row r="1038" ht="33.75" customHeight="1" x14ac:dyDescent="0.25"/>
    <row r="1039" ht="33.75" customHeight="1" x14ac:dyDescent="0.25"/>
    <row r="1040" ht="33.75" customHeight="1" x14ac:dyDescent="0.25"/>
    <row r="1041" ht="33.75" customHeight="1" x14ac:dyDescent="0.25"/>
    <row r="1042" ht="33.75" customHeight="1" x14ac:dyDescent="0.25"/>
    <row r="1043" ht="33.75" customHeight="1" x14ac:dyDescent="0.25"/>
    <row r="1044" ht="33.75" customHeight="1" x14ac:dyDescent="0.25"/>
    <row r="1045" ht="33.75" customHeight="1" x14ac:dyDescent="0.25"/>
    <row r="1046" ht="33.75" customHeight="1" x14ac:dyDescent="0.25"/>
    <row r="1047" ht="33.75" customHeight="1" x14ac:dyDescent="0.25"/>
    <row r="1048" ht="33.75" customHeight="1" x14ac:dyDescent="0.25"/>
    <row r="1049" ht="33.75" customHeight="1" x14ac:dyDescent="0.25"/>
    <row r="1050" ht="33.75" customHeight="1" x14ac:dyDescent="0.25"/>
    <row r="1051" ht="33.75" customHeight="1" x14ac:dyDescent="0.25"/>
    <row r="1052" ht="33.75" customHeight="1" x14ac:dyDescent="0.25"/>
    <row r="1053" ht="33.75" customHeight="1" x14ac:dyDescent="0.25"/>
    <row r="1054" ht="33.75" customHeight="1" x14ac:dyDescent="0.25"/>
    <row r="1055" ht="33.75" customHeight="1" x14ac:dyDescent="0.25"/>
    <row r="1056" ht="33.75" customHeight="1" x14ac:dyDescent="0.25"/>
    <row r="1057" ht="33.75" customHeight="1" x14ac:dyDescent="0.25"/>
    <row r="1058" ht="33.75" customHeight="1" x14ac:dyDescent="0.25"/>
    <row r="1059" ht="33.75" customHeight="1" x14ac:dyDescent="0.25"/>
    <row r="1060" ht="33.75" customHeight="1" x14ac:dyDescent="0.25"/>
    <row r="1061" ht="33.75" customHeight="1" x14ac:dyDescent="0.25"/>
    <row r="1062" ht="33.75" customHeight="1" x14ac:dyDescent="0.25"/>
    <row r="1063" ht="33.75" customHeight="1" x14ac:dyDescent="0.25"/>
    <row r="1064" ht="33.75" customHeight="1" x14ac:dyDescent="0.25"/>
    <row r="1065" ht="33.75" customHeight="1" x14ac:dyDescent="0.25"/>
    <row r="1066" ht="33.75" customHeight="1" x14ac:dyDescent="0.25"/>
    <row r="1067" ht="33.75" customHeight="1" x14ac:dyDescent="0.25"/>
    <row r="1068" ht="33.75" customHeight="1" x14ac:dyDescent="0.25"/>
    <row r="1069" ht="33.75" customHeight="1" x14ac:dyDescent="0.25"/>
    <row r="1070" ht="33.75" customHeight="1" x14ac:dyDescent="0.25"/>
    <row r="1071" ht="33.75" customHeight="1" x14ac:dyDescent="0.25"/>
    <row r="1072" ht="33.75" customHeight="1" x14ac:dyDescent="0.25"/>
    <row r="1073" spans="25:26" ht="33.75" customHeight="1" x14ac:dyDescent="0.25"/>
    <row r="1074" spans="25:26" ht="33.75" customHeight="1" x14ac:dyDescent="0.25"/>
    <row r="1075" spans="25:26" ht="33.75" customHeight="1" x14ac:dyDescent="0.25"/>
    <row r="1076" spans="25:26" ht="33.75" customHeight="1" x14ac:dyDescent="0.25">
      <c r="Y1076" s="33"/>
      <c r="Z1076" s="34"/>
    </row>
    <row r="1077" spans="25:26" ht="33.75" customHeight="1" x14ac:dyDescent="0.25"/>
    <row r="1078" spans="25:26" ht="33.75" customHeight="1" x14ac:dyDescent="0.25"/>
    <row r="1079" spans="25:26" ht="33.75" customHeight="1" x14ac:dyDescent="0.25"/>
    <row r="1080" spans="25:26" ht="33.75" customHeight="1" x14ac:dyDescent="0.25"/>
    <row r="1081" spans="25:26" ht="33.75" customHeight="1" x14ac:dyDescent="0.25"/>
    <row r="1082" spans="25:26" ht="33.75" customHeight="1" x14ac:dyDescent="0.25"/>
    <row r="1083" spans="25:26" ht="33.75" customHeight="1" x14ac:dyDescent="0.25"/>
    <row r="1084" spans="25:26" ht="33.75" customHeight="1" x14ac:dyDescent="0.25"/>
    <row r="1085" spans="25:26" ht="33.75" customHeight="1" x14ac:dyDescent="0.25"/>
    <row r="1086" spans="25:26" ht="33.75" customHeight="1" x14ac:dyDescent="0.25"/>
    <row r="1087" spans="25:26" ht="33.75" customHeight="1" x14ac:dyDescent="0.25"/>
    <row r="1088" spans="25:26" ht="33.75" customHeight="1" x14ac:dyDescent="0.25"/>
    <row r="1089" ht="33.75" customHeight="1" x14ac:dyDescent="0.25"/>
    <row r="1090" ht="33.75" customHeight="1" x14ac:dyDescent="0.25"/>
    <row r="1091" ht="33.75" customHeight="1" x14ac:dyDescent="0.25"/>
    <row r="1092" ht="33.75" customHeight="1" x14ac:dyDescent="0.25"/>
    <row r="1093" ht="33.75" customHeight="1" x14ac:dyDescent="0.25"/>
    <row r="1094" ht="33.75" customHeight="1" x14ac:dyDescent="0.25"/>
    <row r="1095" ht="33.75" customHeight="1" x14ac:dyDescent="0.25"/>
    <row r="1096" ht="33.75" customHeight="1" x14ac:dyDescent="0.25"/>
    <row r="1097" ht="33.75" customHeight="1" x14ac:dyDescent="0.25"/>
    <row r="1098" ht="33.75" customHeight="1" x14ac:dyDescent="0.25"/>
    <row r="1099" ht="33.75" customHeight="1" x14ac:dyDescent="0.25"/>
    <row r="1100" ht="33.75" customHeight="1" x14ac:dyDescent="0.25"/>
    <row r="1101" ht="33.75" customHeight="1" x14ac:dyDescent="0.25"/>
    <row r="1102" ht="33.75" customHeight="1" x14ac:dyDescent="0.25"/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6 H8:H33">
    <cfRule type="beginsWith" dxfId="42" priority="18" operator="beginsWith" text="99">
      <formula>LEFT(H6,LEN("99"))="99"</formula>
    </cfRule>
  </conditionalFormatting>
  <conditionalFormatting sqref="H6 H8:H33">
    <cfRule type="beginsWith" dxfId="41" priority="19" operator="beginsWith" text="99">
      <formula>LEFT(H6,2)="99"</formula>
    </cfRule>
    <cfRule type="containsText" dxfId="40" priority="20" operator="containsText" text="rem">
      <formula>NOT(ISERROR(SEARCH("rem",H6)))</formula>
    </cfRule>
    <cfRule type="duplicateValues" dxfId="39" priority="21"/>
  </conditionalFormatting>
  <conditionalFormatting sqref="T6 T8:T33">
    <cfRule type="duplicateValues" dxfId="38" priority="22"/>
  </conditionalFormatting>
  <conditionalFormatting sqref="H34:H55">
    <cfRule type="beginsWith" dxfId="37" priority="13" operator="beginsWith" text="99">
      <formula>LEFT(H34,LEN("99"))="99"</formula>
    </cfRule>
  </conditionalFormatting>
  <conditionalFormatting sqref="H34:H55">
    <cfRule type="beginsWith" dxfId="36" priority="14" operator="beginsWith" text="99">
      <formula>LEFT(H34,2)="99"</formula>
    </cfRule>
    <cfRule type="containsText" dxfId="35" priority="15" operator="containsText" text="rem">
      <formula>NOT(ISERROR(SEARCH("rem",H34)))</formula>
    </cfRule>
    <cfRule type="duplicateValues" dxfId="34" priority="16"/>
  </conditionalFormatting>
  <conditionalFormatting sqref="T34:T55">
    <cfRule type="duplicateValues" dxfId="33" priority="17"/>
  </conditionalFormatting>
  <conditionalFormatting sqref="A6 A8:A33">
    <cfRule type="duplicateValues" dxfId="32" priority="12"/>
  </conditionalFormatting>
  <conditionalFormatting sqref="A34:A55">
    <cfRule type="duplicateValues" dxfId="31" priority="11"/>
  </conditionalFormatting>
  <conditionalFormatting sqref="L6:L55 N6:N55 P6:P55 R6:R55">
    <cfRule type="cellIs" dxfId="30" priority="10" operator="lessThan">
      <formula>0</formula>
    </cfRule>
  </conditionalFormatting>
  <conditionalFormatting sqref="L6:L55 R6:R55">
    <cfRule type="cellIs" dxfId="29" priority="9" operator="greaterThan">
      <formula>2000</formula>
    </cfRule>
  </conditionalFormatting>
  <conditionalFormatting sqref="H7">
    <cfRule type="beginsWith" dxfId="28" priority="4" operator="beginsWith" text="99">
      <formula>LEFT(H7,LEN("99"))="99"</formula>
    </cfRule>
  </conditionalFormatting>
  <conditionalFormatting sqref="H7">
    <cfRule type="beginsWith" dxfId="27" priority="5" operator="beginsWith" text="99">
      <formula>LEFT(H7,2)="99"</formula>
    </cfRule>
    <cfRule type="containsText" dxfId="26" priority="6" operator="containsText" text="rem">
      <formula>NOT(ISERROR(SEARCH("rem",H7)))</formula>
    </cfRule>
    <cfRule type="duplicateValues" dxfId="25" priority="7"/>
  </conditionalFormatting>
  <conditionalFormatting sqref="T7">
    <cfRule type="duplicateValues" dxfId="24" priority="8"/>
  </conditionalFormatting>
  <conditionalFormatting sqref="A7">
    <cfRule type="duplicateValues" dxfId="23" priority="3"/>
  </conditionalFormatting>
  <conditionalFormatting sqref="F1:F1048576">
    <cfRule type="cellIs" dxfId="0" priority="2" operator="lessThan">
      <formula>0</formula>
    </cfRule>
    <cfRule type="cellIs" dxfId="1" priority="1" operator="greaterThan">
      <formula>4000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D-1-2</vt:lpstr>
      <vt:lpstr>'D-1-2'!Print_Area</vt:lpstr>
      <vt:lpstr>'D-1-2'!Print_Titles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cp:lastPrinted>2025-04-22T04:42:05Z</cp:lastPrinted>
  <dcterms:created xsi:type="dcterms:W3CDTF">2025-04-22T04:41:52Z</dcterms:created>
  <dcterms:modified xsi:type="dcterms:W3CDTF">2025-04-23T05:58:34Z</dcterms:modified>
</cp:coreProperties>
</file>