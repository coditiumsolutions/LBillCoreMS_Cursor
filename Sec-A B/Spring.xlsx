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mmad\Desktop\Import Reading\01-Reading\"/>
    </mc:Choice>
  </mc:AlternateContent>
  <bookViews>
    <workbookView xWindow="0" yWindow="0" windowWidth="24000" windowHeight="9735"/>
  </bookViews>
  <sheets>
    <sheet name="Springs" sheetId="1" r:id="rId1"/>
  </sheets>
  <definedNames>
    <definedName name="_xlnm.Print_Area" localSheetId="0">Springs!$A$1:$T$126</definedName>
    <definedName name="_xlnm.Print_Titles" localSheetId="0">Springs!$4:$5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88" i="1" l="1"/>
  <c r="B68" i="1"/>
  <c r="B15" i="1" l="1"/>
  <c r="R126" i="1" l="1"/>
  <c r="P126" i="1"/>
  <c r="N126" i="1"/>
  <c r="L126" i="1"/>
  <c r="F126" i="1" s="1"/>
  <c r="R125" i="1"/>
  <c r="P125" i="1"/>
  <c r="N125" i="1"/>
  <c r="B125" i="1"/>
  <c r="L125" i="1" s="1"/>
  <c r="F125" i="1" s="1"/>
  <c r="R124" i="1"/>
  <c r="P124" i="1"/>
  <c r="N124" i="1"/>
  <c r="B124" i="1"/>
  <c r="L124" i="1" s="1"/>
  <c r="F124" i="1" s="1"/>
  <c r="R123" i="1"/>
  <c r="P123" i="1"/>
  <c r="N123" i="1"/>
  <c r="L123" i="1"/>
  <c r="F123" i="1" s="1"/>
  <c r="R122" i="1"/>
  <c r="P122" i="1"/>
  <c r="N122" i="1"/>
  <c r="B122" i="1"/>
  <c r="L122" i="1" s="1"/>
  <c r="F122" i="1" s="1"/>
  <c r="R121" i="1"/>
  <c r="P121" i="1"/>
  <c r="N121" i="1"/>
  <c r="B121" i="1"/>
  <c r="L121" i="1" s="1"/>
  <c r="F121" i="1" s="1"/>
  <c r="R120" i="1"/>
  <c r="P120" i="1"/>
  <c r="N120" i="1"/>
  <c r="B120" i="1"/>
  <c r="L120" i="1" s="1"/>
  <c r="F120" i="1" s="1"/>
  <c r="R119" i="1"/>
  <c r="P119" i="1"/>
  <c r="N119" i="1"/>
  <c r="B119" i="1"/>
  <c r="L119" i="1" s="1"/>
  <c r="F119" i="1" s="1"/>
  <c r="R118" i="1"/>
  <c r="P118" i="1"/>
  <c r="N118" i="1"/>
  <c r="B118" i="1"/>
  <c r="L118" i="1" s="1"/>
  <c r="F118" i="1" s="1"/>
  <c r="R117" i="1"/>
  <c r="P117" i="1"/>
  <c r="N117" i="1"/>
  <c r="B117" i="1"/>
  <c r="L117" i="1" s="1"/>
  <c r="F117" i="1" s="1"/>
  <c r="R116" i="1"/>
  <c r="P116" i="1"/>
  <c r="N116" i="1"/>
  <c r="F116" i="1"/>
  <c r="B116" i="1"/>
  <c r="L116" i="1" s="1"/>
  <c r="R115" i="1"/>
  <c r="P115" i="1"/>
  <c r="N115" i="1"/>
  <c r="B115" i="1"/>
  <c r="L115" i="1" s="1"/>
  <c r="F115" i="1" s="1"/>
  <c r="R114" i="1"/>
  <c r="P114" i="1"/>
  <c r="N114" i="1"/>
  <c r="B114" i="1"/>
  <c r="L114" i="1" s="1"/>
  <c r="F114" i="1" s="1"/>
  <c r="R113" i="1"/>
  <c r="P113" i="1"/>
  <c r="N113" i="1"/>
  <c r="B113" i="1"/>
  <c r="L113" i="1" s="1"/>
  <c r="F113" i="1" s="1"/>
  <c r="R112" i="1"/>
  <c r="P112" i="1"/>
  <c r="N112" i="1"/>
  <c r="B112" i="1"/>
  <c r="L112" i="1" s="1"/>
  <c r="F112" i="1" s="1"/>
  <c r="R111" i="1"/>
  <c r="P111" i="1"/>
  <c r="N111" i="1"/>
  <c r="B111" i="1"/>
  <c r="L111" i="1" s="1"/>
  <c r="F111" i="1" s="1"/>
  <c r="R110" i="1"/>
  <c r="P110" i="1"/>
  <c r="N110" i="1"/>
  <c r="K110" i="1"/>
  <c r="B110" i="1"/>
  <c r="L110" i="1" s="1"/>
  <c r="F110" i="1" s="1"/>
  <c r="R109" i="1"/>
  <c r="P109" i="1"/>
  <c r="N109" i="1"/>
  <c r="K109" i="1"/>
  <c r="B109" i="1"/>
  <c r="L109" i="1" s="1"/>
  <c r="F109" i="1" s="1"/>
  <c r="R108" i="1"/>
  <c r="P108" i="1"/>
  <c r="N108" i="1"/>
  <c r="K108" i="1"/>
  <c r="B108" i="1"/>
  <c r="L108" i="1" s="1"/>
  <c r="F108" i="1" s="1"/>
  <c r="R107" i="1"/>
  <c r="P107" i="1"/>
  <c r="N107" i="1"/>
  <c r="K107" i="1"/>
  <c r="B107" i="1"/>
  <c r="L107" i="1" s="1"/>
  <c r="F107" i="1" s="1"/>
  <c r="R106" i="1"/>
  <c r="P106" i="1"/>
  <c r="N106" i="1"/>
  <c r="L106" i="1"/>
  <c r="F106" i="1" s="1"/>
  <c r="K106" i="1"/>
  <c r="B106" i="1"/>
  <c r="R105" i="1"/>
  <c r="P105" i="1"/>
  <c r="N105" i="1"/>
  <c r="B105" i="1"/>
  <c r="L105" i="1" s="1"/>
  <c r="F105" i="1" s="1"/>
  <c r="R104" i="1"/>
  <c r="P104" i="1"/>
  <c r="N104" i="1"/>
  <c r="K104" i="1"/>
  <c r="B104" i="1"/>
  <c r="L104" i="1" s="1"/>
  <c r="F104" i="1" s="1"/>
  <c r="R103" i="1"/>
  <c r="P103" i="1"/>
  <c r="N103" i="1"/>
  <c r="K103" i="1"/>
  <c r="B103" i="1"/>
  <c r="R102" i="1"/>
  <c r="P102" i="1"/>
  <c r="N102" i="1"/>
  <c r="K102" i="1"/>
  <c r="B102" i="1"/>
  <c r="L102" i="1" s="1"/>
  <c r="F102" i="1" s="1"/>
  <c r="R101" i="1"/>
  <c r="P101" i="1"/>
  <c r="N101" i="1"/>
  <c r="K101" i="1"/>
  <c r="B101" i="1"/>
  <c r="R100" i="1"/>
  <c r="P100" i="1"/>
  <c r="N100" i="1"/>
  <c r="B100" i="1"/>
  <c r="L100" i="1" s="1"/>
  <c r="F100" i="1" s="1"/>
  <c r="R99" i="1"/>
  <c r="P99" i="1"/>
  <c r="N99" i="1"/>
  <c r="B99" i="1"/>
  <c r="L99" i="1" s="1"/>
  <c r="F99" i="1" s="1"/>
  <c r="R98" i="1"/>
  <c r="P98" i="1"/>
  <c r="N98" i="1"/>
  <c r="B98" i="1"/>
  <c r="L98" i="1" s="1"/>
  <c r="F98" i="1" s="1"/>
  <c r="R97" i="1"/>
  <c r="P97" i="1"/>
  <c r="N97" i="1"/>
  <c r="L97" i="1"/>
  <c r="F97" i="1" s="1"/>
  <c r="B97" i="1"/>
  <c r="R96" i="1"/>
  <c r="P96" i="1"/>
  <c r="N96" i="1"/>
  <c r="B96" i="1"/>
  <c r="L96" i="1" s="1"/>
  <c r="F96" i="1" s="1"/>
  <c r="R95" i="1"/>
  <c r="P95" i="1"/>
  <c r="N95" i="1"/>
  <c r="B95" i="1"/>
  <c r="L95" i="1" s="1"/>
  <c r="F95" i="1" s="1"/>
  <c r="R94" i="1"/>
  <c r="P94" i="1"/>
  <c r="N94" i="1"/>
  <c r="B94" i="1"/>
  <c r="L94" i="1" s="1"/>
  <c r="F94" i="1" s="1"/>
  <c r="R93" i="1"/>
  <c r="P93" i="1"/>
  <c r="N93" i="1"/>
  <c r="K93" i="1"/>
  <c r="B93" i="1"/>
  <c r="L93" i="1" s="1"/>
  <c r="F93" i="1" s="1"/>
  <c r="R92" i="1"/>
  <c r="P92" i="1"/>
  <c r="N92" i="1"/>
  <c r="K92" i="1"/>
  <c r="B92" i="1"/>
  <c r="L92" i="1" s="1"/>
  <c r="F92" i="1" s="1"/>
  <c r="R91" i="1"/>
  <c r="P91" i="1"/>
  <c r="N91" i="1"/>
  <c r="L91" i="1"/>
  <c r="F91" i="1" s="1"/>
  <c r="B91" i="1"/>
  <c r="R90" i="1"/>
  <c r="P90" i="1"/>
  <c r="N90" i="1"/>
  <c r="B90" i="1"/>
  <c r="L90" i="1" s="1"/>
  <c r="F90" i="1" s="1"/>
  <c r="R89" i="1"/>
  <c r="P89" i="1"/>
  <c r="N89" i="1"/>
  <c r="B89" i="1"/>
  <c r="L89" i="1" s="1"/>
  <c r="F89" i="1" s="1"/>
  <c r="R88" i="1"/>
  <c r="P88" i="1"/>
  <c r="N88" i="1"/>
  <c r="L88" i="1"/>
  <c r="F88" i="1" s="1"/>
  <c r="R87" i="1"/>
  <c r="P87" i="1"/>
  <c r="N87" i="1"/>
  <c r="B87" i="1"/>
  <c r="L87" i="1" s="1"/>
  <c r="F87" i="1" s="1"/>
  <c r="R86" i="1"/>
  <c r="P86" i="1"/>
  <c r="N86" i="1"/>
  <c r="B86" i="1"/>
  <c r="L86" i="1" s="1"/>
  <c r="F86" i="1" s="1"/>
  <c r="R85" i="1"/>
  <c r="P85" i="1"/>
  <c r="N85" i="1"/>
  <c r="K85" i="1"/>
  <c r="B85" i="1"/>
  <c r="L85" i="1" s="1"/>
  <c r="F85" i="1" s="1"/>
  <c r="R84" i="1"/>
  <c r="P84" i="1"/>
  <c r="N84" i="1"/>
  <c r="B84" i="1"/>
  <c r="L84" i="1" s="1"/>
  <c r="F84" i="1" s="1"/>
  <c r="R83" i="1"/>
  <c r="P83" i="1"/>
  <c r="N83" i="1"/>
  <c r="B83" i="1"/>
  <c r="L83" i="1" s="1"/>
  <c r="F83" i="1" s="1"/>
  <c r="R82" i="1"/>
  <c r="P82" i="1"/>
  <c r="N82" i="1"/>
  <c r="K82" i="1"/>
  <c r="B82" i="1"/>
  <c r="L82" i="1" s="1"/>
  <c r="F82" i="1" s="1"/>
  <c r="R81" i="1"/>
  <c r="P81" i="1"/>
  <c r="N81" i="1"/>
  <c r="B81" i="1"/>
  <c r="L81" i="1" s="1"/>
  <c r="F81" i="1" s="1"/>
  <c r="R80" i="1"/>
  <c r="P80" i="1"/>
  <c r="N80" i="1"/>
  <c r="B80" i="1"/>
  <c r="L80" i="1" s="1"/>
  <c r="F80" i="1" s="1"/>
  <c r="R79" i="1"/>
  <c r="P79" i="1"/>
  <c r="N79" i="1"/>
  <c r="B79" i="1"/>
  <c r="L79" i="1" s="1"/>
  <c r="F79" i="1" s="1"/>
  <c r="R78" i="1"/>
  <c r="P78" i="1"/>
  <c r="N78" i="1"/>
  <c r="B78" i="1"/>
  <c r="L78" i="1" s="1"/>
  <c r="F78" i="1" s="1"/>
  <c r="R77" i="1"/>
  <c r="P77" i="1"/>
  <c r="N77" i="1"/>
  <c r="K77" i="1"/>
  <c r="B77" i="1"/>
  <c r="L77" i="1" s="1"/>
  <c r="F77" i="1" s="1"/>
  <c r="R76" i="1"/>
  <c r="P76" i="1"/>
  <c r="N76" i="1"/>
  <c r="F76" i="1"/>
  <c r="B76" i="1"/>
  <c r="L76" i="1" s="1"/>
  <c r="R75" i="1"/>
  <c r="P75" i="1"/>
  <c r="N75" i="1"/>
  <c r="B75" i="1"/>
  <c r="L75" i="1" s="1"/>
  <c r="F75" i="1" s="1"/>
  <c r="R74" i="1"/>
  <c r="P74" i="1"/>
  <c r="N74" i="1"/>
  <c r="K74" i="1"/>
  <c r="B74" i="1"/>
  <c r="L74" i="1" s="1"/>
  <c r="F74" i="1" s="1"/>
  <c r="R73" i="1"/>
  <c r="P73" i="1"/>
  <c r="N73" i="1"/>
  <c r="K73" i="1"/>
  <c r="B73" i="1"/>
  <c r="L73" i="1" s="1"/>
  <c r="F73" i="1" s="1"/>
  <c r="R72" i="1"/>
  <c r="P72" i="1"/>
  <c r="N72" i="1"/>
  <c r="L72" i="1"/>
  <c r="F72" i="1" s="1"/>
  <c r="B72" i="1"/>
  <c r="R71" i="1"/>
  <c r="P71" i="1"/>
  <c r="N71" i="1"/>
  <c r="B71" i="1"/>
  <c r="L71" i="1" s="1"/>
  <c r="F71" i="1" s="1"/>
  <c r="R70" i="1"/>
  <c r="P70" i="1"/>
  <c r="N70" i="1"/>
  <c r="B70" i="1"/>
  <c r="L70" i="1" s="1"/>
  <c r="F70" i="1" s="1"/>
  <c r="R69" i="1"/>
  <c r="P69" i="1"/>
  <c r="N69" i="1"/>
  <c r="K69" i="1"/>
  <c r="B69" i="1"/>
  <c r="L69" i="1" s="1"/>
  <c r="F69" i="1" s="1"/>
  <c r="R68" i="1"/>
  <c r="P68" i="1"/>
  <c r="N68" i="1"/>
  <c r="L68" i="1"/>
  <c r="F68" i="1" s="1"/>
  <c r="R67" i="1"/>
  <c r="P67" i="1"/>
  <c r="N67" i="1"/>
  <c r="B67" i="1"/>
  <c r="L67" i="1" s="1"/>
  <c r="F67" i="1" s="1"/>
  <c r="R66" i="1"/>
  <c r="P66" i="1"/>
  <c r="N66" i="1"/>
  <c r="B66" i="1"/>
  <c r="L66" i="1" s="1"/>
  <c r="F66" i="1" s="1"/>
  <c r="R65" i="1"/>
  <c r="P65" i="1"/>
  <c r="N65" i="1"/>
  <c r="B65" i="1"/>
  <c r="L65" i="1" s="1"/>
  <c r="F65" i="1" s="1"/>
  <c r="R64" i="1"/>
  <c r="P64" i="1"/>
  <c r="N64" i="1"/>
  <c r="B64" i="1"/>
  <c r="L64" i="1" s="1"/>
  <c r="F64" i="1" s="1"/>
  <c r="R63" i="1"/>
  <c r="P63" i="1"/>
  <c r="N63" i="1"/>
  <c r="K63" i="1"/>
  <c r="B63" i="1"/>
  <c r="L63" i="1" s="1"/>
  <c r="F63" i="1" s="1"/>
  <c r="R62" i="1"/>
  <c r="P62" i="1"/>
  <c r="N62" i="1"/>
  <c r="K62" i="1"/>
  <c r="B62" i="1"/>
  <c r="L62" i="1" s="1"/>
  <c r="F62" i="1" s="1"/>
  <c r="R61" i="1"/>
  <c r="P61" i="1"/>
  <c r="N61" i="1"/>
  <c r="B61" i="1"/>
  <c r="L61" i="1" s="1"/>
  <c r="F61" i="1" s="1"/>
  <c r="R60" i="1"/>
  <c r="P60" i="1"/>
  <c r="N60" i="1"/>
  <c r="B60" i="1"/>
  <c r="L60" i="1" s="1"/>
  <c r="F60" i="1" s="1"/>
  <c r="R59" i="1"/>
  <c r="P59" i="1"/>
  <c r="N59" i="1"/>
  <c r="K59" i="1"/>
  <c r="B59" i="1"/>
  <c r="L59" i="1" s="1"/>
  <c r="F59" i="1" s="1"/>
  <c r="R58" i="1"/>
  <c r="P58" i="1"/>
  <c r="N58" i="1"/>
  <c r="B58" i="1"/>
  <c r="L58" i="1" s="1"/>
  <c r="F58" i="1" s="1"/>
  <c r="R57" i="1"/>
  <c r="P57" i="1"/>
  <c r="N57" i="1"/>
  <c r="B57" i="1"/>
  <c r="L57" i="1" s="1"/>
  <c r="F57" i="1" s="1"/>
  <c r="R56" i="1"/>
  <c r="P56" i="1"/>
  <c r="N56" i="1"/>
  <c r="B56" i="1"/>
  <c r="L56" i="1" s="1"/>
  <c r="F56" i="1" s="1"/>
  <c r="R55" i="1"/>
  <c r="P55" i="1"/>
  <c r="N55" i="1"/>
  <c r="B55" i="1"/>
  <c r="L55" i="1" s="1"/>
  <c r="F55" i="1" s="1"/>
  <c r="R54" i="1"/>
  <c r="P54" i="1"/>
  <c r="N54" i="1"/>
  <c r="B54" i="1"/>
  <c r="L54" i="1" s="1"/>
  <c r="F54" i="1" s="1"/>
  <c r="R53" i="1"/>
  <c r="P53" i="1"/>
  <c r="N53" i="1"/>
  <c r="F53" i="1"/>
  <c r="B53" i="1"/>
  <c r="L53" i="1" s="1"/>
  <c r="R52" i="1"/>
  <c r="P52" i="1"/>
  <c r="N52" i="1"/>
  <c r="B52" i="1"/>
  <c r="L52" i="1" s="1"/>
  <c r="F52" i="1" s="1"/>
  <c r="R51" i="1"/>
  <c r="P51" i="1"/>
  <c r="N51" i="1"/>
  <c r="K51" i="1"/>
  <c r="B51" i="1"/>
  <c r="L51" i="1" s="1"/>
  <c r="F51" i="1" s="1"/>
  <c r="R50" i="1"/>
  <c r="P50" i="1"/>
  <c r="N50" i="1"/>
  <c r="B50" i="1"/>
  <c r="L50" i="1" s="1"/>
  <c r="F50" i="1" s="1"/>
  <c r="R49" i="1"/>
  <c r="P49" i="1"/>
  <c r="N49" i="1"/>
  <c r="B49" i="1"/>
  <c r="L49" i="1" s="1"/>
  <c r="F49" i="1" s="1"/>
  <c r="R48" i="1"/>
  <c r="P48" i="1"/>
  <c r="N48" i="1"/>
  <c r="B48" i="1"/>
  <c r="L48" i="1" s="1"/>
  <c r="F48" i="1" s="1"/>
  <c r="R47" i="1"/>
  <c r="P47" i="1"/>
  <c r="N47" i="1"/>
  <c r="B47" i="1"/>
  <c r="L47" i="1" s="1"/>
  <c r="F47" i="1" s="1"/>
  <c r="R46" i="1"/>
  <c r="P46" i="1"/>
  <c r="N46" i="1"/>
  <c r="B46" i="1"/>
  <c r="L46" i="1" s="1"/>
  <c r="F46" i="1" s="1"/>
  <c r="R45" i="1"/>
  <c r="P45" i="1"/>
  <c r="N45" i="1"/>
  <c r="B45" i="1"/>
  <c r="L45" i="1" s="1"/>
  <c r="F45" i="1" s="1"/>
  <c r="R44" i="1"/>
  <c r="P44" i="1"/>
  <c r="N44" i="1"/>
  <c r="K44" i="1"/>
  <c r="B44" i="1"/>
  <c r="L44" i="1" s="1"/>
  <c r="F44" i="1" s="1"/>
  <c r="R43" i="1"/>
  <c r="P43" i="1"/>
  <c r="N43" i="1"/>
  <c r="K43" i="1"/>
  <c r="B43" i="1"/>
  <c r="R42" i="1"/>
  <c r="P42" i="1"/>
  <c r="N42" i="1"/>
  <c r="K42" i="1"/>
  <c r="B42" i="1"/>
  <c r="L42" i="1" s="1"/>
  <c r="F42" i="1" s="1"/>
  <c r="R41" i="1"/>
  <c r="P41" i="1"/>
  <c r="N41" i="1"/>
  <c r="K41" i="1"/>
  <c r="B41" i="1"/>
  <c r="R40" i="1"/>
  <c r="P40" i="1"/>
  <c r="N40" i="1"/>
  <c r="K40" i="1"/>
  <c r="B40" i="1"/>
  <c r="L40" i="1" s="1"/>
  <c r="F40" i="1" s="1"/>
  <c r="R39" i="1"/>
  <c r="P39" i="1"/>
  <c r="N39" i="1"/>
  <c r="B39" i="1"/>
  <c r="L39" i="1" s="1"/>
  <c r="F39" i="1" s="1"/>
  <c r="R38" i="1"/>
  <c r="P38" i="1"/>
  <c r="N38" i="1"/>
  <c r="B38" i="1"/>
  <c r="L38" i="1" s="1"/>
  <c r="F38" i="1" s="1"/>
  <c r="R37" i="1"/>
  <c r="P37" i="1"/>
  <c r="N37" i="1"/>
  <c r="B37" i="1"/>
  <c r="L37" i="1" s="1"/>
  <c r="F37" i="1" s="1"/>
  <c r="R36" i="1"/>
  <c r="P36" i="1"/>
  <c r="N36" i="1"/>
  <c r="B36" i="1"/>
  <c r="L36" i="1" s="1"/>
  <c r="F36" i="1" s="1"/>
  <c r="R35" i="1"/>
  <c r="P35" i="1"/>
  <c r="N35" i="1"/>
  <c r="B35" i="1"/>
  <c r="L35" i="1" s="1"/>
  <c r="F35" i="1" s="1"/>
  <c r="R34" i="1"/>
  <c r="P34" i="1"/>
  <c r="N34" i="1"/>
  <c r="B34" i="1"/>
  <c r="L34" i="1" s="1"/>
  <c r="F34" i="1" s="1"/>
  <c r="R33" i="1"/>
  <c r="P33" i="1"/>
  <c r="N33" i="1"/>
  <c r="K33" i="1"/>
  <c r="B33" i="1"/>
  <c r="L33" i="1" s="1"/>
  <c r="F33" i="1" s="1"/>
  <c r="R32" i="1"/>
  <c r="P32" i="1"/>
  <c r="N32" i="1"/>
  <c r="B32" i="1"/>
  <c r="L32" i="1" s="1"/>
  <c r="F32" i="1" s="1"/>
  <c r="R31" i="1"/>
  <c r="P31" i="1"/>
  <c r="N31" i="1"/>
  <c r="B31" i="1"/>
  <c r="L31" i="1" s="1"/>
  <c r="F31" i="1" s="1"/>
  <c r="R30" i="1"/>
  <c r="P30" i="1"/>
  <c r="N30" i="1"/>
  <c r="B30" i="1"/>
  <c r="L30" i="1" s="1"/>
  <c r="F30" i="1" s="1"/>
  <c r="R29" i="1"/>
  <c r="P29" i="1"/>
  <c r="N29" i="1"/>
  <c r="B29" i="1"/>
  <c r="L29" i="1" s="1"/>
  <c r="F29" i="1" s="1"/>
  <c r="R28" i="1"/>
  <c r="P28" i="1"/>
  <c r="N28" i="1"/>
  <c r="K28" i="1"/>
  <c r="B28" i="1"/>
  <c r="L28" i="1" s="1"/>
  <c r="F28" i="1" s="1"/>
  <c r="R27" i="1"/>
  <c r="P27" i="1"/>
  <c r="N27" i="1"/>
  <c r="B27" i="1"/>
  <c r="L27" i="1" s="1"/>
  <c r="F27" i="1" s="1"/>
  <c r="R26" i="1"/>
  <c r="P26" i="1"/>
  <c r="N26" i="1"/>
  <c r="B26" i="1"/>
  <c r="L26" i="1" s="1"/>
  <c r="F26" i="1" s="1"/>
  <c r="R25" i="1"/>
  <c r="P25" i="1"/>
  <c r="N25" i="1"/>
  <c r="B25" i="1"/>
  <c r="L25" i="1" s="1"/>
  <c r="F25" i="1" s="1"/>
  <c r="R24" i="1"/>
  <c r="P24" i="1"/>
  <c r="N24" i="1"/>
  <c r="K24" i="1"/>
  <c r="B24" i="1"/>
  <c r="L24" i="1" s="1"/>
  <c r="F24" i="1" s="1"/>
  <c r="R23" i="1"/>
  <c r="P23" i="1"/>
  <c r="N23" i="1"/>
  <c r="B23" i="1"/>
  <c r="L23" i="1" s="1"/>
  <c r="F23" i="1" s="1"/>
  <c r="R22" i="1"/>
  <c r="P22" i="1"/>
  <c r="N22" i="1"/>
  <c r="K22" i="1"/>
  <c r="B22" i="1"/>
  <c r="L22" i="1" s="1"/>
  <c r="F22" i="1" s="1"/>
  <c r="R21" i="1"/>
  <c r="P21" i="1"/>
  <c r="N21" i="1"/>
  <c r="K21" i="1"/>
  <c r="F21" i="1"/>
  <c r="B21" i="1"/>
  <c r="L21" i="1" s="1"/>
  <c r="R20" i="1"/>
  <c r="P20" i="1"/>
  <c r="N20" i="1"/>
  <c r="B20" i="1"/>
  <c r="L20" i="1" s="1"/>
  <c r="F20" i="1" s="1"/>
  <c r="R19" i="1"/>
  <c r="P19" i="1"/>
  <c r="N19" i="1"/>
  <c r="K19" i="1"/>
  <c r="B19" i="1"/>
  <c r="L19" i="1" s="1"/>
  <c r="F19" i="1" s="1"/>
  <c r="R18" i="1"/>
  <c r="P18" i="1"/>
  <c r="N18" i="1"/>
  <c r="K18" i="1"/>
  <c r="B18" i="1"/>
  <c r="L18" i="1" s="1"/>
  <c r="F18" i="1" s="1"/>
  <c r="R17" i="1"/>
  <c r="P17" i="1"/>
  <c r="N17" i="1"/>
  <c r="B17" i="1"/>
  <c r="L17" i="1" s="1"/>
  <c r="F17" i="1" s="1"/>
  <c r="R16" i="1"/>
  <c r="P16" i="1"/>
  <c r="N16" i="1"/>
  <c r="K16" i="1"/>
  <c r="B16" i="1"/>
  <c r="L16" i="1" s="1"/>
  <c r="F16" i="1" s="1"/>
  <c r="R15" i="1"/>
  <c r="P15" i="1"/>
  <c r="N15" i="1"/>
  <c r="L15" i="1"/>
  <c r="F15" i="1" s="1"/>
  <c r="R14" i="1"/>
  <c r="P14" i="1"/>
  <c r="N14" i="1"/>
  <c r="B14" i="1"/>
  <c r="L14" i="1" s="1"/>
  <c r="F14" i="1" s="1"/>
  <c r="R13" i="1"/>
  <c r="P13" i="1"/>
  <c r="N13" i="1"/>
  <c r="K13" i="1"/>
  <c r="B13" i="1"/>
  <c r="L13" i="1" s="1"/>
  <c r="F13" i="1" s="1"/>
  <c r="R12" i="1"/>
  <c r="P12" i="1"/>
  <c r="N12" i="1"/>
  <c r="K12" i="1"/>
  <c r="B12" i="1"/>
  <c r="L12" i="1" s="1"/>
  <c r="F12" i="1" s="1"/>
  <c r="R11" i="1"/>
  <c r="P11" i="1"/>
  <c r="N11" i="1"/>
  <c r="B11" i="1"/>
  <c r="L11" i="1" s="1"/>
  <c r="F11" i="1" s="1"/>
  <c r="R10" i="1"/>
  <c r="P10" i="1"/>
  <c r="N10" i="1"/>
  <c r="B10" i="1"/>
  <c r="L10" i="1" s="1"/>
  <c r="F10" i="1" s="1"/>
  <c r="R9" i="1"/>
  <c r="P9" i="1"/>
  <c r="N9" i="1"/>
  <c r="B9" i="1"/>
  <c r="L9" i="1" s="1"/>
  <c r="F9" i="1" s="1"/>
  <c r="R8" i="1"/>
  <c r="P8" i="1"/>
  <c r="N8" i="1"/>
  <c r="K8" i="1"/>
  <c r="B8" i="1"/>
  <c r="L8" i="1" s="1"/>
  <c r="F8" i="1" s="1"/>
  <c r="R7" i="1"/>
  <c r="P7" i="1"/>
  <c r="N7" i="1"/>
  <c r="K7" i="1"/>
  <c r="G7" i="1"/>
  <c r="G8" i="1" s="1"/>
  <c r="G9" i="1" s="1"/>
  <c r="G10" i="1" s="1"/>
  <c r="G11" i="1" s="1"/>
  <c r="G12" i="1" s="1"/>
  <c r="G13" i="1" s="1"/>
  <c r="G14" i="1" s="1"/>
  <c r="G15" i="1" s="1"/>
  <c r="G16" i="1" s="1"/>
  <c r="G17" i="1" s="1"/>
  <c r="G18" i="1" s="1"/>
  <c r="G19" i="1" s="1"/>
  <c r="G20" i="1" s="1"/>
  <c r="G21" i="1" s="1"/>
  <c r="G22" i="1" s="1"/>
  <c r="G23" i="1" s="1"/>
  <c r="G24" i="1" s="1"/>
  <c r="G25" i="1" s="1"/>
  <c r="G26" i="1" s="1"/>
  <c r="G27" i="1" s="1"/>
  <c r="G28" i="1" s="1"/>
  <c r="G29" i="1" s="1"/>
  <c r="G30" i="1" s="1"/>
  <c r="G31" i="1" s="1"/>
  <c r="G32" i="1" s="1"/>
  <c r="G33" i="1" s="1"/>
  <c r="G34" i="1" s="1"/>
  <c r="G35" i="1" s="1"/>
  <c r="G36" i="1" s="1"/>
  <c r="G37" i="1" s="1"/>
  <c r="G38" i="1" s="1"/>
  <c r="G39" i="1" s="1"/>
  <c r="G40" i="1" s="1"/>
  <c r="G41" i="1" s="1"/>
  <c r="G42" i="1" s="1"/>
  <c r="G43" i="1" s="1"/>
  <c r="G44" i="1" s="1"/>
  <c r="G45" i="1" s="1"/>
  <c r="G46" i="1" s="1"/>
  <c r="G47" i="1" s="1"/>
  <c r="G48" i="1" s="1"/>
  <c r="G49" i="1" s="1"/>
  <c r="G50" i="1" s="1"/>
  <c r="G51" i="1" s="1"/>
  <c r="G52" i="1" s="1"/>
  <c r="G53" i="1" s="1"/>
  <c r="G54" i="1" s="1"/>
  <c r="G55" i="1" s="1"/>
  <c r="G56" i="1" s="1"/>
  <c r="G57" i="1" s="1"/>
  <c r="G58" i="1" s="1"/>
  <c r="G59" i="1" s="1"/>
  <c r="G60" i="1" s="1"/>
  <c r="G61" i="1" s="1"/>
  <c r="G62" i="1" s="1"/>
  <c r="G63" i="1" s="1"/>
  <c r="G64" i="1" s="1"/>
  <c r="G65" i="1" s="1"/>
  <c r="G66" i="1" s="1"/>
  <c r="G67" i="1" s="1"/>
  <c r="G68" i="1" s="1"/>
  <c r="G69" i="1" s="1"/>
  <c r="G70" i="1" s="1"/>
  <c r="G71" i="1" s="1"/>
  <c r="G72" i="1" s="1"/>
  <c r="G73" i="1" s="1"/>
  <c r="G74" i="1" s="1"/>
  <c r="G75" i="1" s="1"/>
  <c r="G76" i="1" s="1"/>
  <c r="G77" i="1" s="1"/>
  <c r="G78" i="1" s="1"/>
  <c r="G79" i="1" s="1"/>
  <c r="G80" i="1" s="1"/>
  <c r="G81" i="1" s="1"/>
  <c r="G82" i="1" s="1"/>
  <c r="G83" i="1" s="1"/>
  <c r="G84" i="1" s="1"/>
  <c r="G85" i="1" s="1"/>
  <c r="G86" i="1" s="1"/>
  <c r="G87" i="1" s="1"/>
  <c r="G88" i="1" s="1"/>
  <c r="G89" i="1" s="1"/>
  <c r="G90" i="1" s="1"/>
  <c r="G91" i="1" s="1"/>
  <c r="G92" i="1" s="1"/>
  <c r="G93" i="1" s="1"/>
  <c r="G94" i="1" s="1"/>
  <c r="G95" i="1" s="1"/>
  <c r="G96" i="1" s="1"/>
  <c r="G97" i="1" s="1"/>
  <c r="G98" i="1" s="1"/>
  <c r="G99" i="1" s="1"/>
  <c r="G100" i="1" s="1"/>
  <c r="G101" i="1" s="1"/>
  <c r="G102" i="1" s="1"/>
  <c r="G103" i="1" s="1"/>
  <c r="G104" i="1" s="1"/>
  <c r="G105" i="1" s="1"/>
  <c r="G106" i="1" s="1"/>
  <c r="G107" i="1" s="1"/>
  <c r="G108" i="1" s="1"/>
  <c r="G109" i="1" s="1"/>
  <c r="G110" i="1" s="1"/>
  <c r="G111" i="1" s="1"/>
  <c r="G112" i="1" s="1"/>
  <c r="G113" i="1" s="1"/>
  <c r="G114" i="1" s="1"/>
  <c r="G115" i="1" s="1"/>
  <c r="G116" i="1" s="1"/>
  <c r="G117" i="1" s="1"/>
  <c r="G118" i="1" s="1"/>
  <c r="G119" i="1" s="1"/>
  <c r="G120" i="1" s="1"/>
  <c r="G121" i="1" s="1"/>
  <c r="G122" i="1" s="1"/>
  <c r="G123" i="1" s="1"/>
  <c r="G124" i="1" s="1"/>
  <c r="G125" i="1" s="1"/>
  <c r="G126" i="1" s="1"/>
  <c r="B7" i="1"/>
  <c r="L7" i="1" s="1"/>
  <c r="F7" i="1" s="1"/>
  <c r="R6" i="1"/>
  <c r="P6" i="1"/>
  <c r="N6" i="1"/>
  <c r="B6" i="1"/>
  <c r="L6" i="1" s="1"/>
  <c r="F6" i="1" s="1"/>
  <c r="L41" i="1" l="1"/>
  <c r="F41" i="1" s="1"/>
  <c r="L101" i="1"/>
  <c r="F101" i="1" s="1"/>
  <c r="L43" i="1"/>
  <c r="F43" i="1" s="1"/>
  <c r="L103" i="1"/>
  <c r="F103" i="1" s="1"/>
</calcChain>
</file>

<file path=xl/sharedStrings.xml><?xml version="1.0" encoding="utf-8"?>
<sst xmlns="http://schemas.openxmlformats.org/spreadsheetml/2006/main" count="415" uniqueCount="167">
  <si>
    <t>Bahria Town (Pvt) Ltd. Lahore</t>
  </si>
  <si>
    <t>Electricity Meter Reading Sheet April-2025</t>
  </si>
  <si>
    <t xml:space="preserve">Spring </t>
  </si>
  <si>
    <t>Reading Date :___________________________</t>
  </si>
  <si>
    <t>S#</t>
  </si>
  <si>
    <t>Meter No.</t>
  </si>
  <si>
    <t>House No.</t>
  </si>
  <si>
    <t>MDI Reading</t>
  </si>
  <si>
    <t>Accumulated Reading</t>
  </si>
  <si>
    <t>Peak Time Reading</t>
  </si>
  <si>
    <t>Off Peak Time Reading</t>
  </si>
  <si>
    <t>Export Reading</t>
  </si>
  <si>
    <t>Remarks From Electric Dept</t>
  </si>
  <si>
    <t>Remarks</t>
  </si>
  <si>
    <t xml:space="preserve">Previous </t>
  </si>
  <si>
    <t>Current</t>
  </si>
  <si>
    <t>S.Slip</t>
  </si>
  <si>
    <t>BTL-20381</t>
  </si>
  <si>
    <t>Residential</t>
  </si>
  <si>
    <t>BTL-18083</t>
  </si>
  <si>
    <t>BTL-22623</t>
  </si>
  <si>
    <t>BTL-22848</t>
  </si>
  <si>
    <t>BTL-24241</t>
  </si>
  <si>
    <t>BTL-28899</t>
  </si>
  <si>
    <t>BTL-15983</t>
  </si>
  <si>
    <t>BTL-23431</t>
  </si>
  <si>
    <t>12 (2nd METER</t>
  </si>
  <si>
    <t>BTL-27516</t>
  </si>
  <si>
    <t>BTL-14382</t>
  </si>
  <si>
    <t>BTL-28889</t>
  </si>
  <si>
    <t>BTL-17243</t>
  </si>
  <si>
    <t>BTL-15254</t>
  </si>
  <si>
    <t>BTL-15453</t>
  </si>
  <si>
    <t>BTL-16118</t>
  </si>
  <si>
    <t>BTL-15686</t>
  </si>
  <si>
    <t>BTL-14384</t>
  </si>
  <si>
    <t>BTL-21739</t>
  </si>
  <si>
    <t>25 (2ND METER )</t>
  </si>
  <si>
    <t>BTL-17244</t>
  </si>
  <si>
    <t>BTL-26452</t>
  </si>
  <si>
    <t>BTL-29175</t>
  </si>
  <si>
    <t>26 (2nd Meter)</t>
  </si>
  <si>
    <t>BTL-17148</t>
  </si>
  <si>
    <t>BTL-25204</t>
  </si>
  <si>
    <t>BTL-18577</t>
  </si>
  <si>
    <t>BTL-26873</t>
  </si>
  <si>
    <t>29 (2nd METER)</t>
  </si>
  <si>
    <t>BTL-16913</t>
  </si>
  <si>
    <t>BTL-14860</t>
  </si>
  <si>
    <t>BTL-15827</t>
  </si>
  <si>
    <t>BTL-14950</t>
  </si>
  <si>
    <t>BTL-19857</t>
  </si>
  <si>
    <t>BTL-33907</t>
  </si>
  <si>
    <t>BTL-14414</t>
  </si>
  <si>
    <t>BTL-19193</t>
  </si>
  <si>
    <t>BTL-22598</t>
  </si>
  <si>
    <t>38 2nd METER</t>
  </si>
  <si>
    <t>BTL-14605</t>
  </si>
  <si>
    <t>BTL-19870</t>
  </si>
  <si>
    <t>BTL-22991</t>
  </si>
  <si>
    <t>BTL-15452</t>
  </si>
  <si>
    <t>BTL-17583</t>
  </si>
  <si>
    <t>BTL-14271</t>
  </si>
  <si>
    <t>BTL-15520</t>
  </si>
  <si>
    <t>BTL-16693</t>
  </si>
  <si>
    <t>BTL-24369</t>
  </si>
  <si>
    <t>BTL-18082</t>
  </si>
  <si>
    <t>BTL-27863</t>
  </si>
  <si>
    <t>BTL-15795</t>
  </si>
  <si>
    <t>BTL-14375</t>
  </si>
  <si>
    <t>BTL-14167</t>
  </si>
  <si>
    <t>BTL-13451</t>
  </si>
  <si>
    <t>BTL-20377</t>
  </si>
  <si>
    <t>BTL-20549</t>
  </si>
  <si>
    <t>BTL-33908</t>
  </si>
  <si>
    <t>BTL-33672</t>
  </si>
  <si>
    <t>BTL-20213</t>
  </si>
  <si>
    <t>BTL-19130</t>
  </si>
  <si>
    <t>BTL-14046</t>
  </si>
  <si>
    <t>BTL-26768</t>
  </si>
  <si>
    <t>BTL-28672</t>
  </si>
  <si>
    <t>BTL-19985</t>
  </si>
  <si>
    <t>BTL-24518</t>
  </si>
  <si>
    <t>73 (2nd METER)</t>
  </si>
  <si>
    <t>BTL-29354</t>
  </si>
  <si>
    <t>BTL-19043</t>
  </si>
  <si>
    <t>BTL-25178</t>
  </si>
  <si>
    <t>75 (2nd Meter)</t>
  </si>
  <si>
    <t>BTL-20091</t>
  </si>
  <si>
    <t>BTL-19550</t>
  </si>
  <si>
    <t>BTL-31941</t>
  </si>
  <si>
    <t>BTL-17388</t>
  </si>
  <si>
    <t>BTL-18311</t>
  </si>
  <si>
    <t>BTL-14096</t>
  </si>
  <si>
    <t>BTL-14951</t>
  </si>
  <si>
    <t>BTL-33225</t>
  </si>
  <si>
    <t>BTL-20862</t>
  </si>
  <si>
    <t>BTL-21832</t>
  </si>
  <si>
    <t>BTL-15675</t>
  </si>
  <si>
    <t>BTL-17400</t>
  </si>
  <si>
    <t>95 2nd Meter</t>
  </si>
  <si>
    <t>BTL-15076</t>
  </si>
  <si>
    <t>BTL-22471</t>
  </si>
  <si>
    <t>BTL-16434</t>
  </si>
  <si>
    <t>BTL-13011</t>
  </si>
  <si>
    <t>BTL-19566</t>
  </si>
  <si>
    <t>BTL-13403</t>
  </si>
  <si>
    <t>BTL-13404</t>
  </si>
  <si>
    <t>BTL-21668</t>
  </si>
  <si>
    <t>BTL-22812</t>
  </si>
  <si>
    <t>104 (2nd Meter)</t>
  </si>
  <si>
    <t>BTL-31804</t>
  </si>
  <si>
    <t>BTL-27695</t>
  </si>
  <si>
    <t>BTL-22785</t>
  </si>
  <si>
    <t>BTL-20515</t>
  </si>
  <si>
    <t>BTL-31503</t>
  </si>
  <si>
    <t>110-A</t>
  </si>
  <si>
    <t>BTL-17419</t>
  </si>
  <si>
    <t>BTL-30888</t>
  </si>
  <si>
    <t>111 (2nd Meter)</t>
  </si>
  <si>
    <t>BTL-14472</t>
  </si>
  <si>
    <t>BTL-30264</t>
  </si>
  <si>
    <t>BTL-17949</t>
  </si>
  <si>
    <t>BTL-24482</t>
  </si>
  <si>
    <t>BTL-23739</t>
  </si>
  <si>
    <t>BTL-21779</t>
  </si>
  <si>
    <t>BTL-19028</t>
  </si>
  <si>
    <t>BTL-15754</t>
  </si>
  <si>
    <t>BTL-33673</t>
  </si>
  <si>
    <t>BTL-20006</t>
  </si>
  <si>
    <t>BTL-19751</t>
  </si>
  <si>
    <t>BTL-17421</t>
  </si>
  <si>
    <t>BTL-19577</t>
  </si>
  <si>
    <t>BTL-18692</t>
  </si>
  <si>
    <t>BTL-17113</t>
  </si>
  <si>
    <t>BTL-19066</t>
  </si>
  <si>
    <t>05 (PLAZA)</t>
  </si>
  <si>
    <t>Commercial</t>
  </si>
  <si>
    <t>BTL-33909</t>
  </si>
  <si>
    <t>12-PLAZA</t>
  </si>
  <si>
    <t>BTL-32364</t>
  </si>
  <si>
    <t>20-PLAZA</t>
  </si>
  <si>
    <t>BTL-33910</t>
  </si>
  <si>
    <t>22 (PLAZA)</t>
  </si>
  <si>
    <t>BTL-19917</t>
  </si>
  <si>
    <t>23 (PLAZA)</t>
  </si>
  <si>
    <t>BTL-27188</t>
  </si>
  <si>
    <t>26 (PLAZA)</t>
  </si>
  <si>
    <t>BTL-15617</t>
  </si>
  <si>
    <t>27 (PLAZA)</t>
  </si>
  <si>
    <t>BTL-22905</t>
  </si>
  <si>
    <t>29 (PLAZA)</t>
  </si>
  <si>
    <t>BTL-30290</t>
  </si>
  <si>
    <t>30 (PLAZA)</t>
  </si>
  <si>
    <t>BTL-32365</t>
  </si>
  <si>
    <t>35-PLAZA</t>
  </si>
  <si>
    <t>BTL-28917</t>
  </si>
  <si>
    <t>37 (PLAZA)</t>
  </si>
  <si>
    <t>BTL-16626</t>
  </si>
  <si>
    <t>PARK NR 77</t>
  </si>
  <si>
    <t>Bahria Self Consumption</t>
  </si>
  <si>
    <t>BTL-15767</t>
  </si>
  <si>
    <t>SLP NR (H-112)</t>
  </si>
  <si>
    <t>BTL-15766</t>
  </si>
  <si>
    <t>SLP NR (H-15)</t>
  </si>
  <si>
    <t>BTL-18197</t>
  </si>
  <si>
    <t>WATER TANK NR 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</si>
</sst>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00000"/>
  </numFmts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4"/>
      <name val="Calibri"/>
      <family val="2"/>
      <scheme val="minor"/>
    </font>
    <font>
      <b/>
      <sz val="2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Rockwell"/>
      <family val="1"/>
    </font>
    <font>
      <b/>
      <sz val="12"/>
      <name val="Rockwell"/>
      <family val="1"/>
    </font>
    <font>
      <b/>
      <sz val="12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8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8"/>
      <color rgb="FFC7C7C7"/>
      <name val="Calibri"/>
      <family val="2"/>
      <scheme val="minor"/>
    </font>
    <font>
      <sz val="11"/>
      <name val="Calibri"/>
      <family val="2"/>
      <scheme val="minor"/>
    </font>
    <font>
      <sz val="8"/>
      <color theme="0" tint="-0.499984740745262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rgb="FF6F6F6F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4.9989318521683403E-2"/>
        <bgColor rgb="FF6F6F6F"/>
      </patternFill>
    </fill>
    <fill>
      <patternFill patternType="solid">
        <fgColor indexed="65"/>
        <bgColor rgb="FF6F6F6F"/>
      </patternFill>
    </fill>
  </fills>
  <borders count="20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4" fillId="2" borderId="1" xfId="0" applyFont="1" applyFill="1" applyBorder="1"/>
    <xf numFmtId="0" fontId="2" fillId="3" borderId="2" xfId="0" applyFont="1" applyFill="1" applyBorder="1" applyAlignment="1">
      <alignment horizontal="left" vertical="center"/>
    </xf>
    <xf numFmtId="0" fontId="5" fillId="3" borderId="3" xfId="0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left" vertical="center"/>
    </xf>
    <xf numFmtId="0" fontId="4" fillId="4" borderId="0" xfId="0" applyFont="1" applyFill="1" applyAlignment="1">
      <alignment horizontal="left" vertical="center"/>
    </xf>
    <xf numFmtId="0" fontId="7" fillId="4" borderId="0" xfId="0" applyFont="1" applyFill="1" applyAlignment="1">
      <alignment horizontal="left" vertical="center"/>
    </xf>
    <xf numFmtId="0" fontId="8" fillId="4" borderId="0" xfId="0" applyFont="1" applyFill="1" applyAlignment="1">
      <alignment horizontal="left" vertical="center"/>
    </xf>
    <xf numFmtId="0" fontId="5" fillId="4" borderId="0" xfId="0" applyFont="1" applyFill="1" applyAlignment="1">
      <alignment horizontal="center" vertical="center"/>
    </xf>
    <xf numFmtId="0" fontId="9" fillId="4" borderId="0" xfId="0" applyFont="1" applyFill="1"/>
    <xf numFmtId="0" fontId="8" fillId="4" borderId="0" xfId="0" applyFont="1" applyFill="1"/>
    <xf numFmtId="0" fontId="8" fillId="4" borderId="1" xfId="0" applyFont="1" applyFill="1" applyBorder="1"/>
    <xf numFmtId="0" fontId="4" fillId="6" borderId="6" xfId="0" applyFont="1" applyFill="1" applyBorder="1" applyAlignment="1">
      <alignment horizontal="center" vertical="center" wrapText="1"/>
    </xf>
    <xf numFmtId="0" fontId="8" fillId="5" borderId="14" xfId="0" applyFont="1" applyFill="1" applyBorder="1" applyAlignment="1">
      <alignment horizontal="center" vertical="center" wrapText="1"/>
    </xf>
    <xf numFmtId="0" fontId="8" fillId="5" borderId="2" xfId="0" applyFont="1" applyFill="1" applyBorder="1" applyAlignment="1">
      <alignment horizontal="center" vertical="center" wrapText="1"/>
    </xf>
    <xf numFmtId="0" fontId="8" fillId="5" borderId="15" xfId="0" applyFont="1" applyFill="1" applyBorder="1" applyAlignment="1">
      <alignment horizontal="center" vertical="center" wrapText="1"/>
    </xf>
    <xf numFmtId="0" fontId="8" fillId="5" borderId="13" xfId="0" applyFont="1" applyFill="1" applyBorder="1" applyAlignment="1">
      <alignment horizontal="center" vertical="center" wrapText="1"/>
    </xf>
    <xf numFmtId="0" fontId="4" fillId="5" borderId="16" xfId="0" applyFont="1" applyFill="1" applyBorder="1" applyAlignment="1">
      <alignment horizontal="center" vertical="center" wrapText="1"/>
    </xf>
    <xf numFmtId="0" fontId="13" fillId="2" borderId="17" xfId="0" applyFont="1" applyFill="1" applyBorder="1" applyAlignment="1">
      <alignment horizontal="center" vertical="center" wrapText="1"/>
    </xf>
    <xf numFmtId="0" fontId="14" fillId="0" borderId="17" xfId="0" applyFont="1" applyBorder="1" applyAlignment="1">
      <alignment horizontal="center" vertical="center"/>
    </xf>
    <xf numFmtId="164" fontId="15" fillId="4" borderId="17" xfId="0" applyNumberFormat="1" applyFont="1" applyFill="1" applyBorder="1" applyAlignment="1">
      <alignment horizontal="center" vertical="center"/>
    </xf>
    <xf numFmtId="0" fontId="10" fillId="0" borderId="17" xfId="0" applyFont="1" applyBorder="1" applyAlignment="1">
      <alignment horizontal="center" vertical="center" wrapText="1"/>
    </xf>
    <xf numFmtId="0" fontId="15" fillId="0" borderId="17" xfId="0" applyFont="1" applyBorder="1" applyAlignment="1">
      <alignment horizontal="center" vertical="center"/>
    </xf>
    <xf numFmtId="0" fontId="0" fillId="5" borderId="17" xfId="0" applyFill="1" applyBorder="1" applyAlignment="1">
      <alignment horizontal="center" vertical="center"/>
    </xf>
    <xf numFmtId="0" fontId="16" fillId="0" borderId="17" xfId="0" applyFont="1" applyBorder="1" applyAlignment="1">
      <alignment horizontal="center" vertical="center"/>
    </xf>
    <xf numFmtId="0" fontId="9" fillId="5" borderId="17" xfId="0" applyFont="1" applyFill="1" applyBorder="1" applyAlignment="1">
      <alignment horizontal="center" vertical="center"/>
    </xf>
    <xf numFmtId="0" fontId="17" fillId="4" borderId="17" xfId="0" applyFont="1" applyFill="1" applyBorder="1" applyAlignment="1">
      <alignment horizontal="center" vertical="center" wrapText="1"/>
    </xf>
    <xf numFmtId="0" fontId="18" fillId="7" borderId="0" xfId="0" applyFont="1" applyFill="1"/>
    <xf numFmtId="0" fontId="14" fillId="0" borderId="0" xfId="0" applyFont="1"/>
    <xf numFmtId="0" fontId="0" fillId="4" borderId="0" xfId="0" applyFill="1"/>
    <xf numFmtId="0" fontId="11" fillId="0" borderId="0" xfId="0" applyFont="1" applyAlignment="1">
      <alignment wrapText="1"/>
    </xf>
    <xf numFmtId="0" fontId="9" fillId="5" borderId="18" xfId="0" applyFont="1" applyFill="1" applyBorder="1"/>
    <xf numFmtId="0" fontId="15" fillId="0" borderId="19" xfId="0" applyFont="1" applyBorder="1" applyAlignment="1">
      <alignment horizontal="center" vertical="center"/>
    </xf>
    <xf numFmtId="0" fontId="9" fillId="5" borderId="0" xfId="0" applyFont="1" applyFill="1"/>
    <xf numFmtId="0" fontId="9" fillId="0" borderId="0" xfId="0" applyFont="1"/>
    <xf numFmtId="0" fontId="19" fillId="4" borderId="0" xfId="0" applyFont="1" applyFill="1" applyAlignment="1">
      <alignment horizontal="left" wrapText="1"/>
    </xf>
    <xf numFmtId="0" fontId="12" fillId="5" borderId="3" xfId="0" applyFont="1" applyFill="1" applyBorder="1" applyAlignment="1">
      <alignment horizontal="center" vertical="center" wrapText="1"/>
    </xf>
    <xf numFmtId="0" fontId="12" fillId="5" borderId="4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10" fillId="5" borderId="5" xfId="0" applyFont="1" applyFill="1" applyBorder="1" applyAlignment="1">
      <alignment horizontal="center" vertical="center" wrapText="1"/>
    </xf>
    <xf numFmtId="0" fontId="10" fillId="5" borderId="11" xfId="0" applyFont="1" applyFill="1" applyBorder="1" applyAlignment="1">
      <alignment horizontal="center" vertical="center" wrapText="1"/>
    </xf>
    <xf numFmtId="0" fontId="11" fillId="4" borderId="6" xfId="0" applyFont="1" applyFill="1" applyBorder="1" applyAlignment="1">
      <alignment horizontal="center" vertical="center" wrapText="1"/>
    </xf>
    <xf numFmtId="0" fontId="11" fillId="4" borderId="12" xfId="0" applyFont="1" applyFill="1" applyBorder="1" applyAlignment="1">
      <alignment horizontal="center" vertical="center" wrapText="1"/>
    </xf>
    <xf numFmtId="0" fontId="11" fillId="5" borderId="6" xfId="0" applyFont="1" applyFill="1" applyBorder="1" applyAlignment="1">
      <alignment horizontal="center" vertical="center" wrapText="1"/>
    </xf>
    <xf numFmtId="0" fontId="11" fillId="5" borderId="12" xfId="0" applyFont="1" applyFill="1" applyBorder="1" applyAlignment="1">
      <alignment horizontal="center" vertical="center" wrapText="1"/>
    </xf>
    <xf numFmtId="0" fontId="11" fillId="5" borderId="7" xfId="0" applyFont="1" applyFill="1" applyBorder="1" applyAlignment="1">
      <alignment horizontal="center" vertical="center" wrapText="1"/>
    </xf>
    <xf numFmtId="0" fontId="11" fillId="5" borderId="13" xfId="0" applyFont="1" applyFill="1" applyBorder="1" applyAlignment="1">
      <alignment horizontal="center" vertical="center" wrapText="1"/>
    </xf>
    <xf numFmtId="0" fontId="1" fillId="5" borderId="8" xfId="0" applyFont="1" applyFill="1" applyBorder="1" applyAlignment="1">
      <alignment horizontal="center" vertical="center"/>
    </xf>
    <xf numFmtId="0" fontId="1" fillId="5" borderId="9" xfId="0" applyFont="1" applyFill="1" applyBorder="1" applyAlignment="1">
      <alignment horizontal="center" vertical="center"/>
    </xf>
    <xf numFmtId="0" fontId="1" fillId="5" borderId="10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/>
    </xf>
    <xf numFmtId="0" fontId="1" fillId="5" borderId="4" xfId="0" applyFont="1" applyFill="1" applyBorder="1" applyAlignment="1">
      <alignment horizontal="center" vertical="center"/>
    </xf>
  </cellXfs>
  <cellStyles count="1">
    <cellStyle name="Normal" xfId="0" builtinId="0"/>
  </cellStyles>
  <dxfs count="147"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79998168889431442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79998168889431442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79998168889431442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79998168889431442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79998168889431442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79998168889431442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79998168889431442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79998168889431442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79998168889431442"/>
        </patternFill>
      </fill>
    </dxf>
    <dxf>
      <font>
        <color rgb="FF9C6500"/>
      </font>
      <fill>
        <patternFill>
          <bgColor rgb="FFFFEB9C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79998168889431442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79998168889431442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79998168889431442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79998168889431442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79998168889431442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33617</xdr:colOff>
      <xdr:row>0</xdr:row>
      <xdr:rowOff>1</xdr:rowOff>
    </xdr:from>
    <xdr:to>
      <xdr:col>2</xdr:col>
      <xdr:colOff>141194</xdr:colOff>
      <xdr:row>2</xdr:row>
      <xdr:rowOff>35300</xdr:rowOff>
    </xdr:to>
    <xdr:pic>
      <xdr:nvPicPr>
        <xdr:cNvPr id="2" name="Picture 1" descr="logo bahria">
          <a:extLst>
            <a:ext uri="{FF2B5EF4-FFF2-40B4-BE49-F238E27FC236}">
              <a16:creationId xmlns:a16="http://schemas.microsoft.com/office/drawing/2014/main" xmlns="" id="{00000000-0008-0000-04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86092" y="1"/>
          <a:ext cx="717177" cy="806824"/>
        </a:xfrm>
        <a:prstGeom prst="roundRect">
          <a:avLst>
            <a:gd name="adj" fmla="val 8594"/>
          </a:avLst>
        </a:prstGeom>
        <a:solidFill>
          <a:srgbClr val="FFFFFF">
            <a:shade val="85000"/>
          </a:srgbClr>
        </a:solidFill>
        <a:ln>
          <a:noFill/>
        </a:ln>
        <a:effectLst>
          <a:reflection blurRad="12700" stA="38000" endPos="28000" dist="5000" dir="5400000" sy="-100000" algn="bl" rotWithShape="0"/>
        </a:effec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52"/>
  <sheetViews>
    <sheetView tabSelected="1" view="pageBreakPreview" topLeftCell="A119" zoomScaleSheetLayoutView="100" workbookViewId="0">
      <selection activeCell="D127" sqref="D127"/>
    </sheetView>
  </sheetViews>
  <sheetFormatPr defaultRowHeight="15.75" x14ac:dyDescent="0.25"/>
  <cols>
    <col min="1" max="1" width="11.28515625" style="28" customWidth="1"/>
    <col min="7" max="7" width="4.28515625" style="29" customWidth="1"/>
    <col min="8" max="8" width="14.140625" style="30" bestFit="1" customWidth="1"/>
    <col min="9" max="9" width="14.7109375" style="31" customWidth="1"/>
    <col min="10" max="10" width="8.5703125" customWidth="1"/>
    <col min="11" max="11" width="7.7109375" style="32" customWidth="1"/>
    <col min="12" max="12" width="13" customWidth="1"/>
    <col min="13" max="13" width="7.7109375" style="34" customWidth="1"/>
    <col min="14" max="14" width="13" customWidth="1"/>
    <col min="15" max="15" width="7.7109375" style="34" customWidth="1"/>
    <col min="16" max="16" width="13" customWidth="1"/>
    <col min="17" max="17" width="7.7109375" style="35" customWidth="1"/>
    <col min="18" max="18" width="13" customWidth="1"/>
    <col min="19" max="19" width="14.140625" style="36" customWidth="1"/>
    <col min="20" max="20" width="11.28515625" style="28" customWidth="1"/>
  </cols>
  <sheetData>
    <row r="1" spans="1:20" ht="31.5" customHeight="1" x14ac:dyDescent="0.25">
      <c r="A1"/>
      <c r="G1" s="39" t="s">
        <v>0</v>
      </c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</row>
    <row r="2" spans="1:20" ht="29.25" customHeight="1" thickBot="1" x14ac:dyDescent="0.3">
      <c r="A2"/>
      <c r="G2" s="40" t="s">
        <v>1</v>
      </c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</row>
    <row r="3" spans="1:20" ht="27.75" customHeight="1" thickBot="1" x14ac:dyDescent="0.3">
      <c r="A3" s="1"/>
      <c r="G3" s="2" t="s">
        <v>2</v>
      </c>
      <c r="H3" s="3"/>
      <c r="I3" s="4"/>
      <c r="J3" s="5"/>
      <c r="K3" s="6"/>
      <c r="L3" s="7"/>
      <c r="M3" s="8"/>
      <c r="N3" s="9"/>
      <c r="O3" s="10"/>
      <c r="Q3" s="11" t="s">
        <v>3</v>
      </c>
      <c r="R3" s="11"/>
      <c r="S3" s="12"/>
      <c r="T3" s="1"/>
    </row>
    <row r="4" spans="1:20" ht="21.75" customHeight="1" thickBot="1" x14ac:dyDescent="0.3">
      <c r="A4"/>
      <c r="G4" s="41" t="s">
        <v>4</v>
      </c>
      <c r="H4" s="43" t="s">
        <v>5</v>
      </c>
      <c r="I4" s="45" t="s">
        <v>6</v>
      </c>
      <c r="J4" s="47" t="s">
        <v>7</v>
      </c>
      <c r="K4" s="49" t="s">
        <v>8</v>
      </c>
      <c r="L4" s="50"/>
      <c r="M4" s="51" t="s">
        <v>9</v>
      </c>
      <c r="N4" s="49"/>
      <c r="O4" s="52" t="s">
        <v>10</v>
      </c>
      <c r="P4" s="53"/>
      <c r="Q4" s="52" t="s">
        <v>11</v>
      </c>
      <c r="R4" s="54"/>
      <c r="S4" s="37" t="s">
        <v>12</v>
      </c>
      <c r="T4" s="38"/>
    </row>
    <row r="5" spans="1:20" ht="31.5" customHeight="1" thickBot="1" x14ac:dyDescent="0.3">
      <c r="A5" s="13" t="s">
        <v>13</v>
      </c>
      <c r="G5" s="42"/>
      <c r="H5" s="44" t="s">
        <v>5</v>
      </c>
      <c r="I5" s="46" t="s">
        <v>6</v>
      </c>
      <c r="J5" s="48"/>
      <c r="K5" s="14" t="s">
        <v>14</v>
      </c>
      <c r="L5" s="14" t="s">
        <v>15</v>
      </c>
      <c r="M5" s="14" t="s">
        <v>14</v>
      </c>
      <c r="N5" s="14" t="s">
        <v>15</v>
      </c>
      <c r="O5" s="14" t="s">
        <v>14</v>
      </c>
      <c r="P5" s="15" t="s">
        <v>15</v>
      </c>
      <c r="Q5" s="16" t="s">
        <v>14</v>
      </c>
      <c r="R5" s="17" t="s">
        <v>15</v>
      </c>
      <c r="S5" s="18" t="s">
        <v>16</v>
      </c>
      <c r="T5" s="13" t="s">
        <v>13</v>
      </c>
    </row>
    <row r="6" spans="1:20" ht="37.5" customHeight="1" x14ac:dyDescent="0.25">
      <c r="A6" s="19" t="s">
        <v>17</v>
      </c>
      <c r="B6">
        <f t="shared" ref="B6:B69" si="0">C6+D6</f>
        <v>475</v>
      </c>
      <c r="C6">
        <v>153</v>
      </c>
      <c r="D6">
        <v>322</v>
      </c>
      <c r="E6">
        <v>1674</v>
      </c>
      <c r="F6">
        <f t="shared" ref="F6:F69" si="1">L6</f>
        <v>475</v>
      </c>
      <c r="G6" s="20">
        <v>1</v>
      </c>
      <c r="H6" s="21">
        <v>99625010193</v>
      </c>
      <c r="I6" s="22">
        <v>1</v>
      </c>
      <c r="J6" s="23"/>
      <c r="K6" s="24">
        <v>0</v>
      </c>
      <c r="L6" s="23">
        <f t="shared" ref="L6:L69" si="2">B6-K6</f>
        <v>475</v>
      </c>
      <c r="M6" s="24">
        <v>0</v>
      </c>
      <c r="N6" s="25">
        <f t="shared" ref="N6:N69" si="3">C6-M6</f>
        <v>153</v>
      </c>
      <c r="O6" s="24">
        <v>0</v>
      </c>
      <c r="P6" s="23">
        <f t="shared" ref="P6:P69" si="4">D6-O6</f>
        <v>322</v>
      </c>
      <c r="Q6" s="26">
        <v>0</v>
      </c>
      <c r="R6" s="23">
        <f t="shared" ref="R6:R69" si="5">E6-Q6</f>
        <v>1674</v>
      </c>
      <c r="S6" s="27" t="s">
        <v>18</v>
      </c>
      <c r="T6" s="19" t="s">
        <v>17</v>
      </c>
    </row>
    <row r="7" spans="1:20" ht="37.5" customHeight="1" x14ac:dyDescent="0.25">
      <c r="A7" s="19" t="s">
        <v>19</v>
      </c>
      <c r="B7">
        <f t="shared" si="0"/>
        <v>28879</v>
      </c>
      <c r="C7">
        <v>5169</v>
      </c>
      <c r="D7">
        <v>23710</v>
      </c>
      <c r="E7">
        <v>27668</v>
      </c>
      <c r="F7">
        <f t="shared" si="1"/>
        <v>1008</v>
      </c>
      <c r="G7" s="20">
        <f>G6+1</f>
        <v>2</v>
      </c>
      <c r="H7" s="21">
        <v>99722030031</v>
      </c>
      <c r="I7" s="22">
        <v>2</v>
      </c>
      <c r="J7" s="23"/>
      <c r="K7" s="24">
        <f>M7+O7</f>
        <v>27871</v>
      </c>
      <c r="L7" s="23">
        <f t="shared" si="2"/>
        <v>1008</v>
      </c>
      <c r="M7" s="24">
        <v>5045</v>
      </c>
      <c r="N7" s="25">
        <f t="shared" si="3"/>
        <v>124</v>
      </c>
      <c r="O7" s="24">
        <v>22826</v>
      </c>
      <c r="P7" s="23">
        <f t="shared" si="4"/>
        <v>884</v>
      </c>
      <c r="Q7" s="26">
        <v>26504</v>
      </c>
      <c r="R7" s="23">
        <f t="shared" si="5"/>
        <v>1164</v>
      </c>
      <c r="S7" s="27" t="s">
        <v>18</v>
      </c>
      <c r="T7" s="19" t="s">
        <v>19</v>
      </c>
    </row>
    <row r="8" spans="1:20" ht="37.5" customHeight="1" x14ac:dyDescent="0.25">
      <c r="A8" s="19" t="s">
        <v>20</v>
      </c>
      <c r="B8">
        <f t="shared" si="0"/>
        <v>30038</v>
      </c>
      <c r="C8">
        <v>8770</v>
      </c>
      <c r="D8">
        <v>21268</v>
      </c>
      <c r="E8">
        <v>28503</v>
      </c>
      <c r="F8">
        <f t="shared" si="1"/>
        <v>972</v>
      </c>
      <c r="G8" s="20">
        <f t="shared" ref="G8:G71" si="6">G7+1</f>
        <v>3</v>
      </c>
      <c r="H8" s="21">
        <v>99723030039</v>
      </c>
      <c r="I8" s="22">
        <v>6</v>
      </c>
      <c r="J8" s="23"/>
      <c r="K8" s="24">
        <f>M8+O8</f>
        <v>29066</v>
      </c>
      <c r="L8" s="23">
        <f t="shared" si="2"/>
        <v>972</v>
      </c>
      <c r="M8" s="24">
        <v>8429</v>
      </c>
      <c r="N8" s="25">
        <f t="shared" si="3"/>
        <v>341</v>
      </c>
      <c r="O8" s="24">
        <v>20637</v>
      </c>
      <c r="P8" s="23">
        <f t="shared" si="4"/>
        <v>631</v>
      </c>
      <c r="Q8" s="26">
        <v>26701</v>
      </c>
      <c r="R8" s="23">
        <f t="shared" si="5"/>
        <v>1802</v>
      </c>
      <c r="S8" s="27" t="s">
        <v>18</v>
      </c>
      <c r="T8" s="19" t="s">
        <v>20</v>
      </c>
    </row>
    <row r="9" spans="1:20" ht="37.5" customHeight="1" x14ac:dyDescent="0.25">
      <c r="A9" s="19" t="s">
        <v>21</v>
      </c>
      <c r="B9">
        <f t="shared" si="0"/>
        <v>185</v>
      </c>
      <c r="C9">
        <v>55</v>
      </c>
      <c r="D9">
        <v>130</v>
      </c>
      <c r="E9">
        <v>943</v>
      </c>
      <c r="F9">
        <f t="shared" si="1"/>
        <v>185</v>
      </c>
      <c r="G9" s="20">
        <f t="shared" si="6"/>
        <v>4</v>
      </c>
      <c r="H9" s="21">
        <v>99625010229</v>
      </c>
      <c r="I9" s="22">
        <v>7</v>
      </c>
      <c r="J9" s="23"/>
      <c r="K9" s="24">
        <v>0</v>
      </c>
      <c r="L9" s="23">
        <f t="shared" si="2"/>
        <v>185</v>
      </c>
      <c r="M9" s="24">
        <v>0</v>
      </c>
      <c r="N9" s="25">
        <f t="shared" si="3"/>
        <v>55</v>
      </c>
      <c r="O9" s="24">
        <v>0</v>
      </c>
      <c r="P9" s="23">
        <f t="shared" si="4"/>
        <v>130</v>
      </c>
      <c r="Q9" s="26">
        <v>0</v>
      </c>
      <c r="R9" s="23">
        <f t="shared" si="5"/>
        <v>943</v>
      </c>
      <c r="S9" s="27" t="s">
        <v>18</v>
      </c>
      <c r="T9" s="19" t="s">
        <v>21</v>
      </c>
    </row>
    <row r="10" spans="1:20" ht="37.5" customHeight="1" x14ac:dyDescent="0.25">
      <c r="A10" s="19" t="s">
        <v>22</v>
      </c>
      <c r="B10">
        <f t="shared" si="0"/>
        <v>39780</v>
      </c>
      <c r="C10">
        <v>6736</v>
      </c>
      <c r="D10">
        <v>33044</v>
      </c>
      <c r="F10">
        <f t="shared" si="1"/>
        <v>663</v>
      </c>
      <c r="G10" s="20">
        <f t="shared" si="6"/>
        <v>5</v>
      </c>
      <c r="H10" s="21">
        <v>88820010191</v>
      </c>
      <c r="I10" s="22">
        <v>8</v>
      </c>
      <c r="J10" s="23"/>
      <c r="K10" s="24">
        <v>39117</v>
      </c>
      <c r="L10" s="23">
        <f t="shared" si="2"/>
        <v>663</v>
      </c>
      <c r="M10" s="24">
        <v>6613</v>
      </c>
      <c r="N10" s="25">
        <f t="shared" si="3"/>
        <v>123</v>
      </c>
      <c r="O10" s="24">
        <v>32504</v>
      </c>
      <c r="P10" s="23">
        <f t="shared" si="4"/>
        <v>540</v>
      </c>
      <c r="Q10" s="26"/>
      <c r="R10" s="23">
        <f t="shared" si="5"/>
        <v>0</v>
      </c>
      <c r="S10" s="27" t="s">
        <v>18</v>
      </c>
      <c r="T10" s="19" t="s">
        <v>22</v>
      </c>
    </row>
    <row r="11" spans="1:20" ht="37.5" customHeight="1" x14ac:dyDescent="0.25">
      <c r="A11" s="19" t="s">
        <v>23</v>
      </c>
      <c r="B11">
        <f t="shared" si="0"/>
        <v>1695</v>
      </c>
      <c r="C11">
        <v>134</v>
      </c>
      <c r="D11">
        <v>1561</v>
      </c>
      <c r="F11">
        <f t="shared" si="1"/>
        <v>49</v>
      </c>
      <c r="G11" s="20">
        <f t="shared" si="6"/>
        <v>6</v>
      </c>
      <c r="H11" s="21">
        <v>66622040059</v>
      </c>
      <c r="I11" s="22">
        <v>11</v>
      </c>
      <c r="J11" s="23"/>
      <c r="K11" s="24">
        <v>1646</v>
      </c>
      <c r="L11" s="23">
        <f t="shared" si="2"/>
        <v>49</v>
      </c>
      <c r="M11" s="24">
        <v>128</v>
      </c>
      <c r="N11" s="25">
        <f t="shared" si="3"/>
        <v>6</v>
      </c>
      <c r="O11" s="24">
        <v>1518</v>
      </c>
      <c r="P11" s="23">
        <f t="shared" si="4"/>
        <v>43</v>
      </c>
      <c r="Q11" s="26"/>
      <c r="R11" s="23">
        <f t="shared" si="5"/>
        <v>0</v>
      </c>
      <c r="S11" s="27" t="s">
        <v>18</v>
      </c>
      <c r="T11" s="19" t="s">
        <v>23</v>
      </c>
    </row>
    <row r="12" spans="1:20" ht="37.5" customHeight="1" x14ac:dyDescent="0.25">
      <c r="A12" s="19" t="s">
        <v>24</v>
      </c>
      <c r="B12">
        <f t="shared" si="0"/>
        <v>16523</v>
      </c>
      <c r="C12">
        <v>4151</v>
      </c>
      <c r="D12">
        <v>12372</v>
      </c>
      <c r="E12">
        <v>14603</v>
      </c>
      <c r="F12">
        <f t="shared" si="1"/>
        <v>476</v>
      </c>
      <c r="G12" s="20">
        <f t="shared" si="6"/>
        <v>7</v>
      </c>
      <c r="H12" s="21">
        <v>99723040007</v>
      </c>
      <c r="I12" s="22">
        <v>12</v>
      </c>
      <c r="J12" s="23"/>
      <c r="K12" s="24">
        <f>M12+O12</f>
        <v>16047</v>
      </c>
      <c r="L12" s="23">
        <f t="shared" si="2"/>
        <v>476</v>
      </c>
      <c r="M12" s="24">
        <v>4009</v>
      </c>
      <c r="N12" s="25">
        <f t="shared" si="3"/>
        <v>142</v>
      </c>
      <c r="O12" s="24">
        <v>12038</v>
      </c>
      <c r="P12" s="23">
        <f t="shared" si="4"/>
        <v>334</v>
      </c>
      <c r="Q12" s="26">
        <v>13703</v>
      </c>
      <c r="R12" s="23">
        <f t="shared" si="5"/>
        <v>900</v>
      </c>
      <c r="S12" s="27" t="s">
        <v>18</v>
      </c>
      <c r="T12" s="19" t="s">
        <v>24</v>
      </c>
    </row>
    <row r="13" spans="1:20" ht="37.5" customHeight="1" x14ac:dyDescent="0.25">
      <c r="A13" s="19" t="s">
        <v>25</v>
      </c>
      <c r="B13">
        <f t="shared" si="0"/>
        <v>9329</v>
      </c>
      <c r="C13">
        <v>2261</v>
      </c>
      <c r="D13">
        <v>7068</v>
      </c>
      <c r="E13">
        <v>9208</v>
      </c>
      <c r="F13">
        <f t="shared" si="1"/>
        <v>337</v>
      </c>
      <c r="G13" s="20">
        <f t="shared" si="6"/>
        <v>8</v>
      </c>
      <c r="H13" s="21">
        <v>99723040802</v>
      </c>
      <c r="I13" s="22" t="s">
        <v>26</v>
      </c>
      <c r="J13" s="23"/>
      <c r="K13" s="24">
        <f>M13+O13</f>
        <v>8992</v>
      </c>
      <c r="L13" s="23">
        <f t="shared" si="2"/>
        <v>337</v>
      </c>
      <c r="M13" s="24">
        <v>2166</v>
      </c>
      <c r="N13" s="25">
        <f t="shared" si="3"/>
        <v>95</v>
      </c>
      <c r="O13" s="24">
        <v>6826</v>
      </c>
      <c r="P13" s="23">
        <f t="shared" si="4"/>
        <v>242</v>
      </c>
      <c r="Q13" s="26">
        <v>8715</v>
      </c>
      <c r="R13" s="23">
        <f t="shared" si="5"/>
        <v>493</v>
      </c>
      <c r="S13" s="27" t="s">
        <v>18</v>
      </c>
      <c r="T13" s="19" t="s">
        <v>25</v>
      </c>
    </row>
    <row r="14" spans="1:20" ht="37.5" customHeight="1" x14ac:dyDescent="0.25">
      <c r="A14" s="19" t="s">
        <v>27</v>
      </c>
      <c r="B14">
        <f t="shared" si="0"/>
        <v>698</v>
      </c>
      <c r="C14">
        <v>44</v>
      </c>
      <c r="D14">
        <v>654</v>
      </c>
      <c r="F14">
        <f t="shared" si="1"/>
        <v>1</v>
      </c>
      <c r="G14" s="20">
        <f t="shared" si="6"/>
        <v>9</v>
      </c>
      <c r="H14" s="21">
        <v>66621090072</v>
      </c>
      <c r="I14" s="22">
        <v>13</v>
      </c>
      <c r="J14" s="23"/>
      <c r="K14" s="24">
        <v>697</v>
      </c>
      <c r="L14" s="23">
        <f t="shared" si="2"/>
        <v>1</v>
      </c>
      <c r="M14" s="24">
        <v>44</v>
      </c>
      <c r="N14" s="25">
        <f t="shared" si="3"/>
        <v>0</v>
      </c>
      <c r="O14" s="24">
        <v>653</v>
      </c>
      <c r="P14" s="23">
        <f t="shared" si="4"/>
        <v>1</v>
      </c>
      <c r="Q14" s="26"/>
      <c r="R14" s="23">
        <f t="shared" si="5"/>
        <v>0</v>
      </c>
      <c r="S14" s="27" t="s">
        <v>18</v>
      </c>
      <c r="T14" s="19" t="s">
        <v>27</v>
      </c>
    </row>
    <row r="15" spans="1:20" ht="37.5" customHeight="1" x14ac:dyDescent="0.25">
      <c r="A15" s="19" t="s">
        <v>28</v>
      </c>
      <c r="B15">
        <f t="shared" si="0"/>
        <v>47094</v>
      </c>
      <c r="C15">
        <v>7818</v>
      </c>
      <c r="D15">
        <v>39276</v>
      </c>
      <c r="F15">
        <f t="shared" si="1"/>
        <v>948</v>
      </c>
      <c r="G15" s="20">
        <f t="shared" si="6"/>
        <v>10</v>
      </c>
      <c r="H15" s="21">
        <v>88820040264</v>
      </c>
      <c r="I15" s="22">
        <v>14</v>
      </c>
      <c r="J15" s="23"/>
      <c r="K15" s="24">
        <v>46146</v>
      </c>
      <c r="L15" s="23">
        <f t="shared" si="2"/>
        <v>948</v>
      </c>
      <c r="M15" s="24">
        <v>7638</v>
      </c>
      <c r="N15" s="25">
        <f t="shared" si="3"/>
        <v>180</v>
      </c>
      <c r="O15" s="24">
        <v>38508</v>
      </c>
      <c r="P15" s="23">
        <f t="shared" si="4"/>
        <v>768</v>
      </c>
      <c r="Q15" s="26"/>
      <c r="R15" s="23">
        <f t="shared" si="5"/>
        <v>0</v>
      </c>
      <c r="S15" s="27" t="s">
        <v>18</v>
      </c>
      <c r="T15" s="19" t="s">
        <v>28</v>
      </c>
    </row>
    <row r="16" spans="1:20" ht="37.5" customHeight="1" x14ac:dyDescent="0.25">
      <c r="A16" s="19" t="s">
        <v>29</v>
      </c>
      <c r="B16">
        <f t="shared" si="0"/>
        <v>23606</v>
      </c>
      <c r="C16">
        <v>5956</v>
      </c>
      <c r="D16">
        <v>17650</v>
      </c>
      <c r="E16">
        <v>24464</v>
      </c>
      <c r="F16">
        <f t="shared" si="1"/>
        <v>1143</v>
      </c>
      <c r="G16" s="20">
        <f t="shared" si="6"/>
        <v>11</v>
      </c>
      <c r="H16" s="21">
        <v>99723060165</v>
      </c>
      <c r="I16" s="22">
        <v>16</v>
      </c>
      <c r="J16" s="23"/>
      <c r="K16" s="24">
        <f>M16+O16</f>
        <v>22463</v>
      </c>
      <c r="L16" s="23">
        <f t="shared" si="2"/>
        <v>1143</v>
      </c>
      <c r="M16" s="24">
        <v>5630</v>
      </c>
      <c r="N16" s="25">
        <f t="shared" si="3"/>
        <v>326</v>
      </c>
      <c r="O16" s="24">
        <v>16833</v>
      </c>
      <c r="P16" s="23">
        <f t="shared" si="4"/>
        <v>817</v>
      </c>
      <c r="Q16" s="26">
        <v>22373</v>
      </c>
      <c r="R16" s="23">
        <f t="shared" si="5"/>
        <v>2091</v>
      </c>
      <c r="S16" s="27" t="s">
        <v>18</v>
      </c>
      <c r="T16" s="19" t="s">
        <v>29</v>
      </c>
    </row>
    <row r="17" spans="1:20" ht="37.5" customHeight="1" x14ac:dyDescent="0.25">
      <c r="A17" s="19" t="s">
        <v>30</v>
      </c>
      <c r="B17">
        <f t="shared" si="0"/>
        <v>72655</v>
      </c>
      <c r="C17">
        <v>12092</v>
      </c>
      <c r="D17">
        <v>60563</v>
      </c>
      <c r="F17">
        <f t="shared" si="1"/>
        <v>1153</v>
      </c>
      <c r="G17" s="20">
        <f t="shared" si="6"/>
        <v>12</v>
      </c>
      <c r="H17" s="21">
        <v>23014060834</v>
      </c>
      <c r="I17" s="22">
        <v>18</v>
      </c>
      <c r="J17" s="23"/>
      <c r="K17" s="24">
        <v>71502</v>
      </c>
      <c r="L17" s="23">
        <f t="shared" si="2"/>
        <v>1153</v>
      </c>
      <c r="M17" s="24">
        <v>11765</v>
      </c>
      <c r="N17" s="25">
        <f t="shared" si="3"/>
        <v>327</v>
      </c>
      <c r="O17" s="24">
        <v>59737</v>
      </c>
      <c r="P17" s="23">
        <f t="shared" si="4"/>
        <v>826</v>
      </c>
      <c r="Q17" s="26"/>
      <c r="R17" s="23">
        <f t="shared" si="5"/>
        <v>0</v>
      </c>
      <c r="S17" s="27" t="s">
        <v>18</v>
      </c>
      <c r="T17" s="19" t="s">
        <v>30</v>
      </c>
    </row>
    <row r="18" spans="1:20" ht="37.5" customHeight="1" x14ac:dyDescent="0.25">
      <c r="A18" s="19" t="s">
        <v>31</v>
      </c>
      <c r="B18">
        <f t="shared" si="0"/>
        <v>21876</v>
      </c>
      <c r="C18">
        <v>4686</v>
      </c>
      <c r="D18">
        <v>17190</v>
      </c>
      <c r="E18">
        <v>11447</v>
      </c>
      <c r="F18">
        <f t="shared" si="1"/>
        <v>1011</v>
      </c>
      <c r="G18" s="20">
        <f t="shared" si="6"/>
        <v>13</v>
      </c>
      <c r="H18" s="21">
        <v>99723060005</v>
      </c>
      <c r="I18" s="22">
        <v>20</v>
      </c>
      <c r="J18" s="23"/>
      <c r="K18" s="24">
        <f>M18+O18</f>
        <v>20865</v>
      </c>
      <c r="L18" s="23">
        <f t="shared" si="2"/>
        <v>1011</v>
      </c>
      <c r="M18" s="24">
        <v>4431</v>
      </c>
      <c r="N18" s="25">
        <f t="shared" si="3"/>
        <v>255</v>
      </c>
      <c r="O18" s="24">
        <v>16434</v>
      </c>
      <c r="P18" s="23">
        <f t="shared" si="4"/>
        <v>756</v>
      </c>
      <c r="Q18" s="26">
        <v>10655</v>
      </c>
      <c r="R18" s="23">
        <f t="shared" si="5"/>
        <v>792</v>
      </c>
      <c r="S18" s="27" t="s">
        <v>18</v>
      </c>
      <c r="T18" s="19" t="s">
        <v>31</v>
      </c>
    </row>
    <row r="19" spans="1:20" ht="37.5" customHeight="1" x14ac:dyDescent="0.25">
      <c r="A19" s="19" t="s">
        <v>32</v>
      </c>
      <c r="B19">
        <f t="shared" si="0"/>
        <v>11031</v>
      </c>
      <c r="C19">
        <v>3281</v>
      </c>
      <c r="D19">
        <v>7750</v>
      </c>
      <c r="E19">
        <v>22581</v>
      </c>
      <c r="F19">
        <f t="shared" si="1"/>
        <v>296</v>
      </c>
      <c r="G19" s="20">
        <f t="shared" si="6"/>
        <v>14</v>
      </c>
      <c r="H19" s="21">
        <v>99423020041</v>
      </c>
      <c r="I19" s="22">
        <v>21</v>
      </c>
      <c r="J19" s="23"/>
      <c r="K19" s="24">
        <f>M19+O19</f>
        <v>10735</v>
      </c>
      <c r="L19" s="23">
        <f t="shared" si="2"/>
        <v>296</v>
      </c>
      <c r="M19" s="24">
        <v>3193</v>
      </c>
      <c r="N19" s="25">
        <f t="shared" si="3"/>
        <v>88</v>
      </c>
      <c r="O19" s="24">
        <v>7542</v>
      </c>
      <c r="P19" s="23">
        <f t="shared" si="4"/>
        <v>208</v>
      </c>
      <c r="Q19" s="26">
        <v>21414</v>
      </c>
      <c r="R19" s="23">
        <f t="shared" si="5"/>
        <v>1167</v>
      </c>
      <c r="S19" s="27" t="s">
        <v>18</v>
      </c>
      <c r="T19" s="19" t="s">
        <v>32</v>
      </c>
    </row>
    <row r="20" spans="1:20" ht="37.5" customHeight="1" x14ac:dyDescent="0.25">
      <c r="A20" s="19" t="s">
        <v>33</v>
      </c>
      <c r="B20">
        <f t="shared" si="0"/>
        <v>118755</v>
      </c>
      <c r="C20">
        <v>19600</v>
      </c>
      <c r="D20">
        <v>99155</v>
      </c>
      <c r="F20">
        <f t="shared" si="1"/>
        <v>760</v>
      </c>
      <c r="G20" s="20">
        <f t="shared" si="6"/>
        <v>15</v>
      </c>
      <c r="H20" s="21">
        <v>23014040208</v>
      </c>
      <c r="I20" s="22">
        <v>22</v>
      </c>
      <c r="J20" s="23"/>
      <c r="K20" s="24">
        <v>117995</v>
      </c>
      <c r="L20" s="23">
        <f t="shared" si="2"/>
        <v>760</v>
      </c>
      <c r="M20" s="24">
        <v>19450</v>
      </c>
      <c r="N20" s="25">
        <f t="shared" si="3"/>
        <v>150</v>
      </c>
      <c r="O20" s="24">
        <v>98545</v>
      </c>
      <c r="P20" s="23">
        <f t="shared" si="4"/>
        <v>610</v>
      </c>
      <c r="Q20" s="26"/>
      <c r="R20" s="23">
        <f t="shared" si="5"/>
        <v>0</v>
      </c>
      <c r="S20" s="27" t="s">
        <v>18</v>
      </c>
      <c r="T20" s="19" t="s">
        <v>33</v>
      </c>
    </row>
    <row r="21" spans="1:20" ht="37.5" customHeight="1" x14ac:dyDescent="0.25">
      <c r="A21" s="19" t="s">
        <v>34</v>
      </c>
      <c r="B21">
        <f t="shared" si="0"/>
        <v>15381</v>
      </c>
      <c r="C21">
        <v>3505</v>
      </c>
      <c r="D21">
        <v>11876</v>
      </c>
      <c r="E21">
        <v>7664</v>
      </c>
      <c r="F21">
        <f t="shared" si="1"/>
        <v>1694</v>
      </c>
      <c r="G21" s="20">
        <f t="shared" si="6"/>
        <v>16</v>
      </c>
      <c r="H21" s="21">
        <v>99624030366</v>
      </c>
      <c r="I21" s="22">
        <v>23</v>
      </c>
      <c r="J21" s="23"/>
      <c r="K21" s="24">
        <f>M21+O21</f>
        <v>13687</v>
      </c>
      <c r="L21" s="23">
        <f t="shared" si="2"/>
        <v>1694</v>
      </c>
      <c r="M21" s="24">
        <v>3092</v>
      </c>
      <c r="N21" s="25">
        <f t="shared" si="3"/>
        <v>413</v>
      </c>
      <c r="O21" s="24">
        <v>10595</v>
      </c>
      <c r="P21" s="23">
        <f t="shared" si="4"/>
        <v>1281</v>
      </c>
      <c r="Q21" s="26">
        <v>6334</v>
      </c>
      <c r="R21" s="23">
        <f t="shared" si="5"/>
        <v>1330</v>
      </c>
      <c r="S21" s="27" t="s">
        <v>18</v>
      </c>
      <c r="T21" s="19" t="s">
        <v>34</v>
      </c>
    </row>
    <row r="22" spans="1:20" ht="37.5" customHeight="1" x14ac:dyDescent="0.25">
      <c r="A22" s="19" t="s">
        <v>35</v>
      </c>
      <c r="B22">
        <f t="shared" si="0"/>
        <v>7027</v>
      </c>
      <c r="C22">
        <v>1525</v>
      </c>
      <c r="D22">
        <v>5502</v>
      </c>
      <c r="E22">
        <v>11658</v>
      </c>
      <c r="F22">
        <f t="shared" si="1"/>
        <v>440</v>
      </c>
      <c r="G22" s="20">
        <f t="shared" si="6"/>
        <v>17</v>
      </c>
      <c r="H22" s="21">
        <v>99624010153</v>
      </c>
      <c r="I22" s="22">
        <v>24</v>
      </c>
      <c r="J22" s="23"/>
      <c r="K22" s="24">
        <f>M22+O22</f>
        <v>6587</v>
      </c>
      <c r="L22" s="23">
        <f t="shared" si="2"/>
        <v>440</v>
      </c>
      <c r="M22" s="24">
        <v>1447</v>
      </c>
      <c r="N22" s="25">
        <f t="shared" si="3"/>
        <v>78</v>
      </c>
      <c r="O22" s="24">
        <v>5140</v>
      </c>
      <c r="P22" s="23">
        <f t="shared" si="4"/>
        <v>362</v>
      </c>
      <c r="Q22" s="26">
        <v>10388</v>
      </c>
      <c r="R22" s="23">
        <f t="shared" si="5"/>
        <v>1270</v>
      </c>
      <c r="S22" s="27" t="s">
        <v>18</v>
      </c>
      <c r="T22" s="19" t="s">
        <v>35</v>
      </c>
    </row>
    <row r="23" spans="1:20" ht="37.5" customHeight="1" x14ac:dyDescent="0.25">
      <c r="A23" s="19" t="s">
        <v>36</v>
      </c>
      <c r="B23">
        <f t="shared" si="0"/>
        <v>47227</v>
      </c>
      <c r="C23">
        <v>7706</v>
      </c>
      <c r="D23">
        <v>39521</v>
      </c>
      <c r="F23">
        <f t="shared" si="1"/>
        <v>249</v>
      </c>
      <c r="G23" s="20">
        <f t="shared" si="6"/>
        <v>18</v>
      </c>
      <c r="H23" s="21">
        <v>88818010178</v>
      </c>
      <c r="I23" s="22" t="s">
        <v>37</v>
      </c>
      <c r="J23" s="23"/>
      <c r="K23" s="24">
        <v>46978</v>
      </c>
      <c r="L23" s="23">
        <f t="shared" si="2"/>
        <v>249</v>
      </c>
      <c r="M23" s="24">
        <v>7666</v>
      </c>
      <c r="N23" s="25">
        <f t="shared" si="3"/>
        <v>40</v>
      </c>
      <c r="O23" s="24">
        <v>39312</v>
      </c>
      <c r="P23" s="23">
        <f t="shared" si="4"/>
        <v>209</v>
      </c>
      <c r="Q23" s="26"/>
      <c r="R23" s="23">
        <f t="shared" si="5"/>
        <v>0</v>
      </c>
      <c r="S23" s="27" t="s">
        <v>18</v>
      </c>
      <c r="T23" s="19" t="s">
        <v>36</v>
      </c>
    </row>
    <row r="24" spans="1:20" ht="37.5" customHeight="1" x14ac:dyDescent="0.25">
      <c r="A24" s="19" t="s">
        <v>38</v>
      </c>
      <c r="B24">
        <f t="shared" si="0"/>
        <v>5978</v>
      </c>
      <c r="C24">
        <v>1555</v>
      </c>
      <c r="D24">
        <v>4423</v>
      </c>
      <c r="E24">
        <v>8904</v>
      </c>
      <c r="F24">
        <f t="shared" si="1"/>
        <v>323</v>
      </c>
      <c r="G24" s="20">
        <f t="shared" si="6"/>
        <v>19</v>
      </c>
      <c r="H24" s="21">
        <v>99624010121</v>
      </c>
      <c r="I24" s="22">
        <v>25</v>
      </c>
      <c r="J24" s="23"/>
      <c r="K24" s="24">
        <f>M24+O24</f>
        <v>5655</v>
      </c>
      <c r="L24" s="23">
        <f t="shared" si="2"/>
        <v>323</v>
      </c>
      <c r="M24" s="24">
        <v>1460</v>
      </c>
      <c r="N24" s="25">
        <f t="shared" si="3"/>
        <v>95</v>
      </c>
      <c r="O24" s="24">
        <v>4195</v>
      </c>
      <c r="P24" s="23">
        <f t="shared" si="4"/>
        <v>228</v>
      </c>
      <c r="Q24" s="26">
        <v>7942</v>
      </c>
      <c r="R24" s="23">
        <f t="shared" si="5"/>
        <v>962</v>
      </c>
      <c r="S24" s="27" t="s">
        <v>18</v>
      </c>
      <c r="T24" s="19" t="s">
        <v>38</v>
      </c>
    </row>
    <row r="25" spans="1:20" ht="37.5" customHeight="1" x14ac:dyDescent="0.25">
      <c r="A25" s="19" t="s">
        <v>39</v>
      </c>
      <c r="B25">
        <f t="shared" si="0"/>
        <v>4502</v>
      </c>
      <c r="C25">
        <v>735</v>
      </c>
      <c r="D25">
        <v>3767</v>
      </c>
      <c r="F25">
        <f t="shared" si="1"/>
        <v>112</v>
      </c>
      <c r="G25" s="20">
        <f t="shared" si="6"/>
        <v>20</v>
      </c>
      <c r="H25" s="21">
        <v>66621050366</v>
      </c>
      <c r="I25" s="22">
        <v>26</v>
      </c>
      <c r="J25" s="23"/>
      <c r="K25" s="24">
        <v>4390</v>
      </c>
      <c r="L25" s="23">
        <f t="shared" si="2"/>
        <v>112</v>
      </c>
      <c r="M25" s="24">
        <v>709</v>
      </c>
      <c r="N25" s="25">
        <f t="shared" si="3"/>
        <v>26</v>
      </c>
      <c r="O25" s="24">
        <v>3681</v>
      </c>
      <c r="P25" s="23">
        <f t="shared" si="4"/>
        <v>86</v>
      </c>
      <c r="Q25" s="26"/>
      <c r="R25" s="23">
        <f t="shared" si="5"/>
        <v>0</v>
      </c>
      <c r="S25" s="27" t="s">
        <v>18</v>
      </c>
      <c r="T25" s="19" t="s">
        <v>39</v>
      </c>
    </row>
    <row r="26" spans="1:20" ht="37.5" customHeight="1" x14ac:dyDescent="0.25">
      <c r="A26" s="19" t="s">
        <v>40</v>
      </c>
      <c r="B26">
        <f t="shared" si="0"/>
        <v>12934</v>
      </c>
      <c r="C26">
        <v>2688</v>
      </c>
      <c r="D26">
        <v>10246</v>
      </c>
      <c r="F26">
        <f t="shared" si="1"/>
        <v>417</v>
      </c>
      <c r="G26" s="20">
        <f t="shared" si="6"/>
        <v>21</v>
      </c>
      <c r="H26" s="21">
        <v>66622050056</v>
      </c>
      <c r="I26" s="22" t="s">
        <v>41</v>
      </c>
      <c r="J26" s="23"/>
      <c r="K26" s="24">
        <v>12517</v>
      </c>
      <c r="L26" s="23">
        <f t="shared" si="2"/>
        <v>417</v>
      </c>
      <c r="M26" s="24">
        <v>2604</v>
      </c>
      <c r="N26" s="25">
        <f t="shared" si="3"/>
        <v>84</v>
      </c>
      <c r="O26" s="24">
        <v>9913</v>
      </c>
      <c r="P26" s="23">
        <f t="shared" si="4"/>
        <v>333</v>
      </c>
      <c r="Q26" s="26"/>
      <c r="R26" s="23">
        <f t="shared" si="5"/>
        <v>0</v>
      </c>
      <c r="S26" s="27" t="s">
        <v>18</v>
      </c>
      <c r="T26" s="19" t="s">
        <v>40</v>
      </c>
    </row>
    <row r="27" spans="1:20" ht="37.5" customHeight="1" x14ac:dyDescent="0.25">
      <c r="A27" s="19" t="s">
        <v>42</v>
      </c>
      <c r="B27">
        <f t="shared" si="0"/>
        <v>30087</v>
      </c>
      <c r="C27">
        <v>6737</v>
      </c>
      <c r="D27">
        <v>23350</v>
      </c>
      <c r="F27">
        <f t="shared" si="1"/>
        <v>199</v>
      </c>
      <c r="G27" s="20">
        <f t="shared" si="6"/>
        <v>22</v>
      </c>
      <c r="H27" s="21">
        <v>66618010142</v>
      </c>
      <c r="I27" s="22">
        <v>27</v>
      </c>
      <c r="J27" s="23"/>
      <c r="K27" s="24">
        <v>29888</v>
      </c>
      <c r="L27" s="23">
        <f t="shared" si="2"/>
        <v>199</v>
      </c>
      <c r="M27" s="24">
        <v>6706</v>
      </c>
      <c r="N27" s="25">
        <f t="shared" si="3"/>
        <v>31</v>
      </c>
      <c r="O27" s="24">
        <v>23182</v>
      </c>
      <c r="P27" s="23">
        <f t="shared" si="4"/>
        <v>168</v>
      </c>
      <c r="Q27" s="26"/>
      <c r="R27" s="23">
        <f t="shared" si="5"/>
        <v>0</v>
      </c>
      <c r="S27" s="27" t="s">
        <v>18</v>
      </c>
      <c r="T27" s="19" t="s">
        <v>42</v>
      </c>
    </row>
    <row r="28" spans="1:20" ht="37.5" customHeight="1" x14ac:dyDescent="0.25">
      <c r="A28" s="19" t="s">
        <v>43</v>
      </c>
      <c r="B28">
        <f t="shared" si="0"/>
        <v>27238</v>
      </c>
      <c r="C28">
        <v>5607</v>
      </c>
      <c r="D28">
        <v>21631</v>
      </c>
      <c r="E28">
        <v>8727</v>
      </c>
      <c r="F28">
        <f t="shared" si="1"/>
        <v>895</v>
      </c>
      <c r="G28" s="20">
        <f t="shared" si="6"/>
        <v>23</v>
      </c>
      <c r="H28" s="21">
        <v>99723050153</v>
      </c>
      <c r="I28" s="22">
        <v>28</v>
      </c>
      <c r="J28" s="23"/>
      <c r="K28" s="24">
        <f>M28+O28</f>
        <v>26343</v>
      </c>
      <c r="L28" s="23">
        <f t="shared" si="2"/>
        <v>895</v>
      </c>
      <c r="M28" s="24">
        <v>5396</v>
      </c>
      <c r="N28" s="25">
        <f t="shared" si="3"/>
        <v>211</v>
      </c>
      <c r="O28" s="24">
        <v>20947</v>
      </c>
      <c r="P28" s="23">
        <f t="shared" si="4"/>
        <v>684</v>
      </c>
      <c r="Q28" s="26">
        <v>7925</v>
      </c>
      <c r="R28" s="23">
        <f t="shared" si="5"/>
        <v>802</v>
      </c>
      <c r="S28" s="27" t="s">
        <v>18</v>
      </c>
      <c r="T28" s="19" t="s">
        <v>43</v>
      </c>
    </row>
    <row r="29" spans="1:20" ht="37.5" customHeight="1" x14ac:dyDescent="0.25">
      <c r="A29" s="19" t="s">
        <v>44</v>
      </c>
      <c r="B29">
        <f t="shared" si="0"/>
        <v>69638</v>
      </c>
      <c r="C29">
        <v>12224</v>
      </c>
      <c r="D29">
        <v>57414</v>
      </c>
      <c r="F29">
        <f t="shared" si="1"/>
        <v>295</v>
      </c>
      <c r="G29" s="20">
        <f t="shared" si="6"/>
        <v>24</v>
      </c>
      <c r="H29" s="21">
        <v>23015010252</v>
      </c>
      <c r="I29" s="22">
        <v>29</v>
      </c>
      <c r="J29" s="23"/>
      <c r="K29" s="24">
        <v>69343</v>
      </c>
      <c r="L29" s="23">
        <f t="shared" si="2"/>
        <v>295</v>
      </c>
      <c r="M29" s="24">
        <v>12187</v>
      </c>
      <c r="N29" s="25">
        <f t="shared" si="3"/>
        <v>37</v>
      </c>
      <c r="O29" s="24">
        <v>57156</v>
      </c>
      <c r="P29" s="23">
        <f t="shared" si="4"/>
        <v>258</v>
      </c>
      <c r="Q29" s="26"/>
      <c r="R29" s="23">
        <f t="shared" si="5"/>
        <v>0</v>
      </c>
      <c r="S29" s="27" t="s">
        <v>18</v>
      </c>
      <c r="T29" s="19" t="s">
        <v>44</v>
      </c>
    </row>
    <row r="30" spans="1:20" ht="37.5" customHeight="1" x14ac:dyDescent="0.25">
      <c r="A30" s="19" t="s">
        <v>45</v>
      </c>
      <c r="B30">
        <f t="shared" si="0"/>
        <v>30116</v>
      </c>
      <c r="C30">
        <v>7383</v>
      </c>
      <c r="D30">
        <v>22733</v>
      </c>
      <c r="F30">
        <f t="shared" si="1"/>
        <v>538</v>
      </c>
      <c r="G30" s="20">
        <f t="shared" si="6"/>
        <v>25</v>
      </c>
      <c r="H30" s="21">
        <v>66621070191</v>
      </c>
      <c r="I30" s="22" t="s">
        <v>46</v>
      </c>
      <c r="J30" s="23"/>
      <c r="K30" s="24">
        <v>29578</v>
      </c>
      <c r="L30" s="23">
        <f t="shared" si="2"/>
        <v>538</v>
      </c>
      <c r="M30" s="24">
        <v>7262</v>
      </c>
      <c r="N30" s="25">
        <f t="shared" si="3"/>
        <v>121</v>
      </c>
      <c r="O30" s="24">
        <v>22316</v>
      </c>
      <c r="P30" s="23">
        <f t="shared" si="4"/>
        <v>417</v>
      </c>
      <c r="Q30" s="26"/>
      <c r="R30" s="23">
        <f t="shared" si="5"/>
        <v>0</v>
      </c>
      <c r="S30" s="27" t="s">
        <v>18</v>
      </c>
      <c r="T30" s="19" t="s">
        <v>45</v>
      </c>
    </row>
    <row r="31" spans="1:20" ht="37.5" customHeight="1" x14ac:dyDescent="0.25">
      <c r="A31" s="19" t="s">
        <v>47</v>
      </c>
      <c r="B31">
        <f t="shared" si="0"/>
        <v>132731</v>
      </c>
      <c r="C31">
        <v>23834</v>
      </c>
      <c r="D31">
        <v>108897</v>
      </c>
      <c r="F31">
        <f t="shared" si="1"/>
        <v>1164</v>
      </c>
      <c r="G31" s="20">
        <f t="shared" si="6"/>
        <v>26</v>
      </c>
      <c r="H31" s="21">
        <v>23014060484</v>
      </c>
      <c r="I31" s="22">
        <v>30</v>
      </c>
      <c r="J31" s="23"/>
      <c r="K31" s="24">
        <v>131567</v>
      </c>
      <c r="L31" s="23">
        <f t="shared" si="2"/>
        <v>1164</v>
      </c>
      <c r="M31" s="24">
        <v>23610</v>
      </c>
      <c r="N31" s="25">
        <f t="shared" si="3"/>
        <v>224</v>
      </c>
      <c r="O31" s="24">
        <v>107957</v>
      </c>
      <c r="P31" s="23">
        <f t="shared" si="4"/>
        <v>940</v>
      </c>
      <c r="Q31" s="26"/>
      <c r="R31" s="23">
        <f t="shared" si="5"/>
        <v>0</v>
      </c>
      <c r="S31" s="27" t="s">
        <v>18</v>
      </c>
      <c r="T31" s="19" t="s">
        <v>47</v>
      </c>
    </row>
    <row r="32" spans="1:20" ht="37.5" customHeight="1" x14ac:dyDescent="0.25">
      <c r="A32" s="19" t="s">
        <v>48</v>
      </c>
      <c r="B32">
        <f t="shared" si="0"/>
        <v>26386</v>
      </c>
      <c r="C32">
        <v>5105</v>
      </c>
      <c r="D32">
        <v>21281</v>
      </c>
      <c r="F32">
        <f t="shared" si="1"/>
        <v>1246</v>
      </c>
      <c r="G32" s="20">
        <f t="shared" si="6"/>
        <v>27</v>
      </c>
      <c r="H32" s="21">
        <v>66621070477</v>
      </c>
      <c r="I32" s="22">
        <v>31</v>
      </c>
      <c r="J32" s="23"/>
      <c r="K32" s="24">
        <v>25140</v>
      </c>
      <c r="L32" s="23">
        <f t="shared" si="2"/>
        <v>1246</v>
      </c>
      <c r="M32" s="24">
        <v>4874</v>
      </c>
      <c r="N32" s="25">
        <f t="shared" si="3"/>
        <v>231</v>
      </c>
      <c r="O32" s="24">
        <v>20266</v>
      </c>
      <c r="P32" s="23">
        <f t="shared" si="4"/>
        <v>1015</v>
      </c>
      <c r="Q32" s="26"/>
      <c r="R32" s="23">
        <f t="shared" si="5"/>
        <v>0</v>
      </c>
      <c r="S32" s="27" t="s">
        <v>18</v>
      </c>
      <c r="T32" s="19" t="s">
        <v>48</v>
      </c>
    </row>
    <row r="33" spans="1:20" ht="37.5" customHeight="1" x14ac:dyDescent="0.25">
      <c r="A33" s="19" t="s">
        <v>49</v>
      </c>
      <c r="B33">
        <f t="shared" si="0"/>
        <v>5963</v>
      </c>
      <c r="C33">
        <v>1099</v>
      </c>
      <c r="D33">
        <v>4864</v>
      </c>
      <c r="E33">
        <v>9251</v>
      </c>
      <c r="F33">
        <f t="shared" si="1"/>
        <v>282</v>
      </c>
      <c r="G33" s="20">
        <f t="shared" si="6"/>
        <v>28</v>
      </c>
      <c r="H33" s="21">
        <v>99624010263</v>
      </c>
      <c r="I33" s="22">
        <v>32</v>
      </c>
      <c r="J33" s="23"/>
      <c r="K33" s="24">
        <f>M33+O33</f>
        <v>5681</v>
      </c>
      <c r="L33" s="23">
        <f t="shared" si="2"/>
        <v>282</v>
      </c>
      <c r="M33" s="24">
        <v>1039</v>
      </c>
      <c r="N33" s="25">
        <f t="shared" si="3"/>
        <v>60</v>
      </c>
      <c r="O33" s="24">
        <v>4642</v>
      </c>
      <c r="P33" s="23">
        <f t="shared" si="4"/>
        <v>222</v>
      </c>
      <c r="Q33" s="26">
        <v>8196</v>
      </c>
      <c r="R33" s="23">
        <f t="shared" si="5"/>
        <v>1055</v>
      </c>
      <c r="S33" s="27" t="s">
        <v>18</v>
      </c>
      <c r="T33" s="19" t="s">
        <v>49</v>
      </c>
    </row>
    <row r="34" spans="1:20" ht="37.5" customHeight="1" x14ac:dyDescent="0.25">
      <c r="A34" s="19" t="s">
        <v>50</v>
      </c>
      <c r="B34">
        <f t="shared" si="0"/>
        <v>12048</v>
      </c>
      <c r="C34">
        <v>2479</v>
      </c>
      <c r="D34">
        <v>9569</v>
      </c>
      <c r="F34">
        <f t="shared" si="1"/>
        <v>748</v>
      </c>
      <c r="G34" s="20">
        <f t="shared" si="6"/>
        <v>29</v>
      </c>
      <c r="H34" s="21">
        <v>66623010730</v>
      </c>
      <c r="I34" s="22">
        <v>33</v>
      </c>
      <c r="J34" s="23"/>
      <c r="K34" s="24">
        <v>11300</v>
      </c>
      <c r="L34" s="23">
        <f t="shared" si="2"/>
        <v>748</v>
      </c>
      <c r="M34" s="24">
        <v>2339</v>
      </c>
      <c r="N34" s="25">
        <f t="shared" si="3"/>
        <v>140</v>
      </c>
      <c r="O34" s="24">
        <v>8961</v>
      </c>
      <c r="P34" s="23">
        <f t="shared" si="4"/>
        <v>608</v>
      </c>
      <c r="Q34" s="26"/>
      <c r="R34" s="23">
        <f t="shared" si="5"/>
        <v>0</v>
      </c>
      <c r="S34" s="27" t="s">
        <v>18</v>
      </c>
      <c r="T34" s="19" t="s">
        <v>50</v>
      </c>
    </row>
    <row r="35" spans="1:20" ht="37.5" customHeight="1" x14ac:dyDescent="0.25">
      <c r="A35" s="19" t="s">
        <v>51</v>
      </c>
      <c r="B35">
        <f t="shared" si="0"/>
        <v>52787</v>
      </c>
      <c r="C35">
        <v>10476</v>
      </c>
      <c r="D35">
        <v>42311</v>
      </c>
      <c r="F35">
        <f t="shared" si="1"/>
        <v>1829</v>
      </c>
      <c r="G35" s="20">
        <f t="shared" si="6"/>
        <v>30</v>
      </c>
      <c r="H35" s="21">
        <v>66616020048</v>
      </c>
      <c r="I35" s="22">
        <v>35</v>
      </c>
      <c r="J35" s="23"/>
      <c r="K35" s="24">
        <v>50958</v>
      </c>
      <c r="L35" s="23">
        <f t="shared" si="2"/>
        <v>1829</v>
      </c>
      <c r="M35" s="24">
        <v>10129</v>
      </c>
      <c r="N35" s="25">
        <f t="shared" si="3"/>
        <v>347</v>
      </c>
      <c r="O35" s="24">
        <v>40829</v>
      </c>
      <c r="P35" s="23">
        <f t="shared" si="4"/>
        <v>1482</v>
      </c>
      <c r="Q35" s="26"/>
      <c r="R35" s="23">
        <f t="shared" si="5"/>
        <v>0</v>
      </c>
      <c r="S35" s="27" t="s">
        <v>18</v>
      </c>
      <c r="T35" s="19" t="s">
        <v>51</v>
      </c>
    </row>
    <row r="36" spans="1:20" ht="37.5" customHeight="1" x14ac:dyDescent="0.25">
      <c r="A36" s="19" t="s">
        <v>52</v>
      </c>
      <c r="B36">
        <f t="shared" si="0"/>
        <v>174</v>
      </c>
      <c r="C36">
        <v>18</v>
      </c>
      <c r="D36">
        <v>156</v>
      </c>
      <c r="F36">
        <f t="shared" si="1"/>
        <v>174</v>
      </c>
      <c r="G36" s="20">
        <f t="shared" si="6"/>
        <v>31</v>
      </c>
      <c r="H36" s="21">
        <v>66625010150</v>
      </c>
      <c r="I36" s="22">
        <v>36</v>
      </c>
      <c r="J36" s="23"/>
      <c r="K36" s="24"/>
      <c r="L36" s="23">
        <f t="shared" si="2"/>
        <v>174</v>
      </c>
      <c r="M36" s="24"/>
      <c r="N36" s="25">
        <f t="shared" si="3"/>
        <v>18</v>
      </c>
      <c r="O36" s="24"/>
      <c r="P36" s="23">
        <f t="shared" si="4"/>
        <v>156</v>
      </c>
      <c r="Q36" s="26"/>
      <c r="R36" s="23">
        <f t="shared" si="5"/>
        <v>0</v>
      </c>
      <c r="S36" s="27" t="s">
        <v>18</v>
      </c>
      <c r="T36" s="19" t="s">
        <v>52</v>
      </c>
    </row>
    <row r="37" spans="1:20" ht="37.5" customHeight="1" x14ac:dyDescent="0.25">
      <c r="A37" s="19" t="s">
        <v>53</v>
      </c>
      <c r="B37">
        <f t="shared" si="0"/>
        <v>19064</v>
      </c>
      <c r="C37">
        <v>3590</v>
      </c>
      <c r="D37">
        <v>15474</v>
      </c>
      <c r="F37">
        <f t="shared" si="1"/>
        <v>166</v>
      </c>
      <c r="G37" s="20">
        <f t="shared" si="6"/>
        <v>32</v>
      </c>
      <c r="H37" s="21">
        <v>88820030059</v>
      </c>
      <c r="I37" s="22">
        <v>37</v>
      </c>
      <c r="J37" s="23"/>
      <c r="K37" s="24">
        <v>18898</v>
      </c>
      <c r="L37" s="23">
        <f t="shared" si="2"/>
        <v>166</v>
      </c>
      <c r="M37" s="24">
        <v>3559</v>
      </c>
      <c r="N37" s="25">
        <f t="shared" si="3"/>
        <v>31</v>
      </c>
      <c r="O37" s="24">
        <v>15339</v>
      </c>
      <c r="P37" s="23">
        <f t="shared" si="4"/>
        <v>135</v>
      </c>
      <c r="Q37" s="26"/>
      <c r="R37" s="23">
        <f t="shared" si="5"/>
        <v>0</v>
      </c>
      <c r="S37" s="27" t="s">
        <v>18</v>
      </c>
      <c r="T37" s="19" t="s">
        <v>53</v>
      </c>
    </row>
    <row r="38" spans="1:20" ht="37.5" customHeight="1" x14ac:dyDescent="0.25">
      <c r="A38" s="19" t="s">
        <v>54</v>
      </c>
      <c r="B38">
        <f t="shared" si="0"/>
        <v>39280</v>
      </c>
      <c r="C38">
        <v>8493</v>
      </c>
      <c r="D38">
        <v>30787</v>
      </c>
      <c r="F38">
        <f t="shared" si="1"/>
        <v>294</v>
      </c>
      <c r="G38" s="20">
        <f t="shared" si="6"/>
        <v>33</v>
      </c>
      <c r="H38" s="21">
        <v>23015010924</v>
      </c>
      <c r="I38" s="22">
        <v>38</v>
      </c>
      <c r="J38" s="23"/>
      <c r="K38" s="24">
        <v>38986</v>
      </c>
      <c r="L38" s="23">
        <f t="shared" si="2"/>
        <v>294</v>
      </c>
      <c r="M38" s="24">
        <v>8415</v>
      </c>
      <c r="N38" s="25">
        <f t="shared" si="3"/>
        <v>78</v>
      </c>
      <c r="O38" s="24">
        <v>30571</v>
      </c>
      <c r="P38" s="23">
        <f t="shared" si="4"/>
        <v>216</v>
      </c>
      <c r="Q38" s="26"/>
      <c r="R38" s="23">
        <f t="shared" si="5"/>
        <v>0</v>
      </c>
      <c r="S38" s="27" t="s">
        <v>18</v>
      </c>
      <c r="T38" s="19" t="s">
        <v>54</v>
      </c>
    </row>
    <row r="39" spans="1:20" ht="37.5" customHeight="1" x14ac:dyDescent="0.25">
      <c r="A39" s="19" t="s">
        <v>55</v>
      </c>
      <c r="B39">
        <f t="shared" si="0"/>
        <v>43220</v>
      </c>
      <c r="C39">
        <v>8322</v>
      </c>
      <c r="D39">
        <v>34898</v>
      </c>
      <c r="F39">
        <f t="shared" si="1"/>
        <v>279</v>
      </c>
      <c r="G39" s="20">
        <f t="shared" si="6"/>
        <v>34</v>
      </c>
      <c r="H39" s="21">
        <v>88818030388</v>
      </c>
      <c r="I39" s="22" t="s">
        <v>56</v>
      </c>
      <c r="J39" s="23"/>
      <c r="K39" s="24">
        <v>42941</v>
      </c>
      <c r="L39" s="23">
        <f t="shared" si="2"/>
        <v>279</v>
      </c>
      <c r="M39" s="24">
        <v>8262</v>
      </c>
      <c r="N39" s="25">
        <f t="shared" si="3"/>
        <v>60</v>
      </c>
      <c r="O39" s="24">
        <v>34679</v>
      </c>
      <c r="P39" s="23">
        <f t="shared" si="4"/>
        <v>219</v>
      </c>
      <c r="Q39" s="26"/>
      <c r="R39" s="23">
        <f t="shared" si="5"/>
        <v>0</v>
      </c>
      <c r="S39" s="27" t="s">
        <v>18</v>
      </c>
      <c r="T39" s="19" t="s">
        <v>55</v>
      </c>
    </row>
    <row r="40" spans="1:20" ht="37.5" customHeight="1" x14ac:dyDescent="0.25">
      <c r="A40" s="19" t="s">
        <v>57</v>
      </c>
      <c r="B40">
        <f t="shared" si="0"/>
        <v>26245</v>
      </c>
      <c r="C40">
        <v>5588</v>
      </c>
      <c r="D40">
        <v>20657</v>
      </c>
      <c r="E40">
        <v>28948</v>
      </c>
      <c r="F40">
        <f t="shared" si="1"/>
        <v>681</v>
      </c>
      <c r="G40" s="20">
        <f t="shared" si="6"/>
        <v>35</v>
      </c>
      <c r="H40" s="21">
        <v>99722020007</v>
      </c>
      <c r="I40" s="22">
        <v>39</v>
      </c>
      <c r="J40" s="23"/>
      <c r="K40" s="24">
        <f>M40+O40</f>
        <v>25564</v>
      </c>
      <c r="L40" s="23">
        <f t="shared" si="2"/>
        <v>681</v>
      </c>
      <c r="M40" s="24">
        <v>5453</v>
      </c>
      <c r="N40" s="25">
        <f t="shared" si="3"/>
        <v>135</v>
      </c>
      <c r="O40" s="24">
        <v>20111</v>
      </c>
      <c r="P40" s="23">
        <f t="shared" si="4"/>
        <v>546</v>
      </c>
      <c r="Q40" s="26">
        <v>27640</v>
      </c>
      <c r="R40" s="23">
        <f t="shared" si="5"/>
        <v>1308</v>
      </c>
      <c r="S40" s="27" t="s">
        <v>18</v>
      </c>
      <c r="T40" s="19" t="s">
        <v>57</v>
      </c>
    </row>
    <row r="41" spans="1:20" ht="37.5" customHeight="1" x14ac:dyDescent="0.25">
      <c r="A41" s="19" t="s">
        <v>58</v>
      </c>
      <c r="B41">
        <f t="shared" si="0"/>
        <v>5554</v>
      </c>
      <c r="C41">
        <v>1743</v>
      </c>
      <c r="D41">
        <v>3811</v>
      </c>
      <c r="E41">
        <v>15326</v>
      </c>
      <c r="F41">
        <f t="shared" si="1"/>
        <v>293</v>
      </c>
      <c r="G41" s="20">
        <f t="shared" si="6"/>
        <v>36</v>
      </c>
      <c r="H41" s="21">
        <v>99723070149</v>
      </c>
      <c r="I41" s="22">
        <v>40</v>
      </c>
      <c r="J41" s="23"/>
      <c r="K41" s="24">
        <f>M41+O41</f>
        <v>5261</v>
      </c>
      <c r="L41" s="23">
        <f t="shared" si="2"/>
        <v>293</v>
      </c>
      <c r="M41" s="24">
        <v>1642</v>
      </c>
      <c r="N41" s="25">
        <f t="shared" si="3"/>
        <v>101</v>
      </c>
      <c r="O41" s="24">
        <v>3619</v>
      </c>
      <c r="P41" s="23">
        <f t="shared" si="4"/>
        <v>192</v>
      </c>
      <c r="Q41" s="26">
        <v>14253</v>
      </c>
      <c r="R41" s="23">
        <f t="shared" si="5"/>
        <v>1073</v>
      </c>
      <c r="S41" s="27" t="s">
        <v>18</v>
      </c>
      <c r="T41" s="19" t="s">
        <v>58</v>
      </c>
    </row>
    <row r="42" spans="1:20" ht="37.5" customHeight="1" x14ac:dyDescent="0.25">
      <c r="A42" s="19" t="s">
        <v>59</v>
      </c>
      <c r="B42">
        <f t="shared" si="0"/>
        <v>34135</v>
      </c>
      <c r="C42">
        <v>6995</v>
      </c>
      <c r="D42">
        <v>27140</v>
      </c>
      <c r="E42">
        <v>12064</v>
      </c>
      <c r="F42">
        <f t="shared" si="1"/>
        <v>53</v>
      </c>
      <c r="G42" s="20">
        <f t="shared" si="6"/>
        <v>37</v>
      </c>
      <c r="H42" s="21">
        <v>99622050067</v>
      </c>
      <c r="I42" s="22">
        <v>41</v>
      </c>
      <c r="J42" s="23"/>
      <c r="K42" s="24">
        <f>M42+O42</f>
        <v>34082</v>
      </c>
      <c r="L42" s="23">
        <f t="shared" si="2"/>
        <v>53</v>
      </c>
      <c r="M42" s="24">
        <v>6987</v>
      </c>
      <c r="N42" s="25">
        <f t="shared" si="3"/>
        <v>8</v>
      </c>
      <c r="O42" s="24">
        <v>27095</v>
      </c>
      <c r="P42" s="23">
        <f t="shared" si="4"/>
        <v>45</v>
      </c>
      <c r="Q42" s="26">
        <v>12064</v>
      </c>
      <c r="R42" s="23">
        <f t="shared" si="5"/>
        <v>0</v>
      </c>
      <c r="S42" s="27" t="s">
        <v>18</v>
      </c>
      <c r="T42" s="19" t="s">
        <v>59</v>
      </c>
    </row>
    <row r="43" spans="1:20" ht="37.5" customHeight="1" x14ac:dyDescent="0.25">
      <c r="A43" s="19" t="s">
        <v>60</v>
      </c>
      <c r="B43">
        <f t="shared" si="0"/>
        <v>5779</v>
      </c>
      <c r="C43">
        <v>1574</v>
      </c>
      <c r="D43">
        <v>4205</v>
      </c>
      <c r="E43">
        <v>15933</v>
      </c>
      <c r="F43">
        <f t="shared" si="1"/>
        <v>262</v>
      </c>
      <c r="G43" s="20">
        <f t="shared" si="6"/>
        <v>38</v>
      </c>
      <c r="H43" s="21">
        <v>99624010125</v>
      </c>
      <c r="I43" s="22">
        <v>44</v>
      </c>
      <c r="J43" s="23"/>
      <c r="K43" s="24">
        <f>M43+O43</f>
        <v>5517</v>
      </c>
      <c r="L43" s="23">
        <f t="shared" si="2"/>
        <v>262</v>
      </c>
      <c r="M43" s="24">
        <v>1486</v>
      </c>
      <c r="N43" s="25">
        <f t="shared" si="3"/>
        <v>88</v>
      </c>
      <c r="O43" s="24">
        <v>4031</v>
      </c>
      <c r="P43" s="23">
        <f t="shared" si="4"/>
        <v>174</v>
      </c>
      <c r="Q43" s="26">
        <v>14106</v>
      </c>
      <c r="R43" s="23">
        <f t="shared" si="5"/>
        <v>1827</v>
      </c>
      <c r="S43" s="27" t="s">
        <v>18</v>
      </c>
      <c r="T43" s="19" t="s">
        <v>60</v>
      </c>
    </row>
    <row r="44" spans="1:20" ht="37.5" customHeight="1" x14ac:dyDescent="0.25">
      <c r="A44" s="19" t="s">
        <v>61</v>
      </c>
      <c r="B44">
        <f t="shared" si="0"/>
        <v>31766</v>
      </c>
      <c r="C44">
        <v>7611</v>
      </c>
      <c r="D44">
        <v>24155</v>
      </c>
      <c r="E44">
        <v>23811</v>
      </c>
      <c r="F44">
        <f t="shared" si="1"/>
        <v>717</v>
      </c>
      <c r="G44" s="20">
        <f t="shared" si="6"/>
        <v>39</v>
      </c>
      <c r="H44" s="21">
        <v>99622050097</v>
      </c>
      <c r="I44" s="22">
        <v>45</v>
      </c>
      <c r="J44" s="23"/>
      <c r="K44" s="24">
        <f>M44+O44</f>
        <v>31049</v>
      </c>
      <c r="L44" s="23">
        <f t="shared" si="2"/>
        <v>717</v>
      </c>
      <c r="M44" s="24">
        <v>7390</v>
      </c>
      <c r="N44" s="25">
        <f t="shared" si="3"/>
        <v>221</v>
      </c>
      <c r="O44" s="24">
        <v>23659</v>
      </c>
      <c r="P44" s="23">
        <f t="shared" si="4"/>
        <v>496</v>
      </c>
      <c r="Q44" s="26">
        <v>22104</v>
      </c>
      <c r="R44" s="23">
        <f t="shared" si="5"/>
        <v>1707</v>
      </c>
      <c r="S44" s="27" t="s">
        <v>18</v>
      </c>
      <c r="T44" s="19" t="s">
        <v>61</v>
      </c>
    </row>
    <row r="45" spans="1:20" ht="37.5" customHeight="1" x14ac:dyDescent="0.25">
      <c r="A45" s="19" t="s">
        <v>62</v>
      </c>
      <c r="B45">
        <f t="shared" si="0"/>
        <v>91645</v>
      </c>
      <c r="C45">
        <v>16619</v>
      </c>
      <c r="D45">
        <v>75026</v>
      </c>
      <c r="F45">
        <f t="shared" si="1"/>
        <v>1314</v>
      </c>
      <c r="G45" s="20">
        <f t="shared" si="6"/>
        <v>40</v>
      </c>
      <c r="H45" s="21">
        <v>23014060483</v>
      </c>
      <c r="I45" s="22">
        <v>46</v>
      </c>
      <c r="J45" s="23"/>
      <c r="K45" s="24">
        <v>90331</v>
      </c>
      <c r="L45" s="23">
        <f t="shared" si="2"/>
        <v>1314</v>
      </c>
      <c r="M45" s="24">
        <v>16380</v>
      </c>
      <c r="N45" s="25">
        <f t="shared" si="3"/>
        <v>239</v>
      </c>
      <c r="O45" s="24">
        <v>73951</v>
      </c>
      <c r="P45" s="23">
        <f t="shared" si="4"/>
        <v>1075</v>
      </c>
      <c r="Q45" s="26"/>
      <c r="R45" s="23">
        <f t="shared" si="5"/>
        <v>0</v>
      </c>
      <c r="S45" s="27" t="s">
        <v>18</v>
      </c>
      <c r="T45" s="19" t="s">
        <v>62</v>
      </c>
    </row>
    <row r="46" spans="1:20" ht="37.5" customHeight="1" x14ac:dyDescent="0.25">
      <c r="A46" s="19" t="s">
        <v>63</v>
      </c>
      <c r="B46">
        <f t="shared" si="0"/>
        <v>51150</v>
      </c>
      <c r="C46">
        <v>10170</v>
      </c>
      <c r="D46">
        <v>40980</v>
      </c>
      <c r="F46">
        <f t="shared" si="1"/>
        <v>392</v>
      </c>
      <c r="G46" s="20">
        <f t="shared" si="6"/>
        <v>41</v>
      </c>
      <c r="H46" s="21">
        <v>23013090072</v>
      </c>
      <c r="I46" s="22">
        <v>51</v>
      </c>
      <c r="J46" s="23"/>
      <c r="K46" s="24">
        <v>50758</v>
      </c>
      <c r="L46" s="23">
        <f t="shared" si="2"/>
        <v>392</v>
      </c>
      <c r="M46" s="24">
        <v>10074</v>
      </c>
      <c r="N46" s="25">
        <f t="shared" si="3"/>
        <v>96</v>
      </c>
      <c r="O46" s="24">
        <v>40684</v>
      </c>
      <c r="P46" s="23">
        <f t="shared" si="4"/>
        <v>296</v>
      </c>
      <c r="Q46" s="26"/>
      <c r="R46" s="23">
        <f t="shared" si="5"/>
        <v>0</v>
      </c>
      <c r="S46" s="27" t="s">
        <v>18</v>
      </c>
      <c r="T46" s="19" t="s">
        <v>63</v>
      </c>
    </row>
    <row r="47" spans="1:20" ht="37.5" customHeight="1" x14ac:dyDescent="0.25">
      <c r="A47" s="19" t="s">
        <v>64</v>
      </c>
      <c r="B47">
        <f t="shared" si="0"/>
        <v>101560</v>
      </c>
      <c r="C47">
        <v>17565</v>
      </c>
      <c r="D47">
        <v>83995</v>
      </c>
      <c r="F47">
        <f t="shared" si="1"/>
        <v>341</v>
      </c>
      <c r="G47" s="20">
        <f t="shared" si="6"/>
        <v>42</v>
      </c>
      <c r="H47" s="21">
        <v>23014060276</v>
      </c>
      <c r="I47" s="22">
        <v>52</v>
      </c>
      <c r="J47" s="23"/>
      <c r="K47" s="24">
        <v>101219</v>
      </c>
      <c r="L47" s="23">
        <f t="shared" si="2"/>
        <v>341</v>
      </c>
      <c r="M47" s="24">
        <v>17491</v>
      </c>
      <c r="N47" s="25">
        <f t="shared" si="3"/>
        <v>74</v>
      </c>
      <c r="O47" s="24">
        <v>83728</v>
      </c>
      <c r="P47" s="23">
        <f t="shared" si="4"/>
        <v>267</v>
      </c>
      <c r="Q47" s="26"/>
      <c r="R47" s="23">
        <f t="shared" si="5"/>
        <v>0</v>
      </c>
      <c r="S47" s="27" t="s">
        <v>18</v>
      </c>
      <c r="T47" s="19" t="s">
        <v>64</v>
      </c>
    </row>
    <row r="48" spans="1:20" ht="37.5" customHeight="1" x14ac:dyDescent="0.25">
      <c r="A48" s="19" t="s">
        <v>65</v>
      </c>
      <c r="B48">
        <f t="shared" si="0"/>
        <v>10663</v>
      </c>
      <c r="C48">
        <v>1872</v>
      </c>
      <c r="D48">
        <v>8791</v>
      </c>
      <c r="F48">
        <f t="shared" si="1"/>
        <v>561</v>
      </c>
      <c r="G48" s="20">
        <f t="shared" si="6"/>
        <v>43</v>
      </c>
      <c r="H48" s="21">
        <v>88820010428</v>
      </c>
      <c r="I48" s="22">
        <v>54</v>
      </c>
      <c r="J48" s="23"/>
      <c r="K48" s="24">
        <v>10102</v>
      </c>
      <c r="L48" s="23">
        <f t="shared" si="2"/>
        <v>561</v>
      </c>
      <c r="M48" s="24">
        <v>1768</v>
      </c>
      <c r="N48" s="25">
        <f t="shared" si="3"/>
        <v>104</v>
      </c>
      <c r="O48" s="24">
        <v>8334</v>
      </c>
      <c r="P48" s="23">
        <f t="shared" si="4"/>
        <v>457</v>
      </c>
      <c r="Q48" s="26"/>
      <c r="R48" s="23">
        <f t="shared" si="5"/>
        <v>0</v>
      </c>
      <c r="S48" s="27" t="s">
        <v>18</v>
      </c>
      <c r="T48" s="19" t="s">
        <v>65</v>
      </c>
    </row>
    <row r="49" spans="1:20" ht="37.5" customHeight="1" x14ac:dyDescent="0.25">
      <c r="A49" s="19" t="s">
        <v>66</v>
      </c>
      <c r="B49">
        <f t="shared" si="0"/>
        <v>29176</v>
      </c>
      <c r="C49">
        <v>5503</v>
      </c>
      <c r="D49">
        <v>23673</v>
      </c>
      <c r="F49">
        <f t="shared" si="1"/>
        <v>21</v>
      </c>
      <c r="G49" s="20">
        <f t="shared" si="6"/>
        <v>44</v>
      </c>
      <c r="H49" s="21">
        <v>88820040323</v>
      </c>
      <c r="I49" s="22">
        <v>55</v>
      </c>
      <c r="J49" s="23"/>
      <c r="K49" s="24">
        <v>29155</v>
      </c>
      <c r="L49" s="23">
        <f t="shared" si="2"/>
        <v>21</v>
      </c>
      <c r="M49" s="24">
        <v>5502</v>
      </c>
      <c r="N49" s="25">
        <f t="shared" si="3"/>
        <v>1</v>
      </c>
      <c r="O49" s="24">
        <v>23653</v>
      </c>
      <c r="P49" s="23">
        <f t="shared" si="4"/>
        <v>20</v>
      </c>
      <c r="Q49" s="26"/>
      <c r="R49" s="23">
        <f t="shared" si="5"/>
        <v>0</v>
      </c>
      <c r="S49" s="27" t="s">
        <v>18</v>
      </c>
      <c r="T49" s="19" t="s">
        <v>66</v>
      </c>
    </row>
    <row r="50" spans="1:20" ht="37.5" customHeight="1" x14ac:dyDescent="0.25">
      <c r="A50" s="19" t="s">
        <v>67</v>
      </c>
      <c r="B50">
        <f t="shared" si="0"/>
        <v>10241</v>
      </c>
      <c r="C50">
        <v>2023</v>
      </c>
      <c r="D50">
        <v>8218</v>
      </c>
      <c r="F50">
        <f t="shared" si="1"/>
        <v>1111</v>
      </c>
      <c r="G50" s="20">
        <f t="shared" si="6"/>
        <v>45</v>
      </c>
      <c r="H50" s="21">
        <v>66621100350</v>
      </c>
      <c r="I50" s="22">
        <v>56</v>
      </c>
      <c r="J50" s="23"/>
      <c r="K50" s="24">
        <v>9130</v>
      </c>
      <c r="L50" s="23">
        <f t="shared" si="2"/>
        <v>1111</v>
      </c>
      <c r="M50" s="24">
        <v>1800</v>
      </c>
      <c r="N50" s="25">
        <f t="shared" si="3"/>
        <v>223</v>
      </c>
      <c r="O50" s="24">
        <v>7330</v>
      </c>
      <c r="P50" s="23">
        <f t="shared" si="4"/>
        <v>888</v>
      </c>
      <c r="Q50" s="26"/>
      <c r="R50" s="23">
        <f t="shared" si="5"/>
        <v>0</v>
      </c>
      <c r="S50" s="27" t="s">
        <v>18</v>
      </c>
      <c r="T50" s="19" t="s">
        <v>67</v>
      </c>
    </row>
    <row r="51" spans="1:20" ht="37.5" customHeight="1" x14ac:dyDescent="0.25">
      <c r="A51" s="19" t="s">
        <v>68</v>
      </c>
      <c r="B51">
        <f t="shared" si="0"/>
        <v>2316</v>
      </c>
      <c r="C51">
        <v>671</v>
      </c>
      <c r="D51">
        <v>1645</v>
      </c>
      <c r="E51">
        <v>5323</v>
      </c>
      <c r="F51">
        <f t="shared" si="1"/>
        <v>183</v>
      </c>
      <c r="G51" s="20">
        <f t="shared" si="6"/>
        <v>46</v>
      </c>
      <c r="H51" s="21">
        <v>99624040350</v>
      </c>
      <c r="I51" s="22">
        <v>58</v>
      </c>
      <c r="J51" s="23"/>
      <c r="K51" s="24">
        <f>M51+O51</f>
        <v>2133</v>
      </c>
      <c r="L51" s="23">
        <f t="shared" si="2"/>
        <v>183</v>
      </c>
      <c r="M51" s="24">
        <v>617</v>
      </c>
      <c r="N51" s="25">
        <f t="shared" si="3"/>
        <v>54</v>
      </c>
      <c r="O51" s="24">
        <v>1516</v>
      </c>
      <c r="P51" s="23">
        <f t="shared" si="4"/>
        <v>129</v>
      </c>
      <c r="Q51" s="26">
        <v>3981</v>
      </c>
      <c r="R51" s="23">
        <f t="shared" si="5"/>
        <v>1342</v>
      </c>
      <c r="S51" s="27" t="s">
        <v>18</v>
      </c>
      <c r="T51" s="19" t="s">
        <v>68</v>
      </c>
    </row>
    <row r="52" spans="1:20" ht="37.5" customHeight="1" x14ac:dyDescent="0.25">
      <c r="A52" s="19" t="s">
        <v>69</v>
      </c>
      <c r="B52">
        <f t="shared" si="0"/>
        <v>449</v>
      </c>
      <c r="C52">
        <v>153</v>
      </c>
      <c r="D52">
        <v>296</v>
      </c>
      <c r="E52">
        <v>1775</v>
      </c>
      <c r="F52">
        <f t="shared" si="1"/>
        <v>449</v>
      </c>
      <c r="G52" s="20">
        <f t="shared" si="6"/>
        <v>47</v>
      </c>
      <c r="H52" s="21">
        <v>99625010178</v>
      </c>
      <c r="I52" s="22">
        <v>59</v>
      </c>
      <c r="J52" s="23"/>
      <c r="K52" s="24">
        <v>0</v>
      </c>
      <c r="L52" s="23">
        <f t="shared" si="2"/>
        <v>449</v>
      </c>
      <c r="M52" s="24">
        <v>0</v>
      </c>
      <c r="N52" s="25">
        <f t="shared" si="3"/>
        <v>153</v>
      </c>
      <c r="O52" s="24">
        <v>0</v>
      </c>
      <c r="P52" s="23">
        <f t="shared" si="4"/>
        <v>296</v>
      </c>
      <c r="Q52" s="26">
        <v>0</v>
      </c>
      <c r="R52" s="23">
        <f t="shared" si="5"/>
        <v>1775</v>
      </c>
      <c r="S52" s="27" t="s">
        <v>18</v>
      </c>
      <c r="T52" s="19" t="s">
        <v>69</v>
      </c>
    </row>
    <row r="53" spans="1:20" ht="37.5" customHeight="1" x14ac:dyDescent="0.25">
      <c r="A53" s="19" t="s">
        <v>70</v>
      </c>
      <c r="B53">
        <f t="shared" si="0"/>
        <v>983</v>
      </c>
      <c r="C53">
        <v>327</v>
      </c>
      <c r="D53">
        <v>656</v>
      </c>
      <c r="E53">
        <v>2961</v>
      </c>
      <c r="F53">
        <f t="shared" si="1"/>
        <v>983</v>
      </c>
      <c r="G53" s="20">
        <f t="shared" si="6"/>
        <v>48</v>
      </c>
      <c r="H53" s="21">
        <v>99625010088</v>
      </c>
      <c r="I53" s="22">
        <v>60</v>
      </c>
      <c r="J53" s="23"/>
      <c r="K53" s="24">
        <v>0</v>
      </c>
      <c r="L53" s="23">
        <f t="shared" si="2"/>
        <v>983</v>
      </c>
      <c r="M53" s="24">
        <v>0</v>
      </c>
      <c r="N53" s="25">
        <f t="shared" si="3"/>
        <v>327</v>
      </c>
      <c r="O53" s="24">
        <v>0</v>
      </c>
      <c r="P53" s="23">
        <f t="shared" si="4"/>
        <v>656</v>
      </c>
      <c r="Q53" s="26">
        <v>0</v>
      </c>
      <c r="R53" s="23">
        <f t="shared" si="5"/>
        <v>2961</v>
      </c>
      <c r="S53" s="27" t="s">
        <v>18</v>
      </c>
      <c r="T53" s="19" t="s">
        <v>70</v>
      </c>
    </row>
    <row r="54" spans="1:20" ht="37.5" customHeight="1" x14ac:dyDescent="0.25">
      <c r="A54" s="19" t="s">
        <v>71</v>
      </c>
      <c r="B54">
        <f t="shared" si="0"/>
        <v>69136</v>
      </c>
      <c r="C54">
        <v>13658</v>
      </c>
      <c r="D54">
        <v>55478</v>
      </c>
      <c r="F54">
        <f t="shared" si="1"/>
        <v>521</v>
      </c>
      <c r="G54" s="20">
        <f t="shared" si="6"/>
        <v>49</v>
      </c>
      <c r="H54" s="21">
        <v>23012070285</v>
      </c>
      <c r="I54" s="22">
        <v>61</v>
      </c>
      <c r="J54" s="23"/>
      <c r="K54" s="24">
        <v>68615</v>
      </c>
      <c r="L54" s="23">
        <f t="shared" si="2"/>
        <v>521</v>
      </c>
      <c r="M54" s="24">
        <v>13592</v>
      </c>
      <c r="N54" s="25">
        <f t="shared" si="3"/>
        <v>66</v>
      </c>
      <c r="O54" s="24">
        <v>55023</v>
      </c>
      <c r="P54" s="23">
        <f t="shared" si="4"/>
        <v>455</v>
      </c>
      <c r="Q54" s="26"/>
      <c r="R54" s="23">
        <f t="shared" si="5"/>
        <v>0</v>
      </c>
      <c r="S54" s="27" t="s">
        <v>18</v>
      </c>
      <c r="T54" s="19" t="s">
        <v>71</v>
      </c>
    </row>
    <row r="55" spans="1:20" ht="37.5" customHeight="1" x14ac:dyDescent="0.25">
      <c r="A55" s="19" t="s">
        <v>72</v>
      </c>
      <c r="B55">
        <f t="shared" si="0"/>
        <v>49414</v>
      </c>
      <c r="C55">
        <v>7834</v>
      </c>
      <c r="D55">
        <v>41580</v>
      </c>
      <c r="F55">
        <f t="shared" si="1"/>
        <v>463</v>
      </c>
      <c r="G55" s="20">
        <f t="shared" si="6"/>
        <v>50</v>
      </c>
      <c r="H55" s="21">
        <v>23015101170</v>
      </c>
      <c r="I55" s="22">
        <v>62</v>
      </c>
      <c r="J55" s="23"/>
      <c r="K55" s="24">
        <v>48951</v>
      </c>
      <c r="L55" s="23">
        <f t="shared" si="2"/>
        <v>463</v>
      </c>
      <c r="M55" s="24">
        <v>7762</v>
      </c>
      <c r="N55" s="25">
        <f t="shared" si="3"/>
        <v>72</v>
      </c>
      <c r="O55" s="24">
        <v>41189</v>
      </c>
      <c r="P55" s="23">
        <f t="shared" si="4"/>
        <v>391</v>
      </c>
      <c r="Q55" s="26"/>
      <c r="R55" s="23">
        <f t="shared" si="5"/>
        <v>0</v>
      </c>
      <c r="S55" s="27" t="s">
        <v>18</v>
      </c>
      <c r="T55" s="19" t="s">
        <v>72</v>
      </c>
    </row>
    <row r="56" spans="1:20" ht="37.5" customHeight="1" x14ac:dyDescent="0.25">
      <c r="A56" s="19" t="s">
        <v>73</v>
      </c>
      <c r="B56">
        <f t="shared" si="0"/>
        <v>36935</v>
      </c>
      <c r="C56">
        <v>6421</v>
      </c>
      <c r="D56">
        <v>30514</v>
      </c>
      <c r="F56">
        <f t="shared" si="1"/>
        <v>171</v>
      </c>
      <c r="G56" s="20">
        <f t="shared" si="6"/>
        <v>51</v>
      </c>
      <c r="H56" s="21">
        <v>23015100737</v>
      </c>
      <c r="I56" s="22">
        <v>63</v>
      </c>
      <c r="J56" s="23"/>
      <c r="K56" s="24">
        <v>36764</v>
      </c>
      <c r="L56" s="23">
        <f t="shared" si="2"/>
        <v>171</v>
      </c>
      <c r="M56" s="24">
        <v>6389</v>
      </c>
      <c r="N56" s="25">
        <f t="shared" si="3"/>
        <v>32</v>
      </c>
      <c r="O56" s="24">
        <v>30375</v>
      </c>
      <c r="P56" s="23">
        <f t="shared" si="4"/>
        <v>139</v>
      </c>
      <c r="Q56" s="26"/>
      <c r="R56" s="23">
        <f t="shared" si="5"/>
        <v>0</v>
      </c>
      <c r="S56" s="27" t="s">
        <v>18</v>
      </c>
      <c r="T56" s="19" t="s">
        <v>73</v>
      </c>
    </row>
    <row r="57" spans="1:20" ht="37.5" customHeight="1" x14ac:dyDescent="0.25">
      <c r="A57" s="19" t="s">
        <v>74</v>
      </c>
      <c r="B57">
        <f t="shared" si="0"/>
        <v>51142</v>
      </c>
      <c r="C57">
        <v>8574</v>
      </c>
      <c r="D57">
        <v>42568</v>
      </c>
      <c r="F57">
        <f t="shared" si="1"/>
        <v>135</v>
      </c>
      <c r="G57" s="20">
        <f t="shared" si="6"/>
        <v>52</v>
      </c>
      <c r="H57" s="21">
        <v>88818030494</v>
      </c>
      <c r="I57" s="22">
        <v>64</v>
      </c>
      <c r="J57" s="23"/>
      <c r="K57" s="24">
        <v>51007</v>
      </c>
      <c r="L57" s="23">
        <f t="shared" si="2"/>
        <v>135</v>
      </c>
      <c r="M57" s="24"/>
      <c r="N57" s="25">
        <f t="shared" si="3"/>
        <v>8574</v>
      </c>
      <c r="O57" s="24"/>
      <c r="P57" s="23">
        <f t="shared" si="4"/>
        <v>42568</v>
      </c>
      <c r="Q57" s="26"/>
      <c r="R57" s="23">
        <f t="shared" si="5"/>
        <v>0</v>
      </c>
      <c r="S57" s="27" t="s">
        <v>18</v>
      </c>
      <c r="T57" s="19" t="s">
        <v>74</v>
      </c>
    </row>
    <row r="58" spans="1:20" ht="37.5" customHeight="1" x14ac:dyDescent="0.25">
      <c r="A58" s="19" t="s">
        <v>75</v>
      </c>
      <c r="B58">
        <f t="shared" si="0"/>
        <v>380</v>
      </c>
      <c r="C58">
        <v>78</v>
      </c>
      <c r="D58">
        <v>302</v>
      </c>
      <c r="F58">
        <f t="shared" si="1"/>
        <v>154</v>
      </c>
      <c r="G58" s="20">
        <f t="shared" si="6"/>
        <v>53</v>
      </c>
      <c r="H58" s="21">
        <v>66625010015</v>
      </c>
      <c r="I58" s="22">
        <v>65</v>
      </c>
      <c r="J58" s="23"/>
      <c r="K58" s="24">
        <v>226</v>
      </c>
      <c r="L58" s="23">
        <f t="shared" si="2"/>
        <v>154</v>
      </c>
      <c r="M58" s="24">
        <v>56</v>
      </c>
      <c r="N58" s="25">
        <f t="shared" si="3"/>
        <v>22</v>
      </c>
      <c r="O58" s="24">
        <v>170</v>
      </c>
      <c r="P58" s="23">
        <f t="shared" si="4"/>
        <v>132</v>
      </c>
      <c r="Q58" s="26"/>
      <c r="R58" s="23">
        <f t="shared" si="5"/>
        <v>0</v>
      </c>
      <c r="S58" s="27" t="s">
        <v>18</v>
      </c>
      <c r="T58" s="19" t="s">
        <v>75</v>
      </c>
    </row>
    <row r="59" spans="1:20" ht="37.5" customHeight="1" x14ac:dyDescent="0.25">
      <c r="A59" s="19" t="s">
        <v>76</v>
      </c>
      <c r="B59">
        <f t="shared" si="0"/>
        <v>17393</v>
      </c>
      <c r="C59">
        <v>4478</v>
      </c>
      <c r="D59">
        <v>12915</v>
      </c>
      <c r="E59">
        <v>26663</v>
      </c>
      <c r="F59">
        <f t="shared" si="1"/>
        <v>599</v>
      </c>
      <c r="G59" s="20">
        <f t="shared" si="6"/>
        <v>54</v>
      </c>
      <c r="H59" s="21">
        <v>99722020011</v>
      </c>
      <c r="I59" s="22">
        <v>66</v>
      </c>
      <c r="J59" s="23"/>
      <c r="K59" s="24">
        <f>M59+O59</f>
        <v>16794</v>
      </c>
      <c r="L59" s="23">
        <f t="shared" si="2"/>
        <v>599</v>
      </c>
      <c r="M59" s="24">
        <v>4325</v>
      </c>
      <c r="N59" s="25">
        <f t="shared" si="3"/>
        <v>153</v>
      </c>
      <c r="O59" s="24">
        <v>12469</v>
      </c>
      <c r="P59" s="23">
        <f t="shared" si="4"/>
        <v>446</v>
      </c>
      <c r="Q59" s="26">
        <v>25519</v>
      </c>
      <c r="R59" s="23">
        <f t="shared" si="5"/>
        <v>1144</v>
      </c>
      <c r="S59" s="27" t="s">
        <v>18</v>
      </c>
      <c r="T59" s="19" t="s">
        <v>76</v>
      </c>
    </row>
    <row r="60" spans="1:20" ht="37.5" customHeight="1" x14ac:dyDescent="0.25">
      <c r="A60" s="19" t="s">
        <v>77</v>
      </c>
      <c r="B60">
        <f t="shared" si="0"/>
        <v>33613</v>
      </c>
      <c r="C60">
        <v>7667</v>
      </c>
      <c r="D60">
        <v>25946</v>
      </c>
      <c r="F60">
        <f t="shared" si="1"/>
        <v>211</v>
      </c>
      <c r="G60" s="20">
        <f t="shared" si="6"/>
        <v>55</v>
      </c>
      <c r="H60" s="21">
        <v>23014040274</v>
      </c>
      <c r="I60" s="22">
        <v>69</v>
      </c>
      <c r="J60" s="23"/>
      <c r="K60" s="24">
        <v>33402</v>
      </c>
      <c r="L60" s="23">
        <f t="shared" si="2"/>
        <v>211</v>
      </c>
      <c r="M60" s="24">
        <v>7621</v>
      </c>
      <c r="N60" s="25">
        <f t="shared" si="3"/>
        <v>46</v>
      </c>
      <c r="O60" s="24">
        <v>25781</v>
      </c>
      <c r="P60" s="23">
        <f t="shared" si="4"/>
        <v>165</v>
      </c>
      <c r="Q60" s="26"/>
      <c r="R60" s="23">
        <f t="shared" si="5"/>
        <v>0</v>
      </c>
      <c r="S60" s="27" t="s">
        <v>18</v>
      </c>
      <c r="T60" s="19" t="s">
        <v>77</v>
      </c>
    </row>
    <row r="61" spans="1:20" ht="37.5" customHeight="1" x14ac:dyDescent="0.25">
      <c r="A61" s="19" t="s">
        <v>78</v>
      </c>
      <c r="B61">
        <f t="shared" si="0"/>
        <v>53247</v>
      </c>
      <c r="C61">
        <v>7692</v>
      </c>
      <c r="D61">
        <v>45555</v>
      </c>
      <c r="F61">
        <f t="shared" si="1"/>
        <v>1012</v>
      </c>
      <c r="G61" s="20">
        <f t="shared" si="6"/>
        <v>56</v>
      </c>
      <c r="H61" s="21">
        <v>66621040339</v>
      </c>
      <c r="I61" s="22">
        <v>70</v>
      </c>
      <c r="J61" s="23"/>
      <c r="K61" s="24">
        <v>52235</v>
      </c>
      <c r="L61" s="23">
        <f t="shared" si="2"/>
        <v>1012</v>
      </c>
      <c r="M61" s="24">
        <v>7496</v>
      </c>
      <c r="N61" s="25">
        <f t="shared" si="3"/>
        <v>196</v>
      </c>
      <c r="O61" s="24">
        <v>44739</v>
      </c>
      <c r="P61" s="23">
        <f t="shared" si="4"/>
        <v>816</v>
      </c>
      <c r="Q61" s="26"/>
      <c r="R61" s="23">
        <f t="shared" si="5"/>
        <v>0</v>
      </c>
      <c r="S61" s="27" t="s">
        <v>18</v>
      </c>
      <c r="T61" s="19" t="s">
        <v>78</v>
      </c>
    </row>
    <row r="62" spans="1:20" ht="37.5" customHeight="1" x14ac:dyDescent="0.25">
      <c r="A62" s="19" t="s">
        <v>79</v>
      </c>
      <c r="B62">
        <f t="shared" si="0"/>
        <v>10351</v>
      </c>
      <c r="C62">
        <v>2966</v>
      </c>
      <c r="D62">
        <v>7385</v>
      </c>
      <c r="E62">
        <v>11337</v>
      </c>
      <c r="F62">
        <f t="shared" si="1"/>
        <v>549</v>
      </c>
      <c r="G62" s="20">
        <f t="shared" si="6"/>
        <v>57</v>
      </c>
      <c r="H62" s="21">
        <v>99624010237</v>
      </c>
      <c r="I62" s="22">
        <v>71</v>
      </c>
      <c r="J62" s="23"/>
      <c r="K62" s="24">
        <f>M62+O62</f>
        <v>9802</v>
      </c>
      <c r="L62" s="23">
        <f t="shared" si="2"/>
        <v>549</v>
      </c>
      <c r="M62" s="24">
        <v>2784</v>
      </c>
      <c r="N62" s="25">
        <f t="shared" si="3"/>
        <v>182</v>
      </c>
      <c r="O62" s="24">
        <v>7018</v>
      </c>
      <c r="P62" s="23">
        <f t="shared" si="4"/>
        <v>367</v>
      </c>
      <c r="Q62" s="26">
        <v>9869</v>
      </c>
      <c r="R62" s="23">
        <f t="shared" si="5"/>
        <v>1468</v>
      </c>
      <c r="S62" s="27" t="s">
        <v>18</v>
      </c>
      <c r="T62" s="19" t="s">
        <v>79</v>
      </c>
    </row>
    <row r="63" spans="1:20" ht="37.5" customHeight="1" x14ac:dyDescent="0.25">
      <c r="A63" s="19" t="s">
        <v>80</v>
      </c>
      <c r="B63">
        <f t="shared" si="0"/>
        <v>10468</v>
      </c>
      <c r="C63">
        <v>2313</v>
      </c>
      <c r="D63">
        <v>8155</v>
      </c>
      <c r="E63">
        <v>10318</v>
      </c>
      <c r="F63">
        <f t="shared" si="1"/>
        <v>643</v>
      </c>
      <c r="G63" s="20">
        <f t="shared" si="6"/>
        <v>58</v>
      </c>
      <c r="H63" s="21">
        <v>99623080521</v>
      </c>
      <c r="I63" s="22">
        <v>72</v>
      </c>
      <c r="J63" s="23"/>
      <c r="K63" s="24">
        <f>M63+O63</f>
        <v>9825</v>
      </c>
      <c r="L63" s="23">
        <f t="shared" si="2"/>
        <v>643</v>
      </c>
      <c r="M63" s="24">
        <v>2158</v>
      </c>
      <c r="N63" s="25">
        <f t="shared" si="3"/>
        <v>155</v>
      </c>
      <c r="O63" s="24">
        <v>7667</v>
      </c>
      <c r="P63" s="23">
        <f t="shared" si="4"/>
        <v>488</v>
      </c>
      <c r="Q63" s="26">
        <v>9255</v>
      </c>
      <c r="R63" s="23">
        <f t="shared" si="5"/>
        <v>1063</v>
      </c>
      <c r="S63" s="27" t="s">
        <v>18</v>
      </c>
      <c r="T63" s="19" t="s">
        <v>80</v>
      </c>
    </row>
    <row r="64" spans="1:20" ht="37.5" customHeight="1" x14ac:dyDescent="0.25">
      <c r="A64" s="19" t="s">
        <v>81</v>
      </c>
      <c r="B64">
        <f t="shared" si="0"/>
        <v>24950</v>
      </c>
      <c r="C64">
        <v>3728</v>
      </c>
      <c r="D64">
        <v>21222</v>
      </c>
      <c r="F64">
        <f t="shared" si="1"/>
        <v>101</v>
      </c>
      <c r="G64" s="20">
        <f t="shared" si="6"/>
        <v>59</v>
      </c>
      <c r="H64" s="21">
        <v>66616031155</v>
      </c>
      <c r="I64" s="22">
        <v>73</v>
      </c>
      <c r="J64" s="23"/>
      <c r="K64" s="24">
        <v>24849</v>
      </c>
      <c r="L64" s="23">
        <f t="shared" si="2"/>
        <v>101</v>
      </c>
      <c r="M64" s="24">
        <v>3710</v>
      </c>
      <c r="N64" s="25">
        <f t="shared" si="3"/>
        <v>18</v>
      </c>
      <c r="O64" s="24">
        <v>21139</v>
      </c>
      <c r="P64" s="23">
        <f t="shared" si="4"/>
        <v>83</v>
      </c>
      <c r="Q64" s="26"/>
      <c r="R64" s="23">
        <f t="shared" si="5"/>
        <v>0</v>
      </c>
      <c r="S64" s="27" t="s">
        <v>18</v>
      </c>
      <c r="T64" s="19" t="s">
        <v>81</v>
      </c>
    </row>
    <row r="65" spans="1:20" ht="37.5" customHeight="1" x14ac:dyDescent="0.25">
      <c r="A65" s="19" t="s">
        <v>82</v>
      </c>
      <c r="B65">
        <f t="shared" si="0"/>
        <v>25032</v>
      </c>
      <c r="C65">
        <v>4152</v>
      </c>
      <c r="D65">
        <v>20880</v>
      </c>
      <c r="F65">
        <f t="shared" si="1"/>
        <v>505</v>
      </c>
      <c r="G65" s="20">
        <f t="shared" si="6"/>
        <v>60</v>
      </c>
      <c r="H65" s="21">
        <v>88820020263</v>
      </c>
      <c r="I65" s="22" t="s">
        <v>83</v>
      </c>
      <c r="J65" s="23"/>
      <c r="K65" s="24">
        <v>24527</v>
      </c>
      <c r="L65" s="23">
        <f t="shared" si="2"/>
        <v>505</v>
      </c>
      <c r="M65" s="24">
        <v>4071</v>
      </c>
      <c r="N65" s="25">
        <f t="shared" si="3"/>
        <v>81</v>
      </c>
      <c r="O65" s="24">
        <v>20456</v>
      </c>
      <c r="P65" s="23">
        <f t="shared" si="4"/>
        <v>424</v>
      </c>
      <c r="Q65" s="26"/>
      <c r="R65" s="23">
        <f t="shared" si="5"/>
        <v>0</v>
      </c>
      <c r="S65" s="27" t="s">
        <v>18</v>
      </c>
      <c r="T65" s="19" t="s">
        <v>82</v>
      </c>
    </row>
    <row r="66" spans="1:20" ht="37.5" customHeight="1" x14ac:dyDescent="0.25">
      <c r="A66" s="19" t="s">
        <v>84</v>
      </c>
      <c r="B66">
        <f t="shared" si="0"/>
        <v>7683</v>
      </c>
      <c r="C66">
        <v>1562</v>
      </c>
      <c r="D66">
        <v>6121</v>
      </c>
      <c r="F66">
        <f t="shared" si="1"/>
        <v>204</v>
      </c>
      <c r="G66" s="20">
        <f t="shared" si="6"/>
        <v>61</v>
      </c>
      <c r="H66" s="21">
        <v>66619040375</v>
      </c>
      <c r="I66" s="22">
        <v>74</v>
      </c>
      <c r="J66" s="23"/>
      <c r="K66" s="24">
        <v>7479</v>
      </c>
      <c r="L66" s="23">
        <f t="shared" si="2"/>
        <v>204</v>
      </c>
      <c r="M66" s="24">
        <v>1538</v>
      </c>
      <c r="N66" s="25">
        <f t="shared" si="3"/>
        <v>24</v>
      </c>
      <c r="O66" s="24">
        <v>5941</v>
      </c>
      <c r="P66" s="23">
        <f t="shared" si="4"/>
        <v>180</v>
      </c>
      <c r="Q66" s="26"/>
      <c r="R66" s="23">
        <f t="shared" si="5"/>
        <v>0</v>
      </c>
      <c r="S66" s="27" t="s">
        <v>18</v>
      </c>
      <c r="T66" s="19" t="s">
        <v>84</v>
      </c>
    </row>
    <row r="67" spans="1:20" ht="37.5" customHeight="1" x14ac:dyDescent="0.25">
      <c r="A67" s="19" t="s">
        <v>85</v>
      </c>
      <c r="B67">
        <f t="shared" si="0"/>
        <v>58638</v>
      </c>
      <c r="C67">
        <v>11980</v>
      </c>
      <c r="D67">
        <v>46658</v>
      </c>
      <c r="F67">
        <f t="shared" si="1"/>
        <v>638</v>
      </c>
      <c r="G67" s="20">
        <f t="shared" si="6"/>
        <v>62</v>
      </c>
      <c r="H67" s="21">
        <v>23014060549</v>
      </c>
      <c r="I67" s="22">
        <v>75</v>
      </c>
      <c r="J67" s="23"/>
      <c r="K67" s="24">
        <v>58000</v>
      </c>
      <c r="L67" s="23">
        <f t="shared" si="2"/>
        <v>638</v>
      </c>
      <c r="M67" s="24">
        <v>11838</v>
      </c>
      <c r="N67" s="25">
        <f t="shared" si="3"/>
        <v>142</v>
      </c>
      <c r="O67" s="24">
        <v>46162</v>
      </c>
      <c r="P67" s="23">
        <f t="shared" si="4"/>
        <v>496</v>
      </c>
      <c r="Q67" s="26"/>
      <c r="R67" s="23">
        <f t="shared" si="5"/>
        <v>0</v>
      </c>
      <c r="S67" s="27" t="s">
        <v>18</v>
      </c>
      <c r="T67" s="19" t="s">
        <v>85</v>
      </c>
    </row>
    <row r="68" spans="1:20" ht="37.5" customHeight="1" x14ac:dyDescent="0.25">
      <c r="A68" s="19" t="s">
        <v>86</v>
      </c>
      <c r="B68">
        <f t="shared" si="0"/>
        <v>46634</v>
      </c>
      <c r="C68">
        <v>8372</v>
      </c>
      <c r="D68">
        <v>38262</v>
      </c>
      <c r="F68">
        <f t="shared" si="1"/>
        <v>270</v>
      </c>
      <c r="G68" s="20">
        <f t="shared" si="6"/>
        <v>63</v>
      </c>
      <c r="H68" s="21">
        <v>88820050114</v>
      </c>
      <c r="I68" s="22" t="s">
        <v>87</v>
      </c>
      <c r="J68" s="23"/>
      <c r="K68" s="24">
        <v>46364</v>
      </c>
      <c r="L68" s="23">
        <f t="shared" si="2"/>
        <v>270</v>
      </c>
      <c r="M68" s="24">
        <v>8336</v>
      </c>
      <c r="N68" s="25">
        <f t="shared" si="3"/>
        <v>36</v>
      </c>
      <c r="O68" s="24">
        <v>38028</v>
      </c>
      <c r="P68" s="23">
        <f t="shared" si="4"/>
        <v>234</v>
      </c>
      <c r="Q68" s="26"/>
      <c r="R68" s="23">
        <f t="shared" si="5"/>
        <v>0</v>
      </c>
      <c r="S68" s="27" t="s">
        <v>18</v>
      </c>
      <c r="T68" s="19" t="s">
        <v>86</v>
      </c>
    </row>
    <row r="69" spans="1:20" ht="37.5" customHeight="1" x14ac:dyDescent="0.25">
      <c r="A69" s="19" t="s">
        <v>88</v>
      </c>
      <c r="B69">
        <f t="shared" si="0"/>
        <v>7336</v>
      </c>
      <c r="C69">
        <v>1917</v>
      </c>
      <c r="D69">
        <v>5419</v>
      </c>
      <c r="E69">
        <v>20280</v>
      </c>
      <c r="F69">
        <f t="shared" si="1"/>
        <v>322</v>
      </c>
      <c r="G69" s="20">
        <f t="shared" si="6"/>
        <v>64</v>
      </c>
      <c r="H69" s="21">
        <v>99623080205</v>
      </c>
      <c r="I69" s="22">
        <v>76</v>
      </c>
      <c r="J69" s="23"/>
      <c r="K69" s="24">
        <f>M69+O69</f>
        <v>7014</v>
      </c>
      <c r="L69" s="23">
        <f t="shared" si="2"/>
        <v>322</v>
      </c>
      <c r="M69" s="24">
        <v>1832</v>
      </c>
      <c r="N69" s="25">
        <f t="shared" si="3"/>
        <v>85</v>
      </c>
      <c r="O69" s="24">
        <v>5182</v>
      </c>
      <c r="P69" s="23">
        <f t="shared" si="4"/>
        <v>237</v>
      </c>
      <c r="Q69" s="26">
        <v>18602</v>
      </c>
      <c r="R69" s="23">
        <f t="shared" si="5"/>
        <v>1678</v>
      </c>
      <c r="S69" s="27" t="s">
        <v>18</v>
      </c>
      <c r="T69" s="19" t="s">
        <v>88</v>
      </c>
    </row>
    <row r="70" spans="1:20" ht="37.5" customHeight="1" x14ac:dyDescent="0.25">
      <c r="A70" s="19" t="s">
        <v>89</v>
      </c>
      <c r="B70">
        <f t="shared" ref="B70:B126" si="7">C70+D70</f>
        <v>117921</v>
      </c>
      <c r="C70">
        <v>19401</v>
      </c>
      <c r="D70">
        <v>98520</v>
      </c>
      <c r="F70">
        <f t="shared" ref="F70:F126" si="8">L70</f>
        <v>757</v>
      </c>
      <c r="G70" s="20">
        <f t="shared" si="6"/>
        <v>65</v>
      </c>
      <c r="H70" s="21">
        <v>66601102578</v>
      </c>
      <c r="I70" s="22">
        <v>77</v>
      </c>
      <c r="J70" s="23"/>
      <c r="K70" s="24">
        <v>117164</v>
      </c>
      <c r="L70" s="23">
        <f t="shared" ref="L70:L126" si="9">B70-K70</f>
        <v>757</v>
      </c>
      <c r="M70" s="24">
        <v>19278</v>
      </c>
      <c r="N70" s="25">
        <f t="shared" ref="N70:N126" si="10">C70-M70</f>
        <v>123</v>
      </c>
      <c r="O70" s="24">
        <v>97886</v>
      </c>
      <c r="P70" s="23">
        <f t="shared" ref="P70:P126" si="11">D70-O70</f>
        <v>634</v>
      </c>
      <c r="Q70" s="26"/>
      <c r="R70" s="23">
        <f t="shared" ref="R70:R126" si="12">E70-Q70</f>
        <v>0</v>
      </c>
      <c r="S70" s="27" t="s">
        <v>18</v>
      </c>
      <c r="T70" s="19" t="s">
        <v>89</v>
      </c>
    </row>
    <row r="71" spans="1:20" ht="37.5" customHeight="1" x14ac:dyDescent="0.25">
      <c r="A71" s="19" t="s">
        <v>90</v>
      </c>
      <c r="B71">
        <f t="shared" si="7"/>
        <v>2494</v>
      </c>
      <c r="C71">
        <v>197</v>
      </c>
      <c r="D71">
        <v>2297</v>
      </c>
      <c r="F71">
        <f t="shared" si="8"/>
        <v>132</v>
      </c>
      <c r="G71" s="20">
        <f t="shared" si="6"/>
        <v>66</v>
      </c>
      <c r="H71" s="21">
        <v>66623030375</v>
      </c>
      <c r="I71" s="22">
        <v>79</v>
      </c>
      <c r="J71" s="23"/>
      <c r="K71" s="24">
        <v>2362</v>
      </c>
      <c r="L71" s="23">
        <f t="shared" si="9"/>
        <v>132</v>
      </c>
      <c r="M71" s="24">
        <v>189</v>
      </c>
      <c r="N71" s="25">
        <f t="shared" si="10"/>
        <v>8</v>
      </c>
      <c r="O71" s="24">
        <v>2173</v>
      </c>
      <c r="P71" s="23">
        <f t="shared" si="11"/>
        <v>124</v>
      </c>
      <c r="Q71" s="26"/>
      <c r="R71" s="23">
        <f t="shared" si="12"/>
        <v>0</v>
      </c>
      <c r="S71" s="27" t="s">
        <v>18</v>
      </c>
      <c r="T71" s="19" t="s">
        <v>90</v>
      </c>
    </row>
    <row r="72" spans="1:20" ht="37.5" customHeight="1" x14ac:dyDescent="0.25">
      <c r="A72" s="19" t="s">
        <v>91</v>
      </c>
      <c r="B72">
        <f t="shared" si="7"/>
        <v>102666</v>
      </c>
      <c r="C72">
        <v>17734</v>
      </c>
      <c r="D72">
        <v>84932</v>
      </c>
      <c r="F72">
        <f t="shared" si="8"/>
        <v>892</v>
      </c>
      <c r="G72" s="20">
        <f t="shared" ref="G72:G126" si="13">G71+1</f>
        <v>67</v>
      </c>
      <c r="H72" s="21">
        <v>23014090045</v>
      </c>
      <c r="I72" s="22">
        <v>80</v>
      </c>
      <c r="J72" s="23"/>
      <c r="K72" s="24">
        <v>101774</v>
      </c>
      <c r="L72" s="23">
        <f t="shared" si="9"/>
        <v>892</v>
      </c>
      <c r="M72" s="24">
        <v>17621</v>
      </c>
      <c r="N72" s="25">
        <f t="shared" si="10"/>
        <v>113</v>
      </c>
      <c r="O72" s="24">
        <v>84153</v>
      </c>
      <c r="P72" s="23">
        <f t="shared" si="11"/>
        <v>779</v>
      </c>
      <c r="Q72" s="26"/>
      <c r="R72" s="23">
        <f t="shared" si="12"/>
        <v>0</v>
      </c>
      <c r="S72" s="27" t="s">
        <v>18</v>
      </c>
      <c r="T72" s="19" t="s">
        <v>91</v>
      </c>
    </row>
    <row r="73" spans="1:20" ht="37.5" customHeight="1" x14ac:dyDescent="0.25">
      <c r="A73" s="19" t="s">
        <v>92</v>
      </c>
      <c r="B73">
        <f t="shared" si="7"/>
        <v>8929</v>
      </c>
      <c r="C73">
        <v>1955</v>
      </c>
      <c r="D73">
        <v>6974</v>
      </c>
      <c r="E73">
        <v>14255</v>
      </c>
      <c r="F73">
        <f t="shared" si="8"/>
        <v>682</v>
      </c>
      <c r="G73" s="20">
        <f t="shared" si="13"/>
        <v>68</v>
      </c>
      <c r="H73" s="21">
        <v>99623080427</v>
      </c>
      <c r="I73" s="22">
        <v>81</v>
      </c>
      <c r="J73" s="23"/>
      <c r="K73" s="24">
        <f>M73+O73</f>
        <v>8247</v>
      </c>
      <c r="L73" s="23">
        <f t="shared" si="9"/>
        <v>682</v>
      </c>
      <c r="M73" s="24">
        <v>1796</v>
      </c>
      <c r="N73" s="25">
        <f t="shared" si="10"/>
        <v>159</v>
      </c>
      <c r="O73" s="24">
        <v>6451</v>
      </c>
      <c r="P73" s="23">
        <f t="shared" si="11"/>
        <v>523</v>
      </c>
      <c r="Q73" s="26">
        <v>13003</v>
      </c>
      <c r="R73" s="23">
        <f t="shared" si="12"/>
        <v>1252</v>
      </c>
      <c r="S73" s="27" t="s">
        <v>18</v>
      </c>
      <c r="T73" s="19" t="s">
        <v>92</v>
      </c>
    </row>
    <row r="74" spans="1:20" ht="37.5" customHeight="1" x14ac:dyDescent="0.25">
      <c r="A74" s="19" t="s">
        <v>93</v>
      </c>
      <c r="B74">
        <f t="shared" si="7"/>
        <v>9458</v>
      </c>
      <c r="C74">
        <v>2900</v>
      </c>
      <c r="D74">
        <v>6558</v>
      </c>
      <c r="E74">
        <v>25921</v>
      </c>
      <c r="F74">
        <f t="shared" si="8"/>
        <v>267</v>
      </c>
      <c r="G74" s="20">
        <f t="shared" si="13"/>
        <v>69</v>
      </c>
      <c r="H74" s="21">
        <v>99622050062</v>
      </c>
      <c r="I74" s="22">
        <v>85</v>
      </c>
      <c r="J74" s="23"/>
      <c r="K74" s="24">
        <f>M74+O74</f>
        <v>9191</v>
      </c>
      <c r="L74" s="23">
        <f t="shared" si="9"/>
        <v>267</v>
      </c>
      <c r="M74" s="24">
        <v>2820</v>
      </c>
      <c r="N74" s="25">
        <f t="shared" si="10"/>
        <v>80</v>
      </c>
      <c r="O74" s="24">
        <v>6371</v>
      </c>
      <c r="P74" s="23">
        <f t="shared" si="11"/>
        <v>187</v>
      </c>
      <c r="Q74" s="26">
        <v>24571</v>
      </c>
      <c r="R74" s="23">
        <f t="shared" si="12"/>
        <v>1350</v>
      </c>
      <c r="S74" s="27" t="s">
        <v>18</v>
      </c>
      <c r="T74" s="19" t="s">
        <v>93</v>
      </c>
    </row>
    <row r="75" spans="1:20" ht="37.5" customHeight="1" x14ac:dyDescent="0.25">
      <c r="A75" s="19" t="s">
        <v>94</v>
      </c>
      <c r="B75">
        <f t="shared" si="7"/>
        <v>27242</v>
      </c>
      <c r="C75">
        <v>4888</v>
      </c>
      <c r="D75">
        <v>22354</v>
      </c>
      <c r="F75">
        <f t="shared" si="8"/>
        <v>527</v>
      </c>
      <c r="G75" s="20">
        <f t="shared" si="13"/>
        <v>70</v>
      </c>
      <c r="H75" s="21">
        <v>66622010150</v>
      </c>
      <c r="I75" s="22">
        <v>89</v>
      </c>
      <c r="J75" s="23"/>
      <c r="K75" s="24">
        <v>26715</v>
      </c>
      <c r="L75" s="23">
        <f t="shared" si="9"/>
        <v>527</v>
      </c>
      <c r="M75" s="24">
        <v>4788</v>
      </c>
      <c r="N75" s="25">
        <f t="shared" si="10"/>
        <v>100</v>
      </c>
      <c r="O75" s="24">
        <v>21927</v>
      </c>
      <c r="P75" s="23">
        <f t="shared" si="11"/>
        <v>427</v>
      </c>
      <c r="Q75" s="26"/>
      <c r="R75" s="23">
        <f t="shared" si="12"/>
        <v>0</v>
      </c>
      <c r="S75" s="27" t="s">
        <v>18</v>
      </c>
      <c r="T75" s="19" t="s">
        <v>94</v>
      </c>
    </row>
    <row r="76" spans="1:20" ht="37.5" customHeight="1" x14ac:dyDescent="0.25">
      <c r="A76" s="19" t="s">
        <v>95</v>
      </c>
      <c r="B76">
        <f t="shared" si="7"/>
        <v>82382</v>
      </c>
      <c r="C76">
        <v>15714</v>
      </c>
      <c r="D76">
        <v>66668</v>
      </c>
      <c r="F76">
        <f t="shared" si="8"/>
        <v>2</v>
      </c>
      <c r="G76" s="20">
        <f t="shared" si="13"/>
        <v>71</v>
      </c>
      <c r="H76" s="21">
        <v>23014060537</v>
      </c>
      <c r="I76" s="22">
        <v>92</v>
      </c>
      <c r="J76" s="23"/>
      <c r="K76" s="24">
        <v>82380</v>
      </c>
      <c r="L76" s="23">
        <f t="shared" si="9"/>
        <v>2</v>
      </c>
      <c r="M76" s="24">
        <v>15713</v>
      </c>
      <c r="N76" s="25">
        <f t="shared" si="10"/>
        <v>1</v>
      </c>
      <c r="O76" s="24">
        <v>66667</v>
      </c>
      <c r="P76" s="23">
        <f t="shared" si="11"/>
        <v>1</v>
      </c>
      <c r="Q76" s="26"/>
      <c r="R76" s="23">
        <f t="shared" si="12"/>
        <v>0</v>
      </c>
      <c r="S76" s="27" t="s">
        <v>18</v>
      </c>
      <c r="T76" s="19" t="s">
        <v>95</v>
      </c>
    </row>
    <row r="77" spans="1:20" ht="37.5" customHeight="1" x14ac:dyDescent="0.25">
      <c r="A77" s="19" t="s">
        <v>96</v>
      </c>
      <c r="B77">
        <f t="shared" si="7"/>
        <v>823</v>
      </c>
      <c r="C77">
        <v>249</v>
      </c>
      <c r="D77">
        <v>574</v>
      </c>
      <c r="E77">
        <v>4078</v>
      </c>
      <c r="F77">
        <f t="shared" si="8"/>
        <v>363</v>
      </c>
      <c r="G77" s="20">
        <f t="shared" si="13"/>
        <v>72</v>
      </c>
      <c r="H77" s="21">
        <v>99624050266</v>
      </c>
      <c r="I77" s="22">
        <v>93</v>
      </c>
      <c r="J77" s="23"/>
      <c r="K77" s="24">
        <f>M77+O77</f>
        <v>460</v>
      </c>
      <c r="L77" s="23">
        <f t="shared" si="9"/>
        <v>363</v>
      </c>
      <c r="M77" s="24">
        <v>139</v>
      </c>
      <c r="N77" s="25">
        <f t="shared" si="10"/>
        <v>110</v>
      </c>
      <c r="O77" s="24">
        <v>321</v>
      </c>
      <c r="P77" s="23">
        <f t="shared" si="11"/>
        <v>253</v>
      </c>
      <c r="Q77" s="26">
        <v>2314</v>
      </c>
      <c r="R77" s="23">
        <f t="shared" si="12"/>
        <v>1764</v>
      </c>
      <c r="S77" s="27" t="s">
        <v>18</v>
      </c>
      <c r="T77" s="19" t="s">
        <v>96</v>
      </c>
    </row>
    <row r="78" spans="1:20" ht="37.5" customHeight="1" x14ac:dyDescent="0.25">
      <c r="A78" s="19" t="s">
        <v>97</v>
      </c>
      <c r="B78">
        <f t="shared" si="7"/>
        <v>31758</v>
      </c>
      <c r="C78">
        <v>4765</v>
      </c>
      <c r="D78">
        <v>26993</v>
      </c>
      <c r="F78">
        <f t="shared" si="8"/>
        <v>904</v>
      </c>
      <c r="G78" s="20">
        <f t="shared" si="13"/>
        <v>73</v>
      </c>
      <c r="H78" s="21">
        <v>66618010017</v>
      </c>
      <c r="I78" s="22">
        <v>94</v>
      </c>
      <c r="J78" s="23"/>
      <c r="K78" s="24">
        <v>30854</v>
      </c>
      <c r="L78" s="23">
        <f t="shared" si="9"/>
        <v>904</v>
      </c>
      <c r="M78" s="24">
        <v>4607</v>
      </c>
      <c r="N78" s="25">
        <f t="shared" si="10"/>
        <v>158</v>
      </c>
      <c r="O78" s="24">
        <v>26247</v>
      </c>
      <c r="P78" s="23">
        <f t="shared" si="11"/>
        <v>746</v>
      </c>
      <c r="Q78" s="26"/>
      <c r="R78" s="23">
        <f t="shared" si="12"/>
        <v>0</v>
      </c>
      <c r="S78" s="27" t="s">
        <v>18</v>
      </c>
      <c r="T78" s="19" t="s">
        <v>97</v>
      </c>
    </row>
    <row r="79" spans="1:20" ht="37.5" customHeight="1" x14ac:dyDescent="0.25">
      <c r="A79" s="19" t="s">
        <v>98</v>
      </c>
      <c r="B79">
        <f t="shared" si="7"/>
        <v>33018</v>
      </c>
      <c r="C79">
        <v>6313</v>
      </c>
      <c r="D79">
        <v>26705</v>
      </c>
      <c r="F79">
        <f t="shared" si="8"/>
        <v>689</v>
      </c>
      <c r="G79" s="20">
        <f t="shared" si="13"/>
        <v>74</v>
      </c>
      <c r="H79" s="21">
        <v>66616020474</v>
      </c>
      <c r="I79" s="22">
        <v>95</v>
      </c>
      <c r="J79" s="23"/>
      <c r="K79" s="24">
        <v>32329</v>
      </c>
      <c r="L79" s="23">
        <f t="shared" si="9"/>
        <v>689</v>
      </c>
      <c r="M79" s="24">
        <v>6190</v>
      </c>
      <c r="N79" s="25">
        <f t="shared" si="10"/>
        <v>123</v>
      </c>
      <c r="O79" s="24">
        <v>26139</v>
      </c>
      <c r="P79" s="23">
        <f t="shared" si="11"/>
        <v>566</v>
      </c>
      <c r="Q79" s="26"/>
      <c r="R79" s="23">
        <f t="shared" si="12"/>
        <v>0</v>
      </c>
      <c r="S79" s="27" t="s">
        <v>18</v>
      </c>
      <c r="T79" s="19" t="s">
        <v>98</v>
      </c>
    </row>
    <row r="80" spans="1:20" ht="37.5" customHeight="1" x14ac:dyDescent="0.25">
      <c r="A80" s="19" t="s">
        <v>99</v>
      </c>
      <c r="B80">
        <f t="shared" si="7"/>
        <v>69390</v>
      </c>
      <c r="C80">
        <v>10823</v>
      </c>
      <c r="D80">
        <v>58567</v>
      </c>
      <c r="F80">
        <f t="shared" si="8"/>
        <v>340</v>
      </c>
      <c r="G80" s="20">
        <f t="shared" si="13"/>
        <v>75</v>
      </c>
      <c r="H80" s="21">
        <v>66616020070</v>
      </c>
      <c r="I80" s="22" t="s">
        <v>100</v>
      </c>
      <c r="J80" s="23"/>
      <c r="K80" s="24">
        <v>69050</v>
      </c>
      <c r="L80" s="23">
        <f t="shared" si="9"/>
        <v>340</v>
      </c>
      <c r="M80" s="24">
        <v>10789</v>
      </c>
      <c r="N80" s="25">
        <f t="shared" si="10"/>
        <v>34</v>
      </c>
      <c r="O80" s="24">
        <v>58261</v>
      </c>
      <c r="P80" s="23">
        <f t="shared" si="11"/>
        <v>306</v>
      </c>
      <c r="Q80" s="26"/>
      <c r="R80" s="23">
        <f t="shared" si="12"/>
        <v>0</v>
      </c>
      <c r="S80" s="27" t="s">
        <v>18</v>
      </c>
      <c r="T80" s="19" t="s">
        <v>99</v>
      </c>
    </row>
    <row r="81" spans="1:20" ht="37.5" customHeight="1" x14ac:dyDescent="0.25">
      <c r="A81" s="19" t="s">
        <v>101</v>
      </c>
      <c r="B81">
        <f t="shared" si="7"/>
        <v>70346</v>
      </c>
      <c r="C81">
        <v>11577</v>
      </c>
      <c r="D81">
        <v>58769</v>
      </c>
      <c r="F81">
        <f t="shared" si="8"/>
        <v>57</v>
      </c>
      <c r="G81" s="20">
        <f t="shared" si="13"/>
        <v>76</v>
      </c>
      <c r="H81" s="21">
        <v>23013080279</v>
      </c>
      <c r="I81" s="22">
        <v>96</v>
      </c>
      <c r="J81" s="23"/>
      <c r="K81" s="24">
        <v>70289</v>
      </c>
      <c r="L81" s="23">
        <f t="shared" si="9"/>
        <v>57</v>
      </c>
      <c r="M81" s="24">
        <v>11564</v>
      </c>
      <c r="N81" s="25">
        <f t="shared" si="10"/>
        <v>13</v>
      </c>
      <c r="O81" s="24">
        <v>58725</v>
      </c>
      <c r="P81" s="23">
        <f t="shared" si="11"/>
        <v>44</v>
      </c>
      <c r="Q81" s="26"/>
      <c r="R81" s="23">
        <f t="shared" si="12"/>
        <v>0</v>
      </c>
      <c r="S81" s="27" t="s">
        <v>18</v>
      </c>
      <c r="T81" s="19" t="s">
        <v>101</v>
      </c>
    </row>
    <row r="82" spans="1:20" ht="37.5" customHeight="1" x14ac:dyDescent="0.25">
      <c r="A82" s="19" t="s">
        <v>102</v>
      </c>
      <c r="B82">
        <f t="shared" si="7"/>
        <v>23101</v>
      </c>
      <c r="C82">
        <v>5658</v>
      </c>
      <c r="D82">
        <v>17443</v>
      </c>
      <c r="E82">
        <v>29875</v>
      </c>
      <c r="F82">
        <f t="shared" si="8"/>
        <v>554</v>
      </c>
      <c r="G82" s="20">
        <f t="shared" si="13"/>
        <v>77</v>
      </c>
      <c r="H82" s="21">
        <v>99622010012</v>
      </c>
      <c r="I82" s="22">
        <v>98</v>
      </c>
      <c r="J82" s="23"/>
      <c r="K82" s="24">
        <f>M82+O82</f>
        <v>22547</v>
      </c>
      <c r="L82" s="23">
        <f t="shared" si="9"/>
        <v>554</v>
      </c>
      <c r="M82" s="24">
        <v>5499</v>
      </c>
      <c r="N82" s="25">
        <f t="shared" si="10"/>
        <v>159</v>
      </c>
      <c r="O82" s="24">
        <v>17048</v>
      </c>
      <c r="P82" s="23">
        <f t="shared" si="11"/>
        <v>395</v>
      </c>
      <c r="Q82" s="26">
        <v>28511</v>
      </c>
      <c r="R82" s="23">
        <f t="shared" si="12"/>
        <v>1364</v>
      </c>
      <c r="S82" s="27" t="s">
        <v>18</v>
      </c>
      <c r="T82" s="19" t="s">
        <v>102</v>
      </c>
    </row>
    <row r="83" spans="1:20" ht="37.5" customHeight="1" x14ac:dyDescent="0.25">
      <c r="A83" s="19" t="s">
        <v>103</v>
      </c>
      <c r="B83">
        <f t="shared" si="7"/>
        <v>409</v>
      </c>
      <c r="C83">
        <v>105</v>
      </c>
      <c r="D83">
        <v>304</v>
      </c>
      <c r="E83">
        <v>1701</v>
      </c>
      <c r="F83">
        <f t="shared" si="8"/>
        <v>409</v>
      </c>
      <c r="G83" s="20">
        <f t="shared" si="13"/>
        <v>78</v>
      </c>
      <c r="H83" s="21">
        <v>99625010194</v>
      </c>
      <c r="I83" s="22">
        <v>99</v>
      </c>
      <c r="J83" s="23"/>
      <c r="K83" s="24">
        <v>0</v>
      </c>
      <c r="L83" s="23">
        <f t="shared" si="9"/>
        <v>409</v>
      </c>
      <c r="M83" s="24">
        <v>0</v>
      </c>
      <c r="N83" s="25">
        <f t="shared" si="10"/>
        <v>105</v>
      </c>
      <c r="O83" s="24">
        <v>0</v>
      </c>
      <c r="P83" s="23">
        <f t="shared" si="11"/>
        <v>304</v>
      </c>
      <c r="Q83" s="26">
        <v>0</v>
      </c>
      <c r="R83" s="23">
        <f t="shared" si="12"/>
        <v>1701</v>
      </c>
      <c r="S83" s="27" t="s">
        <v>18</v>
      </c>
      <c r="T83" s="19" t="s">
        <v>103</v>
      </c>
    </row>
    <row r="84" spans="1:20" ht="37.5" customHeight="1" x14ac:dyDescent="0.25">
      <c r="A84" s="19" t="s">
        <v>104</v>
      </c>
      <c r="B84">
        <f t="shared" si="7"/>
        <v>5616</v>
      </c>
      <c r="C84">
        <v>863</v>
      </c>
      <c r="D84">
        <v>4753</v>
      </c>
      <c r="F84">
        <f t="shared" si="8"/>
        <v>0</v>
      </c>
      <c r="G84" s="20">
        <f t="shared" si="13"/>
        <v>79</v>
      </c>
      <c r="H84" s="21">
        <v>66616031490</v>
      </c>
      <c r="I84" s="22">
        <v>100</v>
      </c>
      <c r="J84" s="23"/>
      <c r="K84" s="24">
        <v>5616</v>
      </c>
      <c r="L84" s="23">
        <f t="shared" si="9"/>
        <v>0</v>
      </c>
      <c r="M84" s="24">
        <v>863</v>
      </c>
      <c r="N84" s="25">
        <f t="shared" si="10"/>
        <v>0</v>
      </c>
      <c r="O84" s="24">
        <v>4753</v>
      </c>
      <c r="P84" s="23">
        <f t="shared" si="11"/>
        <v>0</v>
      </c>
      <c r="Q84" s="26"/>
      <c r="R84" s="23">
        <f t="shared" si="12"/>
        <v>0</v>
      </c>
      <c r="S84" s="27" t="s">
        <v>18</v>
      </c>
      <c r="T84" s="19" t="s">
        <v>104</v>
      </c>
    </row>
    <row r="85" spans="1:20" ht="37.5" customHeight="1" x14ac:dyDescent="0.25">
      <c r="A85" s="19" t="s">
        <v>105</v>
      </c>
      <c r="B85">
        <f t="shared" si="7"/>
        <v>4125</v>
      </c>
      <c r="C85">
        <v>922</v>
      </c>
      <c r="D85">
        <v>3203</v>
      </c>
      <c r="E85">
        <v>7851</v>
      </c>
      <c r="F85">
        <f t="shared" si="8"/>
        <v>362</v>
      </c>
      <c r="G85" s="20">
        <f t="shared" si="13"/>
        <v>80</v>
      </c>
      <c r="H85" s="21">
        <v>99624030038</v>
      </c>
      <c r="I85" s="22">
        <v>101</v>
      </c>
      <c r="J85" s="23"/>
      <c r="K85" s="24">
        <f>M85+O85</f>
        <v>3763</v>
      </c>
      <c r="L85" s="23">
        <f t="shared" si="9"/>
        <v>362</v>
      </c>
      <c r="M85" s="24">
        <v>852</v>
      </c>
      <c r="N85" s="25">
        <f t="shared" si="10"/>
        <v>70</v>
      </c>
      <c r="O85" s="24">
        <v>2911</v>
      </c>
      <c r="P85" s="23">
        <f t="shared" si="11"/>
        <v>292</v>
      </c>
      <c r="Q85" s="26">
        <v>6721</v>
      </c>
      <c r="R85" s="23">
        <f t="shared" si="12"/>
        <v>1130</v>
      </c>
      <c r="S85" s="27" t="s">
        <v>18</v>
      </c>
      <c r="T85" s="19" t="s">
        <v>105</v>
      </c>
    </row>
    <row r="86" spans="1:20" ht="37.5" customHeight="1" x14ac:dyDescent="0.25">
      <c r="A86" s="19" t="s">
        <v>106</v>
      </c>
      <c r="B86">
        <f t="shared" si="7"/>
        <v>88562</v>
      </c>
      <c r="C86">
        <v>18526</v>
      </c>
      <c r="D86">
        <v>70036</v>
      </c>
      <c r="F86">
        <f t="shared" si="8"/>
        <v>1375</v>
      </c>
      <c r="G86" s="20">
        <f t="shared" si="13"/>
        <v>81</v>
      </c>
      <c r="H86" s="21">
        <v>23015100650</v>
      </c>
      <c r="I86" s="22">
        <v>102</v>
      </c>
      <c r="J86" s="23"/>
      <c r="K86" s="24">
        <v>87187</v>
      </c>
      <c r="L86" s="23">
        <f t="shared" si="9"/>
        <v>1375</v>
      </c>
      <c r="M86" s="24">
        <v>18278</v>
      </c>
      <c r="N86" s="25">
        <f t="shared" si="10"/>
        <v>248</v>
      </c>
      <c r="O86" s="24">
        <v>68909</v>
      </c>
      <c r="P86" s="23">
        <f t="shared" si="11"/>
        <v>1127</v>
      </c>
      <c r="Q86" s="26"/>
      <c r="R86" s="23">
        <f t="shared" si="12"/>
        <v>0</v>
      </c>
      <c r="S86" s="27" t="s">
        <v>18</v>
      </c>
      <c r="T86" s="19" t="s">
        <v>106</v>
      </c>
    </row>
    <row r="87" spans="1:20" ht="37.5" customHeight="1" x14ac:dyDescent="0.25">
      <c r="A87" s="19" t="s">
        <v>107</v>
      </c>
      <c r="B87">
        <f t="shared" si="7"/>
        <v>87402</v>
      </c>
      <c r="C87">
        <v>18417</v>
      </c>
      <c r="D87">
        <v>68985</v>
      </c>
      <c r="F87">
        <f t="shared" si="8"/>
        <v>664</v>
      </c>
      <c r="G87" s="20">
        <f t="shared" si="13"/>
        <v>82</v>
      </c>
      <c r="H87" s="21">
        <v>66618010046</v>
      </c>
      <c r="I87" s="22">
        <v>103</v>
      </c>
      <c r="J87" s="23"/>
      <c r="K87" s="24">
        <v>86738</v>
      </c>
      <c r="L87" s="23">
        <f t="shared" si="9"/>
        <v>664</v>
      </c>
      <c r="M87" s="24">
        <v>18301</v>
      </c>
      <c r="N87" s="25">
        <f t="shared" si="10"/>
        <v>116</v>
      </c>
      <c r="O87" s="24">
        <v>68437</v>
      </c>
      <c r="P87" s="23">
        <f t="shared" si="11"/>
        <v>548</v>
      </c>
      <c r="Q87" s="26"/>
      <c r="R87" s="23">
        <f t="shared" si="12"/>
        <v>0</v>
      </c>
      <c r="S87" s="27" t="s">
        <v>18</v>
      </c>
      <c r="T87" s="19" t="s">
        <v>107</v>
      </c>
    </row>
    <row r="88" spans="1:20" ht="37.5" customHeight="1" x14ac:dyDescent="0.25">
      <c r="A88" s="19" t="s">
        <v>108</v>
      </c>
      <c r="B88">
        <f t="shared" si="7"/>
        <v>40293</v>
      </c>
      <c r="C88">
        <v>7616</v>
      </c>
      <c r="D88">
        <v>32677</v>
      </c>
      <c r="F88">
        <f t="shared" si="8"/>
        <v>445</v>
      </c>
      <c r="G88" s="20">
        <f t="shared" si="13"/>
        <v>83</v>
      </c>
      <c r="H88" s="21">
        <v>88818010084</v>
      </c>
      <c r="I88" s="22">
        <v>104</v>
      </c>
      <c r="J88" s="23"/>
      <c r="K88" s="24">
        <v>39848</v>
      </c>
      <c r="L88" s="23">
        <f t="shared" si="9"/>
        <v>445</v>
      </c>
      <c r="M88" s="24">
        <v>7536</v>
      </c>
      <c r="N88" s="25">
        <f t="shared" si="10"/>
        <v>80</v>
      </c>
      <c r="O88" s="24">
        <v>32312</v>
      </c>
      <c r="P88" s="23">
        <f t="shared" si="11"/>
        <v>365</v>
      </c>
      <c r="Q88" s="26"/>
      <c r="R88" s="23">
        <f t="shared" si="12"/>
        <v>0</v>
      </c>
      <c r="S88" s="27" t="s">
        <v>18</v>
      </c>
      <c r="T88" s="19" t="s">
        <v>108</v>
      </c>
    </row>
    <row r="89" spans="1:20" ht="37.5" customHeight="1" x14ac:dyDescent="0.25">
      <c r="A89" s="19" t="s">
        <v>109</v>
      </c>
      <c r="B89">
        <f t="shared" si="7"/>
        <v>58073</v>
      </c>
      <c r="C89">
        <v>10547</v>
      </c>
      <c r="D89">
        <v>47526</v>
      </c>
      <c r="F89">
        <f t="shared" si="8"/>
        <v>827</v>
      </c>
      <c r="G89" s="20">
        <f t="shared" si="13"/>
        <v>84</v>
      </c>
      <c r="H89" s="21">
        <v>88819010190</v>
      </c>
      <c r="I89" s="22" t="s">
        <v>110</v>
      </c>
      <c r="J89" s="23"/>
      <c r="K89" s="24">
        <v>57246</v>
      </c>
      <c r="L89" s="23">
        <f t="shared" si="9"/>
        <v>827</v>
      </c>
      <c r="M89" s="24">
        <v>10394</v>
      </c>
      <c r="N89" s="25">
        <f t="shared" si="10"/>
        <v>153</v>
      </c>
      <c r="O89" s="24">
        <v>46852</v>
      </c>
      <c r="P89" s="23">
        <f t="shared" si="11"/>
        <v>674</v>
      </c>
      <c r="Q89" s="26"/>
      <c r="R89" s="23">
        <f t="shared" si="12"/>
        <v>0</v>
      </c>
      <c r="S89" s="27" t="s">
        <v>18</v>
      </c>
      <c r="T89" s="19" t="s">
        <v>109</v>
      </c>
    </row>
    <row r="90" spans="1:20" ht="37.5" customHeight="1" x14ac:dyDescent="0.25">
      <c r="A90" s="19" t="s">
        <v>111</v>
      </c>
      <c r="B90">
        <f t="shared" si="7"/>
        <v>357</v>
      </c>
      <c r="C90">
        <v>78</v>
      </c>
      <c r="D90">
        <v>279</v>
      </c>
      <c r="E90">
        <v>858</v>
      </c>
      <c r="F90">
        <f t="shared" si="8"/>
        <v>357</v>
      </c>
      <c r="G90" s="20">
        <f t="shared" si="13"/>
        <v>85</v>
      </c>
      <c r="H90" s="21">
        <v>99625010248</v>
      </c>
      <c r="I90" s="22">
        <v>105</v>
      </c>
      <c r="J90" s="23"/>
      <c r="K90" s="24">
        <v>0</v>
      </c>
      <c r="L90" s="23">
        <f t="shared" si="9"/>
        <v>357</v>
      </c>
      <c r="M90" s="24">
        <v>0</v>
      </c>
      <c r="N90" s="25">
        <f t="shared" si="10"/>
        <v>78</v>
      </c>
      <c r="O90" s="24">
        <v>0</v>
      </c>
      <c r="P90" s="23">
        <f t="shared" si="11"/>
        <v>279</v>
      </c>
      <c r="Q90" s="26">
        <v>0</v>
      </c>
      <c r="R90" s="23">
        <f t="shared" si="12"/>
        <v>858</v>
      </c>
      <c r="S90" s="27" t="s">
        <v>18</v>
      </c>
      <c r="T90" s="19" t="s">
        <v>111</v>
      </c>
    </row>
    <row r="91" spans="1:20" ht="37.5" customHeight="1" x14ac:dyDescent="0.25">
      <c r="A91" s="19" t="s">
        <v>112</v>
      </c>
      <c r="B91">
        <f t="shared" si="7"/>
        <v>9296</v>
      </c>
      <c r="C91">
        <v>1598</v>
      </c>
      <c r="D91">
        <v>7698</v>
      </c>
      <c r="F91">
        <f t="shared" si="8"/>
        <v>462</v>
      </c>
      <c r="G91" s="20">
        <f t="shared" si="13"/>
        <v>86</v>
      </c>
      <c r="H91" s="21">
        <v>66621090278</v>
      </c>
      <c r="I91" s="22">
        <v>106</v>
      </c>
      <c r="J91" s="23"/>
      <c r="K91" s="24">
        <v>8834</v>
      </c>
      <c r="L91" s="23">
        <f t="shared" si="9"/>
        <v>462</v>
      </c>
      <c r="M91" s="24">
        <v>1511</v>
      </c>
      <c r="N91" s="25">
        <f t="shared" si="10"/>
        <v>87</v>
      </c>
      <c r="O91" s="24">
        <v>7323</v>
      </c>
      <c r="P91" s="23">
        <f t="shared" si="11"/>
        <v>375</v>
      </c>
      <c r="Q91" s="26"/>
      <c r="R91" s="23">
        <f t="shared" si="12"/>
        <v>0</v>
      </c>
      <c r="S91" s="27" t="s">
        <v>18</v>
      </c>
      <c r="T91" s="19" t="s">
        <v>112</v>
      </c>
    </row>
    <row r="92" spans="1:20" ht="37.5" customHeight="1" x14ac:dyDescent="0.25">
      <c r="A92" s="19" t="s">
        <v>113</v>
      </c>
      <c r="B92">
        <f t="shared" si="7"/>
        <v>16512</v>
      </c>
      <c r="C92">
        <v>3900</v>
      </c>
      <c r="D92">
        <v>12612</v>
      </c>
      <c r="E92">
        <v>21648</v>
      </c>
      <c r="F92">
        <f t="shared" si="8"/>
        <v>541</v>
      </c>
      <c r="G92" s="20">
        <f t="shared" si="13"/>
        <v>87</v>
      </c>
      <c r="H92" s="21">
        <v>99723010042</v>
      </c>
      <c r="I92" s="22">
        <v>107</v>
      </c>
      <c r="J92" s="23"/>
      <c r="K92" s="24">
        <f>M92+O92</f>
        <v>15971</v>
      </c>
      <c r="L92" s="23">
        <f t="shared" si="9"/>
        <v>541</v>
      </c>
      <c r="M92" s="24">
        <v>3749</v>
      </c>
      <c r="N92" s="25">
        <f t="shared" si="10"/>
        <v>151</v>
      </c>
      <c r="O92" s="24">
        <v>12222</v>
      </c>
      <c r="P92" s="23">
        <f t="shared" si="11"/>
        <v>390</v>
      </c>
      <c r="Q92" s="26">
        <v>20550</v>
      </c>
      <c r="R92" s="23">
        <f t="shared" si="12"/>
        <v>1098</v>
      </c>
      <c r="S92" s="27" t="s">
        <v>18</v>
      </c>
      <c r="T92" s="19" t="s">
        <v>113</v>
      </c>
    </row>
    <row r="93" spans="1:20" ht="37.5" customHeight="1" x14ac:dyDescent="0.25">
      <c r="A93" s="19" t="s">
        <v>114</v>
      </c>
      <c r="B93">
        <f t="shared" si="7"/>
        <v>20071</v>
      </c>
      <c r="C93">
        <v>5654</v>
      </c>
      <c r="D93">
        <v>14417</v>
      </c>
      <c r="E93">
        <v>27474</v>
      </c>
      <c r="F93">
        <f t="shared" si="8"/>
        <v>849</v>
      </c>
      <c r="G93" s="20">
        <f t="shared" si="13"/>
        <v>88</v>
      </c>
      <c r="H93" s="21">
        <v>99723060015</v>
      </c>
      <c r="I93" s="22">
        <v>109</v>
      </c>
      <c r="J93" s="23"/>
      <c r="K93" s="24">
        <f>M93+O93</f>
        <v>19222</v>
      </c>
      <c r="L93" s="23">
        <f t="shared" si="9"/>
        <v>849</v>
      </c>
      <c r="M93" s="24">
        <v>5415</v>
      </c>
      <c r="N93" s="25">
        <f t="shared" si="10"/>
        <v>239</v>
      </c>
      <c r="O93" s="24">
        <v>13807</v>
      </c>
      <c r="P93" s="23">
        <f t="shared" si="11"/>
        <v>610</v>
      </c>
      <c r="Q93" s="26">
        <v>25784</v>
      </c>
      <c r="R93" s="23">
        <f t="shared" si="12"/>
        <v>1690</v>
      </c>
      <c r="S93" s="27" t="s">
        <v>18</v>
      </c>
      <c r="T93" s="19" t="s">
        <v>114</v>
      </c>
    </row>
    <row r="94" spans="1:20" ht="37.5" customHeight="1" x14ac:dyDescent="0.25">
      <c r="A94" s="19" t="s">
        <v>115</v>
      </c>
      <c r="B94">
        <f t="shared" si="7"/>
        <v>9487</v>
      </c>
      <c r="C94">
        <v>2042</v>
      </c>
      <c r="D94">
        <v>7445</v>
      </c>
      <c r="F94">
        <f t="shared" si="8"/>
        <v>1462</v>
      </c>
      <c r="G94" s="20">
        <f t="shared" si="13"/>
        <v>89</v>
      </c>
      <c r="H94" s="21">
        <v>66621090335</v>
      </c>
      <c r="I94" s="22" t="s">
        <v>116</v>
      </c>
      <c r="J94" s="23"/>
      <c r="K94" s="24">
        <v>8025</v>
      </c>
      <c r="L94" s="23">
        <f t="shared" si="9"/>
        <v>1462</v>
      </c>
      <c r="M94" s="24">
        <v>1679</v>
      </c>
      <c r="N94" s="25">
        <f t="shared" si="10"/>
        <v>363</v>
      </c>
      <c r="O94" s="24">
        <v>6346</v>
      </c>
      <c r="P94" s="23">
        <f t="shared" si="11"/>
        <v>1099</v>
      </c>
      <c r="Q94" s="26"/>
      <c r="R94" s="23">
        <f t="shared" si="12"/>
        <v>0</v>
      </c>
      <c r="S94" s="27" t="s">
        <v>18</v>
      </c>
      <c r="T94" s="19" t="s">
        <v>115</v>
      </c>
    </row>
    <row r="95" spans="1:20" ht="37.5" customHeight="1" x14ac:dyDescent="0.25">
      <c r="A95" s="19" t="s">
        <v>117</v>
      </c>
      <c r="B95">
        <f t="shared" si="7"/>
        <v>15586</v>
      </c>
      <c r="C95">
        <v>2588</v>
      </c>
      <c r="D95">
        <v>12998</v>
      </c>
      <c r="F95">
        <f t="shared" si="8"/>
        <v>175</v>
      </c>
      <c r="G95" s="20">
        <f t="shared" si="13"/>
        <v>90</v>
      </c>
      <c r="H95" s="21">
        <v>23014090092</v>
      </c>
      <c r="I95" s="22">
        <v>111</v>
      </c>
      <c r="J95" s="23"/>
      <c r="K95" s="24">
        <v>15411</v>
      </c>
      <c r="L95" s="23">
        <f t="shared" si="9"/>
        <v>175</v>
      </c>
      <c r="M95" s="24">
        <v>2562</v>
      </c>
      <c r="N95" s="25">
        <f t="shared" si="10"/>
        <v>26</v>
      </c>
      <c r="O95" s="24">
        <v>12849</v>
      </c>
      <c r="P95" s="23">
        <f t="shared" si="11"/>
        <v>149</v>
      </c>
      <c r="Q95" s="26"/>
      <c r="R95" s="23">
        <f t="shared" si="12"/>
        <v>0</v>
      </c>
      <c r="S95" s="27" t="s">
        <v>18</v>
      </c>
      <c r="T95" s="19" t="s">
        <v>117</v>
      </c>
    </row>
    <row r="96" spans="1:20" ht="37.5" customHeight="1" x14ac:dyDescent="0.25">
      <c r="A96" s="19" t="s">
        <v>118</v>
      </c>
      <c r="B96">
        <f t="shared" si="7"/>
        <v>5502</v>
      </c>
      <c r="C96">
        <v>1126</v>
      </c>
      <c r="D96">
        <v>4376</v>
      </c>
      <c r="F96">
        <f t="shared" si="8"/>
        <v>396</v>
      </c>
      <c r="G96" s="20">
        <f t="shared" si="13"/>
        <v>91</v>
      </c>
      <c r="H96" s="21">
        <v>66623011495</v>
      </c>
      <c r="I96" s="22" t="s">
        <v>119</v>
      </c>
      <c r="J96" s="23"/>
      <c r="K96" s="24">
        <v>5106</v>
      </c>
      <c r="L96" s="23">
        <f t="shared" si="9"/>
        <v>396</v>
      </c>
      <c r="M96" s="24">
        <v>1033</v>
      </c>
      <c r="N96" s="25">
        <f t="shared" si="10"/>
        <v>93</v>
      </c>
      <c r="O96" s="24">
        <v>4073</v>
      </c>
      <c r="P96" s="23">
        <f t="shared" si="11"/>
        <v>303</v>
      </c>
      <c r="Q96" s="26"/>
      <c r="R96" s="23">
        <f t="shared" si="12"/>
        <v>0</v>
      </c>
      <c r="S96" s="27" t="s">
        <v>18</v>
      </c>
      <c r="T96" s="19" t="s">
        <v>118</v>
      </c>
    </row>
    <row r="97" spans="1:20" ht="37.5" customHeight="1" x14ac:dyDescent="0.25">
      <c r="A97" s="19" t="s">
        <v>120</v>
      </c>
      <c r="B97">
        <f t="shared" si="7"/>
        <v>73606</v>
      </c>
      <c r="C97">
        <v>13372</v>
      </c>
      <c r="D97">
        <v>60234</v>
      </c>
      <c r="F97">
        <f t="shared" si="8"/>
        <v>423</v>
      </c>
      <c r="G97" s="20">
        <f t="shared" si="13"/>
        <v>92</v>
      </c>
      <c r="H97" s="21">
        <v>88818010169</v>
      </c>
      <c r="I97" s="22">
        <v>112</v>
      </c>
      <c r="J97" s="23"/>
      <c r="K97" s="24">
        <v>73183</v>
      </c>
      <c r="L97" s="23">
        <f t="shared" si="9"/>
        <v>423</v>
      </c>
      <c r="M97" s="24">
        <v>13291</v>
      </c>
      <c r="N97" s="25">
        <f t="shared" si="10"/>
        <v>81</v>
      </c>
      <c r="O97" s="24">
        <v>59892</v>
      </c>
      <c r="P97" s="23">
        <f t="shared" si="11"/>
        <v>342</v>
      </c>
      <c r="Q97" s="26"/>
      <c r="R97" s="23">
        <f t="shared" si="12"/>
        <v>0</v>
      </c>
      <c r="S97" s="27" t="s">
        <v>18</v>
      </c>
      <c r="T97" s="19" t="s">
        <v>120</v>
      </c>
    </row>
    <row r="98" spans="1:20" ht="37.5" customHeight="1" x14ac:dyDescent="0.25">
      <c r="A98" s="19" t="s">
        <v>121</v>
      </c>
      <c r="B98">
        <f t="shared" si="7"/>
        <v>1773</v>
      </c>
      <c r="C98">
        <v>172</v>
      </c>
      <c r="D98">
        <v>1601</v>
      </c>
      <c r="F98">
        <f t="shared" si="8"/>
        <v>74</v>
      </c>
      <c r="G98" s="20">
        <f t="shared" si="13"/>
        <v>93</v>
      </c>
      <c r="H98" s="21">
        <v>66623010128</v>
      </c>
      <c r="I98" s="22">
        <v>113</v>
      </c>
      <c r="J98" s="23"/>
      <c r="K98" s="24">
        <v>1699</v>
      </c>
      <c r="L98" s="23">
        <f t="shared" si="9"/>
        <v>74</v>
      </c>
      <c r="M98" s="24">
        <v>157</v>
      </c>
      <c r="N98" s="25">
        <f t="shared" si="10"/>
        <v>15</v>
      </c>
      <c r="O98" s="24">
        <v>1542</v>
      </c>
      <c r="P98" s="23">
        <f t="shared" si="11"/>
        <v>59</v>
      </c>
      <c r="Q98" s="26"/>
      <c r="R98" s="23">
        <f t="shared" si="12"/>
        <v>0</v>
      </c>
      <c r="S98" s="27" t="s">
        <v>18</v>
      </c>
      <c r="T98" s="19" t="s">
        <v>121</v>
      </c>
    </row>
    <row r="99" spans="1:20" ht="37.5" customHeight="1" x14ac:dyDescent="0.25">
      <c r="A99" s="19" t="s">
        <v>122</v>
      </c>
      <c r="B99">
        <f t="shared" si="7"/>
        <v>19866</v>
      </c>
      <c r="C99">
        <v>3319</v>
      </c>
      <c r="D99">
        <v>16547</v>
      </c>
      <c r="F99">
        <f t="shared" si="8"/>
        <v>817</v>
      </c>
      <c r="G99" s="20">
        <f t="shared" si="13"/>
        <v>94</v>
      </c>
      <c r="H99" s="21">
        <v>66621040428</v>
      </c>
      <c r="I99" s="22">
        <v>114</v>
      </c>
      <c r="J99" s="23"/>
      <c r="K99" s="24">
        <v>19049</v>
      </c>
      <c r="L99" s="23">
        <f t="shared" si="9"/>
        <v>817</v>
      </c>
      <c r="M99" s="24">
        <v>3164</v>
      </c>
      <c r="N99" s="25">
        <f t="shared" si="10"/>
        <v>155</v>
      </c>
      <c r="O99" s="24">
        <v>15885</v>
      </c>
      <c r="P99" s="23">
        <f t="shared" si="11"/>
        <v>662</v>
      </c>
      <c r="Q99" s="26"/>
      <c r="R99" s="23">
        <f t="shared" si="12"/>
        <v>0</v>
      </c>
      <c r="S99" s="27" t="s">
        <v>18</v>
      </c>
      <c r="T99" s="19" t="s">
        <v>122</v>
      </c>
    </row>
    <row r="100" spans="1:20" ht="37.5" customHeight="1" x14ac:dyDescent="0.25">
      <c r="A100" s="19" t="s">
        <v>123</v>
      </c>
      <c r="B100">
        <f t="shared" si="7"/>
        <v>38070</v>
      </c>
      <c r="C100">
        <v>6997</v>
      </c>
      <c r="D100">
        <v>31073</v>
      </c>
      <c r="F100">
        <f t="shared" si="8"/>
        <v>1002</v>
      </c>
      <c r="G100" s="20">
        <f t="shared" si="13"/>
        <v>95</v>
      </c>
      <c r="H100" s="21">
        <v>88820020207</v>
      </c>
      <c r="I100" s="22">
        <v>115</v>
      </c>
      <c r="J100" s="23"/>
      <c r="K100" s="24">
        <v>37068</v>
      </c>
      <c r="L100" s="23">
        <f t="shared" si="9"/>
        <v>1002</v>
      </c>
      <c r="M100" s="24">
        <v>6816</v>
      </c>
      <c r="N100" s="25">
        <f t="shared" si="10"/>
        <v>181</v>
      </c>
      <c r="O100" s="24">
        <v>30252</v>
      </c>
      <c r="P100" s="23">
        <f t="shared" si="11"/>
        <v>821</v>
      </c>
      <c r="Q100" s="26"/>
      <c r="R100" s="23">
        <f t="shared" si="12"/>
        <v>0</v>
      </c>
      <c r="S100" s="27" t="s">
        <v>18</v>
      </c>
      <c r="T100" s="19" t="s">
        <v>123</v>
      </c>
    </row>
    <row r="101" spans="1:20" ht="37.5" customHeight="1" x14ac:dyDescent="0.25">
      <c r="A101" s="19" t="s">
        <v>124</v>
      </c>
      <c r="B101">
        <f t="shared" si="7"/>
        <v>10552</v>
      </c>
      <c r="C101">
        <v>1712</v>
      </c>
      <c r="D101">
        <v>8840</v>
      </c>
      <c r="E101">
        <v>17093</v>
      </c>
      <c r="F101">
        <f t="shared" si="8"/>
        <v>362</v>
      </c>
      <c r="G101" s="20">
        <f t="shared" si="13"/>
        <v>96</v>
      </c>
      <c r="H101" s="21">
        <v>99723030040</v>
      </c>
      <c r="I101" s="22">
        <v>117</v>
      </c>
      <c r="J101" s="23"/>
      <c r="K101" s="24">
        <f>M101+O101</f>
        <v>10190</v>
      </c>
      <c r="L101" s="23">
        <f t="shared" si="9"/>
        <v>362</v>
      </c>
      <c r="M101" s="24">
        <v>1664</v>
      </c>
      <c r="N101" s="25">
        <f t="shared" si="10"/>
        <v>48</v>
      </c>
      <c r="O101" s="24">
        <v>8526</v>
      </c>
      <c r="P101" s="23">
        <f t="shared" si="11"/>
        <v>314</v>
      </c>
      <c r="Q101" s="26">
        <v>16118</v>
      </c>
      <c r="R101" s="23">
        <f t="shared" si="12"/>
        <v>975</v>
      </c>
      <c r="S101" s="27" t="s">
        <v>18</v>
      </c>
      <c r="T101" s="19" t="s">
        <v>124</v>
      </c>
    </row>
    <row r="102" spans="1:20" ht="37.5" customHeight="1" x14ac:dyDescent="0.25">
      <c r="A102" s="19" t="s">
        <v>125</v>
      </c>
      <c r="B102">
        <f t="shared" si="7"/>
        <v>21294</v>
      </c>
      <c r="C102">
        <v>5505</v>
      </c>
      <c r="D102">
        <v>15789</v>
      </c>
      <c r="E102">
        <v>26963</v>
      </c>
      <c r="F102">
        <f t="shared" si="8"/>
        <v>742</v>
      </c>
      <c r="G102" s="20">
        <f t="shared" si="13"/>
        <v>97</v>
      </c>
      <c r="H102" s="21">
        <v>99622050068</v>
      </c>
      <c r="I102" s="22">
        <v>118</v>
      </c>
      <c r="J102" s="23"/>
      <c r="K102" s="24">
        <f>M102+O102</f>
        <v>20552</v>
      </c>
      <c r="L102" s="23">
        <f t="shared" si="9"/>
        <v>742</v>
      </c>
      <c r="M102" s="24">
        <v>5295</v>
      </c>
      <c r="N102" s="25">
        <f t="shared" si="10"/>
        <v>210</v>
      </c>
      <c r="O102" s="24">
        <v>15257</v>
      </c>
      <c r="P102" s="23">
        <f t="shared" si="11"/>
        <v>532</v>
      </c>
      <c r="Q102" s="26">
        <v>25529</v>
      </c>
      <c r="R102" s="23">
        <f t="shared" si="12"/>
        <v>1434</v>
      </c>
      <c r="S102" s="27" t="s">
        <v>18</v>
      </c>
      <c r="T102" s="19" t="s">
        <v>125</v>
      </c>
    </row>
    <row r="103" spans="1:20" ht="37.5" customHeight="1" x14ac:dyDescent="0.25">
      <c r="A103" s="19" t="s">
        <v>126</v>
      </c>
      <c r="B103">
        <f t="shared" si="7"/>
        <v>25897</v>
      </c>
      <c r="C103">
        <v>6533</v>
      </c>
      <c r="D103">
        <v>19364</v>
      </c>
      <c r="E103">
        <v>15730</v>
      </c>
      <c r="F103">
        <f t="shared" si="8"/>
        <v>828</v>
      </c>
      <c r="G103" s="20">
        <f t="shared" si="13"/>
        <v>98</v>
      </c>
      <c r="H103" s="21">
        <v>99423020033</v>
      </c>
      <c r="I103" s="22">
        <v>119</v>
      </c>
      <c r="J103" s="23"/>
      <c r="K103" s="24">
        <f>M103+O103</f>
        <v>25069</v>
      </c>
      <c r="L103" s="23">
        <f t="shared" si="9"/>
        <v>828</v>
      </c>
      <c r="M103" s="24">
        <v>6304</v>
      </c>
      <c r="N103" s="25">
        <f t="shared" si="10"/>
        <v>229</v>
      </c>
      <c r="O103" s="24">
        <v>18765</v>
      </c>
      <c r="P103" s="23">
        <f t="shared" si="11"/>
        <v>599</v>
      </c>
      <c r="Q103" s="26">
        <v>14976</v>
      </c>
      <c r="R103" s="23">
        <f t="shared" si="12"/>
        <v>754</v>
      </c>
      <c r="S103" s="27" t="s">
        <v>18</v>
      </c>
      <c r="T103" s="19" t="s">
        <v>126</v>
      </c>
    </row>
    <row r="104" spans="1:20" ht="37.5" customHeight="1" x14ac:dyDescent="0.25">
      <c r="A104" s="19" t="s">
        <v>127</v>
      </c>
      <c r="B104">
        <f t="shared" si="7"/>
        <v>2304</v>
      </c>
      <c r="C104">
        <v>493</v>
      </c>
      <c r="D104">
        <v>1811</v>
      </c>
      <c r="E104">
        <v>4870</v>
      </c>
      <c r="F104">
        <f t="shared" si="8"/>
        <v>379</v>
      </c>
      <c r="G104" s="20">
        <f t="shared" si="13"/>
        <v>99</v>
      </c>
      <c r="H104" s="21">
        <v>99624050007</v>
      </c>
      <c r="I104" s="22">
        <v>120</v>
      </c>
      <c r="J104" s="23"/>
      <c r="K104" s="24">
        <f>M104+O104</f>
        <v>1925</v>
      </c>
      <c r="L104" s="23">
        <f t="shared" si="9"/>
        <v>379</v>
      </c>
      <c r="M104" s="24">
        <v>389</v>
      </c>
      <c r="N104" s="25">
        <f t="shared" si="10"/>
        <v>104</v>
      </c>
      <c r="O104" s="24">
        <v>1536</v>
      </c>
      <c r="P104" s="23">
        <f t="shared" si="11"/>
        <v>275</v>
      </c>
      <c r="Q104" s="26">
        <v>3659</v>
      </c>
      <c r="R104" s="23">
        <f t="shared" si="12"/>
        <v>1211</v>
      </c>
      <c r="S104" s="27" t="s">
        <v>18</v>
      </c>
      <c r="T104" s="19" t="s">
        <v>127</v>
      </c>
    </row>
    <row r="105" spans="1:20" ht="37.5" customHeight="1" x14ac:dyDescent="0.25">
      <c r="A105" s="19" t="s">
        <v>128</v>
      </c>
      <c r="B105">
        <f t="shared" si="7"/>
        <v>301</v>
      </c>
      <c r="C105">
        <v>26</v>
      </c>
      <c r="D105">
        <v>275</v>
      </c>
      <c r="F105">
        <f t="shared" si="8"/>
        <v>101</v>
      </c>
      <c r="G105" s="20">
        <f t="shared" si="13"/>
        <v>100</v>
      </c>
      <c r="H105" s="21">
        <v>66625010070</v>
      </c>
      <c r="I105" s="22">
        <v>121</v>
      </c>
      <c r="J105" s="23"/>
      <c r="K105" s="24">
        <v>200</v>
      </c>
      <c r="L105" s="23">
        <f t="shared" si="9"/>
        <v>101</v>
      </c>
      <c r="M105" s="24">
        <v>20</v>
      </c>
      <c r="N105" s="25">
        <f t="shared" si="10"/>
        <v>6</v>
      </c>
      <c r="O105" s="24">
        <v>180</v>
      </c>
      <c r="P105" s="23">
        <f t="shared" si="11"/>
        <v>95</v>
      </c>
      <c r="Q105" s="26"/>
      <c r="R105" s="23">
        <f t="shared" si="12"/>
        <v>0</v>
      </c>
      <c r="S105" s="27" t="s">
        <v>18</v>
      </c>
      <c r="T105" s="19" t="s">
        <v>128</v>
      </c>
    </row>
    <row r="106" spans="1:20" ht="37.5" customHeight="1" x14ac:dyDescent="0.25">
      <c r="A106" s="19" t="s">
        <v>129</v>
      </c>
      <c r="B106">
        <f t="shared" si="7"/>
        <v>4004</v>
      </c>
      <c r="C106">
        <v>767</v>
      </c>
      <c r="D106">
        <v>3237</v>
      </c>
      <c r="E106">
        <v>6472</v>
      </c>
      <c r="F106">
        <f t="shared" si="8"/>
        <v>496</v>
      </c>
      <c r="G106" s="20">
        <f t="shared" si="13"/>
        <v>101</v>
      </c>
      <c r="H106" s="21">
        <v>99624040138</v>
      </c>
      <c r="I106" s="22">
        <v>123</v>
      </c>
      <c r="J106" s="23"/>
      <c r="K106" s="24">
        <f>M106+O106</f>
        <v>3508</v>
      </c>
      <c r="L106" s="23">
        <f t="shared" si="9"/>
        <v>496</v>
      </c>
      <c r="M106" s="24">
        <v>651</v>
      </c>
      <c r="N106" s="25">
        <f t="shared" si="10"/>
        <v>116</v>
      </c>
      <c r="O106" s="24">
        <v>2857</v>
      </c>
      <c r="P106" s="23">
        <f t="shared" si="11"/>
        <v>380</v>
      </c>
      <c r="Q106" s="26">
        <v>5350</v>
      </c>
      <c r="R106" s="23">
        <f t="shared" si="12"/>
        <v>1122</v>
      </c>
      <c r="S106" s="27" t="s">
        <v>18</v>
      </c>
      <c r="T106" s="19" t="s">
        <v>129</v>
      </c>
    </row>
    <row r="107" spans="1:20" ht="37.5" customHeight="1" x14ac:dyDescent="0.25">
      <c r="A107" s="19" t="s">
        <v>130</v>
      </c>
      <c r="B107">
        <f t="shared" si="7"/>
        <v>20907</v>
      </c>
      <c r="C107">
        <v>5495</v>
      </c>
      <c r="D107">
        <v>15412</v>
      </c>
      <c r="E107">
        <v>23202</v>
      </c>
      <c r="F107">
        <f t="shared" si="8"/>
        <v>943</v>
      </c>
      <c r="G107" s="20">
        <f t="shared" si="13"/>
        <v>102</v>
      </c>
      <c r="H107" s="21">
        <v>99723010007</v>
      </c>
      <c r="I107" s="22">
        <v>124</v>
      </c>
      <c r="J107" s="23"/>
      <c r="K107" s="24">
        <f>M107+O107</f>
        <v>19964</v>
      </c>
      <c r="L107" s="23">
        <f t="shared" si="9"/>
        <v>943</v>
      </c>
      <c r="M107" s="24">
        <v>5251</v>
      </c>
      <c r="N107" s="25">
        <f t="shared" si="10"/>
        <v>244</v>
      </c>
      <c r="O107" s="24">
        <v>14713</v>
      </c>
      <c r="P107" s="23">
        <f t="shared" si="11"/>
        <v>699</v>
      </c>
      <c r="Q107" s="26">
        <v>22096</v>
      </c>
      <c r="R107" s="23">
        <f t="shared" si="12"/>
        <v>1106</v>
      </c>
      <c r="S107" s="27" t="s">
        <v>18</v>
      </c>
      <c r="T107" s="19" t="s">
        <v>130</v>
      </c>
    </row>
    <row r="108" spans="1:20" ht="37.5" customHeight="1" x14ac:dyDescent="0.25">
      <c r="A108" s="19" t="s">
        <v>131</v>
      </c>
      <c r="B108">
        <f t="shared" si="7"/>
        <v>23417</v>
      </c>
      <c r="C108">
        <v>6450</v>
      </c>
      <c r="D108">
        <v>16967</v>
      </c>
      <c r="E108">
        <v>15970</v>
      </c>
      <c r="F108">
        <f t="shared" si="8"/>
        <v>593</v>
      </c>
      <c r="G108" s="20">
        <f t="shared" si="13"/>
        <v>103</v>
      </c>
      <c r="H108" s="21">
        <v>99723040005</v>
      </c>
      <c r="I108" s="22">
        <v>125</v>
      </c>
      <c r="J108" s="23"/>
      <c r="K108" s="24">
        <f>M108+O108</f>
        <v>22824</v>
      </c>
      <c r="L108" s="23">
        <f t="shared" si="9"/>
        <v>593</v>
      </c>
      <c r="M108" s="24">
        <v>6244</v>
      </c>
      <c r="N108" s="25">
        <f t="shared" si="10"/>
        <v>206</v>
      </c>
      <c r="O108" s="24">
        <v>16580</v>
      </c>
      <c r="P108" s="23">
        <f t="shared" si="11"/>
        <v>387</v>
      </c>
      <c r="Q108" s="26">
        <v>14784</v>
      </c>
      <c r="R108" s="23">
        <f t="shared" si="12"/>
        <v>1186</v>
      </c>
      <c r="S108" s="27" t="s">
        <v>18</v>
      </c>
      <c r="T108" s="19" t="s">
        <v>131</v>
      </c>
    </row>
    <row r="109" spans="1:20" ht="37.5" customHeight="1" x14ac:dyDescent="0.25">
      <c r="A109" s="19" t="s">
        <v>132</v>
      </c>
      <c r="B109">
        <f t="shared" si="7"/>
        <v>4401</v>
      </c>
      <c r="C109">
        <v>1181</v>
      </c>
      <c r="D109">
        <v>3220</v>
      </c>
      <c r="E109">
        <v>6930</v>
      </c>
      <c r="F109">
        <f t="shared" si="8"/>
        <v>459</v>
      </c>
      <c r="G109" s="20">
        <f t="shared" si="13"/>
        <v>104</v>
      </c>
      <c r="H109" s="21">
        <v>99624030172</v>
      </c>
      <c r="I109" s="22">
        <v>126</v>
      </c>
      <c r="J109" s="23"/>
      <c r="K109" s="24">
        <f>M109+O109</f>
        <v>3942</v>
      </c>
      <c r="L109" s="23">
        <f t="shared" si="9"/>
        <v>459</v>
      </c>
      <c r="M109" s="24">
        <v>1075</v>
      </c>
      <c r="N109" s="25">
        <f t="shared" si="10"/>
        <v>106</v>
      </c>
      <c r="O109" s="24">
        <v>2867</v>
      </c>
      <c r="P109" s="23">
        <f t="shared" si="11"/>
        <v>353</v>
      </c>
      <c r="Q109" s="26">
        <v>5899</v>
      </c>
      <c r="R109" s="23">
        <f t="shared" si="12"/>
        <v>1031</v>
      </c>
      <c r="S109" s="27" t="s">
        <v>18</v>
      </c>
      <c r="T109" s="19" t="s">
        <v>132</v>
      </c>
    </row>
    <row r="110" spans="1:20" ht="37.5" customHeight="1" x14ac:dyDescent="0.25">
      <c r="A110" s="19" t="s">
        <v>133</v>
      </c>
      <c r="B110">
        <f t="shared" si="7"/>
        <v>311</v>
      </c>
      <c r="C110">
        <v>94</v>
      </c>
      <c r="D110">
        <v>217</v>
      </c>
      <c r="E110">
        <v>1554</v>
      </c>
      <c r="F110">
        <f t="shared" si="8"/>
        <v>311</v>
      </c>
      <c r="G110" s="20">
        <f t="shared" si="13"/>
        <v>105</v>
      </c>
      <c r="H110" s="21">
        <v>99625010162</v>
      </c>
      <c r="I110" s="22">
        <v>128</v>
      </c>
      <c r="J110" s="23"/>
      <c r="K110" s="24">
        <f>M110+O110</f>
        <v>0</v>
      </c>
      <c r="L110" s="23">
        <f t="shared" si="9"/>
        <v>311</v>
      </c>
      <c r="M110" s="24"/>
      <c r="N110" s="25">
        <f t="shared" si="10"/>
        <v>94</v>
      </c>
      <c r="O110" s="24"/>
      <c r="P110" s="23">
        <f t="shared" si="11"/>
        <v>217</v>
      </c>
      <c r="Q110" s="26"/>
      <c r="R110" s="23">
        <f t="shared" si="12"/>
        <v>1554</v>
      </c>
      <c r="S110" s="27" t="s">
        <v>18</v>
      </c>
      <c r="T110" s="19" t="s">
        <v>133</v>
      </c>
    </row>
    <row r="111" spans="1:20" ht="37.5" customHeight="1" x14ac:dyDescent="0.25">
      <c r="A111" s="19" t="s">
        <v>134</v>
      </c>
      <c r="B111">
        <f t="shared" si="7"/>
        <v>69308</v>
      </c>
      <c r="C111">
        <v>11076</v>
      </c>
      <c r="D111">
        <v>58232</v>
      </c>
      <c r="F111">
        <f t="shared" si="8"/>
        <v>390</v>
      </c>
      <c r="G111" s="20">
        <f t="shared" si="13"/>
        <v>106</v>
      </c>
      <c r="H111" s="21">
        <v>23014060688</v>
      </c>
      <c r="I111" s="22">
        <v>129</v>
      </c>
      <c r="J111" s="23"/>
      <c r="K111" s="24">
        <v>68918</v>
      </c>
      <c r="L111" s="23">
        <f t="shared" si="9"/>
        <v>390</v>
      </c>
      <c r="M111" s="24">
        <v>11004</v>
      </c>
      <c r="N111" s="25">
        <f t="shared" si="10"/>
        <v>72</v>
      </c>
      <c r="O111" s="24">
        <v>57914</v>
      </c>
      <c r="P111" s="23">
        <f t="shared" si="11"/>
        <v>318</v>
      </c>
      <c r="Q111" s="26"/>
      <c r="R111" s="23">
        <f t="shared" si="12"/>
        <v>0</v>
      </c>
      <c r="S111" s="27" t="s">
        <v>18</v>
      </c>
      <c r="T111" s="19" t="s">
        <v>134</v>
      </c>
    </row>
    <row r="112" spans="1:20" ht="37.5" customHeight="1" x14ac:dyDescent="0.25">
      <c r="A112" s="19" t="s">
        <v>135</v>
      </c>
      <c r="B112">
        <f t="shared" si="7"/>
        <v>5980</v>
      </c>
      <c r="C112">
        <v>857</v>
      </c>
      <c r="D112">
        <v>5123</v>
      </c>
      <c r="F112">
        <f t="shared" si="8"/>
        <v>12</v>
      </c>
      <c r="G112" s="20">
        <f t="shared" si="13"/>
        <v>107</v>
      </c>
      <c r="H112" s="21">
        <v>88820010465</v>
      </c>
      <c r="I112" s="22" t="s">
        <v>136</v>
      </c>
      <c r="J112" s="23"/>
      <c r="K112" s="24">
        <v>5968</v>
      </c>
      <c r="L112" s="23">
        <f t="shared" si="9"/>
        <v>12</v>
      </c>
      <c r="M112" s="24">
        <v>856</v>
      </c>
      <c r="N112" s="25">
        <f t="shared" si="10"/>
        <v>1</v>
      </c>
      <c r="O112" s="24">
        <v>5112</v>
      </c>
      <c r="P112" s="23">
        <f t="shared" si="11"/>
        <v>11</v>
      </c>
      <c r="Q112" s="26"/>
      <c r="R112" s="23">
        <f t="shared" si="12"/>
        <v>0</v>
      </c>
      <c r="S112" s="27" t="s">
        <v>137</v>
      </c>
      <c r="T112" s="19" t="s">
        <v>135</v>
      </c>
    </row>
    <row r="113" spans="1:20" ht="37.5" customHeight="1" x14ac:dyDescent="0.25">
      <c r="A113" s="19" t="s">
        <v>138</v>
      </c>
      <c r="B113">
        <f t="shared" si="7"/>
        <v>19238</v>
      </c>
      <c r="C113">
        <v>3510</v>
      </c>
      <c r="D113">
        <v>15728</v>
      </c>
      <c r="F113">
        <f t="shared" si="8"/>
        <v>7</v>
      </c>
      <c r="G113" s="20">
        <f t="shared" si="13"/>
        <v>108</v>
      </c>
      <c r="H113" s="21">
        <v>66621090161</v>
      </c>
      <c r="I113" s="22" t="s">
        <v>139</v>
      </c>
      <c r="J113" s="23"/>
      <c r="K113" s="24">
        <v>19231</v>
      </c>
      <c r="L113" s="23">
        <f t="shared" si="9"/>
        <v>7</v>
      </c>
      <c r="M113" s="24"/>
      <c r="N113" s="25">
        <f t="shared" si="10"/>
        <v>3510</v>
      </c>
      <c r="O113" s="24"/>
      <c r="P113" s="23">
        <f t="shared" si="11"/>
        <v>15728</v>
      </c>
      <c r="Q113" s="26"/>
      <c r="R113" s="23">
        <f t="shared" si="12"/>
        <v>0</v>
      </c>
      <c r="S113" s="27" t="s">
        <v>137</v>
      </c>
      <c r="T113" s="19" t="s">
        <v>138</v>
      </c>
    </row>
    <row r="114" spans="1:20" ht="37.5" customHeight="1" x14ac:dyDescent="0.25">
      <c r="A114" s="19" t="s">
        <v>140</v>
      </c>
      <c r="B114">
        <f t="shared" si="7"/>
        <v>9253</v>
      </c>
      <c r="C114">
        <v>1732</v>
      </c>
      <c r="D114">
        <v>7521</v>
      </c>
      <c r="F114">
        <f t="shared" si="8"/>
        <v>2</v>
      </c>
      <c r="G114" s="20">
        <f t="shared" si="13"/>
        <v>109</v>
      </c>
      <c r="H114" s="21">
        <v>88819050104</v>
      </c>
      <c r="I114" s="22" t="s">
        <v>141</v>
      </c>
      <c r="J114" s="23"/>
      <c r="K114" s="24">
        <v>9251</v>
      </c>
      <c r="L114" s="23">
        <f t="shared" si="9"/>
        <v>2</v>
      </c>
      <c r="M114" s="24">
        <v>1732</v>
      </c>
      <c r="N114" s="25">
        <f t="shared" si="10"/>
        <v>0</v>
      </c>
      <c r="O114" s="24">
        <v>7519</v>
      </c>
      <c r="P114" s="23">
        <f t="shared" si="11"/>
        <v>2</v>
      </c>
      <c r="Q114" s="26"/>
      <c r="R114" s="23">
        <f t="shared" si="12"/>
        <v>0</v>
      </c>
      <c r="S114" s="27" t="s">
        <v>137</v>
      </c>
      <c r="T114" s="19" t="s">
        <v>140</v>
      </c>
    </row>
    <row r="115" spans="1:20" ht="37.5" customHeight="1" x14ac:dyDescent="0.25">
      <c r="A115" s="19" t="s">
        <v>142</v>
      </c>
      <c r="B115">
        <f t="shared" si="7"/>
        <v>23</v>
      </c>
      <c r="C115">
        <v>1</v>
      </c>
      <c r="D115">
        <v>22</v>
      </c>
      <c r="F115">
        <f t="shared" si="8"/>
        <v>23</v>
      </c>
      <c r="G115" s="20">
        <f t="shared" si="13"/>
        <v>110</v>
      </c>
      <c r="H115" s="21">
        <v>66625010149</v>
      </c>
      <c r="I115" s="22" t="s">
        <v>143</v>
      </c>
      <c r="J115" s="23"/>
      <c r="K115" s="24"/>
      <c r="L115" s="23">
        <f t="shared" si="9"/>
        <v>23</v>
      </c>
      <c r="M115" s="24"/>
      <c r="N115" s="25">
        <f t="shared" si="10"/>
        <v>1</v>
      </c>
      <c r="O115" s="24"/>
      <c r="P115" s="23">
        <f t="shared" si="11"/>
        <v>22</v>
      </c>
      <c r="Q115" s="26"/>
      <c r="R115" s="23">
        <f t="shared" si="12"/>
        <v>0</v>
      </c>
      <c r="S115" s="27" t="s">
        <v>137</v>
      </c>
      <c r="T115" s="19" t="s">
        <v>142</v>
      </c>
    </row>
    <row r="116" spans="1:20" ht="37.5" customHeight="1" x14ac:dyDescent="0.25">
      <c r="A116" s="19" t="s">
        <v>144</v>
      </c>
      <c r="B116">
        <f t="shared" si="7"/>
        <v>13656</v>
      </c>
      <c r="C116">
        <v>3015</v>
      </c>
      <c r="D116">
        <v>10641</v>
      </c>
      <c r="F116">
        <f t="shared" si="8"/>
        <v>15</v>
      </c>
      <c r="G116" s="20">
        <f t="shared" si="13"/>
        <v>111</v>
      </c>
      <c r="H116" s="21">
        <v>66616031082</v>
      </c>
      <c r="I116" s="22" t="s">
        <v>145</v>
      </c>
      <c r="J116" s="23"/>
      <c r="K116" s="24">
        <v>13641</v>
      </c>
      <c r="L116" s="23">
        <f t="shared" si="9"/>
        <v>15</v>
      </c>
      <c r="M116" s="24">
        <v>3014</v>
      </c>
      <c r="N116" s="25">
        <f t="shared" si="10"/>
        <v>1</v>
      </c>
      <c r="O116" s="24">
        <v>10627</v>
      </c>
      <c r="P116" s="23">
        <f t="shared" si="11"/>
        <v>14</v>
      </c>
      <c r="Q116" s="26"/>
      <c r="R116" s="23">
        <f t="shared" si="12"/>
        <v>0</v>
      </c>
      <c r="S116" s="27" t="s">
        <v>137</v>
      </c>
      <c r="T116" s="19" t="s">
        <v>144</v>
      </c>
    </row>
    <row r="117" spans="1:20" ht="37.5" customHeight="1" x14ac:dyDescent="0.25">
      <c r="A117" s="19" t="s">
        <v>146</v>
      </c>
      <c r="B117">
        <f t="shared" si="7"/>
        <v>160</v>
      </c>
      <c r="C117">
        <v>20</v>
      </c>
      <c r="D117">
        <v>140</v>
      </c>
      <c r="F117">
        <f t="shared" si="8"/>
        <v>0</v>
      </c>
      <c r="G117" s="20">
        <f t="shared" si="13"/>
        <v>112</v>
      </c>
      <c r="H117" s="21">
        <v>88821080201</v>
      </c>
      <c r="I117" s="22" t="s">
        <v>147</v>
      </c>
      <c r="J117" s="23"/>
      <c r="K117" s="24">
        <v>160</v>
      </c>
      <c r="L117" s="23">
        <f t="shared" si="9"/>
        <v>0</v>
      </c>
      <c r="M117" s="24">
        <v>20</v>
      </c>
      <c r="N117" s="25">
        <f t="shared" si="10"/>
        <v>0</v>
      </c>
      <c r="O117" s="24">
        <v>140</v>
      </c>
      <c r="P117" s="23">
        <f t="shared" si="11"/>
        <v>0</v>
      </c>
      <c r="Q117" s="26"/>
      <c r="R117" s="23">
        <f t="shared" si="12"/>
        <v>0</v>
      </c>
      <c r="S117" s="27" t="s">
        <v>137</v>
      </c>
      <c r="T117" s="19" t="s">
        <v>146</v>
      </c>
    </row>
    <row r="118" spans="1:20" ht="37.5" customHeight="1" x14ac:dyDescent="0.25">
      <c r="A118" s="19" t="s">
        <v>148</v>
      </c>
      <c r="B118">
        <f t="shared" si="7"/>
        <v>26188</v>
      </c>
      <c r="C118">
        <v>4385</v>
      </c>
      <c r="D118">
        <v>21803</v>
      </c>
      <c r="F118">
        <f t="shared" si="8"/>
        <v>204</v>
      </c>
      <c r="G118" s="20">
        <f t="shared" si="13"/>
        <v>113</v>
      </c>
      <c r="H118" s="21">
        <v>66616020175</v>
      </c>
      <c r="I118" s="22" t="s">
        <v>149</v>
      </c>
      <c r="J118" s="23"/>
      <c r="K118" s="24">
        <v>25984</v>
      </c>
      <c r="L118" s="23">
        <f t="shared" si="9"/>
        <v>204</v>
      </c>
      <c r="M118" s="24">
        <v>4353</v>
      </c>
      <c r="N118" s="25">
        <f t="shared" si="10"/>
        <v>32</v>
      </c>
      <c r="O118" s="24">
        <v>21631</v>
      </c>
      <c r="P118" s="23">
        <f t="shared" si="11"/>
        <v>172</v>
      </c>
      <c r="Q118" s="26"/>
      <c r="R118" s="23">
        <f t="shared" si="12"/>
        <v>0</v>
      </c>
      <c r="S118" s="27" t="s">
        <v>137</v>
      </c>
      <c r="T118" s="19" t="s">
        <v>148</v>
      </c>
    </row>
    <row r="119" spans="1:20" ht="37.5" customHeight="1" x14ac:dyDescent="0.25">
      <c r="A119" s="19" t="s">
        <v>150</v>
      </c>
      <c r="B119">
        <f t="shared" si="7"/>
        <v>2016</v>
      </c>
      <c r="C119">
        <v>244</v>
      </c>
      <c r="D119">
        <v>1772</v>
      </c>
      <c r="F119">
        <f t="shared" si="8"/>
        <v>1</v>
      </c>
      <c r="G119" s="20">
        <f t="shared" si="13"/>
        <v>114</v>
      </c>
      <c r="H119" s="21">
        <v>88819010414</v>
      </c>
      <c r="I119" s="22" t="s">
        <v>151</v>
      </c>
      <c r="J119" s="23"/>
      <c r="K119" s="24">
        <v>2015</v>
      </c>
      <c r="L119" s="23">
        <f t="shared" si="9"/>
        <v>1</v>
      </c>
      <c r="M119" s="24">
        <v>244</v>
      </c>
      <c r="N119" s="25">
        <f t="shared" si="10"/>
        <v>0</v>
      </c>
      <c r="O119" s="24">
        <v>1771</v>
      </c>
      <c r="P119" s="23">
        <f t="shared" si="11"/>
        <v>1</v>
      </c>
      <c r="Q119" s="26"/>
      <c r="R119" s="23">
        <f t="shared" si="12"/>
        <v>0</v>
      </c>
      <c r="S119" s="27" t="s">
        <v>137</v>
      </c>
      <c r="T119" s="19" t="s">
        <v>150</v>
      </c>
    </row>
    <row r="120" spans="1:20" ht="37.5" customHeight="1" x14ac:dyDescent="0.25">
      <c r="A120" s="19" t="s">
        <v>152</v>
      </c>
      <c r="B120">
        <f t="shared" si="7"/>
        <v>2094</v>
      </c>
      <c r="C120">
        <v>331</v>
      </c>
      <c r="D120">
        <v>1763</v>
      </c>
      <c r="F120">
        <f t="shared" si="8"/>
        <v>1</v>
      </c>
      <c r="G120" s="20">
        <f t="shared" si="13"/>
        <v>115</v>
      </c>
      <c r="H120" s="21">
        <v>66622060694</v>
      </c>
      <c r="I120" s="22" t="s">
        <v>153</v>
      </c>
      <c r="J120" s="23"/>
      <c r="K120" s="24">
        <v>2093</v>
      </c>
      <c r="L120" s="23">
        <f t="shared" si="9"/>
        <v>1</v>
      </c>
      <c r="M120" s="24">
        <v>331</v>
      </c>
      <c r="N120" s="25">
        <f t="shared" si="10"/>
        <v>0</v>
      </c>
      <c r="O120" s="24">
        <v>1762</v>
      </c>
      <c r="P120" s="23">
        <f t="shared" si="11"/>
        <v>1</v>
      </c>
      <c r="Q120" s="26"/>
      <c r="R120" s="23">
        <f t="shared" si="12"/>
        <v>0</v>
      </c>
      <c r="S120" s="27" t="s">
        <v>137</v>
      </c>
      <c r="T120" s="19" t="s">
        <v>152</v>
      </c>
    </row>
    <row r="121" spans="1:20" ht="37.5" customHeight="1" x14ac:dyDescent="0.25">
      <c r="A121" s="19" t="s">
        <v>154</v>
      </c>
      <c r="B121">
        <f t="shared" si="7"/>
        <v>43229</v>
      </c>
      <c r="C121">
        <v>6854</v>
      </c>
      <c r="D121">
        <v>36375</v>
      </c>
      <c r="F121">
        <f t="shared" si="8"/>
        <v>117</v>
      </c>
      <c r="G121" s="20">
        <f t="shared" si="13"/>
        <v>116</v>
      </c>
      <c r="H121" s="21">
        <v>88819050273</v>
      </c>
      <c r="I121" s="22" t="s">
        <v>155</v>
      </c>
      <c r="J121" s="23"/>
      <c r="K121" s="24">
        <v>43112</v>
      </c>
      <c r="L121" s="23">
        <f t="shared" si="9"/>
        <v>117</v>
      </c>
      <c r="M121" s="24">
        <v>0</v>
      </c>
      <c r="N121" s="25">
        <f t="shared" si="10"/>
        <v>6854</v>
      </c>
      <c r="O121" s="24">
        <v>0</v>
      </c>
      <c r="P121" s="23">
        <f t="shared" si="11"/>
        <v>36375</v>
      </c>
      <c r="Q121" s="26"/>
      <c r="R121" s="23">
        <f t="shared" si="12"/>
        <v>0</v>
      </c>
      <c r="S121" s="27" t="s">
        <v>137</v>
      </c>
      <c r="T121" s="19" t="s">
        <v>154</v>
      </c>
    </row>
    <row r="122" spans="1:20" ht="37.5" customHeight="1" x14ac:dyDescent="0.25">
      <c r="A122" s="19" t="s">
        <v>156</v>
      </c>
      <c r="B122">
        <f t="shared" si="7"/>
        <v>3282</v>
      </c>
      <c r="C122">
        <v>735</v>
      </c>
      <c r="D122">
        <v>2547</v>
      </c>
      <c r="F122">
        <f t="shared" si="8"/>
        <v>99</v>
      </c>
      <c r="G122" s="20">
        <f t="shared" si="13"/>
        <v>117</v>
      </c>
      <c r="H122" s="21">
        <v>66622030344</v>
      </c>
      <c r="I122" s="22" t="s">
        <v>157</v>
      </c>
      <c r="J122" s="23"/>
      <c r="K122" s="24">
        <v>3183</v>
      </c>
      <c r="L122" s="23">
        <f t="shared" si="9"/>
        <v>99</v>
      </c>
      <c r="M122" s="24">
        <v>718</v>
      </c>
      <c r="N122" s="25">
        <f t="shared" si="10"/>
        <v>17</v>
      </c>
      <c r="O122" s="24">
        <v>2465</v>
      </c>
      <c r="P122" s="23">
        <f t="shared" si="11"/>
        <v>82</v>
      </c>
      <c r="Q122" s="26"/>
      <c r="R122" s="23">
        <f t="shared" si="12"/>
        <v>0</v>
      </c>
      <c r="S122" s="27" t="s">
        <v>137</v>
      </c>
      <c r="T122" s="19" t="s">
        <v>156</v>
      </c>
    </row>
    <row r="123" spans="1:20" ht="37.5" customHeight="1" x14ac:dyDescent="0.25">
      <c r="A123" s="19" t="s">
        <v>158</v>
      </c>
      <c r="B123">
        <v>32936</v>
      </c>
      <c r="F123">
        <f t="shared" si="8"/>
        <v>798</v>
      </c>
      <c r="G123" s="20">
        <f t="shared" si="13"/>
        <v>118</v>
      </c>
      <c r="H123" s="21">
        <v>29</v>
      </c>
      <c r="I123" s="22" t="s">
        <v>159</v>
      </c>
      <c r="J123" s="23"/>
      <c r="K123" s="24">
        <v>32138</v>
      </c>
      <c r="L123" s="23">
        <f t="shared" si="9"/>
        <v>798</v>
      </c>
      <c r="M123" s="24"/>
      <c r="N123" s="25">
        <f t="shared" si="10"/>
        <v>0</v>
      </c>
      <c r="O123" s="24"/>
      <c r="P123" s="23">
        <f t="shared" si="11"/>
        <v>0</v>
      </c>
      <c r="Q123" s="26"/>
      <c r="R123" s="23">
        <f t="shared" si="12"/>
        <v>0</v>
      </c>
      <c r="S123" s="27" t="s">
        <v>160</v>
      </c>
      <c r="T123" s="19" t="s">
        <v>158</v>
      </c>
    </row>
    <row r="124" spans="1:20" ht="37.5" customHeight="1" x14ac:dyDescent="0.25">
      <c r="A124" s="19" t="s">
        <v>161</v>
      </c>
      <c r="B124">
        <f t="shared" si="7"/>
        <v>23031</v>
      </c>
      <c r="C124">
        <v>5117</v>
      </c>
      <c r="D124">
        <v>17914</v>
      </c>
      <c r="F124">
        <f t="shared" si="8"/>
        <v>1104</v>
      </c>
      <c r="G124" s="20">
        <f t="shared" si="13"/>
        <v>119</v>
      </c>
      <c r="H124" s="21">
        <v>66621040270</v>
      </c>
      <c r="I124" s="22" t="s">
        <v>162</v>
      </c>
      <c r="J124" s="23"/>
      <c r="K124" s="24">
        <v>21927</v>
      </c>
      <c r="L124" s="23">
        <f t="shared" si="9"/>
        <v>1104</v>
      </c>
      <c r="M124" s="24">
        <v>4764</v>
      </c>
      <c r="N124" s="25">
        <f t="shared" si="10"/>
        <v>353</v>
      </c>
      <c r="O124" s="24">
        <v>17163</v>
      </c>
      <c r="P124" s="23">
        <f t="shared" si="11"/>
        <v>751</v>
      </c>
      <c r="Q124" s="26"/>
      <c r="R124" s="23">
        <f t="shared" si="12"/>
        <v>0</v>
      </c>
      <c r="S124" s="27" t="s">
        <v>160</v>
      </c>
      <c r="T124" s="19" t="s">
        <v>161</v>
      </c>
    </row>
    <row r="125" spans="1:20" ht="37.5" customHeight="1" x14ac:dyDescent="0.25">
      <c r="A125" s="19" t="s">
        <v>163</v>
      </c>
      <c r="B125">
        <f t="shared" si="7"/>
        <v>137143</v>
      </c>
      <c r="C125">
        <v>29377</v>
      </c>
      <c r="D125">
        <v>107766</v>
      </c>
      <c r="F125">
        <f t="shared" si="8"/>
        <v>959</v>
      </c>
      <c r="G125" s="20">
        <f t="shared" si="13"/>
        <v>120</v>
      </c>
      <c r="H125" s="21">
        <v>23014040028</v>
      </c>
      <c r="I125" s="22" t="s">
        <v>164</v>
      </c>
      <c r="J125" s="23"/>
      <c r="K125" s="24">
        <v>136184</v>
      </c>
      <c r="L125" s="23">
        <f t="shared" si="9"/>
        <v>959</v>
      </c>
      <c r="M125" s="24">
        <v>29055</v>
      </c>
      <c r="N125" s="25">
        <f t="shared" si="10"/>
        <v>322</v>
      </c>
      <c r="O125" s="24">
        <v>107129</v>
      </c>
      <c r="P125" s="23">
        <f t="shared" si="11"/>
        <v>637</v>
      </c>
      <c r="Q125" s="26"/>
      <c r="R125" s="23">
        <f t="shared" si="12"/>
        <v>0</v>
      </c>
      <c r="S125" s="27" t="s">
        <v>160</v>
      </c>
      <c r="T125" s="19" t="s">
        <v>163</v>
      </c>
    </row>
    <row r="126" spans="1:20" ht="37.5" customHeight="1" x14ac:dyDescent="0.25">
      <c r="A126" s="19" t="s">
        <v>165</v>
      </c>
      <c r="B126">
        <v>1739511</v>
      </c>
      <c r="F126">
        <f t="shared" si="8"/>
        <v>8086</v>
      </c>
      <c r="G126" s="20">
        <f t="shared" si="13"/>
        <v>121</v>
      </c>
      <c r="H126" s="21">
        <v>23009090028</v>
      </c>
      <c r="I126" s="22" t="s">
        <v>166</v>
      </c>
      <c r="J126" s="23"/>
      <c r="K126" s="24">
        <v>1731425</v>
      </c>
      <c r="L126" s="23">
        <f t="shared" si="9"/>
        <v>8086</v>
      </c>
      <c r="M126" s="24"/>
      <c r="N126" s="25">
        <f t="shared" si="10"/>
        <v>0</v>
      </c>
      <c r="O126" s="24"/>
      <c r="P126" s="23">
        <f t="shared" si="11"/>
        <v>0</v>
      </c>
      <c r="Q126" s="26"/>
      <c r="R126" s="23">
        <f t="shared" si="12"/>
        <v>0</v>
      </c>
      <c r="S126" s="27" t="s">
        <v>160</v>
      </c>
      <c r="T126" s="19" t="s">
        <v>165</v>
      </c>
    </row>
    <row r="127" spans="1:20" ht="33.75" customHeight="1" x14ac:dyDescent="0.25">
      <c r="L127" s="33"/>
    </row>
    <row r="128" spans="1:20" ht="33.75" customHeight="1" x14ac:dyDescent="0.25">
      <c r="L128" s="33"/>
    </row>
    <row r="129" spans="12:12" ht="33.75" customHeight="1" x14ac:dyDescent="0.25">
      <c r="L129" s="33"/>
    </row>
    <row r="130" spans="12:12" ht="33.75" customHeight="1" x14ac:dyDescent="0.25">
      <c r="L130" s="33"/>
    </row>
    <row r="131" spans="12:12" ht="33.75" customHeight="1" x14ac:dyDescent="0.25">
      <c r="L131" s="33"/>
    </row>
    <row r="132" spans="12:12" ht="33.75" customHeight="1" x14ac:dyDescent="0.25">
      <c r="L132" s="33"/>
    </row>
    <row r="133" spans="12:12" ht="33.75" customHeight="1" x14ac:dyDescent="0.25">
      <c r="L133" s="33"/>
    </row>
    <row r="134" spans="12:12" ht="33.75" customHeight="1" x14ac:dyDescent="0.25">
      <c r="L134" s="33"/>
    </row>
    <row r="135" spans="12:12" ht="33.75" customHeight="1" x14ac:dyDescent="0.25">
      <c r="L135" s="33"/>
    </row>
    <row r="136" spans="12:12" ht="33.75" customHeight="1" x14ac:dyDescent="0.25">
      <c r="L136" s="33"/>
    </row>
    <row r="137" spans="12:12" ht="33.75" customHeight="1" x14ac:dyDescent="0.25">
      <c r="L137" s="33"/>
    </row>
    <row r="138" spans="12:12" ht="33.75" customHeight="1" x14ac:dyDescent="0.25">
      <c r="L138" s="33"/>
    </row>
    <row r="139" spans="12:12" ht="33.75" customHeight="1" x14ac:dyDescent="0.25">
      <c r="L139" s="33"/>
    </row>
    <row r="140" spans="12:12" ht="33.75" customHeight="1" x14ac:dyDescent="0.25">
      <c r="L140" s="33"/>
    </row>
    <row r="141" spans="12:12" ht="33.75" customHeight="1" x14ac:dyDescent="0.25">
      <c r="L141" s="33"/>
    </row>
    <row r="142" spans="12:12" ht="33.75" customHeight="1" x14ac:dyDescent="0.25">
      <c r="L142" s="33"/>
    </row>
    <row r="143" spans="12:12" ht="33.75" customHeight="1" x14ac:dyDescent="0.25">
      <c r="L143" s="33"/>
    </row>
    <row r="144" spans="12:12" ht="33.75" customHeight="1" x14ac:dyDescent="0.25">
      <c r="L144" s="33"/>
    </row>
    <row r="145" spans="12:12" ht="33.75" customHeight="1" x14ac:dyDescent="0.25">
      <c r="L145" s="33"/>
    </row>
    <row r="146" spans="12:12" ht="33.75" customHeight="1" x14ac:dyDescent="0.25">
      <c r="L146" s="33"/>
    </row>
    <row r="147" spans="12:12" ht="33.75" customHeight="1" x14ac:dyDescent="0.25">
      <c r="L147" s="33"/>
    </row>
    <row r="148" spans="12:12" ht="33.75" customHeight="1" x14ac:dyDescent="0.25">
      <c r="L148" s="33"/>
    </row>
    <row r="149" spans="12:12" ht="33.75" customHeight="1" x14ac:dyDescent="0.25">
      <c r="L149" s="33"/>
    </row>
    <row r="150" spans="12:12" ht="33.75" customHeight="1" x14ac:dyDescent="0.25">
      <c r="L150" s="33"/>
    </row>
    <row r="151" spans="12:12" ht="33.75" customHeight="1" x14ac:dyDescent="0.25">
      <c r="L151" s="33"/>
    </row>
    <row r="152" spans="12:12" ht="33.75" customHeight="1" x14ac:dyDescent="0.25">
      <c r="L152" s="33"/>
    </row>
    <row r="153" spans="12:12" ht="33.75" customHeight="1" x14ac:dyDescent="0.25">
      <c r="L153" s="33"/>
    </row>
    <row r="154" spans="12:12" ht="33.75" customHeight="1" x14ac:dyDescent="0.25">
      <c r="L154" s="33"/>
    </row>
    <row r="155" spans="12:12" ht="33.75" customHeight="1" x14ac:dyDescent="0.25">
      <c r="L155" s="33"/>
    </row>
    <row r="156" spans="12:12" ht="33.75" customHeight="1" x14ac:dyDescent="0.25">
      <c r="L156" s="33"/>
    </row>
    <row r="157" spans="12:12" ht="33.75" customHeight="1" x14ac:dyDescent="0.25">
      <c r="L157" s="33"/>
    </row>
    <row r="158" spans="12:12" ht="33.75" customHeight="1" x14ac:dyDescent="0.25">
      <c r="L158" s="33"/>
    </row>
    <row r="159" spans="12:12" ht="33.75" customHeight="1" x14ac:dyDescent="0.25">
      <c r="L159" s="33"/>
    </row>
    <row r="160" spans="12:12" ht="33.75" customHeight="1" x14ac:dyDescent="0.25">
      <c r="L160" s="33"/>
    </row>
    <row r="161" spans="12:12" ht="33.75" customHeight="1" x14ac:dyDescent="0.25">
      <c r="L161" s="33"/>
    </row>
    <row r="162" spans="12:12" ht="33.75" customHeight="1" x14ac:dyDescent="0.25">
      <c r="L162" s="33"/>
    </row>
    <row r="163" spans="12:12" ht="33.75" customHeight="1" x14ac:dyDescent="0.25">
      <c r="L163" s="33"/>
    </row>
    <row r="164" spans="12:12" ht="33.75" customHeight="1" x14ac:dyDescent="0.25">
      <c r="L164" s="33"/>
    </row>
    <row r="165" spans="12:12" ht="33.75" customHeight="1" x14ac:dyDescent="0.25">
      <c r="L165" s="33"/>
    </row>
    <row r="166" spans="12:12" ht="33.75" customHeight="1" x14ac:dyDescent="0.25">
      <c r="L166" s="33"/>
    </row>
    <row r="167" spans="12:12" ht="33.75" customHeight="1" x14ac:dyDescent="0.25">
      <c r="L167" s="33"/>
    </row>
    <row r="168" spans="12:12" ht="33.75" customHeight="1" x14ac:dyDescent="0.25">
      <c r="L168" s="33"/>
    </row>
    <row r="169" spans="12:12" ht="33.75" customHeight="1" x14ac:dyDescent="0.25">
      <c r="L169" s="33"/>
    </row>
    <row r="170" spans="12:12" ht="33.75" customHeight="1" x14ac:dyDescent="0.25">
      <c r="L170" s="33"/>
    </row>
    <row r="171" spans="12:12" ht="33.75" customHeight="1" x14ac:dyDescent="0.25">
      <c r="L171" s="33"/>
    </row>
    <row r="172" spans="12:12" ht="33.75" customHeight="1" x14ac:dyDescent="0.25">
      <c r="L172" s="33"/>
    </row>
    <row r="173" spans="12:12" ht="33.75" customHeight="1" x14ac:dyDescent="0.25">
      <c r="L173" s="33"/>
    </row>
    <row r="174" spans="12:12" ht="33.75" customHeight="1" x14ac:dyDescent="0.25">
      <c r="L174" s="33"/>
    </row>
    <row r="175" spans="12:12" ht="33.75" customHeight="1" x14ac:dyDescent="0.25">
      <c r="L175" s="33"/>
    </row>
    <row r="176" spans="12:12" ht="33.75" customHeight="1" x14ac:dyDescent="0.25">
      <c r="L176" s="33"/>
    </row>
    <row r="177" spans="12:12" ht="33.75" customHeight="1" x14ac:dyDescent="0.25">
      <c r="L177" s="33"/>
    </row>
    <row r="178" spans="12:12" ht="33.75" customHeight="1" x14ac:dyDescent="0.25">
      <c r="L178" s="33"/>
    </row>
    <row r="179" spans="12:12" ht="33.75" customHeight="1" x14ac:dyDescent="0.25">
      <c r="L179" s="33"/>
    </row>
    <row r="180" spans="12:12" ht="33.75" customHeight="1" x14ac:dyDescent="0.25">
      <c r="L180" s="33"/>
    </row>
    <row r="181" spans="12:12" ht="33.75" customHeight="1" x14ac:dyDescent="0.25">
      <c r="L181" s="33"/>
    </row>
    <row r="182" spans="12:12" ht="33.75" customHeight="1" x14ac:dyDescent="0.25">
      <c r="L182" s="33"/>
    </row>
    <row r="183" spans="12:12" ht="33.75" customHeight="1" x14ac:dyDescent="0.25">
      <c r="L183" s="33"/>
    </row>
    <row r="184" spans="12:12" ht="33.75" customHeight="1" x14ac:dyDescent="0.25">
      <c r="L184" s="33"/>
    </row>
    <row r="185" spans="12:12" ht="33.75" customHeight="1" x14ac:dyDescent="0.25">
      <c r="L185" s="33"/>
    </row>
    <row r="186" spans="12:12" ht="33.75" customHeight="1" x14ac:dyDescent="0.25">
      <c r="L186" s="33"/>
    </row>
    <row r="187" spans="12:12" ht="33.75" customHeight="1" x14ac:dyDescent="0.25">
      <c r="L187" s="33"/>
    </row>
    <row r="188" spans="12:12" ht="33.75" customHeight="1" x14ac:dyDescent="0.25">
      <c r="L188" s="33"/>
    </row>
    <row r="189" spans="12:12" ht="33.75" customHeight="1" x14ac:dyDescent="0.25">
      <c r="L189" s="33"/>
    </row>
    <row r="190" spans="12:12" ht="33.75" customHeight="1" x14ac:dyDescent="0.25">
      <c r="L190" s="33"/>
    </row>
    <row r="191" spans="12:12" ht="33.75" customHeight="1" x14ac:dyDescent="0.25">
      <c r="L191" s="33"/>
    </row>
    <row r="192" spans="12:12" ht="33.75" customHeight="1" x14ac:dyDescent="0.25">
      <c r="L192" s="33"/>
    </row>
    <row r="193" spans="12:12" ht="33.75" customHeight="1" x14ac:dyDescent="0.25">
      <c r="L193" s="33"/>
    </row>
    <row r="194" spans="12:12" ht="33.75" customHeight="1" x14ac:dyDescent="0.25">
      <c r="L194" s="33"/>
    </row>
    <row r="195" spans="12:12" ht="33.75" customHeight="1" x14ac:dyDescent="0.25">
      <c r="L195" s="33"/>
    </row>
    <row r="196" spans="12:12" ht="33.75" customHeight="1" x14ac:dyDescent="0.25">
      <c r="L196" s="33"/>
    </row>
    <row r="197" spans="12:12" ht="33.75" customHeight="1" x14ac:dyDescent="0.25">
      <c r="L197" s="33"/>
    </row>
    <row r="198" spans="12:12" ht="33.75" customHeight="1" x14ac:dyDescent="0.25">
      <c r="L198" s="33"/>
    </row>
    <row r="199" spans="12:12" ht="33.75" customHeight="1" x14ac:dyDescent="0.25">
      <c r="L199" s="33"/>
    </row>
    <row r="200" spans="12:12" ht="33.75" customHeight="1" x14ac:dyDescent="0.25">
      <c r="L200" s="33"/>
    </row>
    <row r="201" spans="12:12" ht="33.75" customHeight="1" x14ac:dyDescent="0.25">
      <c r="L201" s="33"/>
    </row>
    <row r="202" spans="12:12" ht="33.75" customHeight="1" x14ac:dyDescent="0.25">
      <c r="L202" s="33"/>
    </row>
    <row r="203" spans="12:12" ht="33.75" customHeight="1" x14ac:dyDescent="0.25">
      <c r="L203" s="33"/>
    </row>
    <row r="204" spans="12:12" ht="33.75" customHeight="1" x14ac:dyDescent="0.25">
      <c r="L204" s="33"/>
    </row>
    <row r="205" spans="12:12" ht="33.75" customHeight="1" x14ac:dyDescent="0.25">
      <c r="L205" s="33"/>
    </row>
    <row r="206" spans="12:12" ht="33.75" customHeight="1" x14ac:dyDescent="0.25">
      <c r="L206" s="33"/>
    </row>
    <row r="207" spans="12:12" ht="33.75" customHeight="1" x14ac:dyDescent="0.25">
      <c r="L207" s="33"/>
    </row>
    <row r="208" spans="12:12" ht="33.75" customHeight="1" x14ac:dyDescent="0.25">
      <c r="L208" s="33"/>
    </row>
    <row r="209" spans="12:12" ht="33.75" customHeight="1" x14ac:dyDescent="0.25">
      <c r="L209" s="33"/>
    </row>
    <row r="210" spans="12:12" ht="33.75" customHeight="1" x14ac:dyDescent="0.25">
      <c r="L210" s="33"/>
    </row>
    <row r="211" spans="12:12" ht="33.75" customHeight="1" x14ac:dyDescent="0.25">
      <c r="L211" s="33"/>
    </row>
    <row r="212" spans="12:12" ht="33.75" customHeight="1" x14ac:dyDescent="0.25">
      <c r="L212" s="33"/>
    </row>
    <row r="213" spans="12:12" ht="33.75" customHeight="1" x14ac:dyDescent="0.25">
      <c r="L213" s="33"/>
    </row>
    <row r="214" spans="12:12" ht="33.75" customHeight="1" x14ac:dyDescent="0.25">
      <c r="L214" s="33"/>
    </row>
    <row r="215" spans="12:12" ht="33.75" customHeight="1" x14ac:dyDescent="0.25">
      <c r="L215" s="33"/>
    </row>
    <row r="216" spans="12:12" ht="33.75" customHeight="1" x14ac:dyDescent="0.25">
      <c r="L216" s="33"/>
    </row>
    <row r="217" spans="12:12" ht="33.75" customHeight="1" x14ac:dyDescent="0.25">
      <c r="L217" s="33"/>
    </row>
    <row r="218" spans="12:12" ht="33.75" customHeight="1" x14ac:dyDescent="0.25">
      <c r="L218" s="33"/>
    </row>
    <row r="219" spans="12:12" ht="33.75" customHeight="1" x14ac:dyDescent="0.25">
      <c r="L219" s="33"/>
    </row>
    <row r="220" spans="12:12" ht="33.75" customHeight="1" x14ac:dyDescent="0.25">
      <c r="L220" s="33"/>
    </row>
    <row r="221" spans="12:12" ht="33.75" customHeight="1" x14ac:dyDescent="0.25">
      <c r="L221" s="33"/>
    </row>
    <row r="222" spans="12:12" ht="33.75" customHeight="1" x14ac:dyDescent="0.25">
      <c r="L222" s="33"/>
    </row>
    <row r="223" spans="12:12" ht="33.75" customHeight="1" x14ac:dyDescent="0.25">
      <c r="L223" s="33"/>
    </row>
    <row r="224" spans="12:12" ht="33.75" customHeight="1" x14ac:dyDescent="0.25">
      <c r="L224" s="33"/>
    </row>
    <row r="225" spans="12:12" ht="33.75" customHeight="1" x14ac:dyDescent="0.25">
      <c r="L225" s="33"/>
    </row>
    <row r="226" spans="12:12" ht="33.75" customHeight="1" x14ac:dyDescent="0.25">
      <c r="L226" s="33"/>
    </row>
    <row r="227" spans="12:12" ht="33.75" customHeight="1" x14ac:dyDescent="0.25">
      <c r="L227" s="33"/>
    </row>
    <row r="228" spans="12:12" ht="33.75" customHeight="1" x14ac:dyDescent="0.25">
      <c r="L228" s="33"/>
    </row>
    <row r="229" spans="12:12" ht="33.75" customHeight="1" x14ac:dyDescent="0.25">
      <c r="L229" s="33"/>
    </row>
    <row r="230" spans="12:12" ht="33.75" customHeight="1" x14ac:dyDescent="0.25">
      <c r="L230" s="33"/>
    </row>
    <row r="231" spans="12:12" ht="33.75" customHeight="1" x14ac:dyDescent="0.25">
      <c r="L231" s="33"/>
    </row>
    <row r="232" spans="12:12" ht="33.75" customHeight="1" x14ac:dyDescent="0.25">
      <c r="L232" s="33"/>
    </row>
    <row r="233" spans="12:12" ht="33.75" customHeight="1" x14ac:dyDescent="0.25">
      <c r="L233" s="33"/>
    </row>
    <row r="234" spans="12:12" ht="33.75" customHeight="1" x14ac:dyDescent="0.25">
      <c r="L234" s="33"/>
    </row>
    <row r="235" spans="12:12" ht="33.75" customHeight="1" x14ac:dyDescent="0.25">
      <c r="L235" s="33"/>
    </row>
    <row r="236" spans="12:12" ht="33.75" customHeight="1" x14ac:dyDescent="0.25">
      <c r="L236" s="33"/>
    </row>
    <row r="237" spans="12:12" ht="33.75" customHeight="1" x14ac:dyDescent="0.25">
      <c r="L237" s="33"/>
    </row>
    <row r="238" spans="12:12" ht="33.75" customHeight="1" x14ac:dyDescent="0.25">
      <c r="L238" s="33"/>
    </row>
    <row r="239" spans="12:12" ht="33.75" customHeight="1" x14ac:dyDescent="0.25">
      <c r="L239" s="33"/>
    </row>
    <row r="240" spans="12:12" ht="33.75" customHeight="1" x14ac:dyDescent="0.25">
      <c r="L240" s="33"/>
    </row>
    <row r="241" spans="12:12" ht="33.75" customHeight="1" x14ac:dyDescent="0.25">
      <c r="L241" s="33"/>
    </row>
    <row r="242" spans="12:12" ht="33.75" customHeight="1" x14ac:dyDescent="0.25">
      <c r="L242" s="33"/>
    </row>
    <row r="243" spans="12:12" ht="33.75" customHeight="1" x14ac:dyDescent="0.25">
      <c r="L243" s="33"/>
    </row>
    <row r="244" spans="12:12" ht="33.75" customHeight="1" x14ac:dyDescent="0.25">
      <c r="L244" s="33"/>
    </row>
    <row r="245" spans="12:12" ht="33.75" customHeight="1" x14ac:dyDescent="0.25">
      <c r="L245" s="33"/>
    </row>
    <row r="246" spans="12:12" ht="33.75" customHeight="1" x14ac:dyDescent="0.25">
      <c r="L246" s="33"/>
    </row>
    <row r="247" spans="12:12" ht="33.75" customHeight="1" x14ac:dyDescent="0.25">
      <c r="L247" s="33"/>
    </row>
    <row r="248" spans="12:12" ht="33.75" customHeight="1" x14ac:dyDescent="0.25">
      <c r="L248" s="33"/>
    </row>
    <row r="249" spans="12:12" ht="33.75" customHeight="1" x14ac:dyDescent="0.25">
      <c r="L249" s="33"/>
    </row>
    <row r="250" spans="12:12" ht="33.75" customHeight="1" x14ac:dyDescent="0.25">
      <c r="L250" s="33"/>
    </row>
    <row r="251" spans="12:12" ht="33.75" customHeight="1" x14ac:dyDescent="0.25">
      <c r="L251" s="33"/>
    </row>
    <row r="252" spans="12:12" ht="33.75" customHeight="1" x14ac:dyDescent="0.25">
      <c r="L252" s="33"/>
    </row>
    <row r="253" spans="12:12" ht="33.75" customHeight="1" x14ac:dyDescent="0.25">
      <c r="L253" s="33"/>
    </row>
    <row r="254" spans="12:12" ht="33.75" customHeight="1" x14ac:dyDescent="0.25">
      <c r="L254" s="33"/>
    </row>
    <row r="255" spans="12:12" ht="33.75" customHeight="1" x14ac:dyDescent="0.25">
      <c r="L255" s="33"/>
    </row>
    <row r="256" spans="12:12" ht="33.75" customHeight="1" x14ac:dyDescent="0.25">
      <c r="L256" s="33"/>
    </row>
    <row r="257" spans="12:12" ht="33.75" customHeight="1" x14ac:dyDescent="0.25">
      <c r="L257" s="33"/>
    </row>
    <row r="258" spans="12:12" ht="33.75" customHeight="1" x14ac:dyDescent="0.25">
      <c r="L258" s="33"/>
    </row>
    <row r="259" spans="12:12" ht="33.75" customHeight="1" x14ac:dyDescent="0.25">
      <c r="L259" s="33"/>
    </row>
    <row r="260" spans="12:12" ht="33.75" customHeight="1" x14ac:dyDescent="0.25">
      <c r="L260" s="33"/>
    </row>
    <row r="261" spans="12:12" ht="33.75" customHeight="1" x14ac:dyDescent="0.25">
      <c r="L261" s="33"/>
    </row>
    <row r="262" spans="12:12" ht="33.75" customHeight="1" x14ac:dyDescent="0.25">
      <c r="L262" s="33"/>
    </row>
    <row r="263" spans="12:12" ht="33.75" customHeight="1" x14ac:dyDescent="0.25">
      <c r="L263" s="33"/>
    </row>
    <row r="264" spans="12:12" ht="33.75" customHeight="1" x14ac:dyDescent="0.25">
      <c r="L264" s="33"/>
    </row>
    <row r="265" spans="12:12" ht="33.75" customHeight="1" x14ac:dyDescent="0.25">
      <c r="L265" s="33"/>
    </row>
    <row r="266" spans="12:12" ht="33.75" customHeight="1" x14ac:dyDescent="0.25">
      <c r="L266" s="33"/>
    </row>
    <row r="267" spans="12:12" ht="33.75" customHeight="1" x14ac:dyDescent="0.25">
      <c r="L267" s="33"/>
    </row>
    <row r="268" spans="12:12" ht="33.75" customHeight="1" x14ac:dyDescent="0.25">
      <c r="L268" s="33"/>
    </row>
    <row r="269" spans="12:12" ht="33.75" customHeight="1" x14ac:dyDescent="0.25">
      <c r="L269" s="33"/>
    </row>
    <row r="270" spans="12:12" ht="33.75" customHeight="1" x14ac:dyDescent="0.25">
      <c r="L270" s="33"/>
    </row>
    <row r="271" spans="12:12" ht="33.75" customHeight="1" x14ac:dyDescent="0.25">
      <c r="L271" s="33"/>
    </row>
    <row r="272" spans="12:12" ht="33.75" customHeight="1" x14ac:dyDescent="0.25">
      <c r="L272" s="33"/>
    </row>
    <row r="273" spans="12:12" ht="33.75" customHeight="1" x14ac:dyDescent="0.25">
      <c r="L273" s="33"/>
    </row>
    <row r="274" spans="12:12" ht="33.75" customHeight="1" x14ac:dyDescent="0.25">
      <c r="L274" s="33"/>
    </row>
    <row r="275" spans="12:12" ht="33.75" customHeight="1" x14ac:dyDescent="0.25">
      <c r="L275" s="33"/>
    </row>
    <row r="276" spans="12:12" ht="33.75" customHeight="1" x14ac:dyDescent="0.25">
      <c r="L276" s="33"/>
    </row>
    <row r="277" spans="12:12" ht="33.75" customHeight="1" x14ac:dyDescent="0.25">
      <c r="L277" s="33"/>
    </row>
    <row r="278" spans="12:12" ht="33.75" customHeight="1" x14ac:dyDescent="0.25">
      <c r="L278" s="33"/>
    </row>
    <row r="279" spans="12:12" ht="33.75" customHeight="1" x14ac:dyDescent="0.25">
      <c r="L279" s="33"/>
    </row>
    <row r="280" spans="12:12" ht="33.75" customHeight="1" x14ac:dyDescent="0.25">
      <c r="L280" s="33"/>
    </row>
    <row r="281" spans="12:12" ht="33.75" customHeight="1" x14ac:dyDescent="0.25">
      <c r="L281" s="33"/>
    </row>
    <row r="282" spans="12:12" ht="33.75" customHeight="1" x14ac:dyDescent="0.25">
      <c r="L282" s="33"/>
    </row>
    <row r="283" spans="12:12" ht="33.75" customHeight="1" x14ac:dyDescent="0.25">
      <c r="L283" s="33"/>
    </row>
    <row r="284" spans="12:12" ht="33.75" customHeight="1" x14ac:dyDescent="0.25">
      <c r="L284" s="33"/>
    </row>
    <row r="285" spans="12:12" ht="33.75" customHeight="1" x14ac:dyDescent="0.25">
      <c r="L285" s="33"/>
    </row>
    <row r="286" spans="12:12" ht="33.75" customHeight="1" x14ac:dyDescent="0.25">
      <c r="L286" s="33"/>
    </row>
    <row r="287" spans="12:12" ht="33.75" customHeight="1" x14ac:dyDescent="0.25">
      <c r="L287" s="33"/>
    </row>
    <row r="288" spans="12:12" ht="33.75" customHeight="1" x14ac:dyDescent="0.25">
      <c r="L288" s="33"/>
    </row>
    <row r="289" spans="12:12" ht="33.75" customHeight="1" x14ac:dyDescent="0.25">
      <c r="L289" s="33"/>
    </row>
    <row r="290" spans="12:12" ht="33.75" customHeight="1" x14ac:dyDescent="0.25">
      <c r="L290" s="33"/>
    </row>
    <row r="291" spans="12:12" ht="33.75" customHeight="1" x14ac:dyDescent="0.25">
      <c r="L291" s="33"/>
    </row>
    <row r="292" spans="12:12" ht="33.75" customHeight="1" x14ac:dyDescent="0.25">
      <c r="L292" s="33"/>
    </row>
    <row r="293" spans="12:12" ht="33.75" customHeight="1" x14ac:dyDescent="0.25">
      <c r="L293" s="33"/>
    </row>
    <row r="294" spans="12:12" ht="33.75" customHeight="1" x14ac:dyDescent="0.25">
      <c r="L294" s="33"/>
    </row>
    <row r="295" spans="12:12" ht="33.75" customHeight="1" x14ac:dyDescent="0.25">
      <c r="L295" s="33"/>
    </row>
    <row r="296" spans="12:12" ht="33.75" customHeight="1" x14ac:dyDescent="0.25">
      <c r="L296" s="33"/>
    </row>
    <row r="297" spans="12:12" ht="33.75" customHeight="1" x14ac:dyDescent="0.25">
      <c r="L297" s="33"/>
    </row>
    <row r="298" spans="12:12" ht="33.75" customHeight="1" x14ac:dyDescent="0.25">
      <c r="L298" s="33"/>
    </row>
    <row r="299" spans="12:12" ht="33.75" customHeight="1" x14ac:dyDescent="0.25">
      <c r="L299" s="33"/>
    </row>
    <row r="300" spans="12:12" ht="33.75" customHeight="1" x14ac:dyDescent="0.25">
      <c r="L300" s="33"/>
    </row>
    <row r="301" spans="12:12" ht="33.75" customHeight="1" x14ac:dyDescent="0.25">
      <c r="L301" s="33"/>
    </row>
    <row r="302" spans="12:12" ht="33.75" customHeight="1" x14ac:dyDescent="0.25">
      <c r="L302" s="33"/>
    </row>
    <row r="303" spans="12:12" ht="33.75" customHeight="1" x14ac:dyDescent="0.25">
      <c r="L303" s="33"/>
    </row>
    <row r="304" spans="12:12" ht="33.75" customHeight="1" x14ac:dyDescent="0.25">
      <c r="L304" s="33"/>
    </row>
    <row r="305" spans="12:12" ht="33.75" customHeight="1" x14ac:dyDescent="0.25">
      <c r="L305" s="33"/>
    </row>
    <row r="306" spans="12:12" ht="33.75" customHeight="1" x14ac:dyDescent="0.25">
      <c r="L306" s="33"/>
    </row>
    <row r="307" spans="12:12" ht="33.75" customHeight="1" x14ac:dyDescent="0.25">
      <c r="L307" s="33"/>
    </row>
    <row r="308" spans="12:12" ht="33.75" customHeight="1" x14ac:dyDescent="0.25">
      <c r="L308" s="33"/>
    </row>
    <row r="309" spans="12:12" ht="33.75" customHeight="1" x14ac:dyDescent="0.25">
      <c r="L309" s="33"/>
    </row>
    <row r="310" spans="12:12" ht="33.75" customHeight="1" x14ac:dyDescent="0.25">
      <c r="L310" s="33"/>
    </row>
    <row r="311" spans="12:12" ht="33.75" customHeight="1" x14ac:dyDescent="0.25">
      <c r="L311" s="33"/>
    </row>
    <row r="312" spans="12:12" ht="33.75" customHeight="1" x14ac:dyDescent="0.25">
      <c r="L312" s="33"/>
    </row>
    <row r="313" spans="12:12" ht="33.75" customHeight="1" x14ac:dyDescent="0.25">
      <c r="L313" s="33"/>
    </row>
    <row r="314" spans="12:12" ht="33.75" customHeight="1" x14ac:dyDescent="0.25">
      <c r="L314" s="33"/>
    </row>
    <row r="315" spans="12:12" ht="33.75" customHeight="1" x14ac:dyDescent="0.25">
      <c r="L315" s="33"/>
    </row>
    <row r="316" spans="12:12" ht="33.75" customHeight="1" x14ac:dyDescent="0.25">
      <c r="L316" s="33"/>
    </row>
    <row r="317" spans="12:12" ht="33.75" customHeight="1" x14ac:dyDescent="0.25">
      <c r="L317" s="33"/>
    </row>
    <row r="318" spans="12:12" ht="33.75" customHeight="1" x14ac:dyDescent="0.25">
      <c r="L318" s="33"/>
    </row>
    <row r="319" spans="12:12" ht="33.75" customHeight="1" x14ac:dyDescent="0.25">
      <c r="L319" s="33"/>
    </row>
    <row r="320" spans="12:12" ht="33.75" customHeight="1" x14ac:dyDescent="0.25">
      <c r="L320" s="33"/>
    </row>
    <row r="321" spans="12:12" ht="33.75" customHeight="1" x14ac:dyDescent="0.25">
      <c r="L321" s="33"/>
    </row>
    <row r="322" spans="12:12" ht="33.75" customHeight="1" x14ac:dyDescent="0.25">
      <c r="L322" s="33"/>
    </row>
    <row r="323" spans="12:12" ht="33.75" customHeight="1" x14ac:dyDescent="0.25">
      <c r="L323" s="33"/>
    </row>
    <row r="324" spans="12:12" ht="33.75" customHeight="1" x14ac:dyDescent="0.25">
      <c r="L324" s="33"/>
    </row>
    <row r="325" spans="12:12" ht="33.75" customHeight="1" x14ac:dyDescent="0.25">
      <c r="L325" s="33"/>
    </row>
    <row r="326" spans="12:12" ht="33.75" customHeight="1" x14ac:dyDescent="0.25">
      <c r="L326" s="33"/>
    </row>
    <row r="327" spans="12:12" ht="33.75" customHeight="1" x14ac:dyDescent="0.25">
      <c r="L327" s="33"/>
    </row>
    <row r="328" spans="12:12" ht="33.75" customHeight="1" x14ac:dyDescent="0.25">
      <c r="L328" s="33"/>
    </row>
    <row r="329" spans="12:12" ht="33.75" customHeight="1" x14ac:dyDescent="0.25">
      <c r="L329" s="33"/>
    </row>
    <row r="330" spans="12:12" ht="33.75" customHeight="1" x14ac:dyDescent="0.25">
      <c r="L330" s="33"/>
    </row>
    <row r="331" spans="12:12" ht="33.75" customHeight="1" x14ac:dyDescent="0.25">
      <c r="L331" s="33"/>
    </row>
    <row r="332" spans="12:12" ht="33.75" customHeight="1" x14ac:dyDescent="0.25">
      <c r="L332" s="33"/>
    </row>
    <row r="333" spans="12:12" ht="33.75" customHeight="1" x14ac:dyDescent="0.25">
      <c r="L333" s="33"/>
    </row>
    <row r="334" spans="12:12" ht="33.75" customHeight="1" x14ac:dyDescent="0.25">
      <c r="L334" s="33"/>
    </row>
    <row r="335" spans="12:12" ht="33.75" customHeight="1" x14ac:dyDescent="0.25">
      <c r="L335" s="33"/>
    </row>
    <row r="336" spans="12:12" ht="33.75" customHeight="1" x14ac:dyDescent="0.25">
      <c r="L336" s="33"/>
    </row>
    <row r="337" spans="12:12" ht="33.75" customHeight="1" x14ac:dyDescent="0.25">
      <c r="L337" s="33"/>
    </row>
    <row r="338" spans="12:12" ht="33.75" customHeight="1" x14ac:dyDescent="0.25">
      <c r="L338" s="33"/>
    </row>
    <row r="339" spans="12:12" ht="33.75" customHeight="1" x14ac:dyDescent="0.25">
      <c r="L339" s="33"/>
    </row>
    <row r="340" spans="12:12" ht="33.75" customHeight="1" x14ac:dyDescent="0.25">
      <c r="L340" s="33"/>
    </row>
    <row r="341" spans="12:12" ht="33.75" customHeight="1" x14ac:dyDescent="0.25">
      <c r="L341" s="33"/>
    </row>
    <row r="342" spans="12:12" ht="33.75" customHeight="1" x14ac:dyDescent="0.25">
      <c r="L342" s="33"/>
    </row>
    <row r="343" spans="12:12" ht="33.75" customHeight="1" x14ac:dyDescent="0.25">
      <c r="L343" s="33"/>
    </row>
    <row r="344" spans="12:12" ht="33.75" customHeight="1" x14ac:dyDescent="0.25">
      <c r="L344" s="33"/>
    </row>
    <row r="345" spans="12:12" ht="33.75" customHeight="1" x14ac:dyDescent="0.25">
      <c r="L345" s="33"/>
    </row>
    <row r="346" spans="12:12" ht="33.75" customHeight="1" x14ac:dyDescent="0.25">
      <c r="L346" s="33"/>
    </row>
    <row r="347" spans="12:12" ht="33.75" customHeight="1" x14ac:dyDescent="0.25">
      <c r="L347" s="33"/>
    </row>
    <row r="348" spans="12:12" ht="33.75" customHeight="1" x14ac:dyDescent="0.25">
      <c r="L348" s="33"/>
    </row>
    <row r="349" spans="12:12" ht="33.75" customHeight="1" x14ac:dyDescent="0.25">
      <c r="L349" s="33"/>
    </row>
    <row r="350" spans="12:12" ht="33.75" customHeight="1" x14ac:dyDescent="0.25">
      <c r="L350" s="33"/>
    </row>
    <row r="351" spans="12:12" ht="33.75" customHeight="1" x14ac:dyDescent="0.25">
      <c r="L351" s="33"/>
    </row>
    <row r="352" spans="12:12" ht="33.75" customHeight="1" x14ac:dyDescent="0.25">
      <c r="L352" s="33"/>
    </row>
    <row r="353" spans="12:12" ht="33.75" customHeight="1" x14ac:dyDescent="0.25">
      <c r="L353" s="33"/>
    </row>
    <row r="354" spans="12:12" ht="33.75" customHeight="1" x14ac:dyDescent="0.25">
      <c r="L354" s="33"/>
    </row>
    <row r="355" spans="12:12" ht="33.75" customHeight="1" x14ac:dyDescent="0.25">
      <c r="L355" s="33"/>
    </row>
    <row r="356" spans="12:12" ht="33.75" customHeight="1" x14ac:dyDescent="0.25">
      <c r="L356" s="33"/>
    </row>
    <row r="357" spans="12:12" ht="33.75" customHeight="1" x14ac:dyDescent="0.25">
      <c r="L357" s="33"/>
    </row>
    <row r="358" spans="12:12" ht="33.75" customHeight="1" x14ac:dyDescent="0.25">
      <c r="L358" s="33"/>
    </row>
    <row r="359" spans="12:12" ht="33.75" customHeight="1" x14ac:dyDescent="0.25">
      <c r="L359" s="33"/>
    </row>
    <row r="360" spans="12:12" ht="33.75" customHeight="1" x14ac:dyDescent="0.25">
      <c r="L360" s="33"/>
    </row>
    <row r="361" spans="12:12" ht="33.75" customHeight="1" x14ac:dyDescent="0.25">
      <c r="L361" s="33"/>
    </row>
    <row r="362" spans="12:12" ht="33.75" customHeight="1" x14ac:dyDescent="0.25">
      <c r="L362" s="33"/>
    </row>
    <row r="363" spans="12:12" ht="33.75" customHeight="1" x14ac:dyDescent="0.25">
      <c r="L363" s="33"/>
    </row>
    <row r="364" spans="12:12" ht="33.75" customHeight="1" x14ac:dyDescent="0.25">
      <c r="L364" s="33"/>
    </row>
    <row r="365" spans="12:12" ht="33.75" customHeight="1" x14ac:dyDescent="0.25">
      <c r="L365" s="33"/>
    </row>
    <row r="366" spans="12:12" ht="33.75" customHeight="1" x14ac:dyDescent="0.25">
      <c r="L366" s="33"/>
    </row>
    <row r="367" spans="12:12" ht="33.75" customHeight="1" x14ac:dyDescent="0.25">
      <c r="L367" s="33"/>
    </row>
    <row r="368" spans="12:12" ht="33.75" customHeight="1" x14ac:dyDescent="0.25">
      <c r="L368" s="33"/>
    </row>
    <row r="369" spans="12:12" ht="33.75" customHeight="1" x14ac:dyDescent="0.25">
      <c r="L369" s="33"/>
    </row>
    <row r="370" spans="12:12" ht="33.75" customHeight="1" x14ac:dyDescent="0.25">
      <c r="L370" s="33"/>
    </row>
    <row r="371" spans="12:12" ht="33.75" customHeight="1" x14ac:dyDescent="0.25">
      <c r="L371" s="33"/>
    </row>
    <row r="372" spans="12:12" ht="33.75" customHeight="1" x14ac:dyDescent="0.25">
      <c r="L372" s="33"/>
    </row>
    <row r="373" spans="12:12" ht="33.75" customHeight="1" x14ac:dyDescent="0.25">
      <c r="L373" s="33"/>
    </row>
    <row r="374" spans="12:12" ht="33.75" customHeight="1" x14ac:dyDescent="0.25">
      <c r="L374" s="33"/>
    </row>
    <row r="375" spans="12:12" ht="33.75" customHeight="1" x14ac:dyDescent="0.25">
      <c r="L375" s="33"/>
    </row>
    <row r="376" spans="12:12" ht="33.75" customHeight="1" x14ac:dyDescent="0.25">
      <c r="L376" s="33"/>
    </row>
    <row r="377" spans="12:12" ht="33.75" customHeight="1" x14ac:dyDescent="0.25">
      <c r="L377" s="33"/>
    </row>
    <row r="378" spans="12:12" ht="33.75" customHeight="1" x14ac:dyDescent="0.25">
      <c r="L378" s="33"/>
    </row>
    <row r="379" spans="12:12" ht="33.75" customHeight="1" x14ac:dyDescent="0.25">
      <c r="L379" s="33"/>
    </row>
    <row r="380" spans="12:12" ht="33.75" customHeight="1" x14ac:dyDescent="0.25">
      <c r="L380" s="33"/>
    </row>
    <row r="381" spans="12:12" ht="33.75" customHeight="1" x14ac:dyDescent="0.25">
      <c r="L381" s="33"/>
    </row>
    <row r="382" spans="12:12" ht="33.75" customHeight="1" x14ac:dyDescent="0.25">
      <c r="L382" s="33"/>
    </row>
    <row r="383" spans="12:12" ht="33.75" customHeight="1" x14ac:dyDescent="0.25">
      <c r="L383" s="33"/>
    </row>
    <row r="384" spans="12:12" ht="33.75" customHeight="1" x14ac:dyDescent="0.25">
      <c r="L384" s="33"/>
    </row>
    <row r="385" spans="12:12" ht="33.75" customHeight="1" x14ac:dyDescent="0.25">
      <c r="L385" s="33"/>
    </row>
    <row r="386" spans="12:12" ht="33.75" customHeight="1" x14ac:dyDescent="0.25">
      <c r="L386" s="33"/>
    </row>
    <row r="387" spans="12:12" ht="33.75" customHeight="1" x14ac:dyDescent="0.25">
      <c r="L387" s="33"/>
    </row>
    <row r="388" spans="12:12" ht="33.75" customHeight="1" x14ac:dyDescent="0.25">
      <c r="L388" s="33"/>
    </row>
    <row r="389" spans="12:12" ht="33.75" customHeight="1" x14ac:dyDescent="0.25">
      <c r="L389" s="33"/>
    </row>
    <row r="390" spans="12:12" ht="33.75" customHeight="1" x14ac:dyDescent="0.25">
      <c r="L390" s="33"/>
    </row>
    <row r="391" spans="12:12" ht="33.75" customHeight="1" x14ac:dyDescent="0.25">
      <c r="L391" s="33"/>
    </row>
    <row r="392" spans="12:12" ht="33.75" customHeight="1" x14ac:dyDescent="0.25">
      <c r="L392" s="33"/>
    </row>
    <row r="393" spans="12:12" ht="33.75" customHeight="1" x14ac:dyDescent="0.25">
      <c r="L393" s="33"/>
    </row>
    <row r="394" spans="12:12" ht="33.75" customHeight="1" x14ac:dyDescent="0.25">
      <c r="L394" s="33"/>
    </row>
    <row r="395" spans="12:12" ht="33.75" customHeight="1" x14ac:dyDescent="0.25">
      <c r="L395" s="33"/>
    </row>
    <row r="396" spans="12:12" ht="33.75" customHeight="1" x14ac:dyDescent="0.25">
      <c r="L396" s="33"/>
    </row>
    <row r="397" spans="12:12" ht="33.75" customHeight="1" x14ac:dyDescent="0.25">
      <c r="L397" s="33"/>
    </row>
    <row r="398" spans="12:12" ht="33.75" customHeight="1" x14ac:dyDescent="0.25">
      <c r="L398" s="33"/>
    </row>
    <row r="399" spans="12:12" ht="33.75" customHeight="1" x14ac:dyDescent="0.25">
      <c r="L399" s="33"/>
    </row>
    <row r="400" spans="12:12" ht="33.75" customHeight="1" x14ac:dyDescent="0.25">
      <c r="L400" s="33"/>
    </row>
    <row r="401" spans="12:12" ht="33.75" customHeight="1" x14ac:dyDescent="0.25">
      <c r="L401" s="33"/>
    </row>
    <row r="402" spans="12:12" ht="33.75" customHeight="1" x14ac:dyDescent="0.25">
      <c r="L402" s="33"/>
    </row>
    <row r="403" spans="12:12" ht="33.75" customHeight="1" x14ac:dyDescent="0.25">
      <c r="L403" s="33"/>
    </row>
    <row r="404" spans="12:12" ht="33.75" customHeight="1" x14ac:dyDescent="0.25">
      <c r="L404" s="33"/>
    </row>
    <row r="405" spans="12:12" ht="33.75" customHeight="1" x14ac:dyDescent="0.25">
      <c r="L405" s="33"/>
    </row>
    <row r="406" spans="12:12" ht="33.75" customHeight="1" x14ac:dyDescent="0.25">
      <c r="L406" s="33"/>
    </row>
    <row r="407" spans="12:12" ht="33.75" customHeight="1" x14ac:dyDescent="0.25">
      <c r="L407" s="33"/>
    </row>
    <row r="408" spans="12:12" ht="33.75" customHeight="1" x14ac:dyDescent="0.25">
      <c r="L408" s="33"/>
    </row>
    <row r="409" spans="12:12" ht="33.75" customHeight="1" x14ac:dyDescent="0.25">
      <c r="L409" s="33"/>
    </row>
    <row r="410" spans="12:12" ht="33.75" customHeight="1" x14ac:dyDescent="0.25">
      <c r="L410" s="33"/>
    </row>
    <row r="411" spans="12:12" ht="33.75" customHeight="1" x14ac:dyDescent="0.25">
      <c r="L411" s="33"/>
    </row>
    <row r="412" spans="12:12" ht="33.75" customHeight="1" x14ac:dyDescent="0.25">
      <c r="L412" s="33"/>
    </row>
    <row r="413" spans="12:12" ht="33.75" customHeight="1" x14ac:dyDescent="0.25">
      <c r="L413" s="33"/>
    </row>
    <row r="414" spans="12:12" ht="33.75" customHeight="1" x14ac:dyDescent="0.25">
      <c r="L414" s="33"/>
    </row>
    <row r="415" spans="12:12" ht="33.75" customHeight="1" x14ac:dyDescent="0.25">
      <c r="L415" s="33"/>
    </row>
    <row r="416" spans="12:12" ht="33.75" customHeight="1" x14ac:dyDescent="0.25">
      <c r="L416" s="33"/>
    </row>
    <row r="417" spans="12:12" ht="33.75" customHeight="1" x14ac:dyDescent="0.25">
      <c r="L417" s="33"/>
    </row>
    <row r="418" spans="12:12" ht="33.75" customHeight="1" x14ac:dyDescent="0.25">
      <c r="L418" s="33"/>
    </row>
    <row r="419" spans="12:12" ht="33.75" customHeight="1" x14ac:dyDescent="0.25">
      <c r="L419" s="33"/>
    </row>
    <row r="420" spans="12:12" ht="33.75" customHeight="1" x14ac:dyDescent="0.25">
      <c r="L420" s="33"/>
    </row>
    <row r="421" spans="12:12" ht="33.75" customHeight="1" x14ac:dyDescent="0.25">
      <c r="L421" s="33"/>
    </row>
    <row r="422" spans="12:12" ht="33.75" customHeight="1" x14ac:dyDescent="0.25">
      <c r="L422" s="33"/>
    </row>
    <row r="423" spans="12:12" ht="33.75" customHeight="1" x14ac:dyDescent="0.25">
      <c r="L423" s="33"/>
    </row>
    <row r="424" spans="12:12" ht="33.75" customHeight="1" x14ac:dyDescent="0.25">
      <c r="L424" s="33"/>
    </row>
    <row r="425" spans="12:12" ht="33.75" customHeight="1" x14ac:dyDescent="0.25">
      <c r="L425" s="33"/>
    </row>
    <row r="426" spans="12:12" ht="33.75" customHeight="1" x14ac:dyDescent="0.25">
      <c r="L426" s="33"/>
    </row>
    <row r="427" spans="12:12" ht="33.75" customHeight="1" x14ac:dyDescent="0.25">
      <c r="L427" s="33"/>
    </row>
    <row r="428" spans="12:12" ht="33.75" customHeight="1" x14ac:dyDescent="0.25">
      <c r="L428" s="33"/>
    </row>
    <row r="429" spans="12:12" ht="33.75" customHeight="1" x14ac:dyDescent="0.25">
      <c r="L429" s="33"/>
    </row>
    <row r="430" spans="12:12" ht="33.75" customHeight="1" x14ac:dyDescent="0.25">
      <c r="L430" s="33"/>
    </row>
    <row r="431" spans="12:12" ht="33.75" customHeight="1" x14ac:dyDescent="0.25">
      <c r="L431" s="33"/>
    </row>
    <row r="432" spans="12:12" ht="33.75" customHeight="1" x14ac:dyDescent="0.25">
      <c r="L432" s="33"/>
    </row>
    <row r="433" spans="12:12" ht="33.75" customHeight="1" x14ac:dyDescent="0.25">
      <c r="L433" s="33"/>
    </row>
    <row r="434" spans="12:12" ht="33.75" customHeight="1" x14ac:dyDescent="0.25">
      <c r="L434" s="33"/>
    </row>
    <row r="435" spans="12:12" ht="33.75" customHeight="1" x14ac:dyDescent="0.25">
      <c r="L435" s="33"/>
    </row>
    <row r="436" spans="12:12" ht="33.75" customHeight="1" x14ac:dyDescent="0.25">
      <c r="L436" s="33"/>
    </row>
    <row r="437" spans="12:12" ht="33.75" customHeight="1" x14ac:dyDescent="0.25">
      <c r="L437" s="33"/>
    </row>
    <row r="438" spans="12:12" ht="33.75" customHeight="1" x14ac:dyDescent="0.25">
      <c r="L438" s="33"/>
    </row>
    <row r="439" spans="12:12" ht="33.75" customHeight="1" x14ac:dyDescent="0.25">
      <c r="L439" s="33"/>
    </row>
    <row r="440" spans="12:12" ht="33.75" customHeight="1" x14ac:dyDescent="0.25">
      <c r="L440" s="33"/>
    </row>
    <row r="441" spans="12:12" ht="33.75" customHeight="1" x14ac:dyDescent="0.25">
      <c r="L441" s="33"/>
    </row>
    <row r="442" spans="12:12" ht="33.75" customHeight="1" x14ac:dyDescent="0.25">
      <c r="L442" s="33"/>
    </row>
    <row r="443" spans="12:12" ht="33.75" customHeight="1" x14ac:dyDescent="0.25">
      <c r="L443" s="33"/>
    </row>
    <row r="444" spans="12:12" ht="33.75" customHeight="1" x14ac:dyDescent="0.25">
      <c r="L444" s="33"/>
    </row>
    <row r="445" spans="12:12" ht="33.75" customHeight="1" x14ac:dyDescent="0.25">
      <c r="L445" s="33"/>
    </row>
    <row r="446" spans="12:12" ht="33.75" customHeight="1" x14ac:dyDescent="0.25">
      <c r="L446" s="33"/>
    </row>
    <row r="447" spans="12:12" ht="33.75" customHeight="1" x14ac:dyDescent="0.25">
      <c r="L447" s="33"/>
    </row>
    <row r="448" spans="12:12" ht="33.75" customHeight="1" x14ac:dyDescent="0.25">
      <c r="L448" s="33"/>
    </row>
    <row r="449" spans="12:12" ht="33.75" customHeight="1" x14ac:dyDescent="0.25">
      <c r="L449" s="33"/>
    </row>
    <row r="450" spans="12:12" ht="33.75" customHeight="1" x14ac:dyDescent="0.25">
      <c r="L450" s="33"/>
    </row>
    <row r="451" spans="12:12" ht="33.75" customHeight="1" x14ac:dyDescent="0.25">
      <c r="L451" s="33"/>
    </row>
    <row r="452" spans="12:12" ht="33.75" customHeight="1" x14ac:dyDescent="0.25">
      <c r="L452" s="33"/>
    </row>
    <row r="453" spans="12:12" ht="33.75" customHeight="1" x14ac:dyDescent="0.25">
      <c r="L453" s="33"/>
    </row>
    <row r="454" spans="12:12" ht="33.75" customHeight="1" x14ac:dyDescent="0.25">
      <c r="L454" s="33"/>
    </row>
    <row r="455" spans="12:12" ht="33.75" customHeight="1" x14ac:dyDescent="0.25">
      <c r="L455" s="33"/>
    </row>
    <row r="456" spans="12:12" ht="33.75" customHeight="1" x14ac:dyDescent="0.25">
      <c r="L456" s="33"/>
    </row>
    <row r="457" spans="12:12" ht="33.75" customHeight="1" x14ac:dyDescent="0.25">
      <c r="L457" s="33"/>
    </row>
    <row r="458" spans="12:12" ht="33.75" customHeight="1" x14ac:dyDescent="0.25">
      <c r="L458" s="33"/>
    </row>
    <row r="459" spans="12:12" ht="33.75" customHeight="1" x14ac:dyDescent="0.25">
      <c r="L459" s="33"/>
    </row>
    <row r="460" spans="12:12" ht="33.75" customHeight="1" x14ac:dyDescent="0.25">
      <c r="L460" s="33"/>
    </row>
    <row r="461" spans="12:12" ht="33.75" customHeight="1" x14ac:dyDescent="0.25">
      <c r="L461" s="33"/>
    </row>
    <row r="462" spans="12:12" ht="33.75" customHeight="1" x14ac:dyDescent="0.25">
      <c r="L462" s="33"/>
    </row>
    <row r="463" spans="12:12" ht="33.75" customHeight="1" x14ac:dyDescent="0.25">
      <c r="L463" s="33"/>
    </row>
    <row r="464" spans="12:12" ht="33.75" customHeight="1" x14ac:dyDescent="0.25">
      <c r="L464" s="33"/>
    </row>
    <row r="465" spans="12:12" ht="33.75" customHeight="1" x14ac:dyDescent="0.25">
      <c r="L465" s="33"/>
    </row>
    <row r="466" spans="12:12" ht="33.75" customHeight="1" x14ac:dyDescent="0.25">
      <c r="L466" s="33"/>
    </row>
    <row r="467" spans="12:12" ht="33.75" customHeight="1" x14ac:dyDescent="0.25">
      <c r="L467" s="33"/>
    </row>
    <row r="468" spans="12:12" ht="33.75" customHeight="1" x14ac:dyDescent="0.25">
      <c r="L468" s="33"/>
    </row>
    <row r="469" spans="12:12" ht="33.75" customHeight="1" x14ac:dyDescent="0.25">
      <c r="L469" s="33"/>
    </row>
    <row r="470" spans="12:12" ht="33.75" customHeight="1" x14ac:dyDescent="0.25">
      <c r="L470" s="33"/>
    </row>
    <row r="471" spans="12:12" ht="33.75" customHeight="1" x14ac:dyDescent="0.25">
      <c r="L471" s="33"/>
    </row>
    <row r="472" spans="12:12" ht="33.75" customHeight="1" x14ac:dyDescent="0.25">
      <c r="L472" s="33"/>
    </row>
    <row r="473" spans="12:12" ht="33.75" customHeight="1" x14ac:dyDescent="0.25">
      <c r="L473" s="33"/>
    </row>
    <row r="474" spans="12:12" ht="33.75" customHeight="1" x14ac:dyDescent="0.25">
      <c r="L474" s="33"/>
    </row>
    <row r="475" spans="12:12" ht="33.75" customHeight="1" x14ac:dyDescent="0.25">
      <c r="L475" s="33"/>
    </row>
    <row r="476" spans="12:12" ht="33.75" customHeight="1" x14ac:dyDescent="0.25">
      <c r="L476" s="33"/>
    </row>
    <row r="477" spans="12:12" ht="33.75" customHeight="1" x14ac:dyDescent="0.25">
      <c r="L477" s="33"/>
    </row>
    <row r="478" spans="12:12" ht="33.75" customHeight="1" x14ac:dyDescent="0.25">
      <c r="L478" s="33"/>
    </row>
    <row r="479" spans="12:12" ht="33.75" customHeight="1" x14ac:dyDescent="0.25">
      <c r="L479" s="33"/>
    </row>
    <row r="480" spans="12:12" ht="33.75" customHeight="1" x14ac:dyDescent="0.25">
      <c r="L480" s="33"/>
    </row>
    <row r="481" spans="12:12" ht="33.75" customHeight="1" x14ac:dyDescent="0.25">
      <c r="L481" s="33"/>
    </row>
    <row r="482" spans="12:12" ht="33.75" customHeight="1" x14ac:dyDescent="0.25">
      <c r="L482" s="33"/>
    </row>
    <row r="483" spans="12:12" ht="33.75" customHeight="1" x14ac:dyDescent="0.25">
      <c r="L483" s="33"/>
    </row>
    <row r="484" spans="12:12" ht="33.75" customHeight="1" x14ac:dyDescent="0.25">
      <c r="L484" s="33"/>
    </row>
    <row r="485" spans="12:12" ht="33.75" customHeight="1" x14ac:dyDescent="0.25">
      <c r="L485" s="33"/>
    </row>
    <row r="486" spans="12:12" ht="33.75" customHeight="1" x14ac:dyDescent="0.25">
      <c r="L486" s="33"/>
    </row>
    <row r="487" spans="12:12" ht="33.75" customHeight="1" x14ac:dyDescent="0.25">
      <c r="L487" s="33"/>
    </row>
    <row r="488" spans="12:12" ht="33.75" customHeight="1" x14ac:dyDescent="0.25">
      <c r="L488" s="33"/>
    </row>
    <row r="489" spans="12:12" ht="33.75" customHeight="1" x14ac:dyDescent="0.25">
      <c r="L489" s="33"/>
    </row>
    <row r="490" spans="12:12" ht="33.75" customHeight="1" x14ac:dyDescent="0.25">
      <c r="L490" s="33"/>
    </row>
    <row r="491" spans="12:12" ht="33.75" customHeight="1" x14ac:dyDescent="0.25">
      <c r="L491" s="33"/>
    </row>
    <row r="492" spans="12:12" ht="33.75" customHeight="1" x14ac:dyDescent="0.25">
      <c r="L492" s="33"/>
    </row>
    <row r="493" spans="12:12" ht="33.75" customHeight="1" x14ac:dyDescent="0.25">
      <c r="L493" s="33"/>
    </row>
    <row r="494" spans="12:12" ht="33.75" customHeight="1" x14ac:dyDescent="0.25">
      <c r="L494" s="33"/>
    </row>
    <row r="495" spans="12:12" ht="33.75" customHeight="1" x14ac:dyDescent="0.25">
      <c r="L495" s="33"/>
    </row>
    <row r="496" spans="12:12" ht="33.75" customHeight="1" x14ac:dyDescent="0.25">
      <c r="L496" s="33"/>
    </row>
    <row r="497" spans="12:12" ht="33.75" customHeight="1" x14ac:dyDescent="0.25">
      <c r="L497" s="33"/>
    </row>
    <row r="498" spans="12:12" ht="33.75" customHeight="1" x14ac:dyDescent="0.25">
      <c r="L498" s="33"/>
    </row>
    <row r="499" spans="12:12" ht="33.75" customHeight="1" x14ac:dyDescent="0.25">
      <c r="L499" s="33"/>
    </row>
    <row r="500" spans="12:12" ht="33.75" customHeight="1" x14ac:dyDescent="0.25">
      <c r="L500" s="33"/>
    </row>
    <row r="501" spans="12:12" ht="33.75" customHeight="1" x14ac:dyDescent="0.25">
      <c r="L501" s="33"/>
    </row>
    <row r="502" spans="12:12" ht="33.75" customHeight="1" x14ac:dyDescent="0.25">
      <c r="L502" s="33"/>
    </row>
    <row r="503" spans="12:12" ht="33.75" customHeight="1" x14ac:dyDescent="0.25">
      <c r="L503" s="33"/>
    </row>
    <row r="504" spans="12:12" ht="33.75" customHeight="1" x14ac:dyDescent="0.25">
      <c r="L504" s="33"/>
    </row>
    <row r="505" spans="12:12" ht="33.75" customHeight="1" x14ac:dyDescent="0.25">
      <c r="L505" s="33"/>
    </row>
    <row r="506" spans="12:12" ht="33.75" customHeight="1" x14ac:dyDescent="0.25">
      <c r="L506" s="33"/>
    </row>
    <row r="507" spans="12:12" ht="33.75" customHeight="1" x14ac:dyDescent="0.25">
      <c r="L507" s="33"/>
    </row>
    <row r="508" spans="12:12" ht="33.75" customHeight="1" x14ac:dyDescent="0.25">
      <c r="L508" s="33"/>
    </row>
    <row r="509" spans="12:12" ht="33.75" customHeight="1" x14ac:dyDescent="0.25">
      <c r="L509" s="33"/>
    </row>
    <row r="510" spans="12:12" ht="33.75" customHeight="1" x14ac:dyDescent="0.25"/>
    <row r="511" spans="12:12" ht="33.75" customHeight="1" x14ac:dyDescent="0.25"/>
    <row r="512" spans="12:12" ht="33.75" customHeight="1" x14ac:dyDescent="0.25"/>
    <row r="513" ht="33.75" customHeight="1" x14ac:dyDescent="0.25"/>
    <row r="514" ht="33.75" customHeight="1" x14ac:dyDescent="0.25"/>
    <row r="515" ht="33.75" customHeight="1" x14ac:dyDescent="0.25"/>
    <row r="516" ht="33.75" customHeight="1" x14ac:dyDescent="0.25"/>
    <row r="517" ht="33.75" customHeight="1" x14ac:dyDescent="0.25"/>
    <row r="518" ht="33.75" customHeight="1" x14ac:dyDescent="0.25"/>
    <row r="519" ht="33.75" customHeight="1" x14ac:dyDescent="0.25"/>
    <row r="520" ht="33.75" customHeight="1" x14ac:dyDescent="0.25"/>
    <row r="521" ht="33.75" customHeight="1" x14ac:dyDescent="0.25"/>
    <row r="522" ht="33.75" customHeight="1" x14ac:dyDescent="0.25"/>
    <row r="523" ht="33.75" customHeight="1" x14ac:dyDescent="0.25"/>
    <row r="524" ht="33.75" customHeight="1" x14ac:dyDescent="0.25"/>
    <row r="525" ht="33.75" customHeight="1" x14ac:dyDescent="0.25"/>
    <row r="526" ht="33.75" customHeight="1" x14ac:dyDescent="0.25"/>
    <row r="527" ht="33.75" customHeight="1" x14ac:dyDescent="0.25"/>
    <row r="528" ht="33.75" customHeight="1" x14ac:dyDescent="0.25"/>
    <row r="529" ht="33.75" customHeight="1" x14ac:dyDescent="0.25"/>
    <row r="530" ht="33.75" customHeight="1" x14ac:dyDescent="0.25"/>
    <row r="531" ht="33.75" customHeight="1" x14ac:dyDescent="0.25"/>
    <row r="532" ht="33.75" customHeight="1" x14ac:dyDescent="0.25"/>
    <row r="533" ht="33.75" customHeight="1" x14ac:dyDescent="0.25"/>
    <row r="534" ht="33.75" customHeight="1" x14ac:dyDescent="0.25"/>
    <row r="535" ht="33.75" customHeight="1" x14ac:dyDescent="0.25"/>
    <row r="536" ht="33.75" customHeight="1" x14ac:dyDescent="0.25"/>
    <row r="537" ht="33.75" customHeight="1" x14ac:dyDescent="0.25"/>
    <row r="538" ht="33.75" customHeight="1" x14ac:dyDescent="0.25"/>
    <row r="539" ht="33.75" customHeight="1" x14ac:dyDescent="0.25"/>
    <row r="540" ht="33.75" customHeight="1" x14ac:dyDescent="0.25"/>
    <row r="541" ht="33.75" customHeight="1" x14ac:dyDescent="0.25"/>
    <row r="542" ht="33.75" customHeight="1" x14ac:dyDescent="0.25"/>
    <row r="543" ht="33.75" customHeight="1" x14ac:dyDescent="0.25"/>
    <row r="544" ht="33.75" customHeight="1" x14ac:dyDescent="0.25"/>
    <row r="545" ht="33.75" customHeight="1" x14ac:dyDescent="0.25"/>
    <row r="546" ht="33.75" customHeight="1" x14ac:dyDescent="0.25"/>
    <row r="547" ht="33.75" customHeight="1" x14ac:dyDescent="0.25"/>
    <row r="548" ht="33.75" customHeight="1" x14ac:dyDescent="0.25"/>
    <row r="549" ht="33.75" customHeight="1" x14ac:dyDescent="0.25"/>
    <row r="550" ht="33.75" customHeight="1" x14ac:dyDescent="0.25"/>
    <row r="551" ht="33.75" customHeight="1" x14ac:dyDescent="0.25"/>
    <row r="552" ht="33.75" customHeight="1" x14ac:dyDescent="0.25"/>
    <row r="553" ht="33.75" customHeight="1" x14ac:dyDescent="0.25"/>
    <row r="554" ht="33.75" customHeight="1" x14ac:dyDescent="0.25"/>
    <row r="555" ht="33.75" customHeight="1" x14ac:dyDescent="0.25"/>
    <row r="556" ht="33.75" customHeight="1" x14ac:dyDescent="0.25"/>
    <row r="557" ht="33.75" customHeight="1" x14ac:dyDescent="0.25"/>
    <row r="558" ht="33.75" customHeight="1" x14ac:dyDescent="0.25"/>
    <row r="559" ht="33.75" customHeight="1" x14ac:dyDescent="0.25"/>
    <row r="560" ht="33.75" customHeight="1" x14ac:dyDescent="0.25"/>
    <row r="561" ht="33.75" customHeight="1" x14ac:dyDescent="0.25"/>
    <row r="562" ht="33.75" customHeight="1" x14ac:dyDescent="0.25"/>
    <row r="563" ht="33.75" customHeight="1" x14ac:dyDescent="0.25"/>
    <row r="564" ht="33.75" customHeight="1" x14ac:dyDescent="0.25"/>
    <row r="565" ht="33.75" customHeight="1" x14ac:dyDescent="0.25"/>
    <row r="566" ht="33.75" customHeight="1" x14ac:dyDescent="0.25"/>
    <row r="567" ht="33.75" customHeight="1" x14ac:dyDescent="0.25"/>
    <row r="568" ht="33.75" customHeight="1" x14ac:dyDescent="0.25"/>
    <row r="569" ht="33.75" customHeight="1" x14ac:dyDescent="0.25"/>
    <row r="570" ht="33.75" customHeight="1" x14ac:dyDescent="0.25"/>
    <row r="571" ht="33.75" customHeight="1" x14ac:dyDescent="0.25"/>
    <row r="572" ht="33.75" customHeight="1" x14ac:dyDescent="0.25"/>
    <row r="573" ht="33.75" customHeight="1" x14ac:dyDescent="0.25"/>
    <row r="574" ht="33.75" customHeight="1" x14ac:dyDescent="0.25"/>
    <row r="575" ht="33.75" customHeight="1" x14ac:dyDescent="0.25"/>
    <row r="576" ht="33.75" customHeight="1" x14ac:dyDescent="0.25"/>
    <row r="577" ht="33.75" customHeight="1" x14ac:dyDescent="0.25"/>
    <row r="578" ht="33.75" customHeight="1" x14ac:dyDescent="0.25"/>
    <row r="579" ht="33.75" customHeight="1" x14ac:dyDescent="0.25"/>
    <row r="580" ht="33.75" customHeight="1" x14ac:dyDescent="0.25"/>
    <row r="581" ht="33.75" customHeight="1" x14ac:dyDescent="0.25"/>
    <row r="582" ht="33.75" customHeight="1" x14ac:dyDescent="0.25"/>
    <row r="583" ht="33.75" customHeight="1" x14ac:dyDescent="0.25"/>
    <row r="584" ht="33.75" customHeight="1" x14ac:dyDescent="0.25"/>
    <row r="585" ht="33.75" customHeight="1" x14ac:dyDescent="0.25"/>
    <row r="586" ht="33.75" customHeight="1" x14ac:dyDescent="0.25"/>
    <row r="587" ht="33.75" customHeight="1" x14ac:dyDescent="0.25"/>
    <row r="588" ht="33.75" customHeight="1" x14ac:dyDescent="0.25"/>
    <row r="589" ht="33.75" customHeight="1" x14ac:dyDescent="0.25"/>
    <row r="590" ht="33.75" customHeight="1" x14ac:dyDescent="0.25"/>
    <row r="591" ht="33.75" customHeight="1" x14ac:dyDescent="0.25"/>
    <row r="592" ht="33.75" customHeight="1" x14ac:dyDescent="0.25"/>
    <row r="593" ht="33.75" customHeight="1" x14ac:dyDescent="0.25"/>
    <row r="594" ht="33.75" customHeight="1" x14ac:dyDescent="0.25"/>
    <row r="595" ht="33.75" customHeight="1" x14ac:dyDescent="0.25"/>
    <row r="596" ht="33.75" customHeight="1" x14ac:dyDescent="0.25"/>
    <row r="597" ht="33.75" customHeight="1" x14ac:dyDescent="0.25"/>
    <row r="598" ht="33.75" customHeight="1" x14ac:dyDescent="0.25"/>
    <row r="599" ht="33.75" customHeight="1" x14ac:dyDescent="0.25"/>
    <row r="600" ht="33.75" customHeight="1" x14ac:dyDescent="0.25"/>
    <row r="601" ht="33.75" customHeight="1" x14ac:dyDescent="0.25"/>
    <row r="602" ht="33.75" customHeight="1" x14ac:dyDescent="0.25"/>
    <row r="603" ht="33.75" customHeight="1" x14ac:dyDescent="0.25"/>
    <row r="604" ht="33.75" customHeight="1" x14ac:dyDescent="0.25"/>
    <row r="605" ht="33.75" customHeight="1" x14ac:dyDescent="0.25"/>
    <row r="606" ht="33.75" customHeight="1" x14ac:dyDescent="0.25"/>
    <row r="607" ht="33.75" customHeight="1" x14ac:dyDescent="0.25"/>
    <row r="608" ht="33.75" customHeight="1" x14ac:dyDescent="0.25"/>
    <row r="609" ht="33.75" customHeight="1" x14ac:dyDescent="0.25"/>
    <row r="610" ht="33.75" customHeight="1" x14ac:dyDescent="0.25"/>
    <row r="611" ht="33.75" customHeight="1" x14ac:dyDescent="0.25"/>
    <row r="612" ht="33.75" customHeight="1" x14ac:dyDescent="0.25"/>
    <row r="613" ht="33.75" customHeight="1" x14ac:dyDescent="0.25"/>
    <row r="614" ht="33.75" customHeight="1" x14ac:dyDescent="0.25"/>
    <row r="615" ht="33.75" customHeight="1" x14ac:dyDescent="0.25"/>
    <row r="616" ht="33.75" customHeight="1" x14ac:dyDescent="0.25"/>
    <row r="617" ht="33.75" customHeight="1" x14ac:dyDescent="0.25"/>
    <row r="618" ht="33.75" customHeight="1" x14ac:dyDescent="0.25"/>
    <row r="619" ht="33.75" customHeight="1" x14ac:dyDescent="0.25"/>
    <row r="620" ht="33.75" customHeight="1" x14ac:dyDescent="0.25"/>
    <row r="621" ht="33.75" customHeight="1" x14ac:dyDescent="0.25"/>
    <row r="622" ht="33.75" customHeight="1" x14ac:dyDescent="0.25"/>
    <row r="623" ht="33.75" customHeight="1" x14ac:dyDescent="0.25"/>
    <row r="624" ht="33.75" customHeight="1" x14ac:dyDescent="0.25"/>
    <row r="625" ht="33.75" customHeight="1" x14ac:dyDescent="0.25"/>
    <row r="626" ht="33.75" customHeight="1" x14ac:dyDescent="0.25"/>
    <row r="627" ht="33.75" customHeight="1" x14ac:dyDescent="0.25"/>
    <row r="628" ht="33.75" customHeight="1" x14ac:dyDescent="0.25"/>
    <row r="629" ht="33.75" customHeight="1" x14ac:dyDescent="0.25"/>
    <row r="630" ht="33.75" customHeight="1" x14ac:dyDescent="0.25"/>
    <row r="631" ht="33.75" customHeight="1" x14ac:dyDescent="0.25"/>
    <row r="632" ht="33.75" customHeight="1" x14ac:dyDescent="0.25"/>
    <row r="633" ht="33.75" customHeight="1" x14ac:dyDescent="0.25"/>
    <row r="634" ht="33.75" customHeight="1" x14ac:dyDescent="0.25"/>
    <row r="635" ht="33.75" customHeight="1" x14ac:dyDescent="0.25"/>
    <row r="636" ht="33.75" customHeight="1" x14ac:dyDescent="0.25"/>
    <row r="637" ht="33.75" customHeight="1" x14ac:dyDescent="0.25"/>
    <row r="638" ht="33.75" customHeight="1" x14ac:dyDescent="0.25"/>
    <row r="639" ht="33.75" customHeight="1" x14ac:dyDescent="0.25"/>
    <row r="640" ht="33.75" customHeight="1" x14ac:dyDescent="0.25"/>
    <row r="641" ht="33.75" customHeight="1" x14ac:dyDescent="0.25"/>
    <row r="642" ht="33.75" customHeight="1" x14ac:dyDescent="0.25"/>
    <row r="643" ht="33.75" customHeight="1" x14ac:dyDescent="0.25"/>
    <row r="644" ht="33.75" customHeight="1" x14ac:dyDescent="0.25"/>
    <row r="645" ht="33.75" customHeight="1" x14ac:dyDescent="0.25"/>
    <row r="646" ht="33.75" customHeight="1" x14ac:dyDescent="0.25"/>
    <row r="647" ht="33.75" customHeight="1" x14ac:dyDescent="0.25"/>
    <row r="648" ht="33.75" customHeight="1" x14ac:dyDescent="0.25"/>
    <row r="649" ht="33.75" customHeight="1" x14ac:dyDescent="0.25"/>
    <row r="650" ht="33.75" customHeight="1" x14ac:dyDescent="0.25"/>
    <row r="651" ht="33.75" customHeight="1" x14ac:dyDescent="0.25"/>
    <row r="652" ht="33.75" customHeight="1" x14ac:dyDescent="0.25"/>
    <row r="653" ht="33.75" customHeight="1" x14ac:dyDescent="0.25"/>
    <row r="654" ht="33.75" customHeight="1" x14ac:dyDescent="0.25"/>
    <row r="655" ht="33.75" customHeight="1" x14ac:dyDescent="0.25"/>
    <row r="656" ht="33.75" customHeight="1" x14ac:dyDescent="0.25"/>
    <row r="657" ht="33.75" customHeight="1" x14ac:dyDescent="0.25"/>
    <row r="658" ht="33.75" customHeight="1" x14ac:dyDescent="0.25"/>
    <row r="659" ht="33.75" customHeight="1" x14ac:dyDescent="0.25"/>
    <row r="660" ht="33.75" customHeight="1" x14ac:dyDescent="0.25"/>
    <row r="661" ht="33.75" customHeight="1" x14ac:dyDescent="0.25"/>
    <row r="662" ht="33.75" customHeight="1" x14ac:dyDescent="0.25"/>
    <row r="663" ht="33.75" customHeight="1" x14ac:dyDescent="0.25"/>
    <row r="664" ht="33.75" customHeight="1" x14ac:dyDescent="0.25"/>
    <row r="665" ht="33.75" customHeight="1" x14ac:dyDescent="0.25"/>
    <row r="666" ht="33.75" customHeight="1" x14ac:dyDescent="0.25"/>
    <row r="667" ht="33.75" customHeight="1" x14ac:dyDescent="0.25"/>
    <row r="668" ht="33.75" customHeight="1" x14ac:dyDescent="0.25"/>
    <row r="669" ht="33.75" customHeight="1" x14ac:dyDescent="0.25"/>
    <row r="670" ht="33.75" customHeight="1" x14ac:dyDescent="0.25"/>
    <row r="671" ht="33.75" customHeight="1" x14ac:dyDescent="0.25"/>
    <row r="672" ht="33.75" customHeight="1" x14ac:dyDescent="0.25"/>
    <row r="673" ht="33.75" customHeight="1" x14ac:dyDescent="0.25"/>
    <row r="674" ht="33.75" customHeight="1" x14ac:dyDescent="0.25"/>
    <row r="675" ht="33.75" customHeight="1" x14ac:dyDescent="0.25"/>
    <row r="676" ht="33.75" customHeight="1" x14ac:dyDescent="0.25"/>
    <row r="677" ht="33.75" customHeight="1" x14ac:dyDescent="0.25"/>
    <row r="678" ht="33.75" customHeight="1" x14ac:dyDescent="0.25"/>
    <row r="679" ht="33.75" customHeight="1" x14ac:dyDescent="0.25"/>
    <row r="680" ht="33.75" customHeight="1" x14ac:dyDescent="0.25"/>
    <row r="681" ht="33.75" customHeight="1" x14ac:dyDescent="0.25"/>
    <row r="682" ht="33.75" customHeight="1" x14ac:dyDescent="0.25"/>
    <row r="683" ht="33.75" customHeight="1" x14ac:dyDescent="0.25"/>
    <row r="684" ht="33.75" customHeight="1" x14ac:dyDescent="0.25"/>
    <row r="685" ht="33.75" customHeight="1" x14ac:dyDescent="0.25"/>
    <row r="686" ht="33.75" customHeight="1" x14ac:dyDescent="0.25"/>
    <row r="687" ht="33.75" customHeight="1" x14ac:dyDescent="0.25"/>
    <row r="688" ht="33.75" customHeight="1" x14ac:dyDescent="0.25"/>
    <row r="689" ht="33.75" customHeight="1" x14ac:dyDescent="0.25"/>
    <row r="690" ht="33.75" customHeight="1" x14ac:dyDescent="0.25"/>
    <row r="691" ht="33.75" customHeight="1" x14ac:dyDescent="0.25"/>
    <row r="692" ht="33.75" customHeight="1" x14ac:dyDescent="0.25"/>
    <row r="693" ht="33.75" customHeight="1" x14ac:dyDescent="0.25"/>
    <row r="694" ht="33.75" customHeight="1" x14ac:dyDescent="0.25"/>
    <row r="695" ht="33.75" customHeight="1" x14ac:dyDescent="0.25"/>
    <row r="696" ht="33.75" customHeight="1" x14ac:dyDescent="0.25"/>
    <row r="697" ht="33.75" customHeight="1" x14ac:dyDescent="0.25"/>
    <row r="698" ht="33.75" customHeight="1" x14ac:dyDescent="0.25"/>
    <row r="699" ht="33.75" customHeight="1" x14ac:dyDescent="0.25"/>
    <row r="700" ht="33.75" customHeight="1" x14ac:dyDescent="0.25"/>
    <row r="701" ht="33.75" customHeight="1" x14ac:dyDescent="0.25"/>
    <row r="702" ht="33.75" customHeight="1" x14ac:dyDescent="0.25"/>
    <row r="703" ht="33.75" customHeight="1" x14ac:dyDescent="0.25"/>
    <row r="704" ht="33.75" customHeight="1" x14ac:dyDescent="0.25"/>
    <row r="705" ht="33.75" customHeight="1" x14ac:dyDescent="0.25"/>
    <row r="706" ht="33.75" customHeight="1" x14ac:dyDescent="0.25"/>
    <row r="707" ht="33.75" customHeight="1" x14ac:dyDescent="0.25"/>
    <row r="708" ht="33.75" customHeight="1" x14ac:dyDescent="0.25"/>
    <row r="709" ht="33.75" customHeight="1" x14ac:dyDescent="0.25"/>
    <row r="710" ht="33.75" customHeight="1" x14ac:dyDescent="0.25"/>
    <row r="711" ht="33.75" customHeight="1" x14ac:dyDescent="0.25"/>
    <row r="712" ht="33.75" customHeight="1" x14ac:dyDescent="0.25"/>
    <row r="713" ht="33.75" customHeight="1" x14ac:dyDescent="0.25"/>
    <row r="714" ht="33.75" customHeight="1" x14ac:dyDescent="0.25"/>
    <row r="715" ht="33.75" customHeight="1" x14ac:dyDescent="0.25"/>
    <row r="716" ht="33.75" customHeight="1" x14ac:dyDescent="0.25"/>
    <row r="717" ht="33.75" customHeight="1" x14ac:dyDescent="0.25"/>
    <row r="718" ht="33.75" customHeight="1" x14ac:dyDescent="0.25"/>
    <row r="719" ht="33.75" customHeight="1" x14ac:dyDescent="0.25"/>
    <row r="720" ht="33.75" customHeight="1" x14ac:dyDescent="0.25"/>
    <row r="721" ht="33.75" customHeight="1" x14ac:dyDescent="0.25"/>
    <row r="722" ht="33.75" customHeight="1" x14ac:dyDescent="0.25"/>
    <row r="723" ht="33.75" customHeight="1" x14ac:dyDescent="0.25"/>
    <row r="724" ht="33.75" customHeight="1" x14ac:dyDescent="0.25"/>
    <row r="725" ht="33.75" customHeight="1" x14ac:dyDescent="0.25"/>
    <row r="726" ht="33.75" customHeight="1" x14ac:dyDescent="0.25"/>
    <row r="727" ht="33.75" customHeight="1" x14ac:dyDescent="0.25"/>
    <row r="728" ht="33.75" customHeight="1" x14ac:dyDescent="0.25"/>
    <row r="729" ht="33.75" customHeight="1" x14ac:dyDescent="0.25"/>
    <row r="730" ht="33.75" customHeight="1" x14ac:dyDescent="0.25"/>
    <row r="731" ht="33.75" customHeight="1" x14ac:dyDescent="0.25"/>
    <row r="732" ht="33.75" customHeight="1" x14ac:dyDescent="0.25"/>
    <row r="733" ht="33.75" customHeight="1" x14ac:dyDescent="0.25"/>
    <row r="734" ht="33.75" customHeight="1" x14ac:dyDescent="0.25"/>
    <row r="735" ht="33.75" customHeight="1" x14ac:dyDescent="0.25"/>
    <row r="736" ht="33.75" customHeight="1" x14ac:dyDescent="0.25"/>
    <row r="737" ht="33.75" customHeight="1" x14ac:dyDescent="0.25"/>
    <row r="738" ht="33.75" customHeight="1" x14ac:dyDescent="0.25"/>
    <row r="739" ht="33.75" customHeight="1" x14ac:dyDescent="0.25"/>
    <row r="740" ht="33.75" customHeight="1" x14ac:dyDescent="0.25"/>
    <row r="741" ht="33.75" customHeight="1" x14ac:dyDescent="0.25"/>
    <row r="742" ht="33.75" customHeight="1" x14ac:dyDescent="0.25"/>
    <row r="743" ht="33.75" customHeight="1" x14ac:dyDescent="0.25"/>
    <row r="744" ht="33.75" customHeight="1" x14ac:dyDescent="0.25"/>
    <row r="745" ht="33.75" customHeight="1" x14ac:dyDescent="0.25"/>
    <row r="746" ht="33.75" customHeight="1" x14ac:dyDescent="0.25"/>
    <row r="747" ht="33.75" customHeight="1" x14ac:dyDescent="0.25"/>
    <row r="748" ht="33.75" customHeight="1" x14ac:dyDescent="0.25"/>
    <row r="749" ht="33.75" customHeight="1" x14ac:dyDescent="0.25"/>
    <row r="750" ht="33.75" customHeight="1" x14ac:dyDescent="0.25"/>
    <row r="751" ht="33.75" customHeight="1" x14ac:dyDescent="0.25"/>
    <row r="752" ht="33.75" customHeight="1" x14ac:dyDescent="0.25"/>
    <row r="753" ht="33.75" customHeight="1" x14ac:dyDescent="0.25"/>
    <row r="754" ht="33.75" customHeight="1" x14ac:dyDescent="0.25"/>
    <row r="755" ht="33.75" customHeight="1" x14ac:dyDescent="0.25"/>
    <row r="756" ht="33.75" customHeight="1" x14ac:dyDescent="0.25"/>
    <row r="757" ht="33.75" customHeight="1" x14ac:dyDescent="0.25"/>
    <row r="758" ht="33.75" customHeight="1" x14ac:dyDescent="0.25"/>
    <row r="759" ht="33.75" customHeight="1" x14ac:dyDescent="0.25"/>
    <row r="760" ht="33.75" customHeight="1" x14ac:dyDescent="0.25"/>
    <row r="761" ht="33.75" customHeight="1" x14ac:dyDescent="0.25"/>
    <row r="762" ht="33.75" customHeight="1" x14ac:dyDescent="0.25"/>
    <row r="763" ht="33.75" customHeight="1" x14ac:dyDescent="0.25"/>
    <row r="764" ht="33.75" customHeight="1" x14ac:dyDescent="0.25"/>
    <row r="765" ht="33.75" customHeight="1" x14ac:dyDescent="0.25"/>
    <row r="766" ht="33.75" customHeight="1" x14ac:dyDescent="0.25"/>
    <row r="767" ht="33.75" customHeight="1" x14ac:dyDescent="0.25"/>
    <row r="768" ht="33.75" customHeight="1" x14ac:dyDescent="0.25"/>
    <row r="769" ht="33.75" customHeight="1" x14ac:dyDescent="0.25"/>
    <row r="770" ht="33.75" customHeight="1" x14ac:dyDescent="0.25"/>
    <row r="771" ht="33.75" customHeight="1" x14ac:dyDescent="0.25"/>
    <row r="772" ht="33.75" customHeight="1" x14ac:dyDescent="0.25"/>
    <row r="773" ht="33.75" customHeight="1" x14ac:dyDescent="0.25"/>
    <row r="774" ht="33.75" customHeight="1" x14ac:dyDescent="0.25"/>
    <row r="775" ht="33.75" customHeight="1" x14ac:dyDescent="0.25"/>
    <row r="776" ht="33.75" customHeight="1" x14ac:dyDescent="0.25"/>
    <row r="777" ht="33.75" customHeight="1" x14ac:dyDescent="0.25"/>
    <row r="778" ht="33.75" customHeight="1" x14ac:dyDescent="0.25"/>
    <row r="779" ht="33.75" customHeight="1" x14ac:dyDescent="0.25"/>
    <row r="780" ht="33.75" customHeight="1" x14ac:dyDescent="0.25"/>
    <row r="781" ht="33.75" customHeight="1" x14ac:dyDescent="0.25"/>
    <row r="782" ht="33.75" customHeight="1" x14ac:dyDescent="0.25"/>
    <row r="783" ht="33.75" customHeight="1" x14ac:dyDescent="0.25"/>
    <row r="784" ht="33.75" customHeight="1" x14ac:dyDescent="0.25"/>
    <row r="785" ht="33.75" customHeight="1" x14ac:dyDescent="0.25"/>
    <row r="786" ht="33.75" customHeight="1" x14ac:dyDescent="0.25"/>
    <row r="787" ht="33.75" customHeight="1" x14ac:dyDescent="0.25"/>
    <row r="788" ht="33.75" customHeight="1" x14ac:dyDescent="0.25"/>
    <row r="789" ht="33.75" customHeight="1" x14ac:dyDescent="0.25"/>
    <row r="790" ht="33.75" customHeight="1" x14ac:dyDescent="0.25"/>
    <row r="791" ht="33.75" customHeight="1" x14ac:dyDescent="0.25"/>
    <row r="792" ht="33.75" customHeight="1" x14ac:dyDescent="0.25"/>
    <row r="793" ht="33.75" customHeight="1" x14ac:dyDescent="0.25"/>
    <row r="794" ht="33.75" customHeight="1" x14ac:dyDescent="0.25"/>
    <row r="795" ht="33.75" customHeight="1" x14ac:dyDescent="0.25"/>
    <row r="796" ht="33.75" customHeight="1" x14ac:dyDescent="0.25"/>
    <row r="797" ht="33.75" customHeight="1" x14ac:dyDescent="0.25"/>
    <row r="798" ht="33.75" customHeight="1" x14ac:dyDescent="0.25"/>
    <row r="799" ht="33.75" customHeight="1" x14ac:dyDescent="0.25"/>
    <row r="800" ht="33.75" customHeight="1" x14ac:dyDescent="0.25"/>
    <row r="801" ht="33.75" customHeight="1" x14ac:dyDescent="0.25"/>
    <row r="802" ht="33.75" customHeight="1" x14ac:dyDescent="0.25"/>
    <row r="803" ht="33.75" customHeight="1" x14ac:dyDescent="0.25"/>
    <row r="804" ht="33.75" customHeight="1" x14ac:dyDescent="0.25"/>
    <row r="805" ht="33.75" customHeight="1" x14ac:dyDescent="0.25"/>
    <row r="806" ht="33.75" customHeight="1" x14ac:dyDescent="0.25"/>
    <row r="807" ht="33.75" customHeight="1" x14ac:dyDescent="0.25"/>
    <row r="808" ht="33.75" customHeight="1" x14ac:dyDescent="0.25"/>
    <row r="809" ht="33.75" customHeight="1" x14ac:dyDescent="0.25"/>
    <row r="810" ht="33.75" customHeight="1" x14ac:dyDescent="0.25"/>
    <row r="811" ht="33.75" customHeight="1" x14ac:dyDescent="0.25"/>
    <row r="812" ht="33.75" customHeight="1" x14ac:dyDescent="0.25"/>
    <row r="813" ht="33.75" customHeight="1" x14ac:dyDescent="0.25"/>
    <row r="814" ht="33.75" customHeight="1" x14ac:dyDescent="0.25"/>
    <row r="815" ht="33.75" customHeight="1" x14ac:dyDescent="0.25"/>
    <row r="816" ht="33.75" customHeight="1" x14ac:dyDescent="0.25"/>
    <row r="817" ht="33.75" customHeight="1" x14ac:dyDescent="0.25"/>
    <row r="818" ht="33.75" customHeight="1" x14ac:dyDescent="0.25"/>
    <row r="819" ht="33.75" customHeight="1" x14ac:dyDescent="0.25"/>
    <row r="820" ht="33.75" customHeight="1" x14ac:dyDescent="0.25"/>
    <row r="821" ht="33.75" customHeight="1" x14ac:dyDescent="0.25"/>
    <row r="822" ht="33.75" customHeight="1" x14ac:dyDescent="0.25"/>
    <row r="823" ht="33.75" customHeight="1" x14ac:dyDescent="0.25"/>
    <row r="824" ht="33.75" customHeight="1" x14ac:dyDescent="0.25"/>
    <row r="825" ht="33.75" customHeight="1" x14ac:dyDescent="0.25"/>
    <row r="826" ht="33.75" customHeight="1" x14ac:dyDescent="0.25"/>
    <row r="827" ht="33.75" customHeight="1" x14ac:dyDescent="0.25"/>
    <row r="828" ht="33.75" customHeight="1" x14ac:dyDescent="0.25"/>
    <row r="829" ht="33.75" customHeight="1" x14ac:dyDescent="0.25"/>
    <row r="830" ht="33.75" customHeight="1" x14ac:dyDescent="0.25"/>
    <row r="831" ht="33.75" customHeight="1" x14ac:dyDescent="0.25"/>
    <row r="832" ht="33.75" customHeight="1" x14ac:dyDescent="0.25"/>
    <row r="833" ht="33.75" customHeight="1" x14ac:dyDescent="0.25"/>
    <row r="834" ht="33.75" customHeight="1" x14ac:dyDescent="0.25"/>
    <row r="835" ht="33.75" customHeight="1" x14ac:dyDescent="0.25"/>
    <row r="836" ht="33.75" customHeight="1" x14ac:dyDescent="0.25"/>
    <row r="837" ht="33.75" customHeight="1" x14ac:dyDescent="0.25"/>
    <row r="838" ht="33.75" customHeight="1" x14ac:dyDescent="0.25"/>
    <row r="839" ht="33.75" customHeight="1" x14ac:dyDescent="0.25"/>
    <row r="840" ht="33.75" customHeight="1" x14ac:dyDescent="0.25"/>
    <row r="841" ht="33.75" customHeight="1" x14ac:dyDescent="0.25"/>
    <row r="842" ht="33.75" customHeight="1" x14ac:dyDescent="0.25"/>
    <row r="843" ht="33.75" customHeight="1" x14ac:dyDescent="0.25"/>
    <row r="844" ht="33.75" customHeight="1" x14ac:dyDescent="0.25"/>
    <row r="845" ht="33.75" customHeight="1" x14ac:dyDescent="0.25"/>
    <row r="846" ht="33.75" customHeight="1" x14ac:dyDescent="0.25"/>
    <row r="847" ht="33.75" customHeight="1" x14ac:dyDescent="0.25"/>
    <row r="848" ht="33.75" customHeight="1" x14ac:dyDescent="0.25"/>
    <row r="849" ht="33.75" customHeight="1" x14ac:dyDescent="0.25"/>
    <row r="850" ht="33.75" customHeight="1" x14ac:dyDescent="0.25"/>
    <row r="851" ht="33.75" customHeight="1" x14ac:dyDescent="0.25"/>
    <row r="852" ht="33.75" customHeight="1" x14ac:dyDescent="0.25"/>
    <row r="853" ht="33.75" customHeight="1" x14ac:dyDescent="0.25"/>
    <row r="854" ht="33.75" customHeight="1" x14ac:dyDescent="0.25"/>
    <row r="855" ht="33.75" customHeight="1" x14ac:dyDescent="0.25"/>
    <row r="856" ht="33.75" customHeight="1" x14ac:dyDescent="0.25"/>
    <row r="857" ht="33.75" customHeight="1" x14ac:dyDescent="0.25"/>
    <row r="858" ht="33.75" customHeight="1" x14ac:dyDescent="0.25"/>
    <row r="859" ht="33.75" customHeight="1" x14ac:dyDescent="0.25"/>
    <row r="860" ht="33.75" customHeight="1" x14ac:dyDescent="0.25"/>
    <row r="861" ht="33.75" customHeight="1" x14ac:dyDescent="0.25"/>
    <row r="862" ht="33.75" customHeight="1" x14ac:dyDescent="0.25"/>
    <row r="863" ht="33.75" customHeight="1" x14ac:dyDescent="0.25"/>
    <row r="864" ht="33.75" customHeight="1" x14ac:dyDescent="0.25"/>
    <row r="865" ht="33.75" customHeight="1" x14ac:dyDescent="0.25"/>
    <row r="866" ht="33.75" customHeight="1" x14ac:dyDescent="0.25"/>
    <row r="867" ht="33.75" customHeight="1" x14ac:dyDescent="0.25"/>
    <row r="868" ht="33.75" customHeight="1" x14ac:dyDescent="0.25"/>
    <row r="869" ht="33.75" customHeight="1" x14ac:dyDescent="0.25"/>
    <row r="870" ht="33.75" customHeight="1" x14ac:dyDescent="0.25"/>
    <row r="871" ht="33.75" customHeight="1" x14ac:dyDescent="0.25"/>
    <row r="872" ht="33.75" customHeight="1" x14ac:dyDescent="0.25"/>
    <row r="873" ht="33.75" customHeight="1" x14ac:dyDescent="0.25"/>
    <row r="874" ht="33.75" customHeight="1" x14ac:dyDescent="0.25"/>
    <row r="875" ht="33.75" customHeight="1" x14ac:dyDescent="0.25"/>
    <row r="876" ht="33.75" customHeight="1" x14ac:dyDescent="0.25"/>
    <row r="877" ht="33.75" customHeight="1" x14ac:dyDescent="0.25"/>
    <row r="878" ht="33.75" customHeight="1" x14ac:dyDescent="0.25"/>
    <row r="879" ht="33.75" customHeight="1" x14ac:dyDescent="0.25"/>
    <row r="880" ht="33.75" customHeight="1" x14ac:dyDescent="0.25"/>
    <row r="881" ht="33.75" customHeight="1" x14ac:dyDescent="0.25"/>
    <row r="882" ht="33.75" customHeight="1" x14ac:dyDescent="0.25"/>
    <row r="883" ht="33.75" customHeight="1" x14ac:dyDescent="0.25"/>
    <row r="884" ht="33.75" customHeight="1" x14ac:dyDescent="0.25"/>
    <row r="885" ht="33.75" customHeight="1" x14ac:dyDescent="0.25"/>
    <row r="886" ht="33.75" customHeight="1" x14ac:dyDescent="0.25"/>
    <row r="887" ht="33.75" customHeight="1" x14ac:dyDescent="0.25"/>
    <row r="888" ht="33.75" customHeight="1" x14ac:dyDescent="0.25"/>
    <row r="889" ht="33.75" customHeight="1" x14ac:dyDescent="0.25"/>
    <row r="890" ht="33.75" customHeight="1" x14ac:dyDescent="0.25"/>
    <row r="891" ht="33.75" customHeight="1" x14ac:dyDescent="0.25"/>
    <row r="892" ht="33.75" customHeight="1" x14ac:dyDescent="0.25"/>
    <row r="893" ht="33.75" customHeight="1" x14ac:dyDescent="0.25"/>
    <row r="894" ht="33.75" customHeight="1" x14ac:dyDescent="0.25"/>
    <row r="895" ht="33.75" customHeight="1" x14ac:dyDescent="0.25"/>
    <row r="896" ht="33.75" customHeight="1" x14ac:dyDescent="0.25"/>
    <row r="897" ht="33.75" customHeight="1" x14ac:dyDescent="0.25"/>
    <row r="898" ht="33.75" customHeight="1" x14ac:dyDescent="0.25"/>
    <row r="899" ht="33.75" customHeight="1" x14ac:dyDescent="0.25"/>
    <row r="900" ht="33.75" customHeight="1" x14ac:dyDescent="0.25"/>
    <row r="901" ht="33.75" customHeight="1" x14ac:dyDescent="0.25"/>
    <row r="902" ht="33.75" customHeight="1" x14ac:dyDescent="0.25"/>
    <row r="903" ht="33.75" customHeight="1" x14ac:dyDescent="0.25"/>
    <row r="904" ht="33.75" customHeight="1" x14ac:dyDescent="0.25"/>
    <row r="905" ht="33.75" customHeight="1" x14ac:dyDescent="0.25"/>
    <row r="906" ht="33.75" customHeight="1" x14ac:dyDescent="0.25"/>
    <row r="907" ht="33.75" customHeight="1" x14ac:dyDescent="0.25"/>
    <row r="908" ht="33.75" customHeight="1" x14ac:dyDescent="0.25"/>
    <row r="909" ht="33.75" customHeight="1" x14ac:dyDescent="0.25"/>
    <row r="910" ht="33.75" customHeight="1" x14ac:dyDescent="0.25"/>
    <row r="911" ht="33.75" customHeight="1" x14ac:dyDescent="0.25"/>
    <row r="912" ht="33.75" customHeight="1" x14ac:dyDescent="0.25"/>
    <row r="913" ht="33.75" customHeight="1" x14ac:dyDescent="0.25"/>
    <row r="914" ht="33.75" customHeight="1" x14ac:dyDescent="0.25"/>
    <row r="915" ht="33.75" customHeight="1" x14ac:dyDescent="0.25"/>
    <row r="916" ht="33.75" customHeight="1" x14ac:dyDescent="0.25"/>
    <row r="917" ht="33.75" customHeight="1" x14ac:dyDescent="0.25"/>
    <row r="918" ht="33.75" customHeight="1" x14ac:dyDescent="0.25"/>
    <row r="919" ht="33.75" customHeight="1" x14ac:dyDescent="0.25"/>
    <row r="920" ht="33.75" customHeight="1" x14ac:dyDescent="0.25"/>
    <row r="921" ht="33.75" customHeight="1" x14ac:dyDescent="0.25"/>
    <row r="922" ht="33.75" customHeight="1" x14ac:dyDescent="0.25"/>
    <row r="923" ht="33.75" customHeight="1" x14ac:dyDescent="0.25"/>
    <row r="924" ht="33.75" customHeight="1" x14ac:dyDescent="0.25"/>
    <row r="925" ht="33.75" customHeight="1" x14ac:dyDescent="0.25"/>
    <row r="926" ht="33.75" customHeight="1" x14ac:dyDescent="0.25"/>
    <row r="927" ht="33.75" customHeight="1" x14ac:dyDescent="0.25"/>
    <row r="928" ht="33.75" customHeight="1" x14ac:dyDescent="0.25"/>
    <row r="929" ht="33.75" customHeight="1" x14ac:dyDescent="0.25"/>
    <row r="930" ht="33.75" customHeight="1" x14ac:dyDescent="0.25"/>
    <row r="931" ht="33.75" customHeight="1" x14ac:dyDescent="0.25"/>
    <row r="932" ht="33.75" customHeight="1" x14ac:dyDescent="0.25"/>
    <row r="933" ht="33.75" customHeight="1" x14ac:dyDescent="0.25"/>
    <row r="934" ht="33.75" customHeight="1" x14ac:dyDescent="0.25"/>
    <row r="935" ht="33.75" customHeight="1" x14ac:dyDescent="0.25"/>
    <row r="936" ht="33.75" customHeight="1" x14ac:dyDescent="0.25"/>
    <row r="937" ht="33.75" customHeight="1" x14ac:dyDescent="0.25"/>
    <row r="938" ht="33.75" customHeight="1" x14ac:dyDescent="0.25"/>
    <row r="939" ht="33.75" customHeight="1" x14ac:dyDescent="0.25"/>
    <row r="940" ht="33.75" customHeight="1" x14ac:dyDescent="0.25"/>
    <row r="941" ht="33.75" customHeight="1" x14ac:dyDescent="0.25"/>
    <row r="942" ht="33.75" customHeight="1" x14ac:dyDescent="0.25"/>
    <row r="943" ht="33.75" customHeight="1" x14ac:dyDescent="0.25"/>
    <row r="944" ht="33.75" customHeight="1" x14ac:dyDescent="0.25"/>
    <row r="945" ht="33.75" customHeight="1" x14ac:dyDescent="0.25"/>
    <row r="946" ht="33.75" customHeight="1" x14ac:dyDescent="0.25"/>
    <row r="947" ht="33.75" customHeight="1" x14ac:dyDescent="0.25"/>
    <row r="948" ht="33.75" customHeight="1" x14ac:dyDescent="0.25"/>
    <row r="949" ht="33.75" customHeight="1" x14ac:dyDescent="0.25"/>
    <row r="950" ht="33.75" customHeight="1" x14ac:dyDescent="0.25"/>
    <row r="951" ht="33.75" customHeight="1" x14ac:dyDescent="0.25"/>
    <row r="952" ht="33.75" customHeight="1" x14ac:dyDescent="0.25"/>
    <row r="953" ht="33.75" customHeight="1" x14ac:dyDescent="0.25"/>
    <row r="954" ht="33.75" customHeight="1" x14ac:dyDescent="0.25"/>
    <row r="955" ht="33.75" customHeight="1" x14ac:dyDescent="0.25"/>
    <row r="956" ht="33.75" customHeight="1" x14ac:dyDescent="0.25"/>
    <row r="957" ht="33.75" customHeight="1" x14ac:dyDescent="0.25"/>
    <row r="958" ht="33.75" customHeight="1" x14ac:dyDescent="0.25"/>
    <row r="959" ht="33.75" customHeight="1" x14ac:dyDescent="0.25"/>
    <row r="960" ht="33.75" customHeight="1" x14ac:dyDescent="0.25"/>
    <row r="961" ht="33.75" customHeight="1" x14ac:dyDescent="0.25"/>
    <row r="962" ht="33.75" customHeight="1" x14ac:dyDescent="0.25"/>
    <row r="963" ht="33.75" customHeight="1" x14ac:dyDescent="0.25"/>
    <row r="964" ht="33.75" customHeight="1" x14ac:dyDescent="0.25"/>
    <row r="965" ht="33.75" customHeight="1" x14ac:dyDescent="0.25"/>
    <row r="966" ht="33.75" customHeight="1" x14ac:dyDescent="0.25"/>
    <row r="967" ht="33.75" customHeight="1" x14ac:dyDescent="0.25"/>
    <row r="968" ht="33.75" customHeight="1" x14ac:dyDescent="0.25"/>
    <row r="969" ht="33.75" customHeight="1" x14ac:dyDescent="0.25"/>
    <row r="970" ht="33.75" customHeight="1" x14ac:dyDescent="0.25"/>
    <row r="971" ht="33.75" customHeight="1" x14ac:dyDescent="0.25"/>
    <row r="972" ht="33.75" customHeight="1" x14ac:dyDescent="0.25"/>
    <row r="973" ht="33.75" customHeight="1" x14ac:dyDescent="0.25"/>
    <row r="974" ht="33.75" customHeight="1" x14ac:dyDescent="0.25"/>
    <row r="975" ht="33.75" customHeight="1" x14ac:dyDescent="0.25"/>
    <row r="976" ht="33.75" customHeight="1" x14ac:dyDescent="0.25"/>
    <row r="977" ht="33.75" customHeight="1" x14ac:dyDescent="0.25"/>
    <row r="978" ht="33.75" customHeight="1" x14ac:dyDescent="0.25"/>
    <row r="979" ht="33.75" customHeight="1" x14ac:dyDescent="0.25"/>
    <row r="980" ht="33.75" customHeight="1" x14ac:dyDescent="0.25"/>
    <row r="981" ht="33.75" customHeight="1" x14ac:dyDescent="0.25"/>
    <row r="982" ht="33.75" customHeight="1" x14ac:dyDescent="0.25"/>
    <row r="983" ht="33.75" customHeight="1" x14ac:dyDescent="0.25"/>
    <row r="984" ht="33.75" customHeight="1" x14ac:dyDescent="0.25"/>
    <row r="985" ht="33.75" customHeight="1" x14ac:dyDescent="0.25"/>
    <row r="986" ht="33.75" customHeight="1" x14ac:dyDescent="0.25"/>
    <row r="987" ht="33.75" customHeight="1" x14ac:dyDescent="0.25"/>
    <row r="988" ht="33.75" customHeight="1" x14ac:dyDescent="0.25"/>
    <row r="989" ht="33.75" customHeight="1" x14ac:dyDescent="0.25"/>
    <row r="990" ht="33.75" customHeight="1" x14ac:dyDescent="0.25"/>
    <row r="991" ht="33.75" customHeight="1" x14ac:dyDescent="0.25"/>
    <row r="992" ht="33.75" customHeight="1" x14ac:dyDescent="0.25"/>
    <row r="993" ht="33.75" customHeight="1" x14ac:dyDescent="0.25"/>
    <row r="994" ht="33.75" customHeight="1" x14ac:dyDescent="0.25"/>
    <row r="995" ht="33.75" customHeight="1" x14ac:dyDescent="0.25"/>
    <row r="996" ht="33.75" customHeight="1" x14ac:dyDescent="0.25"/>
    <row r="997" ht="33.75" customHeight="1" x14ac:dyDescent="0.25"/>
    <row r="998" ht="33.75" customHeight="1" x14ac:dyDescent="0.25"/>
    <row r="999" ht="33.75" customHeight="1" x14ac:dyDescent="0.25"/>
    <row r="1000" ht="33.75" customHeight="1" x14ac:dyDescent="0.25"/>
    <row r="1001" ht="33.75" customHeight="1" x14ac:dyDescent="0.25"/>
    <row r="1002" ht="33.75" customHeight="1" x14ac:dyDescent="0.25"/>
    <row r="1003" ht="33.75" customHeight="1" x14ac:dyDescent="0.25"/>
    <row r="1004" ht="33.75" customHeight="1" x14ac:dyDescent="0.25"/>
    <row r="1005" ht="33.75" customHeight="1" x14ac:dyDescent="0.25"/>
    <row r="1006" ht="33.75" customHeight="1" x14ac:dyDescent="0.25"/>
    <row r="1007" ht="33.75" customHeight="1" x14ac:dyDescent="0.25"/>
    <row r="1008" ht="33.75" customHeight="1" x14ac:dyDescent="0.25"/>
    <row r="1009" ht="33.75" customHeight="1" x14ac:dyDescent="0.25"/>
    <row r="1010" ht="33.75" customHeight="1" x14ac:dyDescent="0.25"/>
    <row r="1011" ht="33.75" customHeight="1" x14ac:dyDescent="0.25"/>
    <row r="1012" ht="33.75" customHeight="1" x14ac:dyDescent="0.25"/>
    <row r="1013" ht="33.75" customHeight="1" x14ac:dyDescent="0.25"/>
    <row r="1014" ht="33.75" customHeight="1" x14ac:dyDescent="0.25"/>
    <row r="1015" ht="33.75" customHeight="1" x14ac:dyDescent="0.25"/>
    <row r="1016" ht="33.75" customHeight="1" x14ac:dyDescent="0.25"/>
    <row r="1017" ht="33.75" customHeight="1" x14ac:dyDescent="0.25"/>
    <row r="1018" ht="33.75" customHeight="1" x14ac:dyDescent="0.25"/>
    <row r="1019" ht="33.75" customHeight="1" x14ac:dyDescent="0.25"/>
    <row r="1020" ht="33.75" customHeight="1" x14ac:dyDescent="0.25"/>
    <row r="1021" ht="33.75" customHeight="1" x14ac:dyDescent="0.25"/>
    <row r="1022" ht="33.75" customHeight="1" x14ac:dyDescent="0.25"/>
    <row r="1023" ht="33.75" customHeight="1" x14ac:dyDescent="0.25"/>
    <row r="1024" ht="33.75" customHeight="1" x14ac:dyDescent="0.25"/>
    <row r="1025" spans="25:26" ht="33.75" customHeight="1" x14ac:dyDescent="0.25"/>
    <row r="1026" spans="25:26" ht="33.75" customHeight="1" x14ac:dyDescent="0.25">
      <c r="Y1026" s="30"/>
      <c r="Z1026" s="31"/>
    </row>
    <row r="1027" spans="25:26" ht="33.75" customHeight="1" x14ac:dyDescent="0.25"/>
    <row r="1028" spans="25:26" ht="33.75" customHeight="1" x14ac:dyDescent="0.25"/>
    <row r="1029" spans="25:26" ht="33.75" customHeight="1" x14ac:dyDescent="0.25"/>
    <row r="1030" spans="25:26" ht="33.75" customHeight="1" x14ac:dyDescent="0.25"/>
    <row r="1031" spans="25:26" ht="33.75" customHeight="1" x14ac:dyDescent="0.25"/>
    <row r="1032" spans="25:26" ht="33.75" customHeight="1" x14ac:dyDescent="0.25"/>
    <row r="1033" spans="25:26" ht="33.75" customHeight="1" x14ac:dyDescent="0.25"/>
    <row r="1034" spans="25:26" ht="33.75" customHeight="1" x14ac:dyDescent="0.25"/>
    <row r="1035" spans="25:26" ht="33.75" customHeight="1" x14ac:dyDescent="0.25"/>
    <row r="1036" spans="25:26" ht="33.75" customHeight="1" x14ac:dyDescent="0.25"/>
    <row r="1037" spans="25:26" ht="33.75" customHeight="1" x14ac:dyDescent="0.25"/>
    <row r="1038" spans="25:26" ht="33.75" customHeight="1" x14ac:dyDescent="0.25"/>
    <row r="1039" spans="25:26" ht="33.75" customHeight="1" x14ac:dyDescent="0.25"/>
    <row r="1040" spans="25:26" ht="33.75" customHeight="1" x14ac:dyDescent="0.25"/>
    <row r="1041" ht="33.75" customHeight="1" x14ac:dyDescent="0.25"/>
    <row r="1042" ht="33.75" customHeight="1" x14ac:dyDescent="0.25"/>
    <row r="1043" ht="33.75" customHeight="1" x14ac:dyDescent="0.25"/>
    <row r="1044" ht="33.75" customHeight="1" x14ac:dyDescent="0.25"/>
    <row r="1045" ht="33.75" customHeight="1" x14ac:dyDescent="0.25"/>
    <row r="1046" ht="33.75" customHeight="1" x14ac:dyDescent="0.25"/>
    <row r="1047" ht="33.75" customHeight="1" x14ac:dyDescent="0.25"/>
    <row r="1048" ht="33.75" customHeight="1" x14ac:dyDescent="0.25"/>
    <row r="1049" ht="33.75" customHeight="1" x14ac:dyDescent="0.25"/>
    <row r="1050" ht="33.75" customHeight="1" x14ac:dyDescent="0.25"/>
    <row r="1051" ht="33.75" customHeight="1" x14ac:dyDescent="0.25"/>
    <row r="1052" ht="33.75" customHeight="1" x14ac:dyDescent="0.25"/>
  </sheetData>
  <mergeCells count="11">
    <mergeCell ref="S4:T4"/>
    <mergeCell ref="G1:T1"/>
    <mergeCell ref="G2:T2"/>
    <mergeCell ref="G4:G5"/>
    <mergeCell ref="H4:H5"/>
    <mergeCell ref="I4:I5"/>
    <mergeCell ref="J4:J5"/>
    <mergeCell ref="K4:L4"/>
    <mergeCell ref="M4:N4"/>
    <mergeCell ref="O4:P4"/>
    <mergeCell ref="Q4:R4"/>
  </mergeCells>
  <conditionalFormatting sqref="H8:H126">
    <cfRule type="beginsWith" dxfId="52" priority="23" operator="beginsWith" text="99">
      <formula>LEFT(H8,LEN("99"))="99"</formula>
    </cfRule>
  </conditionalFormatting>
  <conditionalFormatting sqref="H8:H126">
    <cfRule type="beginsWith" dxfId="51" priority="24" operator="beginsWith" text="99">
      <formula>LEFT(H8,2)="99"</formula>
    </cfRule>
    <cfRule type="containsText" dxfId="50" priority="25" operator="containsText" text="rem">
      <formula>NOT(ISERROR(SEARCH("rem",H8)))</formula>
    </cfRule>
    <cfRule type="duplicateValues" dxfId="49" priority="26"/>
  </conditionalFormatting>
  <conditionalFormatting sqref="T8:T126">
    <cfRule type="duplicateValues" dxfId="48" priority="27"/>
  </conditionalFormatting>
  <conditionalFormatting sqref="A8:A126">
    <cfRule type="duplicateValues" dxfId="47" priority="22"/>
  </conditionalFormatting>
  <conditionalFormatting sqref="H7">
    <cfRule type="beginsWith" dxfId="46" priority="17" operator="beginsWith" text="99">
      <formula>LEFT(H7,LEN("99"))="99"</formula>
    </cfRule>
  </conditionalFormatting>
  <conditionalFormatting sqref="H7">
    <cfRule type="beginsWith" dxfId="45" priority="18" operator="beginsWith" text="99">
      <formula>LEFT(H7,2)="99"</formula>
    </cfRule>
    <cfRule type="containsText" dxfId="44" priority="19" operator="containsText" text="rem">
      <formula>NOT(ISERROR(SEARCH("rem",H7)))</formula>
    </cfRule>
    <cfRule type="duplicateValues" dxfId="43" priority="20"/>
  </conditionalFormatting>
  <conditionalFormatting sqref="T7">
    <cfRule type="duplicateValues" dxfId="42" priority="21"/>
  </conditionalFormatting>
  <conditionalFormatting sqref="A7">
    <cfRule type="duplicateValues" dxfId="41" priority="16"/>
  </conditionalFormatting>
  <conditionalFormatting sqref="F6:F126">
    <cfRule type="cellIs" dxfId="40" priority="14" operator="lessThan">
      <formula>0</formula>
    </cfRule>
    <cfRule type="cellIs" dxfId="39" priority="15" operator="greaterThan">
      <formula>2000</formula>
    </cfRule>
  </conditionalFormatting>
  <conditionalFormatting sqref="L6:L126 N6:N126 P6:P126 R6:R126">
    <cfRule type="cellIs" dxfId="38" priority="13" operator="lessThan">
      <formula>0</formula>
    </cfRule>
  </conditionalFormatting>
  <conditionalFormatting sqref="L6:L126 R6:R126">
    <cfRule type="cellIs" dxfId="37" priority="12" operator="greaterThan">
      <formula>2000</formula>
    </cfRule>
  </conditionalFormatting>
  <conditionalFormatting sqref="H6">
    <cfRule type="beginsWith" dxfId="36" priority="7" operator="beginsWith" text="99">
      <formula>LEFT(H6,LEN("99"))="99"</formula>
    </cfRule>
  </conditionalFormatting>
  <conditionalFormatting sqref="H6">
    <cfRule type="beginsWith" dxfId="35" priority="8" operator="beginsWith" text="99">
      <formula>LEFT(H6,2)="99"</formula>
    </cfRule>
    <cfRule type="containsText" dxfId="34" priority="9" operator="containsText" text="rem">
      <formula>NOT(ISERROR(SEARCH("rem",H6)))</formula>
    </cfRule>
    <cfRule type="duplicateValues" dxfId="33" priority="10"/>
  </conditionalFormatting>
  <conditionalFormatting sqref="T6">
    <cfRule type="duplicateValues" dxfId="32" priority="11"/>
  </conditionalFormatting>
  <conditionalFormatting sqref="A6">
    <cfRule type="duplicateValues" dxfId="31" priority="6"/>
  </conditionalFormatting>
  <conditionalFormatting sqref="F1:F1048576">
    <cfRule type="cellIs" dxfId="30" priority="5" operator="greaterThan">
      <formula>2000</formula>
    </cfRule>
    <cfRule type="cellIs" dxfId="29" priority="4" operator="greaterThan">
      <formula>4000</formula>
    </cfRule>
    <cfRule type="cellIs" dxfId="28" priority="3" operator="equal">
      <formula>0</formula>
    </cfRule>
  </conditionalFormatting>
  <conditionalFormatting sqref="R1:R1048576">
    <cfRule type="cellIs" dxfId="0" priority="2" operator="greaterThan">
      <formula>2000</formula>
    </cfRule>
    <cfRule type="cellIs" dxfId="1" priority="1" operator="greaterThan">
      <formula>4000</formula>
    </cfRule>
  </conditionalFormatting>
  <printOptions horizontalCentered="1"/>
  <pageMargins left="0.23" right="0.15" top="0.32" bottom="0.32" header="0.2" footer="0.19"/>
  <pageSetup scale="63" orientation="portrait" r:id="rId1"/>
  <headerFooter>
    <oddHeader xml:space="preserve">&amp;L&amp;F&amp;C&amp;A&amp;RPage &amp;P of &amp;N              </oddHeader>
    <oddFooter xml:space="preserve">&amp;L             Reader Initials:&amp;RSupervisor Initials:                                            </oddFooter>
  </headerFooter>
  <rowBreaks count="1" manualBreakCount="1">
    <brk id="90" max="19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Springs</vt:lpstr>
      <vt:lpstr>Springs!Print_Area</vt:lpstr>
      <vt:lpstr>Springs!Print_Titles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Ammad</cp:lastModifiedBy>
  <dcterms:created xsi:type="dcterms:W3CDTF">2025-04-22T04:40:40Z</dcterms:created>
  <dcterms:modified xsi:type="dcterms:W3CDTF">2025-04-23T06:55:25Z</dcterms:modified>
</cp:coreProperties>
</file>