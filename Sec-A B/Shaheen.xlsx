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mad\Desktop\Import Reading\01-Reading\"/>
    </mc:Choice>
  </mc:AlternateContent>
  <bookViews>
    <workbookView xWindow="0" yWindow="0" windowWidth="24000" windowHeight="9735"/>
  </bookViews>
  <sheets>
    <sheet name="Shaheen" sheetId="1" r:id="rId1"/>
  </sheets>
  <definedNames>
    <definedName name="_xlnm.Print_Area" localSheetId="0">Shaheen!$A$1:$T$553</definedName>
    <definedName name="_xlnm.Print_Titles" localSheetId="0">Shaheen!$4:$5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39" i="1" l="1"/>
  <c r="B391" i="1"/>
  <c r="D382" i="1"/>
  <c r="B362" i="1"/>
  <c r="B207" i="1"/>
  <c r="R553" i="1" l="1"/>
  <c r="P553" i="1"/>
  <c r="N553" i="1"/>
  <c r="B553" i="1"/>
  <c r="L553" i="1" s="1"/>
  <c r="F553" i="1" s="1"/>
  <c r="R552" i="1"/>
  <c r="P552" i="1"/>
  <c r="N552" i="1"/>
  <c r="B552" i="1"/>
  <c r="L552" i="1" s="1"/>
  <c r="F552" i="1" s="1"/>
  <c r="R551" i="1"/>
  <c r="P551" i="1"/>
  <c r="N551" i="1"/>
  <c r="B551" i="1"/>
  <c r="L551" i="1" s="1"/>
  <c r="F551" i="1" s="1"/>
  <c r="R550" i="1"/>
  <c r="P550" i="1"/>
  <c r="N550" i="1"/>
  <c r="B550" i="1"/>
  <c r="L550" i="1" s="1"/>
  <c r="F550" i="1" s="1"/>
  <c r="R549" i="1"/>
  <c r="P549" i="1"/>
  <c r="N549" i="1"/>
  <c r="L549" i="1"/>
  <c r="F549" i="1" s="1"/>
  <c r="B549" i="1"/>
  <c r="R548" i="1"/>
  <c r="P548" i="1"/>
  <c r="N548" i="1"/>
  <c r="B548" i="1"/>
  <c r="L548" i="1" s="1"/>
  <c r="F548" i="1" s="1"/>
  <c r="R547" i="1"/>
  <c r="P547" i="1"/>
  <c r="N547" i="1"/>
  <c r="L547" i="1"/>
  <c r="F547" i="1" s="1"/>
  <c r="R546" i="1"/>
  <c r="P546" i="1"/>
  <c r="N546" i="1"/>
  <c r="L546" i="1"/>
  <c r="F546" i="1" s="1"/>
  <c r="R545" i="1"/>
  <c r="P545" i="1"/>
  <c r="N545" i="1"/>
  <c r="L545" i="1"/>
  <c r="F545" i="1" s="1"/>
  <c r="R544" i="1"/>
  <c r="P544" i="1"/>
  <c r="N544" i="1"/>
  <c r="B544" i="1"/>
  <c r="L544" i="1" s="1"/>
  <c r="F544" i="1" s="1"/>
  <c r="R543" i="1"/>
  <c r="P543" i="1"/>
  <c r="N543" i="1"/>
  <c r="B543" i="1"/>
  <c r="L543" i="1" s="1"/>
  <c r="F543" i="1" s="1"/>
  <c r="R542" i="1"/>
  <c r="P542" i="1"/>
  <c r="N542" i="1"/>
  <c r="B542" i="1"/>
  <c r="L542" i="1" s="1"/>
  <c r="F542" i="1" s="1"/>
  <c r="R541" i="1"/>
  <c r="P541" i="1"/>
  <c r="N541" i="1"/>
  <c r="B541" i="1"/>
  <c r="L541" i="1" s="1"/>
  <c r="F541" i="1" s="1"/>
  <c r="R540" i="1"/>
  <c r="P540" i="1"/>
  <c r="N540" i="1"/>
  <c r="B540" i="1"/>
  <c r="L540" i="1" s="1"/>
  <c r="F540" i="1" s="1"/>
  <c r="R539" i="1"/>
  <c r="P539" i="1"/>
  <c r="N539" i="1"/>
  <c r="L539" i="1"/>
  <c r="F539" i="1" s="1"/>
  <c r="R538" i="1"/>
  <c r="P538" i="1"/>
  <c r="N538" i="1"/>
  <c r="B538" i="1"/>
  <c r="L538" i="1" s="1"/>
  <c r="F538" i="1" s="1"/>
  <c r="R537" i="1"/>
  <c r="P537" i="1"/>
  <c r="N537" i="1"/>
  <c r="B537" i="1"/>
  <c r="L537" i="1" s="1"/>
  <c r="F537" i="1" s="1"/>
  <c r="R536" i="1"/>
  <c r="P536" i="1"/>
  <c r="N536" i="1"/>
  <c r="B536" i="1"/>
  <c r="L536" i="1" s="1"/>
  <c r="F536" i="1" s="1"/>
  <c r="R535" i="1"/>
  <c r="P535" i="1"/>
  <c r="N535" i="1"/>
  <c r="B535" i="1"/>
  <c r="L535" i="1" s="1"/>
  <c r="F535" i="1" s="1"/>
  <c r="R534" i="1"/>
  <c r="P534" i="1"/>
  <c r="N534" i="1"/>
  <c r="B534" i="1"/>
  <c r="L534" i="1" s="1"/>
  <c r="F534" i="1" s="1"/>
  <c r="R533" i="1"/>
  <c r="P533" i="1"/>
  <c r="N533" i="1"/>
  <c r="B533" i="1"/>
  <c r="L533" i="1" s="1"/>
  <c r="F533" i="1" s="1"/>
  <c r="R532" i="1"/>
  <c r="P532" i="1"/>
  <c r="N532" i="1"/>
  <c r="B532" i="1"/>
  <c r="L532" i="1" s="1"/>
  <c r="F532" i="1" s="1"/>
  <c r="R531" i="1"/>
  <c r="P531" i="1"/>
  <c r="N531" i="1"/>
  <c r="B531" i="1"/>
  <c r="L531" i="1" s="1"/>
  <c r="F531" i="1" s="1"/>
  <c r="R530" i="1"/>
  <c r="P530" i="1"/>
  <c r="N530" i="1"/>
  <c r="B530" i="1"/>
  <c r="L530" i="1" s="1"/>
  <c r="F530" i="1" s="1"/>
  <c r="R529" i="1"/>
  <c r="P529" i="1"/>
  <c r="N529" i="1"/>
  <c r="B529" i="1"/>
  <c r="L529" i="1" s="1"/>
  <c r="F529" i="1" s="1"/>
  <c r="R528" i="1"/>
  <c r="P528" i="1"/>
  <c r="N528" i="1"/>
  <c r="B528" i="1"/>
  <c r="L528" i="1" s="1"/>
  <c r="F528" i="1" s="1"/>
  <c r="R527" i="1"/>
  <c r="P527" i="1"/>
  <c r="N527" i="1"/>
  <c r="B527" i="1"/>
  <c r="L527" i="1" s="1"/>
  <c r="F527" i="1" s="1"/>
  <c r="R526" i="1"/>
  <c r="P526" i="1"/>
  <c r="N526" i="1"/>
  <c r="B526" i="1"/>
  <c r="L526" i="1" s="1"/>
  <c r="F526" i="1" s="1"/>
  <c r="R525" i="1"/>
  <c r="P525" i="1"/>
  <c r="N525" i="1"/>
  <c r="B525" i="1"/>
  <c r="L525" i="1" s="1"/>
  <c r="F525" i="1" s="1"/>
  <c r="R524" i="1"/>
  <c r="P524" i="1"/>
  <c r="N524" i="1"/>
  <c r="B524" i="1"/>
  <c r="L524" i="1" s="1"/>
  <c r="F524" i="1" s="1"/>
  <c r="R523" i="1"/>
  <c r="P523" i="1"/>
  <c r="N523" i="1"/>
  <c r="B523" i="1"/>
  <c r="L523" i="1" s="1"/>
  <c r="F523" i="1" s="1"/>
  <c r="R522" i="1"/>
  <c r="P522" i="1"/>
  <c r="N522" i="1"/>
  <c r="B522" i="1"/>
  <c r="L522" i="1" s="1"/>
  <c r="F522" i="1" s="1"/>
  <c r="R521" i="1"/>
  <c r="P521" i="1"/>
  <c r="N521" i="1"/>
  <c r="B521" i="1"/>
  <c r="L521" i="1" s="1"/>
  <c r="F521" i="1" s="1"/>
  <c r="R520" i="1"/>
  <c r="P520" i="1"/>
  <c r="N520" i="1"/>
  <c r="B520" i="1"/>
  <c r="L520" i="1" s="1"/>
  <c r="F520" i="1" s="1"/>
  <c r="R519" i="1"/>
  <c r="P519" i="1"/>
  <c r="N519" i="1"/>
  <c r="B519" i="1"/>
  <c r="L519" i="1" s="1"/>
  <c r="F519" i="1" s="1"/>
  <c r="R518" i="1"/>
  <c r="P518" i="1"/>
  <c r="N518" i="1"/>
  <c r="B518" i="1"/>
  <c r="L518" i="1" s="1"/>
  <c r="F518" i="1" s="1"/>
  <c r="R517" i="1"/>
  <c r="P517" i="1"/>
  <c r="N517" i="1"/>
  <c r="B517" i="1"/>
  <c r="L517" i="1" s="1"/>
  <c r="F517" i="1" s="1"/>
  <c r="R516" i="1"/>
  <c r="P516" i="1"/>
  <c r="N516" i="1"/>
  <c r="B516" i="1"/>
  <c r="L516" i="1" s="1"/>
  <c r="F516" i="1" s="1"/>
  <c r="R515" i="1"/>
  <c r="P515" i="1"/>
  <c r="N515" i="1"/>
  <c r="B515" i="1"/>
  <c r="L515" i="1" s="1"/>
  <c r="F515" i="1" s="1"/>
  <c r="R514" i="1"/>
  <c r="P514" i="1"/>
  <c r="N514" i="1"/>
  <c r="B514" i="1"/>
  <c r="L514" i="1" s="1"/>
  <c r="F514" i="1" s="1"/>
  <c r="R513" i="1"/>
  <c r="P513" i="1"/>
  <c r="N513" i="1"/>
  <c r="B513" i="1"/>
  <c r="L513" i="1" s="1"/>
  <c r="F513" i="1" s="1"/>
  <c r="R512" i="1"/>
  <c r="P512" i="1"/>
  <c r="N512" i="1"/>
  <c r="B512" i="1"/>
  <c r="L512" i="1" s="1"/>
  <c r="F512" i="1" s="1"/>
  <c r="R511" i="1"/>
  <c r="P511" i="1"/>
  <c r="N511" i="1"/>
  <c r="B511" i="1"/>
  <c r="L511" i="1" s="1"/>
  <c r="F511" i="1" s="1"/>
  <c r="R510" i="1"/>
  <c r="P510" i="1"/>
  <c r="N510" i="1"/>
  <c r="B510" i="1"/>
  <c r="L510" i="1" s="1"/>
  <c r="F510" i="1" s="1"/>
  <c r="R509" i="1"/>
  <c r="P509" i="1"/>
  <c r="N509" i="1"/>
  <c r="B509" i="1"/>
  <c r="L509" i="1" s="1"/>
  <c r="F509" i="1" s="1"/>
  <c r="R508" i="1"/>
  <c r="P508" i="1"/>
  <c r="N508" i="1"/>
  <c r="B508" i="1"/>
  <c r="L508" i="1" s="1"/>
  <c r="F508" i="1" s="1"/>
  <c r="R507" i="1"/>
  <c r="P507" i="1"/>
  <c r="N507" i="1"/>
  <c r="B507" i="1"/>
  <c r="L507" i="1" s="1"/>
  <c r="F507" i="1" s="1"/>
  <c r="R506" i="1"/>
  <c r="P506" i="1"/>
  <c r="N506" i="1"/>
  <c r="B506" i="1"/>
  <c r="L506" i="1" s="1"/>
  <c r="F506" i="1" s="1"/>
  <c r="R505" i="1"/>
  <c r="P505" i="1"/>
  <c r="N505" i="1"/>
  <c r="B505" i="1"/>
  <c r="L505" i="1" s="1"/>
  <c r="F505" i="1" s="1"/>
  <c r="R504" i="1"/>
  <c r="P504" i="1"/>
  <c r="N504" i="1"/>
  <c r="K504" i="1"/>
  <c r="B504" i="1"/>
  <c r="R503" i="1"/>
  <c r="P503" i="1"/>
  <c r="N503" i="1"/>
  <c r="K503" i="1"/>
  <c r="B503" i="1"/>
  <c r="L503" i="1" s="1"/>
  <c r="F503" i="1" s="1"/>
  <c r="R502" i="1"/>
  <c r="P502" i="1"/>
  <c r="N502" i="1"/>
  <c r="K502" i="1"/>
  <c r="B502" i="1"/>
  <c r="L502" i="1" s="1"/>
  <c r="F502" i="1" s="1"/>
  <c r="R501" i="1"/>
  <c r="P501" i="1"/>
  <c r="N501" i="1"/>
  <c r="K501" i="1"/>
  <c r="B501" i="1"/>
  <c r="R500" i="1"/>
  <c r="P500" i="1"/>
  <c r="N500" i="1"/>
  <c r="B500" i="1"/>
  <c r="L500" i="1" s="1"/>
  <c r="F500" i="1" s="1"/>
  <c r="R499" i="1"/>
  <c r="P499" i="1"/>
  <c r="N499" i="1"/>
  <c r="B499" i="1"/>
  <c r="L499" i="1" s="1"/>
  <c r="F499" i="1" s="1"/>
  <c r="R498" i="1"/>
  <c r="P498" i="1"/>
  <c r="N498" i="1"/>
  <c r="B498" i="1"/>
  <c r="L498" i="1" s="1"/>
  <c r="F498" i="1" s="1"/>
  <c r="R497" i="1"/>
  <c r="P497" i="1"/>
  <c r="N497" i="1"/>
  <c r="B497" i="1"/>
  <c r="R496" i="1"/>
  <c r="P496" i="1"/>
  <c r="N496" i="1"/>
  <c r="K496" i="1"/>
  <c r="B496" i="1"/>
  <c r="L496" i="1" s="1"/>
  <c r="F496" i="1" s="1"/>
  <c r="R495" i="1"/>
  <c r="P495" i="1"/>
  <c r="N495" i="1"/>
  <c r="K495" i="1"/>
  <c r="B495" i="1"/>
  <c r="L495" i="1" s="1"/>
  <c r="F495" i="1" s="1"/>
  <c r="R494" i="1"/>
  <c r="P494" i="1"/>
  <c r="N494" i="1"/>
  <c r="L494" i="1"/>
  <c r="F494" i="1" s="1"/>
  <c r="R493" i="1"/>
  <c r="P493" i="1"/>
  <c r="N493" i="1"/>
  <c r="L493" i="1"/>
  <c r="F493" i="1" s="1"/>
  <c r="R492" i="1"/>
  <c r="P492" i="1"/>
  <c r="N492" i="1"/>
  <c r="B492" i="1"/>
  <c r="L492" i="1" s="1"/>
  <c r="F492" i="1" s="1"/>
  <c r="R491" i="1"/>
  <c r="P491" i="1"/>
  <c r="N491" i="1"/>
  <c r="B491" i="1"/>
  <c r="L491" i="1" s="1"/>
  <c r="F491" i="1" s="1"/>
  <c r="R490" i="1"/>
  <c r="P490" i="1"/>
  <c r="N490" i="1"/>
  <c r="B490" i="1"/>
  <c r="L490" i="1" s="1"/>
  <c r="F490" i="1" s="1"/>
  <c r="R489" i="1"/>
  <c r="P489" i="1"/>
  <c r="N489" i="1"/>
  <c r="K489" i="1"/>
  <c r="B489" i="1"/>
  <c r="R488" i="1"/>
  <c r="P488" i="1"/>
  <c r="N488" i="1"/>
  <c r="B488" i="1"/>
  <c r="L488" i="1" s="1"/>
  <c r="F488" i="1" s="1"/>
  <c r="R487" i="1"/>
  <c r="P487" i="1"/>
  <c r="N487" i="1"/>
  <c r="B487" i="1"/>
  <c r="L487" i="1" s="1"/>
  <c r="F487" i="1" s="1"/>
  <c r="R486" i="1"/>
  <c r="P486" i="1"/>
  <c r="N486" i="1"/>
  <c r="B486" i="1"/>
  <c r="L486" i="1" s="1"/>
  <c r="F486" i="1" s="1"/>
  <c r="R485" i="1"/>
  <c r="P485" i="1"/>
  <c r="N485" i="1"/>
  <c r="B485" i="1"/>
  <c r="L485" i="1" s="1"/>
  <c r="F485" i="1" s="1"/>
  <c r="R484" i="1"/>
  <c r="P484" i="1"/>
  <c r="N484" i="1"/>
  <c r="B484" i="1"/>
  <c r="L484" i="1" s="1"/>
  <c r="F484" i="1" s="1"/>
  <c r="R483" i="1"/>
  <c r="P483" i="1"/>
  <c r="N483" i="1"/>
  <c r="K483" i="1"/>
  <c r="B483" i="1"/>
  <c r="R482" i="1"/>
  <c r="P482" i="1"/>
  <c r="N482" i="1"/>
  <c r="B482" i="1"/>
  <c r="L482" i="1" s="1"/>
  <c r="F482" i="1" s="1"/>
  <c r="R481" i="1"/>
  <c r="P481" i="1"/>
  <c r="N481" i="1"/>
  <c r="B481" i="1"/>
  <c r="L481" i="1" s="1"/>
  <c r="F481" i="1" s="1"/>
  <c r="R480" i="1"/>
  <c r="P480" i="1"/>
  <c r="N480" i="1"/>
  <c r="B480" i="1"/>
  <c r="L480" i="1" s="1"/>
  <c r="F480" i="1" s="1"/>
  <c r="R479" i="1"/>
  <c r="P479" i="1"/>
  <c r="N479" i="1"/>
  <c r="B479" i="1"/>
  <c r="L479" i="1" s="1"/>
  <c r="F479" i="1" s="1"/>
  <c r="R478" i="1"/>
  <c r="P478" i="1"/>
  <c r="N478" i="1"/>
  <c r="B478" i="1"/>
  <c r="L478" i="1" s="1"/>
  <c r="F478" i="1" s="1"/>
  <c r="R477" i="1"/>
  <c r="P477" i="1"/>
  <c r="N477" i="1"/>
  <c r="K477" i="1"/>
  <c r="B477" i="1"/>
  <c r="L477" i="1" s="1"/>
  <c r="F477" i="1" s="1"/>
  <c r="R476" i="1"/>
  <c r="P476" i="1"/>
  <c r="N476" i="1"/>
  <c r="B476" i="1"/>
  <c r="L476" i="1" s="1"/>
  <c r="F476" i="1" s="1"/>
  <c r="R475" i="1"/>
  <c r="P475" i="1"/>
  <c r="N475" i="1"/>
  <c r="B475" i="1"/>
  <c r="L475" i="1" s="1"/>
  <c r="F475" i="1" s="1"/>
  <c r="R474" i="1"/>
  <c r="P474" i="1"/>
  <c r="N474" i="1"/>
  <c r="B474" i="1"/>
  <c r="L474" i="1" s="1"/>
  <c r="F474" i="1" s="1"/>
  <c r="R473" i="1"/>
  <c r="P473" i="1"/>
  <c r="N473" i="1"/>
  <c r="B473" i="1"/>
  <c r="L473" i="1" s="1"/>
  <c r="F473" i="1" s="1"/>
  <c r="R472" i="1"/>
  <c r="P472" i="1"/>
  <c r="N472" i="1"/>
  <c r="K472" i="1"/>
  <c r="B472" i="1"/>
  <c r="L472" i="1" s="1"/>
  <c r="F472" i="1" s="1"/>
  <c r="R471" i="1"/>
  <c r="P471" i="1"/>
  <c r="N471" i="1"/>
  <c r="B471" i="1"/>
  <c r="L471" i="1" s="1"/>
  <c r="F471" i="1" s="1"/>
  <c r="R470" i="1"/>
  <c r="P470" i="1"/>
  <c r="N470" i="1"/>
  <c r="B470" i="1"/>
  <c r="L470" i="1" s="1"/>
  <c r="F470" i="1" s="1"/>
  <c r="R469" i="1"/>
  <c r="P469" i="1"/>
  <c r="N469" i="1"/>
  <c r="B469" i="1"/>
  <c r="L469" i="1" s="1"/>
  <c r="F469" i="1" s="1"/>
  <c r="R468" i="1"/>
  <c r="P468" i="1"/>
  <c r="N468" i="1"/>
  <c r="B468" i="1"/>
  <c r="L468" i="1" s="1"/>
  <c r="F468" i="1" s="1"/>
  <c r="R467" i="1"/>
  <c r="P467" i="1"/>
  <c r="N467" i="1"/>
  <c r="B467" i="1"/>
  <c r="L467" i="1" s="1"/>
  <c r="F467" i="1" s="1"/>
  <c r="R466" i="1"/>
  <c r="P466" i="1"/>
  <c r="N466" i="1"/>
  <c r="B466" i="1"/>
  <c r="L466" i="1" s="1"/>
  <c r="F466" i="1" s="1"/>
  <c r="R465" i="1"/>
  <c r="P465" i="1"/>
  <c r="N465" i="1"/>
  <c r="B465" i="1"/>
  <c r="L465" i="1" s="1"/>
  <c r="F465" i="1" s="1"/>
  <c r="R464" i="1"/>
  <c r="P464" i="1"/>
  <c r="N464" i="1"/>
  <c r="B464" i="1"/>
  <c r="L464" i="1" s="1"/>
  <c r="F464" i="1" s="1"/>
  <c r="R463" i="1"/>
  <c r="P463" i="1"/>
  <c r="N463" i="1"/>
  <c r="B463" i="1"/>
  <c r="L463" i="1" s="1"/>
  <c r="F463" i="1" s="1"/>
  <c r="R462" i="1"/>
  <c r="P462" i="1"/>
  <c r="N462" i="1"/>
  <c r="B462" i="1"/>
  <c r="L462" i="1" s="1"/>
  <c r="F462" i="1" s="1"/>
  <c r="R461" i="1"/>
  <c r="P461" i="1"/>
  <c r="N461" i="1"/>
  <c r="L461" i="1"/>
  <c r="F461" i="1" s="1"/>
  <c r="B461" i="1"/>
  <c r="R460" i="1"/>
  <c r="P460" i="1"/>
  <c r="N460" i="1"/>
  <c r="B460" i="1"/>
  <c r="L460" i="1" s="1"/>
  <c r="F460" i="1" s="1"/>
  <c r="R459" i="1"/>
  <c r="P459" i="1"/>
  <c r="N459" i="1"/>
  <c r="B459" i="1"/>
  <c r="L459" i="1" s="1"/>
  <c r="F459" i="1" s="1"/>
  <c r="R458" i="1"/>
  <c r="P458" i="1"/>
  <c r="N458" i="1"/>
  <c r="K458" i="1"/>
  <c r="B458" i="1"/>
  <c r="L458" i="1" s="1"/>
  <c r="F458" i="1" s="1"/>
  <c r="R457" i="1"/>
  <c r="P457" i="1"/>
  <c r="N457" i="1"/>
  <c r="B457" i="1"/>
  <c r="L457" i="1" s="1"/>
  <c r="F457" i="1" s="1"/>
  <c r="R456" i="1"/>
  <c r="P456" i="1"/>
  <c r="N456" i="1"/>
  <c r="B456" i="1"/>
  <c r="L456" i="1" s="1"/>
  <c r="F456" i="1" s="1"/>
  <c r="R455" i="1"/>
  <c r="P455" i="1"/>
  <c r="N455" i="1"/>
  <c r="B455" i="1"/>
  <c r="L455" i="1" s="1"/>
  <c r="F455" i="1" s="1"/>
  <c r="R454" i="1"/>
  <c r="P454" i="1"/>
  <c r="N454" i="1"/>
  <c r="B454" i="1"/>
  <c r="L454" i="1" s="1"/>
  <c r="F454" i="1" s="1"/>
  <c r="R453" i="1"/>
  <c r="P453" i="1"/>
  <c r="N453" i="1"/>
  <c r="B453" i="1"/>
  <c r="L453" i="1" s="1"/>
  <c r="F453" i="1" s="1"/>
  <c r="R452" i="1"/>
  <c r="P452" i="1"/>
  <c r="N452" i="1"/>
  <c r="B452" i="1"/>
  <c r="L452" i="1" s="1"/>
  <c r="F452" i="1" s="1"/>
  <c r="R451" i="1"/>
  <c r="P451" i="1"/>
  <c r="N451" i="1"/>
  <c r="B451" i="1"/>
  <c r="L451" i="1" s="1"/>
  <c r="F451" i="1" s="1"/>
  <c r="R450" i="1"/>
  <c r="P450" i="1"/>
  <c r="N450" i="1"/>
  <c r="B450" i="1"/>
  <c r="L450" i="1" s="1"/>
  <c r="F450" i="1" s="1"/>
  <c r="R449" i="1"/>
  <c r="P449" i="1"/>
  <c r="N449" i="1"/>
  <c r="B449" i="1"/>
  <c r="L449" i="1" s="1"/>
  <c r="F449" i="1" s="1"/>
  <c r="R448" i="1"/>
  <c r="P448" i="1"/>
  <c r="N448" i="1"/>
  <c r="B448" i="1"/>
  <c r="L448" i="1" s="1"/>
  <c r="F448" i="1" s="1"/>
  <c r="R447" i="1"/>
  <c r="P447" i="1"/>
  <c r="N447" i="1"/>
  <c r="B447" i="1"/>
  <c r="L447" i="1" s="1"/>
  <c r="F447" i="1" s="1"/>
  <c r="R446" i="1"/>
  <c r="P446" i="1"/>
  <c r="N446" i="1"/>
  <c r="B446" i="1"/>
  <c r="R445" i="1"/>
  <c r="P445" i="1"/>
  <c r="N445" i="1"/>
  <c r="B445" i="1"/>
  <c r="L445" i="1" s="1"/>
  <c r="F445" i="1" s="1"/>
  <c r="R444" i="1"/>
  <c r="P444" i="1"/>
  <c r="N444" i="1"/>
  <c r="B444" i="1"/>
  <c r="L444" i="1" s="1"/>
  <c r="F444" i="1" s="1"/>
  <c r="R443" i="1"/>
  <c r="P443" i="1"/>
  <c r="N443" i="1"/>
  <c r="B443" i="1"/>
  <c r="L443" i="1" s="1"/>
  <c r="F443" i="1" s="1"/>
  <c r="R442" i="1"/>
  <c r="P442" i="1"/>
  <c r="N442" i="1"/>
  <c r="B442" i="1"/>
  <c r="L442" i="1" s="1"/>
  <c r="F442" i="1" s="1"/>
  <c r="R441" i="1"/>
  <c r="P441" i="1"/>
  <c r="N441" i="1"/>
  <c r="B441" i="1"/>
  <c r="L441" i="1" s="1"/>
  <c r="F441" i="1" s="1"/>
  <c r="R440" i="1"/>
  <c r="P440" i="1"/>
  <c r="N440" i="1"/>
  <c r="B440" i="1"/>
  <c r="L440" i="1" s="1"/>
  <c r="F440" i="1" s="1"/>
  <c r="R439" i="1"/>
  <c r="P439" i="1"/>
  <c r="N439" i="1"/>
  <c r="B439" i="1"/>
  <c r="L439" i="1" s="1"/>
  <c r="F439" i="1" s="1"/>
  <c r="R438" i="1"/>
  <c r="P438" i="1"/>
  <c r="N438" i="1"/>
  <c r="B438" i="1"/>
  <c r="L438" i="1" s="1"/>
  <c r="F438" i="1" s="1"/>
  <c r="R437" i="1"/>
  <c r="P437" i="1"/>
  <c r="N437" i="1"/>
  <c r="B437" i="1"/>
  <c r="L437" i="1" s="1"/>
  <c r="F437" i="1" s="1"/>
  <c r="R436" i="1"/>
  <c r="P436" i="1"/>
  <c r="N436" i="1"/>
  <c r="K436" i="1"/>
  <c r="B436" i="1"/>
  <c r="L436" i="1" s="1"/>
  <c r="F436" i="1" s="1"/>
  <c r="R435" i="1"/>
  <c r="P435" i="1"/>
  <c r="N435" i="1"/>
  <c r="B435" i="1"/>
  <c r="L435" i="1" s="1"/>
  <c r="F435" i="1" s="1"/>
  <c r="R434" i="1"/>
  <c r="P434" i="1"/>
  <c r="N434" i="1"/>
  <c r="B434" i="1"/>
  <c r="L434" i="1" s="1"/>
  <c r="F434" i="1" s="1"/>
  <c r="R433" i="1"/>
  <c r="P433" i="1"/>
  <c r="N433" i="1"/>
  <c r="B433" i="1"/>
  <c r="L433" i="1" s="1"/>
  <c r="F433" i="1" s="1"/>
  <c r="R432" i="1"/>
  <c r="P432" i="1"/>
  <c r="N432" i="1"/>
  <c r="K432" i="1"/>
  <c r="B432" i="1"/>
  <c r="R431" i="1"/>
  <c r="P431" i="1"/>
  <c r="N431" i="1"/>
  <c r="K431" i="1"/>
  <c r="B431" i="1"/>
  <c r="L431" i="1" s="1"/>
  <c r="F431" i="1" s="1"/>
  <c r="R430" i="1"/>
  <c r="P430" i="1"/>
  <c r="N430" i="1"/>
  <c r="B430" i="1"/>
  <c r="L430" i="1" s="1"/>
  <c r="F430" i="1" s="1"/>
  <c r="R429" i="1"/>
  <c r="P429" i="1"/>
  <c r="N429" i="1"/>
  <c r="B429" i="1"/>
  <c r="L429" i="1" s="1"/>
  <c r="F429" i="1" s="1"/>
  <c r="R428" i="1"/>
  <c r="P428" i="1"/>
  <c r="N428" i="1"/>
  <c r="K428" i="1"/>
  <c r="B428" i="1"/>
  <c r="R427" i="1"/>
  <c r="P427" i="1"/>
  <c r="N427" i="1"/>
  <c r="B427" i="1"/>
  <c r="L427" i="1" s="1"/>
  <c r="F427" i="1" s="1"/>
  <c r="R426" i="1"/>
  <c r="P426" i="1"/>
  <c r="N426" i="1"/>
  <c r="B426" i="1"/>
  <c r="L426" i="1" s="1"/>
  <c r="F426" i="1" s="1"/>
  <c r="R425" i="1"/>
  <c r="P425" i="1"/>
  <c r="N425" i="1"/>
  <c r="B425" i="1"/>
  <c r="L425" i="1" s="1"/>
  <c r="F425" i="1" s="1"/>
  <c r="R424" i="1"/>
  <c r="P424" i="1"/>
  <c r="N424" i="1"/>
  <c r="B424" i="1"/>
  <c r="L424" i="1" s="1"/>
  <c r="F424" i="1" s="1"/>
  <c r="R423" i="1"/>
  <c r="P423" i="1"/>
  <c r="N423" i="1"/>
  <c r="K423" i="1"/>
  <c r="B423" i="1"/>
  <c r="R422" i="1"/>
  <c r="P422" i="1"/>
  <c r="N422" i="1"/>
  <c r="B422" i="1"/>
  <c r="L422" i="1" s="1"/>
  <c r="F422" i="1" s="1"/>
  <c r="R421" i="1"/>
  <c r="P421" i="1"/>
  <c r="N421" i="1"/>
  <c r="B421" i="1"/>
  <c r="L421" i="1" s="1"/>
  <c r="F421" i="1" s="1"/>
  <c r="R420" i="1"/>
  <c r="P420" i="1"/>
  <c r="N420" i="1"/>
  <c r="B420" i="1"/>
  <c r="L420" i="1" s="1"/>
  <c r="F420" i="1" s="1"/>
  <c r="R419" i="1"/>
  <c r="P419" i="1"/>
  <c r="N419" i="1"/>
  <c r="B419" i="1"/>
  <c r="L419" i="1" s="1"/>
  <c r="F419" i="1" s="1"/>
  <c r="R418" i="1"/>
  <c r="P418" i="1"/>
  <c r="N418" i="1"/>
  <c r="B418" i="1"/>
  <c r="L418" i="1" s="1"/>
  <c r="F418" i="1" s="1"/>
  <c r="R417" i="1"/>
  <c r="P417" i="1"/>
  <c r="N417" i="1"/>
  <c r="B417" i="1"/>
  <c r="L417" i="1" s="1"/>
  <c r="F417" i="1" s="1"/>
  <c r="R416" i="1"/>
  <c r="P416" i="1"/>
  <c r="N416" i="1"/>
  <c r="B416" i="1"/>
  <c r="L416" i="1" s="1"/>
  <c r="F416" i="1" s="1"/>
  <c r="R415" i="1"/>
  <c r="P415" i="1"/>
  <c r="N415" i="1"/>
  <c r="B415" i="1"/>
  <c r="L415" i="1" s="1"/>
  <c r="F415" i="1" s="1"/>
  <c r="R414" i="1"/>
  <c r="P414" i="1"/>
  <c r="N414" i="1"/>
  <c r="K414" i="1"/>
  <c r="B414" i="1"/>
  <c r="R413" i="1"/>
  <c r="P413" i="1"/>
  <c r="N413" i="1"/>
  <c r="B413" i="1"/>
  <c r="L413" i="1" s="1"/>
  <c r="F413" i="1" s="1"/>
  <c r="R412" i="1"/>
  <c r="P412" i="1"/>
  <c r="N412" i="1"/>
  <c r="K412" i="1"/>
  <c r="B412" i="1"/>
  <c r="R411" i="1"/>
  <c r="P411" i="1"/>
  <c r="N411" i="1"/>
  <c r="K411" i="1"/>
  <c r="B411" i="1"/>
  <c r="L411" i="1" s="1"/>
  <c r="F411" i="1" s="1"/>
  <c r="R410" i="1"/>
  <c r="P410" i="1"/>
  <c r="N410" i="1"/>
  <c r="K410" i="1"/>
  <c r="B410" i="1"/>
  <c r="L410" i="1" s="1"/>
  <c r="F410" i="1" s="1"/>
  <c r="R409" i="1"/>
  <c r="P409" i="1"/>
  <c r="N409" i="1"/>
  <c r="B409" i="1"/>
  <c r="L409" i="1" s="1"/>
  <c r="F409" i="1" s="1"/>
  <c r="R408" i="1"/>
  <c r="P408" i="1"/>
  <c r="N408" i="1"/>
  <c r="K408" i="1"/>
  <c r="B408" i="1"/>
  <c r="L408" i="1" s="1"/>
  <c r="F408" i="1" s="1"/>
  <c r="R407" i="1"/>
  <c r="P407" i="1"/>
  <c r="N407" i="1"/>
  <c r="B407" i="1"/>
  <c r="L407" i="1" s="1"/>
  <c r="F407" i="1" s="1"/>
  <c r="R406" i="1"/>
  <c r="P406" i="1"/>
  <c r="N406" i="1"/>
  <c r="K406" i="1"/>
  <c r="B406" i="1"/>
  <c r="R405" i="1"/>
  <c r="P405" i="1"/>
  <c r="N405" i="1"/>
  <c r="K405" i="1"/>
  <c r="B405" i="1"/>
  <c r="L405" i="1" s="1"/>
  <c r="F405" i="1" s="1"/>
  <c r="R404" i="1"/>
  <c r="P404" i="1"/>
  <c r="N404" i="1"/>
  <c r="K404" i="1"/>
  <c r="B404" i="1"/>
  <c r="L404" i="1" s="1"/>
  <c r="F404" i="1" s="1"/>
  <c r="R403" i="1"/>
  <c r="P403" i="1"/>
  <c r="N403" i="1"/>
  <c r="B403" i="1"/>
  <c r="L403" i="1" s="1"/>
  <c r="F403" i="1" s="1"/>
  <c r="R402" i="1"/>
  <c r="P402" i="1"/>
  <c r="N402" i="1"/>
  <c r="B402" i="1"/>
  <c r="L402" i="1" s="1"/>
  <c r="F402" i="1" s="1"/>
  <c r="R401" i="1"/>
  <c r="P401" i="1"/>
  <c r="N401" i="1"/>
  <c r="B401" i="1"/>
  <c r="L401" i="1" s="1"/>
  <c r="F401" i="1" s="1"/>
  <c r="R400" i="1"/>
  <c r="P400" i="1"/>
  <c r="N400" i="1"/>
  <c r="B400" i="1"/>
  <c r="L400" i="1" s="1"/>
  <c r="F400" i="1" s="1"/>
  <c r="R399" i="1"/>
  <c r="P399" i="1"/>
  <c r="N399" i="1"/>
  <c r="K399" i="1"/>
  <c r="B399" i="1"/>
  <c r="R398" i="1"/>
  <c r="P398" i="1"/>
  <c r="N398" i="1"/>
  <c r="B398" i="1"/>
  <c r="L398" i="1" s="1"/>
  <c r="F398" i="1" s="1"/>
  <c r="R397" i="1"/>
  <c r="P397" i="1"/>
  <c r="N397" i="1"/>
  <c r="K397" i="1"/>
  <c r="B397" i="1"/>
  <c r="R396" i="1"/>
  <c r="P396" i="1"/>
  <c r="N396" i="1"/>
  <c r="B396" i="1"/>
  <c r="L396" i="1" s="1"/>
  <c r="F396" i="1" s="1"/>
  <c r="R395" i="1"/>
  <c r="P395" i="1"/>
  <c r="N395" i="1"/>
  <c r="B395" i="1"/>
  <c r="L395" i="1" s="1"/>
  <c r="F395" i="1" s="1"/>
  <c r="R394" i="1"/>
  <c r="P394" i="1"/>
  <c r="N394" i="1"/>
  <c r="B394" i="1"/>
  <c r="L394" i="1" s="1"/>
  <c r="F394" i="1" s="1"/>
  <c r="R393" i="1"/>
  <c r="P393" i="1"/>
  <c r="N393" i="1"/>
  <c r="B393" i="1"/>
  <c r="L393" i="1" s="1"/>
  <c r="F393" i="1" s="1"/>
  <c r="R392" i="1"/>
  <c r="P392" i="1"/>
  <c r="N392" i="1"/>
  <c r="B392" i="1"/>
  <c r="L392" i="1" s="1"/>
  <c r="F392" i="1" s="1"/>
  <c r="R391" i="1"/>
  <c r="P391" i="1"/>
  <c r="N391" i="1"/>
  <c r="L391" i="1"/>
  <c r="F391" i="1" s="1"/>
  <c r="R390" i="1"/>
  <c r="P390" i="1"/>
  <c r="N390" i="1"/>
  <c r="K390" i="1"/>
  <c r="B390" i="1"/>
  <c r="R389" i="1"/>
  <c r="P389" i="1"/>
  <c r="N389" i="1"/>
  <c r="K389" i="1"/>
  <c r="B389" i="1"/>
  <c r="L389" i="1" s="1"/>
  <c r="F389" i="1" s="1"/>
  <c r="R388" i="1"/>
  <c r="P388" i="1"/>
  <c r="N388" i="1"/>
  <c r="B388" i="1"/>
  <c r="L388" i="1" s="1"/>
  <c r="F388" i="1" s="1"/>
  <c r="R387" i="1"/>
  <c r="P387" i="1"/>
  <c r="N387" i="1"/>
  <c r="B387" i="1"/>
  <c r="L387" i="1" s="1"/>
  <c r="F387" i="1" s="1"/>
  <c r="R386" i="1"/>
  <c r="P386" i="1"/>
  <c r="N386" i="1"/>
  <c r="K386" i="1"/>
  <c r="B386" i="1"/>
  <c r="R385" i="1"/>
  <c r="P385" i="1"/>
  <c r="N385" i="1"/>
  <c r="B385" i="1"/>
  <c r="L385" i="1" s="1"/>
  <c r="F385" i="1" s="1"/>
  <c r="R384" i="1"/>
  <c r="P384" i="1"/>
  <c r="N384" i="1"/>
  <c r="B384" i="1"/>
  <c r="L384" i="1" s="1"/>
  <c r="F384" i="1" s="1"/>
  <c r="R383" i="1"/>
  <c r="P383" i="1"/>
  <c r="N383" i="1"/>
  <c r="B383" i="1"/>
  <c r="L383" i="1" s="1"/>
  <c r="F383" i="1" s="1"/>
  <c r="R382" i="1"/>
  <c r="P382" i="1"/>
  <c r="N382" i="1"/>
  <c r="L382" i="1"/>
  <c r="F382" i="1" s="1"/>
  <c r="R381" i="1"/>
  <c r="P381" i="1"/>
  <c r="N381" i="1"/>
  <c r="B381" i="1"/>
  <c r="L381" i="1" s="1"/>
  <c r="F381" i="1" s="1"/>
  <c r="R380" i="1"/>
  <c r="P380" i="1"/>
  <c r="N380" i="1"/>
  <c r="B380" i="1"/>
  <c r="L380" i="1" s="1"/>
  <c r="F380" i="1" s="1"/>
  <c r="R379" i="1"/>
  <c r="P379" i="1"/>
  <c r="N379" i="1"/>
  <c r="B379" i="1"/>
  <c r="L379" i="1" s="1"/>
  <c r="F379" i="1" s="1"/>
  <c r="R378" i="1"/>
  <c r="P378" i="1"/>
  <c r="N378" i="1"/>
  <c r="K378" i="1"/>
  <c r="B378" i="1"/>
  <c r="L378" i="1" s="1"/>
  <c r="F378" i="1" s="1"/>
  <c r="R377" i="1"/>
  <c r="P377" i="1"/>
  <c r="N377" i="1"/>
  <c r="B377" i="1"/>
  <c r="L377" i="1" s="1"/>
  <c r="F377" i="1" s="1"/>
  <c r="R376" i="1"/>
  <c r="P376" i="1"/>
  <c r="N376" i="1"/>
  <c r="B376" i="1"/>
  <c r="L376" i="1" s="1"/>
  <c r="F376" i="1" s="1"/>
  <c r="R375" i="1"/>
  <c r="P375" i="1"/>
  <c r="N375" i="1"/>
  <c r="B375" i="1"/>
  <c r="L375" i="1" s="1"/>
  <c r="F375" i="1" s="1"/>
  <c r="R374" i="1"/>
  <c r="P374" i="1"/>
  <c r="N374" i="1"/>
  <c r="B374" i="1"/>
  <c r="L374" i="1" s="1"/>
  <c r="F374" i="1" s="1"/>
  <c r="R373" i="1"/>
  <c r="P373" i="1"/>
  <c r="N373" i="1"/>
  <c r="B373" i="1"/>
  <c r="L373" i="1" s="1"/>
  <c r="F373" i="1" s="1"/>
  <c r="R372" i="1"/>
  <c r="P372" i="1"/>
  <c r="N372" i="1"/>
  <c r="L372" i="1"/>
  <c r="F372" i="1" s="1"/>
  <c r="R371" i="1"/>
  <c r="P371" i="1"/>
  <c r="N371" i="1"/>
  <c r="K371" i="1"/>
  <c r="B371" i="1"/>
  <c r="R370" i="1"/>
  <c r="P370" i="1"/>
  <c r="N370" i="1"/>
  <c r="B370" i="1"/>
  <c r="L370" i="1" s="1"/>
  <c r="F370" i="1" s="1"/>
  <c r="R369" i="1"/>
  <c r="P369" i="1"/>
  <c r="N369" i="1"/>
  <c r="B369" i="1"/>
  <c r="L369" i="1" s="1"/>
  <c r="F369" i="1" s="1"/>
  <c r="R368" i="1"/>
  <c r="P368" i="1"/>
  <c r="N368" i="1"/>
  <c r="B368" i="1"/>
  <c r="L368" i="1" s="1"/>
  <c r="F368" i="1" s="1"/>
  <c r="R367" i="1"/>
  <c r="P367" i="1"/>
  <c r="N367" i="1"/>
  <c r="B367" i="1"/>
  <c r="L367" i="1" s="1"/>
  <c r="F367" i="1" s="1"/>
  <c r="R366" i="1"/>
  <c r="P366" i="1"/>
  <c r="N366" i="1"/>
  <c r="B366" i="1"/>
  <c r="L366" i="1" s="1"/>
  <c r="F366" i="1" s="1"/>
  <c r="R365" i="1"/>
  <c r="P365" i="1"/>
  <c r="N365" i="1"/>
  <c r="B365" i="1"/>
  <c r="L365" i="1" s="1"/>
  <c r="F365" i="1" s="1"/>
  <c r="R364" i="1"/>
  <c r="P364" i="1"/>
  <c r="N364" i="1"/>
  <c r="B364" i="1"/>
  <c r="L364" i="1" s="1"/>
  <c r="F364" i="1" s="1"/>
  <c r="R363" i="1"/>
  <c r="P363" i="1"/>
  <c r="N363" i="1"/>
  <c r="B363" i="1"/>
  <c r="L363" i="1" s="1"/>
  <c r="F363" i="1" s="1"/>
  <c r="R362" i="1"/>
  <c r="P362" i="1"/>
  <c r="N362" i="1"/>
  <c r="L362" i="1"/>
  <c r="F362" i="1" s="1"/>
  <c r="R361" i="1"/>
  <c r="P361" i="1"/>
  <c r="N361" i="1"/>
  <c r="B361" i="1"/>
  <c r="L361" i="1" s="1"/>
  <c r="F361" i="1" s="1"/>
  <c r="R360" i="1"/>
  <c r="P360" i="1"/>
  <c r="N360" i="1"/>
  <c r="B360" i="1"/>
  <c r="L360" i="1" s="1"/>
  <c r="F360" i="1" s="1"/>
  <c r="R359" i="1"/>
  <c r="P359" i="1"/>
  <c r="N359" i="1"/>
  <c r="K359" i="1"/>
  <c r="B359" i="1"/>
  <c r="L359" i="1" s="1"/>
  <c r="F359" i="1" s="1"/>
  <c r="R358" i="1"/>
  <c r="P358" i="1"/>
  <c r="N358" i="1"/>
  <c r="K358" i="1"/>
  <c r="B358" i="1"/>
  <c r="R357" i="1"/>
  <c r="P357" i="1"/>
  <c r="N357" i="1"/>
  <c r="K357" i="1"/>
  <c r="B357" i="1"/>
  <c r="L357" i="1" s="1"/>
  <c r="F357" i="1" s="1"/>
  <c r="R356" i="1"/>
  <c r="P356" i="1"/>
  <c r="N356" i="1"/>
  <c r="B356" i="1"/>
  <c r="L356" i="1" s="1"/>
  <c r="F356" i="1" s="1"/>
  <c r="R355" i="1"/>
  <c r="P355" i="1"/>
  <c r="N355" i="1"/>
  <c r="K355" i="1"/>
  <c r="B355" i="1"/>
  <c r="L355" i="1" s="1"/>
  <c r="F355" i="1" s="1"/>
  <c r="R354" i="1"/>
  <c r="P354" i="1"/>
  <c r="N354" i="1"/>
  <c r="B354" i="1"/>
  <c r="L354" i="1" s="1"/>
  <c r="F354" i="1" s="1"/>
  <c r="R353" i="1"/>
  <c r="P353" i="1"/>
  <c r="N353" i="1"/>
  <c r="B353" i="1"/>
  <c r="L353" i="1" s="1"/>
  <c r="F353" i="1" s="1"/>
  <c r="R352" i="1"/>
  <c r="P352" i="1"/>
  <c r="N352" i="1"/>
  <c r="B352" i="1"/>
  <c r="L352" i="1" s="1"/>
  <c r="F352" i="1" s="1"/>
  <c r="R351" i="1"/>
  <c r="P351" i="1"/>
  <c r="N351" i="1"/>
  <c r="B351" i="1"/>
  <c r="L351" i="1" s="1"/>
  <c r="F351" i="1" s="1"/>
  <c r="R350" i="1"/>
  <c r="P350" i="1"/>
  <c r="N350" i="1"/>
  <c r="B350" i="1"/>
  <c r="L350" i="1" s="1"/>
  <c r="F350" i="1" s="1"/>
  <c r="R349" i="1"/>
  <c r="P349" i="1"/>
  <c r="N349" i="1"/>
  <c r="B349" i="1"/>
  <c r="L349" i="1" s="1"/>
  <c r="F349" i="1" s="1"/>
  <c r="R348" i="1"/>
  <c r="P348" i="1"/>
  <c r="N348" i="1"/>
  <c r="K348" i="1"/>
  <c r="B348" i="1"/>
  <c r="R347" i="1"/>
  <c r="P347" i="1"/>
  <c r="N347" i="1"/>
  <c r="B347" i="1"/>
  <c r="L347" i="1" s="1"/>
  <c r="F347" i="1" s="1"/>
  <c r="R346" i="1"/>
  <c r="P346" i="1"/>
  <c r="N346" i="1"/>
  <c r="K346" i="1"/>
  <c r="B346" i="1"/>
  <c r="L346" i="1" s="1"/>
  <c r="F346" i="1" s="1"/>
  <c r="R345" i="1"/>
  <c r="P345" i="1"/>
  <c r="N345" i="1"/>
  <c r="B345" i="1"/>
  <c r="L345" i="1" s="1"/>
  <c r="F345" i="1" s="1"/>
  <c r="R344" i="1"/>
  <c r="P344" i="1"/>
  <c r="N344" i="1"/>
  <c r="K344" i="1"/>
  <c r="B344" i="1"/>
  <c r="L344" i="1" s="1"/>
  <c r="F344" i="1" s="1"/>
  <c r="R343" i="1"/>
  <c r="P343" i="1"/>
  <c r="N343" i="1"/>
  <c r="B343" i="1"/>
  <c r="L343" i="1" s="1"/>
  <c r="F343" i="1" s="1"/>
  <c r="R342" i="1"/>
  <c r="P342" i="1"/>
  <c r="N342" i="1"/>
  <c r="B342" i="1"/>
  <c r="L342" i="1" s="1"/>
  <c r="F342" i="1" s="1"/>
  <c r="R341" i="1"/>
  <c r="P341" i="1"/>
  <c r="N341" i="1"/>
  <c r="B341" i="1"/>
  <c r="L341" i="1" s="1"/>
  <c r="F341" i="1" s="1"/>
  <c r="R340" i="1"/>
  <c r="P340" i="1"/>
  <c r="N340" i="1"/>
  <c r="B340" i="1"/>
  <c r="L340" i="1" s="1"/>
  <c r="F340" i="1" s="1"/>
  <c r="R339" i="1"/>
  <c r="P339" i="1"/>
  <c r="N339" i="1"/>
  <c r="B339" i="1"/>
  <c r="L339" i="1" s="1"/>
  <c r="F339" i="1" s="1"/>
  <c r="R338" i="1"/>
  <c r="P338" i="1"/>
  <c r="N338" i="1"/>
  <c r="K338" i="1"/>
  <c r="B338" i="1"/>
  <c r="R337" i="1"/>
  <c r="P337" i="1"/>
  <c r="N337" i="1"/>
  <c r="B337" i="1"/>
  <c r="L337" i="1" s="1"/>
  <c r="F337" i="1" s="1"/>
  <c r="R336" i="1"/>
  <c r="P336" i="1"/>
  <c r="N336" i="1"/>
  <c r="B336" i="1"/>
  <c r="L336" i="1" s="1"/>
  <c r="F336" i="1" s="1"/>
  <c r="R335" i="1"/>
  <c r="P335" i="1"/>
  <c r="N335" i="1"/>
  <c r="B335" i="1"/>
  <c r="L335" i="1" s="1"/>
  <c r="F335" i="1" s="1"/>
  <c r="R334" i="1"/>
  <c r="P334" i="1"/>
  <c r="N334" i="1"/>
  <c r="B334" i="1"/>
  <c r="L334" i="1" s="1"/>
  <c r="F334" i="1" s="1"/>
  <c r="R333" i="1"/>
  <c r="P333" i="1"/>
  <c r="N333" i="1"/>
  <c r="B333" i="1"/>
  <c r="L333" i="1" s="1"/>
  <c r="F333" i="1" s="1"/>
  <c r="R332" i="1"/>
  <c r="P332" i="1"/>
  <c r="N332" i="1"/>
  <c r="B332" i="1"/>
  <c r="L332" i="1" s="1"/>
  <c r="F332" i="1" s="1"/>
  <c r="R331" i="1"/>
  <c r="P331" i="1"/>
  <c r="N331" i="1"/>
  <c r="B331" i="1"/>
  <c r="L331" i="1" s="1"/>
  <c r="F331" i="1" s="1"/>
  <c r="R330" i="1"/>
  <c r="P330" i="1"/>
  <c r="N330" i="1"/>
  <c r="B330" i="1"/>
  <c r="L330" i="1" s="1"/>
  <c r="F330" i="1" s="1"/>
  <c r="R329" i="1"/>
  <c r="P329" i="1"/>
  <c r="N329" i="1"/>
  <c r="B329" i="1"/>
  <c r="L329" i="1" s="1"/>
  <c r="F329" i="1" s="1"/>
  <c r="R328" i="1"/>
  <c r="P328" i="1"/>
  <c r="N328" i="1"/>
  <c r="B328" i="1"/>
  <c r="L328" i="1" s="1"/>
  <c r="F328" i="1" s="1"/>
  <c r="R327" i="1"/>
  <c r="P327" i="1"/>
  <c r="N327" i="1"/>
  <c r="B327" i="1"/>
  <c r="L327" i="1" s="1"/>
  <c r="F327" i="1" s="1"/>
  <c r="R326" i="1"/>
  <c r="P326" i="1"/>
  <c r="N326" i="1"/>
  <c r="B326" i="1"/>
  <c r="L326" i="1" s="1"/>
  <c r="F326" i="1" s="1"/>
  <c r="R325" i="1"/>
  <c r="P325" i="1"/>
  <c r="N325" i="1"/>
  <c r="B325" i="1"/>
  <c r="L325" i="1" s="1"/>
  <c r="F325" i="1" s="1"/>
  <c r="R324" i="1"/>
  <c r="P324" i="1"/>
  <c r="N324" i="1"/>
  <c r="B324" i="1"/>
  <c r="L324" i="1" s="1"/>
  <c r="F324" i="1" s="1"/>
  <c r="R323" i="1"/>
  <c r="P323" i="1"/>
  <c r="N323" i="1"/>
  <c r="B323" i="1"/>
  <c r="L323" i="1" s="1"/>
  <c r="F323" i="1" s="1"/>
  <c r="R322" i="1"/>
  <c r="P322" i="1"/>
  <c r="N322" i="1"/>
  <c r="K322" i="1"/>
  <c r="B322" i="1"/>
  <c r="L322" i="1" s="1"/>
  <c r="F322" i="1" s="1"/>
  <c r="R321" i="1"/>
  <c r="P321" i="1"/>
  <c r="N321" i="1"/>
  <c r="K321" i="1"/>
  <c r="B321" i="1"/>
  <c r="L321" i="1" s="1"/>
  <c r="F321" i="1" s="1"/>
  <c r="R320" i="1"/>
  <c r="P320" i="1"/>
  <c r="N320" i="1"/>
  <c r="K320" i="1"/>
  <c r="B320" i="1"/>
  <c r="R319" i="1"/>
  <c r="P319" i="1"/>
  <c r="N319" i="1"/>
  <c r="B319" i="1"/>
  <c r="L319" i="1" s="1"/>
  <c r="F319" i="1" s="1"/>
  <c r="R318" i="1"/>
  <c r="P318" i="1"/>
  <c r="N318" i="1"/>
  <c r="B318" i="1"/>
  <c r="L318" i="1" s="1"/>
  <c r="F318" i="1" s="1"/>
  <c r="R317" i="1"/>
  <c r="P317" i="1"/>
  <c r="N317" i="1"/>
  <c r="B317" i="1"/>
  <c r="L317" i="1" s="1"/>
  <c r="F317" i="1" s="1"/>
  <c r="R316" i="1"/>
  <c r="P316" i="1"/>
  <c r="N316" i="1"/>
  <c r="B316" i="1"/>
  <c r="L316" i="1" s="1"/>
  <c r="F316" i="1" s="1"/>
  <c r="R315" i="1"/>
  <c r="P315" i="1"/>
  <c r="N315" i="1"/>
  <c r="K315" i="1"/>
  <c r="B315" i="1"/>
  <c r="L315" i="1" s="1"/>
  <c r="F315" i="1" s="1"/>
  <c r="R314" i="1"/>
  <c r="P314" i="1"/>
  <c r="N314" i="1"/>
  <c r="B314" i="1"/>
  <c r="L314" i="1" s="1"/>
  <c r="F314" i="1" s="1"/>
  <c r="R313" i="1"/>
  <c r="P313" i="1"/>
  <c r="N313" i="1"/>
  <c r="K313" i="1"/>
  <c r="B313" i="1"/>
  <c r="L313" i="1" s="1"/>
  <c r="F313" i="1" s="1"/>
  <c r="R312" i="1"/>
  <c r="P312" i="1"/>
  <c r="N312" i="1"/>
  <c r="K312" i="1"/>
  <c r="B312" i="1"/>
  <c r="R311" i="1"/>
  <c r="P311" i="1"/>
  <c r="N311" i="1"/>
  <c r="L311" i="1"/>
  <c r="F311" i="1" s="1"/>
  <c r="R310" i="1"/>
  <c r="P310" i="1"/>
  <c r="N310" i="1"/>
  <c r="K310" i="1"/>
  <c r="B310" i="1"/>
  <c r="R309" i="1"/>
  <c r="P309" i="1"/>
  <c r="N309" i="1"/>
  <c r="B309" i="1"/>
  <c r="L309" i="1" s="1"/>
  <c r="F309" i="1" s="1"/>
  <c r="R308" i="1"/>
  <c r="P308" i="1"/>
  <c r="N308" i="1"/>
  <c r="B308" i="1"/>
  <c r="L308" i="1" s="1"/>
  <c r="F308" i="1" s="1"/>
  <c r="R307" i="1"/>
  <c r="P307" i="1"/>
  <c r="N307" i="1"/>
  <c r="B307" i="1"/>
  <c r="L307" i="1" s="1"/>
  <c r="F307" i="1" s="1"/>
  <c r="R306" i="1"/>
  <c r="P306" i="1"/>
  <c r="N306" i="1"/>
  <c r="B306" i="1"/>
  <c r="L306" i="1" s="1"/>
  <c r="F306" i="1" s="1"/>
  <c r="R305" i="1"/>
  <c r="P305" i="1"/>
  <c r="N305" i="1"/>
  <c r="K305" i="1"/>
  <c r="B305" i="1"/>
  <c r="R304" i="1"/>
  <c r="P304" i="1"/>
  <c r="N304" i="1"/>
  <c r="B304" i="1"/>
  <c r="L304" i="1" s="1"/>
  <c r="F304" i="1" s="1"/>
  <c r="R303" i="1"/>
  <c r="P303" i="1"/>
  <c r="N303" i="1"/>
  <c r="B303" i="1"/>
  <c r="L303" i="1" s="1"/>
  <c r="F303" i="1" s="1"/>
  <c r="R302" i="1"/>
  <c r="P302" i="1"/>
  <c r="N302" i="1"/>
  <c r="B302" i="1"/>
  <c r="L302" i="1" s="1"/>
  <c r="F302" i="1" s="1"/>
  <c r="R301" i="1"/>
  <c r="P301" i="1"/>
  <c r="N301" i="1"/>
  <c r="B301" i="1"/>
  <c r="L301" i="1" s="1"/>
  <c r="F301" i="1" s="1"/>
  <c r="R300" i="1"/>
  <c r="P300" i="1"/>
  <c r="N300" i="1"/>
  <c r="K300" i="1"/>
  <c r="B300" i="1"/>
  <c r="R299" i="1"/>
  <c r="P299" i="1"/>
  <c r="N299" i="1"/>
  <c r="K299" i="1"/>
  <c r="B299" i="1"/>
  <c r="R298" i="1"/>
  <c r="P298" i="1"/>
  <c r="N298" i="1"/>
  <c r="B298" i="1"/>
  <c r="L298" i="1" s="1"/>
  <c r="F298" i="1" s="1"/>
  <c r="R297" i="1"/>
  <c r="P297" i="1"/>
  <c r="N297" i="1"/>
  <c r="K297" i="1"/>
  <c r="B297" i="1"/>
  <c r="L297" i="1" s="1"/>
  <c r="F297" i="1" s="1"/>
  <c r="R296" i="1"/>
  <c r="P296" i="1"/>
  <c r="N296" i="1"/>
  <c r="K296" i="1"/>
  <c r="B296" i="1"/>
  <c r="L296" i="1" s="1"/>
  <c r="F296" i="1" s="1"/>
  <c r="R295" i="1"/>
  <c r="P295" i="1"/>
  <c r="N295" i="1"/>
  <c r="B295" i="1"/>
  <c r="L295" i="1" s="1"/>
  <c r="F295" i="1" s="1"/>
  <c r="R294" i="1"/>
  <c r="P294" i="1"/>
  <c r="N294" i="1"/>
  <c r="B294" i="1"/>
  <c r="L294" i="1" s="1"/>
  <c r="F294" i="1" s="1"/>
  <c r="R293" i="1"/>
  <c r="P293" i="1"/>
  <c r="N293" i="1"/>
  <c r="B293" i="1"/>
  <c r="L293" i="1" s="1"/>
  <c r="F293" i="1" s="1"/>
  <c r="R292" i="1"/>
  <c r="P292" i="1"/>
  <c r="N292" i="1"/>
  <c r="B292" i="1"/>
  <c r="L292" i="1" s="1"/>
  <c r="F292" i="1" s="1"/>
  <c r="R291" i="1"/>
  <c r="P291" i="1"/>
  <c r="N291" i="1"/>
  <c r="K291" i="1"/>
  <c r="B291" i="1"/>
  <c r="R290" i="1"/>
  <c r="P290" i="1"/>
  <c r="N290" i="1"/>
  <c r="B290" i="1"/>
  <c r="L290" i="1" s="1"/>
  <c r="F290" i="1" s="1"/>
  <c r="R289" i="1"/>
  <c r="P289" i="1"/>
  <c r="N289" i="1"/>
  <c r="B289" i="1"/>
  <c r="L289" i="1" s="1"/>
  <c r="F289" i="1" s="1"/>
  <c r="R288" i="1"/>
  <c r="P288" i="1"/>
  <c r="N288" i="1"/>
  <c r="B288" i="1"/>
  <c r="L288" i="1" s="1"/>
  <c r="F288" i="1" s="1"/>
  <c r="R287" i="1"/>
  <c r="P287" i="1"/>
  <c r="N287" i="1"/>
  <c r="B287" i="1"/>
  <c r="L287" i="1" s="1"/>
  <c r="F287" i="1" s="1"/>
  <c r="R286" i="1"/>
  <c r="P286" i="1"/>
  <c r="N286" i="1"/>
  <c r="B286" i="1"/>
  <c r="L286" i="1" s="1"/>
  <c r="F286" i="1" s="1"/>
  <c r="R285" i="1"/>
  <c r="P285" i="1"/>
  <c r="N285" i="1"/>
  <c r="K285" i="1"/>
  <c r="B285" i="1"/>
  <c r="L285" i="1" s="1"/>
  <c r="F285" i="1" s="1"/>
  <c r="R284" i="1"/>
  <c r="P284" i="1"/>
  <c r="N284" i="1"/>
  <c r="B284" i="1"/>
  <c r="L284" i="1" s="1"/>
  <c r="F284" i="1" s="1"/>
  <c r="R283" i="1"/>
  <c r="P283" i="1"/>
  <c r="N283" i="1"/>
  <c r="K283" i="1"/>
  <c r="B283" i="1"/>
  <c r="L283" i="1" s="1"/>
  <c r="F283" i="1" s="1"/>
  <c r="R282" i="1"/>
  <c r="P282" i="1"/>
  <c r="N282" i="1"/>
  <c r="B282" i="1"/>
  <c r="L282" i="1" s="1"/>
  <c r="F282" i="1" s="1"/>
  <c r="R281" i="1"/>
  <c r="P281" i="1"/>
  <c r="N281" i="1"/>
  <c r="B281" i="1"/>
  <c r="L281" i="1" s="1"/>
  <c r="F281" i="1" s="1"/>
  <c r="R280" i="1"/>
  <c r="P280" i="1"/>
  <c r="N280" i="1"/>
  <c r="B280" i="1"/>
  <c r="L280" i="1" s="1"/>
  <c r="F280" i="1" s="1"/>
  <c r="R279" i="1"/>
  <c r="P279" i="1"/>
  <c r="N279" i="1"/>
  <c r="B279" i="1"/>
  <c r="L279" i="1" s="1"/>
  <c r="F279" i="1" s="1"/>
  <c r="R278" i="1"/>
  <c r="P278" i="1"/>
  <c r="N278" i="1"/>
  <c r="B278" i="1"/>
  <c r="L278" i="1" s="1"/>
  <c r="F278" i="1" s="1"/>
  <c r="R277" i="1"/>
  <c r="P277" i="1"/>
  <c r="N277" i="1"/>
  <c r="B277" i="1"/>
  <c r="L277" i="1" s="1"/>
  <c r="F277" i="1" s="1"/>
  <c r="R276" i="1"/>
  <c r="P276" i="1"/>
  <c r="N276" i="1"/>
  <c r="B276" i="1"/>
  <c r="L276" i="1" s="1"/>
  <c r="F276" i="1" s="1"/>
  <c r="R275" i="1"/>
  <c r="P275" i="1"/>
  <c r="N275" i="1"/>
  <c r="B275" i="1"/>
  <c r="L275" i="1" s="1"/>
  <c r="F275" i="1" s="1"/>
  <c r="R274" i="1"/>
  <c r="P274" i="1"/>
  <c r="N274" i="1"/>
  <c r="B274" i="1"/>
  <c r="L274" i="1" s="1"/>
  <c r="F274" i="1" s="1"/>
  <c r="R273" i="1"/>
  <c r="P273" i="1"/>
  <c r="N273" i="1"/>
  <c r="L273" i="1"/>
  <c r="F273" i="1" s="1"/>
  <c r="K273" i="1"/>
  <c r="B273" i="1"/>
  <c r="R272" i="1"/>
  <c r="P272" i="1"/>
  <c r="N272" i="1"/>
  <c r="B272" i="1"/>
  <c r="L272" i="1" s="1"/>
  <c r="F272" i="1" s="1"/>
  <c r="R271" i="1"/>
  <c r="P271" i="1"/>
  <c r="N271" i="1"/>
  <c r="B271" i="1"/>
  <c r="L271" i="1" s="1"/>
  <c r="F271" i="1" s="1"/>
  <c r="R270" i="1"/>
  <c r="P270" i="1"/>
  <c r="N270" i="1"/>
  <c r="B270" i="1"/>
  <c r="L270" i="1" s="1"/>
  <c r="F270" i="1" s="1"/>
  <c r="R269" i="1"/>
  <c r="P269" i="1"/>
  <c r="N269" i="1"/>
  <c r="B269" i="1"/>
  <c r="L269" i="1" s="1"/>
  <c r="F269" i="1" s="1"/>
  <c r="R268" i="1"/>
  <c r="P268" i="1"/>
  <c r="N268" i="1"/>
  <c r="B268" i="1"/>
  <c r="L268" i="1" s="1"/>
  <c r="F268" i="1" s="1"/>
  <c r="R267" i="1"/>
  <c r="P267" i="1"/>
  <c r="N267" i="1"/>
  <c r="K267" i="1"/>
  <c r="B267" i="1"/>
  <c r="L267" i="1" s="1"/>
  <c r="F267" i="1" s="1"/>
  <c r="R266" i="1"/>
  <c r="P266" i="1"/>
  <c r="N266" i="1"/>
  <c r="B266" i="1"/>
  <c r="L266" i="1" s="1"/>
  <c r="F266" i="1" s="1"/>
  <c r="R265" i="1"/>
  <c r="P265" i="1"/>
  <c r="N265" i="1"/>
  <c r="B265" i="1"/>
  <c r="L265" i="1" s="1"/>
  <c r="F265" i="1" s="1"/>
  <c r="R264" i="1"/>
  <c r="P264" i="1"/>
  <c r="N264" i="1"/>
  <c r="B264" i="1"/>
  <c r="L264" i="1" s="1"/>
  <c r="F264" i="1" s="1"/>
  <c r="R263" i="1"/>
  <c r="P263" i="1"/>
  <c r="N263" i="1"/>
  <c r="B263" i="1"/>
  <c r="L263" i="1" s="1"/>
  <c r="F263" i="1" s="1"/>
  <c r="R262" i="1"/>
  <c r="P262" i="1"/>
  <c r="N262" i="1"/>
  <c r="B262" i="1"/>
  <c r="L262" i="1" s="1"/>
  <c r="F262" i="1" s="1"/>
  <c r="R261" i="1"/>
  <c r="P261" i="1"/>
  <c r="N261" i="1"/>
  <c r="B261" i="1"/>
  <c r="L261" i="1" s="1"/>
  <c r="F261" i="1" s="1"/>
  <c r="R260" i="1"/>
  <c r="P260" i="1"/>
  <c r="N260" i="1"/>
  <c r="B260" i="1"/>
  <c r="L260" i="1" s="1"/>
  <c r="F260" i="1" s="1"/>
  <c r="R259" i="1"/>
  <c r="P259" i="1"/>
  <c r="N259" i="1"/>
  <c r="L259" i="1"/>
  <c r="F259" i="1" s="1"/>
  <c r="K259" i="1"/>
  <c r="B259" i="1"/>
  <c r="R258" i="1"/>
  <c r="P258" i="1"/>
  <c r="N258" i="1"/>
  <c r="K258" i="1"/>
  <c r="B258" i="1"/>
  <c r="L258" i="1" s="1"/>
  <c r="F258" i="1" s="1"/>
  <c r="R257" i="1"/>
  <c r="P257" i="1"/>
  <c r="N257" i="1"/>
  <c r="B257" i="1"/>
  <c r="L257" i="1" s="1"/>
  <c r="F257" i="1" s="1"/>
  <c r="R256" i="1"/>
  <c r="P256" i="1"/>
  <c r="N256" i="1"/>
  <c r="B256" i="1"/>
  <c r="L256" i="1" s="1"/>
  <c r="F256" i="1" s="1"/>
  <c r="R255" i="1"/>
  <c r="P255" i="1"/>
  <c r="N255" i="1"/>
  <c r="B255" i="1"/>
  <c r="L255" i="1" s="1"/>
  <c r="F255" i="1" s="1"/>
  <c r="R254" i="1"/>
  <c r="P254" i="1"/>
  <c r="N254" i="1"/>
  <c r="B254" i="1"/>
  <c r="L254" i="1" s="1"/>
  <c r="F254" i="1" s="1"/>
  <c r="R253" i="1"/>
  <c r="P253" i="1"/>
  <c r="N253" i="1"/>
  <c r="B253" i="1"/>
  <c r="L253" i="1" s="1"/>
  <c r="F253" i="1" s="1"/>
  <c r="R252" i="1"/>
  <c r="P252" i="1"/>
  <c r="N252" i="1"/>
  <c r="B252" i="1"/>
  <c r="L252" i="1" s="1"/>
  <c r="F252" i="1" s="1"/>
  <c r="R251" i="1"/>
  <c r="P251" i="1"/>
  <c r="N251" i="1"/>
  <c r="K251" i="1"/>
  <c r="B251" i="1"/>
  <c r="R250" i="1"/>
  <c r="P250" i="1"/>
  <c r="N250" i="1"/>
  <c r="K250" i="1"/>
  <c r="B250" i="1"/>
  <c r="L250" i="1" s="1"/>
  <c r="F250" i="1" s="1"/>
  <c r="R249" i="1"/>
  <c r="P249" i="1"/>
  <c r="N249" i="1"/>
  <c r="B249" i="1"/>
  <c r="L249" i="1" s="1"/>
  <c r="F249" i="1" s="1"/>
  <c r="R248" i="1"/>
  <c r="P248" i="1"/>
  <c r="N248" i="1"/>
  <c r="B248" i="1"/>
  <c r="L248" i="1" s="1"/>
  <c r="F248" i="1" s="1"/>
  <c r="R247" i="1"/>
  <c r="P247" i="1"/>
  <c r="N247" i="1"/>
  <c r="B247" i="1"/>
  <c r="L247" i="1" s="1"/>
  <c r="F247" i="1" s="1"/>
  <c r="R246" i="1"/>
  <c r="P246" i="1"/>
  <c r="N246" i="1"/>
  <c r="K246" i="1"/>
  <c r="B246" i="1"/>
  <c r="L246" i="1" s="1"/>
  <c r="F246" i="1" s="1"/>
  <c r="R245" i="1"/>
  <c r="P245" i="1"/>
  <c r="N245" i="1"/>
  <c r="B245" i="1"/>
  <c r="L245" i="1" s="1"/>
  <c r="F245" i="1" s="1"/>
  <c r="R244" i="1"/>
  <c r="P244" i="1"/>
  <c r="N244" i="1"/>
  <c r="K244" i="1"/>
  <c r="B244" i="1"/>
  <c r="R243" i="1"/>
  <c r="P243" i="1"/>
  <c r="N243" i="1"/>
  <c r="B243" i="1"/>
  <c r="L243" i="1" s="1"/>
  <c r="F243" i="1" s="1"/>
  <c r="R242" i="1"/>
  <c r="P242" i="1"/>
  <c r="N242" i="1"/>
  <c r="B242" i="1"/>
  <c r="L242" i="1" s="1"/>
  <c r="F242" i="1" s="1"/>
  <c r="R241" i="1"/>
  <c r="P241" i="1"/>
  <c r="N241" i="1"/>
  <c r="K241" i="1"/>
  <c r="B241" i="1"/>
  <c r="L241" i="1" s="1"/>
  <c r="F241" i="1" s="1"/>
  <c r="R240" i="1"/>
  <c r="P240" i="1"/>
  <c r="N240" i="1"/>
  <c r="B240" i="1"/>
  <c r="L240" i="1" s="1"/>
  <c r="F240" i="1" s="1"/>
  <c r="R239" i="1"/>
  <c r="P239" i="1"/>
  <c r="N239" i="1"/>
  <c r="K239" i="1"/>
  <c r="B239" i="1"/>
  <c r="R238" i="1"/>
  <c r="P238" i="1"/>
  <c r="N238" i="1"/>
  <c r="B238" i="1"/>
  <c r="L238" i="1" s="1"/>
  <c r="F238" i="1" s="1"/>
  <c r="R237" i="1"/>
  <c r="P237" i="1"/>
  <c r="N237" i="1"/>
  <c r="K237" i="1"/>
  <c r="B237" i="1"/>
  <c r="L237" i="1" s="1"/>
  <c r="F237" i="1" s="1"/>
  <c r="R236" i="1"/>
  <c r="P236" i="1"/>
  <c r="N236" i="1"/>
  <c r="B236" i="1"/>
  <c r="L236" i="1" s="1"/>
  <c r="F236" i="1" s="1"/>
  <c r="R235" i="1"/>
  <c r="P235" i="1"/>
  <c r="N235" i="1"/>
  <c r="L235" i="1"/>
  <c r="F235" i="1" s="1"/>
  <c r="B235" i="1"/>
  <c r="R234" i="1"/>
  <c r="P234" i="1"/>
  <c r="N234" i="1"/>
  <c r="B234" i="1"/>
  <c r="L234" i="1" s="1"/>
  <c r="F234" i="1" s="1"/>
  <c r="R233" i="1"/>
  <c r="P233" i="1"/>
  <c r="N233" i="1"/>
  <c r="B233" i="1"/>
  <c r="L233" i="1" s="1"/>
  <c r="F233" i="1" s="1"/>
  <c r="R232" i="1"/>
  <c r="P232" i="1"/>
  <c r="N232" i="1"/>
  <c r="B232" i="1"/>
  <c r="L232" i="1" s="1"/>
  <c r="F232" i="1" s="1"/>
  <c r="R231" i="1"/>
  <c r="P231" i="1"/>
  <c r="N231" i="1"/>
  <c r="B231" i="1"/>
  <c r="L231" i="1" s="1"/>
  <c r="F231" i="1" s="1"/>
  <c r="R230" i="1"/>
  <c r="P230" i="1"/>
  <c r="N230" i="1"/>
  <c r="B230" i="1"/>
  <c r="L230" i="1" s="1"/>
  <c r="F230" i="1" s="1"/>
  <c r="R229" i="1"/>
  <c r="P229" i="1"/>
  <c r="N229" i="1"/>
  <c r="B229" i="1"/>
  <c r="R228" i="1"/>
  <c r="P228" i="1"/>
  <c r="N228" i="1"/>
  <c r="B228" i="1"/>
  <c r="L228" i="1" s="1"/>
  <c r="F228" i="1" s="1"/>
  <c r="R227" i="1"/>
  <c r="P227" i="1"/>
  <c r="N227" i="1"/>
  <c r="B227" i="1"/>
  <c r="L227" i="1" s="1"/>
  <c r="F227" i="1" s="1"/>
  <c r="R226" i="1"/>
  <c r="P226" i="1"/>
  <c r="N226" i="1"/>
  <c r="B226" i="1"/>
  <c r="L226" i="1" s="1"/>
  <c r="F226" i="1" s="1"/>
  <c r="R225" i="1"/>
  <c r="P225" i="1"/>
  <c r="N225" i="1"/>
  <c r="B225" i="1"/>
  <c r="L225" i="1" s="1"/>
  <c r="F225" i="1" s="1"/>
  <c r="R224" i="1"/>
  <c r="P224" i="1"/>
  <c r="N224" i="1"/>
  <c r="B224" i="1"/>
  <c r="L224" i="1" s="1"/>
  <c r="F224" i="1" s="1"/>
  <c r="R223" i="1"/>
  <c r="P223" i="1"/>
  <c r="N223" i="1"/>
  <c r="B223" i="1"/>
  <c r="L223" i="1" s="1"/>
  <c r="F223" i="1" s="1"/>
  <c r="R222" i="1"/>
  <c r="P222" i="1"/>
  <c r="N222" i="1"/>
  <c r="B222" i="1"/>
  <c r="L222" i="1" s="1"/>
  <c r="F222" i="1" s="1"/>
  <c r="R221" i="1"/>
  <c r="P221" i="1"/>
  <c r="N221" i="1"/>
  <c r="L221" i="1"/>
  <c r="F221" i="1" s="1"/>
  <c r="B221" i="1"/>
  <c r="R220" i="1"/>
  <c r="P220" i="1"/>
  <c r="N220" i="1"/>
  <c r="B220" i="1"/>
  <c r="L220" i="1" s="1"/>
  <c r="F220" i="1" s="1"/>
  <c r="R219" i="1"/>
  <c r="P219" i="1"/>
  <c r="N219" i="1"/>
  <c r="B219" i="1"/>
  <c r="L219" i="1" s="1"/>
  <c r="F219" i="1" s="1"/>
  <c r="R218" i="1"/>
  <c r="P218" i="1"/>
  <c r="N218" i="1"/>
  <c r="B218" i="1"/>
  <c r="L218" i="1" s="1"/>
  <c r="F218" i="1" s="1"/>
  <c r="R217" i="1"/>
  <c r="P217" i="1"/>
  <c r="N217" i="1"/>
  <c r="B217" i="1"/>
  <c r="L217" i="1" s="1"/>
  <c r="F217" i="1" s="1"/>
  <c r="R216" i="1"/>
  <c r="P216" i="1"/>
  <c r="N216" i="1"/>
  <c r="B216" i="1"/>
  <c r="L216" i="1" s="1"/>
  <c r="F216" i="1" s="1"/>
  <c r="R215" i="1"/>
  <c r="P215" i="1"/>
  <c r="N215" i="1"/>
  <c r="K215" i="1"/>
  <c r="B215" i="1"/>
  <c r="L215" i="1" s="1"/>
  <c r="F215" i="1" s="1"/>
  <c r="R214" i="1"/>
  <c r="P214" i="1"/>
  <c r="N214" i="1"/>
  <c r="B214" i="1"/>
  <c r="L214" i="1" s="1"/>
  <c r="F214" i="1" s="1"/>
  <c r="R213" i="1"/>
  <c r="P213" i="1"/>
  <c r="N213" i="1"/>
  <c r="B213" i="1"/>
  <c r="L213" i="1" s="1"/>
  <c r="F213" i="1" s="1"/>
  <c r="R212" i="1"/>
  <c r="P212" i="1"/>
  <c r="N212" i="1"/>
  <c r="K212" i="1"/>
  <c r="B212" i="1"/>
  <c r="R211" i="1"/>
  <c r="P211" i="1"/>
  <c r="N211" i="1"/>
  <c r="B211" i="1"/>
  <c r="L211" i="1" s="1"/>
  <c r="F211" i="1" s="1"/>
  <c r="R210" i="1"/>
  <c r="P210" i="1"/>
  <c r="N210" i="1"/>
  <c r="K210" i="1"/>
  <c r="B210" i="1"/>
  <c r="L210" i="1" s="1"/>
  <c r="F210" i="1" s="1"/>
  <c r="R209" i="1"/>
  <c r="P209" i="1"/>
  <c r="N209" i="1"/>
  <c r="B209" i="1"/>
  <c r="L209" i="1" s="1"/>
  <c r="F209" i="1" s="1"/>
  <c r="R208" i="1"/>
  <c r="P208" i="1"/>
  <c r="N208" i="1"/>
  <c r="B208" i="1"/>
  <c r="L208" i="1" s="1"/>
  <c r="F208" i="1" s="1"/>
  <c r="R207" i="1"/>
  <c r="P207" i="1"/>
  <c r="N207" i="1"/>
  <c r="L207" i="1"/>
  <c r="F207" i="1" s="1"/>
  <c r="R206" i="1"/>
  <c r="P206" i="1"/>
  <c r="N206" i="1"/>
  <c r="K206" i="1"/>
  <c r="B206" i="1"/>
  <c r="R205" i="1"/>
  <c r="P205" i="1"/>
  <c r="N205" i="1"/>
  <c r="L205" i="1"/>
  <c r="F205" i="1" s="1"/>
  <c r="B205" i="1"/>
  <c r="R204" i="1"/>
  <c r="P204" i="1"/>
  <c r="N204" i="1"/>
  <c r="B204" i="1"/>
  <c r="L204" i="1" s="1"/>
  <c r="F204" i="1" s="1"/>
  <c r="R203" i="1"/>
  <c r="P203" i="1"/>
  <c r="N203" i="1"/>
  <c r="B203" i="1"/>
  <c r="L203" i="1" s="1"/>
  <c r="F203" i="1" s="1"/>
  <c r="R202" i="1"/>
  <c r="P202" i="1"/>
  <c r="N202" i="1"/>
  <c r="B202" i="1"/>
  <c r="L202" i="1" s="1"/>
  <c r="F202" i="1" s="1"/>
  <c r="R201" i="1"/>
  <c r="P201" i="1"/>
  <c r="N201" i="1"/>
  <c r="B201" i="1"/>
  <c r="L201" i="1" s="1"/>
  <c r="F201" i="1" s="1"/>
  <c r="R200" i="1"/>
  <c r="P200" i="1"/>
  <c r="N200" i="1"/>
  <c r="B200" i="1"/>
  <c r="L200" i="1" s="1"/>
  <c r="F200" i="1" s="1"/>
  <c r="R199" i="1"/>
  <c r="P199" i="1"/>
  <c r="N199" i="1"/>
  <c r="B199" i="1"/>
  <c r="L199" i="1" s="1"/>
  <c r="F199" i="1" s="1"/>
  <c r="R198" i="1"/>
  <c r="P198" i="1"/>
  <c r="N198" i="1"/>
  <c r="K198" i="1"/>
  <c r="B198" i="1"/>
  <c r="L198" i="1" s="1"/>
  <c r="F198" i="1" s="1"/>
  <c r="R197" i="1"/>
  <c r="P197" i="1"/>
  <c r="N197" i="1"/>
  <c r="K197" i="1"/>
  <c r="B197" i="1"/>
  <c r="R196" i="1"/>
  <c r="P196" i="1"/>
  <c r="N196" i="1"/>
  <c r="B196" i="1"/>
  <c r="L196" i="1" s="1"/>
  <c r="F196" i="1" s="1"/>
  <c r="R195" i="1"/>
  <c r="P195" i="1"/>
  <c r="N195" i="1"/>
  <c r="K195" i="1"/>
  <c r="B195" i="1"/>
  <c r="L195" i="1" s="1"/>
  <c r="F195" i="1" s="1"/>
  <c r="R194" i="1"/>
  <c r="P194" i="1"/>
  <c r="N194" i="1"/>
  <c r="K194" i="1"/>
  <c r="B194" i="1"/>
  <c r="L194" i="1" s="1"/>
  <c r="F194" i="1" s="1"/>
  <c r="R193" i="1"/>
  <c r="P193" i="1"/>
  <c r="N193" i="1"/>
  <c r="B193" i="1"/>
  <c r="L193" i="1" s="1"/>
  <c r="F193" i="1" s="1"/>
  <c r="R192" i="1"/>
  <c r="P192" i="1"/>
  <c r="N192" i="1"/>
  <c r="K192" i="1"/>
  <c r="B192" i="1"/>
  <c r="R191" i="1"/>
  <c r="P191" i="1"/>
  <c r="N191" i="1"/>
  <c r="B191" i="1"/>
  <c r="L191" i="1" s="1"/>
  <c r="F191" i="1" s="1"/>
  <c r="R190" i="1"/>
  <c r="P190" i="1"/>
  <c r="N190" i="1"/>
  <c r="B190" i="1"/>
  <c r="L190" i="1" s="1"/>
  <c r="F190" i="1" s="1"/>
  <c r="R189" i="1"/>
  <c r="P189" i="1"/>
  <c r="N189" i="1"/>
  <c r="K189" i="1"/>
  <c r="B189" i="1"/>
  <c r="R188" i="1"/>
  <c r="P188" i="1"/>
  <c r="N188" i="1"/>
  <c r="B188" i="1"/>
  <c r="L188" i="1" s="1"/>
  <c r="F188" i="1" s="1"/>
  <c r="R187" i="1"/>
  <c r="P187" i="1"/>
  <c r="N187" i="1"/>
  <c r="B187" i="1"/>
  <c r="L187" i="1" s="1"/>
  <c r="F187" i="1" s="1"/>
  <c r="R186" i="1"/>
  <c r="P186" i="1"/>
  <c r="N186" i="1"/>
  <c r="B186" i="1"/>
  <c r="L186" i="1" s="1"/>
  <c r="F186" i="1" s="1"/>
  <c r="R185" i="1"/>
  <c r="P185" i="1"/>
  <c r="N185" i="1"/>
  <c r="B185" i="1"/>
  <c r="L185" i="1" s="1"/>
  <c r="F185" i="1" s="1"/>
  <c r="R184" i="1"/>
  <c r="P184" i="1"/>
  <c r="N184" i="1"/>
  <c r="K184" i="1"/>
  <c r="B184" i="1"/>
  <c r="L184" i="1" s="1"/>
  <c r="F184" i="1" s="1"/>
  <c r="R183" i="1"/>
  <c r="P183" i="1"/>
  <c r="N183" i="1"/>
  <c r="B183" i="1"/>
  <c r="L183" i="1" s="1"/>
  <c r="F183" i="1" s="1"/>
  <c r="R182" i="1"/>
  <c r="P182" i="1"/>
  <c r="N182" i="1"/>
  <c r="B182" i="1"/>
  <c r="L182" i="1" s="1"/>
  <c r="F182" i="1" s="1"/>
  <c r="R181" i="1"/>
  <c r="P181" i="1"/>
  <c r="N181" i="1"/>
  <c r="B181" i="1"/>
  <c r="L181" i="1" s="1"/>
  <c r="F181" i="1" s="1"/>
  <c r="R180" i="1"/>
  <c r="P180" i="1"/>
  <c r="N180" i="1"/>
  <c r="B180" i="1"/>
  <c r="L180" i="1" s="1"/>
  <c r="F180" i="1" s="1"/>
  <c r="R179" i="1"/>
  <c r="P179" i="1"/>
  <c r="N179" i="1"/>
  <c r="B179" i="1"/>
  <c r="L179" i="1" s="1"/>
  <c r="F179" i="1" s="1"/>
  <c r="R178" i="1"/>
  <c r="P178" i="1"/>
  <c r="N178" i="1"/>
  <c r="B178" i="1"/>
  <c r="L178" i="1" s="1"/>
  <c r="F178" i="1" s="1"/>
  <c r="R177" i="1"/>
  <c r="P177" i="1"/>
  <c r="N177" i="1"/>
  <c r="F177" i="1"/>
  <c r="B177" i="1"/>
  <c r="L177" i="1" s="1"/>
  <c r="R176" i="1"/>
  <c r="P176" i="1"/>
  <c r="N176" i="1"/>
  <c r="B176" i="1"/>
  <c r="L176" i="1" s="1"/>
  <c r="F176" i="1" s="1"/>
  <c r="R175" i="1"/>
  <c r="P175" i="1"/>
  <c r="N175" i="1"/>
  <c r="B175" i="1"/>
  <c r="L175" i="1" s="1"/>
  <c r="F175" i="1" s="1"/>
  <c r="R174" i="1"/>
  <c r="P174" i="1"/>
  <c r="N174" i="1"/>
  <c r="B174" i="1"/>
  <c r="L174" i="1" s="1"/>
  <c r="F174" i="1" s="1"/>
  <c r="R173" i="1"/>
  <c r="P173" i="1"/>
  <c r="N173" i="1"/>
  <c r="B173" i="1"/>
  <c r="L173" i="1" s="1"/>
  <c r="F173" i="1" s="1"/>
  <c r="R172" i="1"/>
  <c r="P172" i="1"/>
  <c r="N172" i="1"/>
  <c r="K172" i="1"/>
  <c r="B172" i="1"/>
  <c r="L172" i="1" s="1"/>
  <c r="F172" i="1" s="1"/>
  <c r="R171" i="1"/>
  <c r="P171" i="1"/>
  <c r="N171" i="1"/>
  <c r="B171" i="1"/>
  <c r="L171" i="1" s="1"/>
  <c r="F171" i="1" s="1"/>
  <c r="R170" i="1"/>
  <c r="P170" i="1"/>
  <c r="N170" i="1"/>
  <c r="B170" i="1"/>
  <c r="L170" i="1" s="1"/>
  <c r="F170" i="1" s="1"/>
  <c r="R169" i="1"/>
  <c r="P169" i="1"/>
  <c r="N169" i="1"/>
  <c r="B169" i="1"/>
  <c r="L169" i="1" s="1"/>
  <c r="F169" i="1" s="1"/>
  <c r="R168" i="1"/>
  <c r="P168" i="1"/>
  <c r="N168" i="1"/>
  <c r="K168" i="1"/>
  <c r="B168" i="1"/>
  <c r="L168" i="1" s="1"/>
  <c r="F168" i="1" s="1"/>
  <c r="R167" i="1"/>
  <c r="P167" i="1"/>
  <c r="N167" i="1"/>
  <c r="B167" i="1"/>
  <c r="L167" i="1" s="1"/>
  <c r="F167" i="1" s="1"/>
  <c r="R166" i="1"/>
  <c r="P166" i="1"/>
  <c r="N166" i="1"/>
  <c r="B166" i="1"/>
  <c r="L166" i="1" s="1"/>
  <c r="F166" i="1" s="1"/>
  <c r="R165" i="1"/>
  <c r="P165" i="1"/>
  <c r="N165" i="1"/>
  <c r="B165" i="1"/>
  <c r="L165" i="1" s="1"/>
  <c r="F165" i="1" s="1"/>
  <c r="R164" i="1"/>
  <c r="P164" i="1"/>
  <c r="N164" i="1"/>
  <c r="B164" i="1"/>
  <c r="L164" i="1" s="1"/>
  <c r="F164" i="1" s="1"/>
  <c r="R163" i="1"/>
  <c r="P163" i="1"/>
  <c r="N163" i="1"/>
  <c r="B163" i="1"/>
  <c r="L163" i="1" s="1"/>
  <c r="F163" i="1" s="1"/>
  <c r="R162" i="1"/>
  <c r="P162" i="1"/>
  <c r="N162" i="1"/>
  <c r="K162" i="1"/>
  <c r="B162" i="1"/>
  <c r="L162" i="1" s="1"/>
  <c r="F162" i="1" s="1"/>
  <c r="R161" i="1"/>
  <c r="P161" i="1"/>
  <c r="N161" i="1"/>
  <c r="B161" i="1"/>
  <c r="L161" i="1" s="1"/>
  <c r="F161" i="1" s="1"/>
  <c r="R160" i="1"/>
  <c r="P160" i="1"/>
  <c r="N160" i="1"/>
  <c r="B160" i="1"/>
  <c r="R159" i="1"/>
  <c r="P159" i="1"/>
  <c r="N159" i="1"/>
  <c r="B159" i="1"/>
  <c r="L159" i="1" s="1"/>
  <c r="F159" i="1" s="1"/>
  <c r="R158" i="1"/>
  <c r="P158" i="1"/>
  <c r="N158" i="1"/>
  <c r="B158" i="1"/>
  <c r="L158" i="1" s="1"/>
  <c r="F158" i="1" s="1"/>
  <c r="R157" i="1"/>
  <c r="P157" i="1"/>
  <c r="N157" i="1"/>
  <c r="K157" i="1"/>
  <c r="B157" i="1"/>
  <c r="L157" i="1" s="1"/>
  <c r="F157" i="1" s="1"/>
  <c r="R156" i="1"/>
  <c r="P156" i="1"/>
  <c r="N156" i="1"/>
  <c r="B156" i="1"/>
  <c r="L156" i="1" s="1"/>
  <c r="F156" i="1" s="1"/>
  <c r="R155" i="1"/>
  <c r="P155" i="1"/>
  <c r="N155" i="1"/>
  <c r="K155" i="1"/>
  <c r="B155" i="1"/>
  <c r="R154" i="1"/>
  <c r="P154" i="1"/>
  <c r="N154" i="1"/>
  <c r="B154" i="1"/>
  <c r="L154" i="1" s="1"/>
  <c r="F154" i="1" s="1"/>
  <c r="R153" i="1"/>
  <c r="P153" i="1"/>
  <c r="N153" i="1"/>
  <c r="B153" i="1"/>
  <c r="L153" i="1" s="1"/>
  <c r="F153" i="1" s="1"/>
  <c r="R152" i="1"/>
  <c r="P152" i="1"/>
  <c r="N152" i="1"/>
  <c r="B152" i="1"/>
  <c r="L152" i="1" s="1"/>
  <c r="F152" i="1" s="1"/>
  <c r="R151" i="1"/>
  <c r="P151" i="1"/>
  <c r="N151" i="1"/>
  <c r="B151" i="1"/>
  <c r="L151" i="1" s="1"/>
  <c r="F151" i="1" s="1"/>
  <c r="R150" i="1"/>
  <c r="P150" i="1"/>
  <c r="N150" i="1"/>
  <c r="B150" i="1"/>
  <c r="L150" i="1" s="1"/>
  <c r="F150" i="1" s="1"/>
  <c r="R149" i="1"/>
  <c r="P149" i="1"/>
  <c r="N149" i="1"/>
  <c r="B149" i="1"/>
  <c r="L149" i="1" s="1"/>
  <c r="F149" i="1" s="1"/>
  <c r="R148" i="1"/>
  <c r="P148" i="1"/>
  <c r="N148" i="1"/>
  <c r="B148" i="1"/>
  <c r="L148" i="1" s="1"/>
  <c r="F148" i="1" s="1"/>
  <c r="R147" i="1"/>
  <c r="P147" i="1"/>
  <c r="N147" i="1"/>
  <c r="K147" i="1"/>
  <c r="B147" i="1"/>
  <c r="R146" i="1"/>
  <c r="P146" i="1"/>
  <c r="N146" i="1"/>
  <c r="B146" i="1"/>
  <c r="L146" i="1" s="1"/>
  <c r="F146" i="1" s="1"/>
  <c r="R145" i="1"/>
  <c r="P145" i="1"/>
  <c r="N145" i="1"/>
  <c r="B145" i="1"/>
  <c r="L145" i="1" s="1"/>
  <c r="F145" i="1" s="1"/>
  <c r="R144" i="1"/>
  <c r="P144" i="1"/>
  <c r="N144" i="1"/>
  <c r="B144" i="1"/>
  <c r="L144" i="1" s="1"/>
  <c r="F144" i="1" s="1"/>
  <c r="R143" i="1"/>
  <c r="P143" i="1"/>
  <c r="N143" i="1"/>
  <c r="B143" i="1"/>
  <c r="L143" i="1" s="1"/>
  <c r="F143" i="1" s="1"/>
  <c r="R142" i="1"/>
  <c r="P142" i="1"/>
  <c r="N142" i="1"/>
  <c r="B142" i="1"/>
  <c r="L142" i="1" s="1"/>
  <c r="F142" i="1" s="1"/>
  <c r="R141" i="1"/>
  <c r="P141" i="1"/>
  <c r="N141" i="1"/>
  <c r="B141" i="1"/>
  <c r="L141" i="1" s="1"/>
  <c r="F141" i="1" s="1"/>
  <c r="R140" i="1"/>
  <c r="P140" i="1"/>
  <c r="N140" i="1"/>
  <c r="B140" i="1"/>
  <c r="L140" i="1" s="1"/>
  <c r="F140" i="1" s="1"/>
  <c r="R139" i="1"/>
  <c r="P139" i="1"/>
  <c r="N139" i="1"/>
  <c r="K139" i="1"/>
  <c r="B139" i="1"/>
  <c r="R138" i="1"/>
  <c r="P138" i="1"/>
  <c r="N138" i="1"/>
  <c r="B138" i="1"/>
  <c r="L138" i="1" s="1"/>
  <c r="F138" i="1" s="1"/>
  <c r="R137" i="1"/>
  <c r="P137" i="1"/>
  <c r="N137" i="1"/>
  <c r="B137" i="1"/>
  <c r="L137" i="1" s="1"/>
  <c r="F137" i="1" s="1"/>
  <c r="R136" i="1"/>
  <c r="P136" i="1"/>
  <c r="N136" i="1"/>
  <c r="B136" i="1"/>
  <c r="L136" i="1" s="1"/>
  <c r="F136" i="1" s="1"/>
  <c r="R135" i="1"/>
  <c r="P135" i="1"/>
  <c r="N135" i="1"/>
  <c r="B135" i="1"/>
  <c r="L135" i="1" s="1"/>
  <c r="F135" i="1" s="1"/>
  <c r="R134" i="1"/>
  <c r="P134" i="1"/>
  <c r="N134" i="1"/>
  <c r="K134" i="1"/>
  <c r="B134" i="1"/>
  <c r="R133" i="1"/>
  <c r="P133" i="1"/>
  <c r="N133" i="1"/>
  <c r="K133" i="1"/>
  <c r="B133" i="1"/>
  <c r="R132" i="1"/>
  <c r="P132" i="1"/>
  <c r="N132" i="1"/>
  <c r="B132" i="1"/>
  <c r="L132" i="1" s="1"/>
  <c r="F132" i="1" s="1"/>
  <c r="R131" i="1"/>
  <c r="P131" i="1"/>
  <c r="N131" i="1"/>
  <c r="B131" i="1"/>
  <c r="L131" i="1" s="1"/>
  <c r="F131" i="1" s="1"/>
  <c r="R130" i="1"/>
  <c r="P130" i="1"/>
  <c r="N130" i="1"/>
  <c r="B130" i="1"/>
  <c r="L130" i="1" s="1"/>
  <c r="F130" i="1" s="1"/>
  <c r="R129" i="1"/>
  <c r="P129" i="1"/>
  <c r="N129" i="1"/>
  <c r="B129" i="1"/>
  <c r="L129" i="1" s="1"/>
  <c r="F129" i="1" s="1"/>
  <c r="R128" i="1"/>
  <c r="P128" i="1"/>
  <c r="N128" i="1"/>
  <c r="B128" i="1"/>
  <c r="L128" i="1" s="1"/>
  <c r="F128" i="1" s="1"/>
  <c r="R127" i="1"/>
  <c r="P127" i="1"/>
  <c r="N127" i="1"/>
  <c r="B127" i="1"/>
  <c r="L127" i="1" s="1"/>
  <c r="F127" i="1" s="1"/>
  <c r="R126" i="1"/>
  <c r="P126" i="1"/>
  <c r="N126" i="1"/>
  <c r="K126" i="1"/>
  <c r="B126" i="1"/>
  <c r="L126" i="1" s="1"/>
  <c r="F126" i="1" s="1"/>
  <c r="R125" i="1"/>
  <c r="P125" i="1"/>
  <c r="N125" i="1"/>
  <c r="K125" i="1"/>
  <c r="B125" i="1"/>
  <c r="R124" i="1"/>
  <c r="P124" i="1"/>
  <c r="N124" i="1"/>
  <c r="B124" i="1"/>
  <c r="L124" i="1" s="1"/>
  <c r="F124" i="1" s="1"/>
  <c r="R123" i="1"/>
  <c r="P123" i="1"/>
  <c r="N123" i="1"/>
  <c r="B123" i="1"/>
  <c r="L123" i="1" s="1"/>
  <c r="F123" i="1" s="1"/>
  <c r="R122" i="1"/>
  <c r="P122" i="1"/>
  <c r="N122" i="1"/>
  <c r="B122" i="1"/>
  <c r="L122" i="1" s="1"/>
  <c r="F122" i="1" s="1"/>
  <c r="R121" i="1"/>
  <c r="P121" i="1"/>
  <c r="N121" i="1"/>
  <c r="B121" i="1"/>
  <c r="L121" i="1" s="1"/>
  <c r="F121" i="1" s="1"/>
  <c r="R120" i="1"/>
  <c r="P120" i="1"/>
  <c r="N120" i="1"/>
  <c r="B120" i="1"/>
  <c r="L120" i="1" s="1"/>
  <c r="F120" i="1" s="1"/>
  <c r="R119" i="1"/>
  <c r="P119" i="1"/>
  <c r="N119" i="1"/>
  <c r="K119" i="1"/>
  <c r="B119" i="1"/>
  <c r="L119" i="1" s="1"/>
  <c r="F119" i="1" s="1"/>
  <c r="R118" i="1"/>
  <c r="P118" i="1"/>
  <c r="N118" i="1"/>
  <c r="B118" i="1"/>
  <c r="L118" i="1" s="1"/>
  <c r="F118" i="1" s="1"/>
  <c r="R117" i="1"/>
  <c r="P117" i="1"/>
  <c r="N117" i="1"/>
  <c r="B117" i="1"/>
  <c r="L117" i="1" s="1"/>
  <c r="F117" i="1" s="1"/>
  <c r="R116" i="1"/>
  <c r="P116" i="1"/>
  <c r="N116" i="1"/>
  <c r="B116" i="1"/>
  <c r="L116" i="1" s="1"/>
  <c r="F116" i="1" s="1"/>
  <c r="R115" i="1"/>
  <c r="P115" i="1"/>
  <c r="N115" i="1"/>
  <c r="B115" i="1"/>
  <c r="L115" i="1" s="1"/>
  <c r="F115" i="1" s="1"/>
  <c r="R114" i="1"/>
  <c r="P114" i="1"/>
  <c r="N114" i="1"/>
  <c r="K114" i="1"/>
  <c r="B114" i="1"/>
  <c r="L114" i="1" s="1"/>
  <c r="F114" i="1" s="1"/>
  <c r="R113" i="1"/>
  <c r="P113" i="1"/>
  <c r="N113" i="1"/>
  <c r="B113" i="1"/>
  <c r="L113" i="1" s="1"/>
  <c r="F113" i="1" s="1"/>
  <c r="R112" i="1"/>
  <c r="P112" i="1"/>
  <c r="N112" i="1"/>
  <c r="L112" i="1"/>
  <c r="F112" i="1" s="1"/>
  <c r="B112" i="1"/>
  <c r="R111" i="1"/>
  <c r="P111" i="1"/>
  <c r="N111" i="1"/>
  <c r="L111" i="1"/>
  <c r="F111" i="1" s="1"/>
  <c r="R110" i="1"/>
  <c r="P110" i="1"/>
  <c r="N110" i="1"/>
  <c r="B110" i="1"/>
  <c r="L110" i="1" s="1"/>
  <c r="F110" i="1" s="1"/>
  <c r="R109" i="1"/>
  <c r="P109" i="1"/>
  <c r="N109" i="1"/>
  <c r="B109" i="1"/>
  <c r="L109" i="1" s="1"/>
  <c r="F109" i="1" s="1"/>
  <c r="R108" i="1"/>
  <c r="P108" i="1"/>
  <c r="N108" i="1"/>
  <c r="B108" i="1"/>
  <c r="L108" i="1" s="1"/>
  <c r="F108" i="1" s="1"/>
  <c r="R107" i="1"/>
  <c r="P107" i="1"/>
  <c r="N107" i="1"/>
  <c r="B107" i="1"/>
  <c r="L107" i="1" s="1"/>
  <c r="F107" i="1" s="1"/>
  <c r="R106" i="1"/>
  <c r="P106" i="1"/>
  <c r="N106" i="1"/>
  <c r="K106" i="1"/>
  <c r="B106" i="1"/>
  <c r="R105" i="1"/>
  <c r="P105" i="1"/>
  <c r="N105" i="1"/>
  <c r="K105" i="1"/>
  <c r="B105" i="1"/>
  <c r="L105" i="1" s="1"/>
  <c r="F105" i="1" s="1"/>
  <c r="R104" i="1"/>
  <c r="P104" i="1"/>
  <c r="N104" i="1"/>
  <c r="K104" i="1"/>
  <c r="B104" i="1"/>
  <c r="L104" i="1" s="1"/>
  <c r="F104" i="1" s="1"/>
  <c r="R103" i="1"/>
  <c r="P103" i="1"/>
  <c r="N103" i="1"/>
  <c r="B103" i="1"/>
  <c r="L103" i="1" s="1"/>
  <c r="F103" i="1" s="1"/>
  <c r="R102" i="1"/>
  <c r="P102" i="1"/>
  <c r="N102" i="1"/>
  <c r="K102" i="1"/>
  <c r="B102" i="1"/>
  <c r="R101" i="1"/>
  <c r="P101" i="1"/>
  <c r="N101" i="1"/>
  <c r="K101" i="1"/>
  <c r="B101" i="1"/>
  <c r="L101" i="1" s="1"/>
  <c r="F101" i="1" s="1"/>
  <c r="R100" i="1"/>
  <c r="P100" i="1"/>
  <c r="N100" i="1"/>
  <c r="K100" i="1"/>
  <c r="B100" i="1"/>
  <c r="L100" i="1" s="1"/>
  <c r="F100" i="1" s="1"/>
  <c r="R99" i="1"/>
  <c r="P99" i="1"/>
  <c r="N99" i="1"/>
  <c r="B99" i="1"/>
  <c r="L99" i="1" s="1"/>
  <c r="F99" i="1" s="1"/>
  <c r="R98" i="1"/>
  <c r="P98" i="1"/>
  <c r="N98" i="1"/>
  <c r="K98" i="1"/>
  <c r="B98" i="1"/>
  <c r="R97" i="1"/>
  <c r="P97" i="1"/>
  <c r="N97" i="1"/>
  <c r="K97" i="1"/>
  <c r="B97" i="1"/>
  <c r="L97" i="1" s="1"/>
  <c r="F97" i="1" s="1"/>
  <c r="R96" i="1"/>
  <c r="P96" i="1"/>
  <c r="N96" i="1"/>
  <c r="B96" i="1"/>
  <c r="L96" i="1" s="1"/>
  <c r="F96" i="1" s="1"/>
  <c r="R95" i="1"/>
  <c r="P95" i="1"/>
  <c r="N95" i="1"/>
  <c r="B95" i="1"/>
  <c r="L95" i="1" s="1"/>
  <c r="F95" i="1" s="1"/>
  <c r="R94" i="1"/>
  <c r="P94" i="1"/>
  <c r="N94" i="1"/>
  <c r="B94" i="1"/>
  <c r="L94" i="1" s="1"/>
  <c r="F94" i="1" s="1"/>
  <c r="R93" i="1"/>
  <c r="P93" i="1"/>
  <c r="N93" i="1"/>
  <c r="B93" i="1"/>
  <c r="L93" i="1" s="1"/>
  <c r="F93" i="1" s="1"/>
  <c r="R92" i="1"/>
  <c r="P92" i="1"/>
  <c r="N92" i="1"/>
  <c r="B92" i="1"/>
  <c r="L92" i="1" s="1"/>
  <c r="F92" i="1" s="1"/>
  <c r="R91" i="1"/>
  <c r="P91" i="1"/>
  <c r="N91" i="1"/>
  <c r="B91" i="1"/>
  <c r="L91" i="1" s="1"/>
  <c r="F91" i="1" s="1"/>
  <c r="R90" i="1"/>
  <c r="P90" i="1"/>
  <c r="N90" i="1"/>
  <c r="K90" i="1"/>
  <c r="B90" i="1"/>
  <c r="R89" i="1"/>
  <c r="P89" i="1"/>
  <c r="N89" i="1"/>
  <c r="B89" i="1"/>
  <c r="L89" i="1" s="1"/>
  <c r="F89" i="1" s="1"/>
  <c r="R88" i="1"/>
  <c r="P88" i="1"/>
  <c r="N88" i="1"/>
  <c r="B88" i="1"/>
  <c r="L88" i="1" s="1"/>
  <c r="F88" i="1" s="1"/>
  <c r="R87" i="1"/>
  <c r="P87" i="1"/>
  <c r="N87" i="1"/>
  <c r="B87" i="1"/>
  <c r="L87" i="1" s="1"/>
  <c r="F87" i="1" s="1"/>
  <c r="R86" i="1"/>
  <c r="P86" i="1"/>
  <c r="N86" i="1"/>
  <c r="B86" i="1"/>
  <c r="L86" i="1" s="1"/>
  <c r="F86" i="1" s="1"/>
  <c r="R85" i="1"/>
  <c r="P85" i="1"/>
  <c r="N85" i="1"/>
  <c r="K85" i="1"/>
  <c r="B85" i="1"/>
  <c r="L85" i="1" s="1"/>
  <c r="F85" i="1" s="1"/>
  <c r="R84" i="1"/>
  <c r="P84" i="1"/>
  <c r="N84" i="1"/>
  <c r="K84" i="1"/>
  <c r="B84" i="1"/>
  <c r="R83" i="1"/>
  <c r="P83" i="1"/>
  <c r="N83" i="1"/>
  <c r="K83" i="1"/>
  <c r="B83" i="1"/>
  <c r="L83" i="1" s="1"/>
  <c r="F83" i="1" s="1"/>
  <c r="R82" i="1"/>
  <c r="P82" i="1"/>
  <c r="N82" i="1"/>
  <c r="B82" i="1"/>
  <c r="L82" i="1" s="1"/>
  <c r="F82" i="1" s="1"/>
  <c r="R81" i="1"/>
  <c r="P81" i="1"/>
  <c r="N81" i="1"/>
  <c r="K81" i="1"/>
  <c r="B81" i="1"/>
  <c r="L81" i="1" s="1"/>
  <c r="F81" i="1" s="1"/>
  <c r="R80" i="1"/>
  <c r="P80" i="1"/>
  <c r="N80" i="1"/>
  <c r="B80" i="1"/>
  <c r="L80" i="1" s="1"/>
  <c r="F80" i="1" s="1"/>
  <c r="R79" i="1"/>
  <c r="P79" i="1"/>
  <c r="N79" i="1"/>
  <c r="B79" i="1"/>
  <c r="L79" i="1" s="1"/>
  <c r="F79" i="1" s="1"/>
  <c r="R78" i="1"/>
  <c r="P78" i="1"/>
  <c r="N78" i="1"/>
  <c r="K78" i="1"/>
  <c r="B78" i="1"/>
  <c r="R77" i="1"/>
  <c r="P77" i="1"/>
  <c r="N77" i="1"/>
  <c r="K77" i="1"/>
  <c r="B77" i="1"/>
  <c r="R76" i="1"/>
  <c r="P76" i="1"/>
  <c r="N76" i="1"/>
  <c r="K76" i="1"/>
  <c r="B76" i="1"/>
  <c r="R75" i="1"/>
  <c r="P75" i="1"/>
  <c r="N75" i="1"/>
  <c r="K75" i="1"/>
  <c r="B75" i="1"/>
  <c r="L75" i="1" s="1"/>
  <c r="F75" i="1" s="1"/>
  <c r="R74" i="1"/>
  <c r="P74" i="1"/>
  <c r="N74" i="1"/>
  <c r="K74" i="1"/>
  <c r="B74" i="1"/>
  <c r="R73" i="1"/>
  <c r="P73" i="1"/>
  <c r="N73" i="1"/>
  <c r="L73" i="1"/>
  <c r="F73" i="1" s="1"/>
  <c r="B73" i="1"/>
  <c r="R72" i="1"/>
  <c r="P72" i="1"/>
  <c r="N72" i="1"/>
  <c r="B72" i="1"/>
  <c r="L72" i="1" s="1"/>
  <c r="F72" i="1" s="1"/>
  <c r="R71" i="1"/>
  <c r="P71" i="1"/>
  <c r="N71" i="1"/>
  <c r="B71" i="1"/>
  <c r="L71" i="1" s="1"/>
  <c r="F71" i="1" s="1"/>
  <c r="R70" i="1"/>
  <c r="P70" i="1"/>
  <c r="N70" i="1"/>
  <c r="B70" i="1"/>
  <c r="L70" i="1" s="1"/>
  <c r="F70" i="1" s="1"/>
  <c r="R69" i="1"/>
  <c r="P69" i="1"/>
  <c r="N69" i="1"/>
  <c r="K69" i="1"/>
  <c r="B69" i="1"/>
  <c r="R68" i="1"/>
  <c r="P68" i="1"/>
  <c r="N68" i="1"/>
  <c r="B68" i="1"/>
  <c r="R67" i="1"/>
  <c r="P67" i="1"/>
  <c r="N67" i="1"/>
  <c r="B67" i="1"/>
  <c r="L67" i="1" s="1"/>
  <c r="F67" i="1" s="1"/>
  <c r="R66" i="1"/>
  <c r="P66" i="1"/>
  <c r="N66" i="1"/>
  <c r="B66" i="1"/>
  <c r="L66" i="1" s="1"/>
  <c r="F66" i="1" s="1"/>
  <c r="R65" i="1"/>
  <c r="P65" i="1"/>
  <c r="N65" i="1"/>
  <c r="L65" i="1"/>
  <c r="F65" i="1" s="1"/>
  <c r="K65" i="1"/>
  <c r="B65" i="1"/>
  <c r="R64" i="1"/>
  <c r="P64" i="1"/>
  <c r="N64" i="1"/>
  <c r="B64" i="1"/>
  <c r="L64" i="1" s="1"/>
  <c r="F64" i="1" s="1"/>
  <c r="R63" i="1"/>
  <c r="P63" i="1"/>
  <c r="N63" i="1"/>
  <c r="K63" i="1"/>
  <c r="B63" i="1"/>
  <c r="L63" i="1" s="1"/>
  <c r="F63" i="1" s="1"/>
  <c r="R62" i="1"/>
  <c r="P62" i="1"/>
  <c r="N62" i="1"/>
  <c r="K62" i="1"/>
  <c r="B62" i="1"/>
  <c r="R61" i="1"/>
  <c r="P61" i="1"/>
  <c r="N61" i="1"/>
  <c r="K61" i="1"/>
  <c r="B61" i="1"/>
  <c r="R60" i="1"/>
  <c r="P60" i="1"/>
  <c r="N60" i="1"/>
  <c r="B60" i="1"/>
  <c r="L60" i="1" s="1"/>
  <c r="F60" i="1" s="1"/>
  <c r="R59" i="1"/>
  <c r="P59" i="1"/>
  <c r="N59" i="1"/>
  <c r="B59" i="1"/>
  <c r="L59" i="1" s="1"/>
  <c r="F59" i="1" s="1"/>
  <c r="R58" i="1"/>
  <c r="P58" i="1"/>
  <c r="N58" i="1"/>
  <c r="B58" i="1"/>
  <c r="L58" i="1" s="1"/>
  <c r="F58" i="1" s="1"/>
  <c r="R57" i="1"/>
  <c r="P57" i="1"/>
  <c r="N57" i="1"/>
  <c r="B57" i="1"/>
  <c r="L57" i="1" s="1"/>
  <c r="F57" i="1" s="1"/>
  <c r="R56" i="1"/>
  <c r="P56" i="1"/>
  <c r="N56" i="1"/>
  <c r="B56" i="1"/>
  <c r="L56" i="1" s="1"/>
  <c r="F56" i="1" s="1"/>
  <c r="R55" i="1"/>
  <c r="P55" i="1"/>
  <c r="N55" i="1"/>
  <c r="B55" i="1"/>
  <c r="L55" i="1" s="1"/>
  <c r="F55" i="1" s="1"/>
  <c r="R54" i="1"/>
  <c r="P54" i="1"/>
  <c r="N54" i="1"/>
  <c r="B54" i="1"/>
  <c r="L54" i="1" s="1"/>
  <c r="F54" i="1" s="1"/>
  <c r="R53" i="1"/>
  <c r="P53" i="1"/>
  <c r="N53" i="1"/>
  <c r="B53" i="1"/>
  <c r="L53" i="1" s="1"/>
  <c r="F53" i="1" s="1"/>
  <c r="R52" i="1"/>
  <c r="P52" i="1"/>
  <c r="N52" i="1"/>
  <c r="B52" i="1"/>
  <c r="L52" i="1" s="1"/>
  <c r="F52" i="1" s="1"/>
  <c r="R51" i="1"/>
  <c r="P51" i="1"/>
  <c r="N51" i="1"/>
  <c r="K51" i="1"/>
  <c r="B51" i="1"/>
  <c r="R50" i="1"/>
  <c r="P50" i="1"/>
  <c r="N50" i="1"/>
  <c r="K50" i="1"/>
  <c r="B50" i="1"/>
  <c r="R49" i="1"/>
  <c r="P49" i="1"/>
  <c r="N49" i="1"/>
  <c r="B49" i="1"/>
  <c r="L49" i="1" s="1"/>
  <c r="F49" i="1" s="1"/>
  <c r="R48" i="1"/>
  <c r="P48" i="1"/>
  <c r="N48" i="1"/>
  <c r="B48" i="1"/>
  <c r="L48" i="1" s="1"/>
  <c r="F48" i="1" s="1"/>
  <c r="R47" i="1"/>
  <c r="P47" i="1"/>
  <c r="N47" i="1"/>
  <c r="K47" i="1"/>
  <c r="B47" i="1"/>
  <c r="L47" i="1" s="1"/>
  <c r="F47" i="1" s="1"/>
  <c r="R46" i="1"/>
  <c r="P46" i="1"/>
  <c r="N46" i="1"/>
  <c r="K46" i="1"/>
  <c r="B46" i="1"/>
  <c r="L46" i="1" s="1"/>
  <c r="F46" i="1" s="1"/>
  <c r="R45" i="1"/>
  <c r="P45" i="1"/>
  <c r="N45" i="1"/>
  <c r="L45" i="1"/>
  <c r="F45" i="1" s="1"/>
  <c r="B45" i="1"/>
  <c r="R44" i="1"/>
  <c r="P44" i="1"/>
  <c r="N44" i="1"/>
  <c r="K44" i="1"/>
  <c r="B44" i="1"/>
  <c r="L44" i="1" s="1"/>
  <c r="F44" i="1" s="1"/>
  <c r="R43" i="1"/>
  <c r="P43" i="1"/>
  <c r="N43" i="1"/>
  <c r="B43" i="1"/>
  <c r="L43" i="1" s="1"/>
  <c r="F43" i="1" s="1"/>
  <c r="R42" i="1"/>
  <c r="P42" i="1"/>
  <c r="N42" i="1"/>
  <c r="B42" i="1"/>
  <c r="L42" i="1" s="1"/>
  <c r="F42" i="1" s="1"/>
  <c r="R41" i="1"/>
  <c r="P41" i="1"/>
  <c r="N41" i="1"/>
  <c r="K41" i="1"/>
  <c r="B41" i="1"/>
  <c r="R40" i="1"/>
  <c r="P40" i="1"/>
  <c r="N40" i="1"/>
  <c r="K40" i="1"/>
  <c r="B40" i="1"/>
  <c r="R39" i="1"/>
  <c r="P39" i="1"/>
  <c r="N39" i="1"/>
  <c r="K39" i="1"/>
  <c r="B39" i="1"/>
  <c r="R38" i="1"/>
  <c r="P38" i="1"/>
  <c r="N38" i="1"/>
  <c r="K38" i="1"/>
  <c r="B38" i="1"/>
  <c r="L38" i="1" s="1"/>
  <c r="F38" i="1" s="1"/>
  <c r="R37" i="1"/>
  <c r="P37" i="1"/>
  <c r="N37" i="1"/>
  <c r="K37" i="1"/>
  <c r="B37" i="1"/>
  <c r="R36" i="1"/>
  <c r="P36" i="1"/>
  <c r="N36" i="1"/>
  <c r="B36" i="1"/>
  <c r="L36" i="1" s="1"/>
  <c r="F36" i="1" s="1"/>
  <c r="R35" i="1"/>
  <c r="P35" i="1"/>
  <c r="N35" i="1"/>
  <c r="B35" i="1"/>
  <c r="L35" i="1" s="1"/>
  <c r="F35" i="1" s="1"/>
  <c r="R34" i="1"/>
  <c r="P34" i="1"/>
  <c r="N34" i="1"/>
  <c r="L34" i="1"/>
  <c r="F34" i="1" s="1"/>
  <c r="B34" i="1"/>
  <c r="R33" i="1"/>
  <c r="P33" i="1"/>
  <c r="N33" i="1"/>
  <c r="B33" i="1"/>
  <c r="L33" i="1" s="1"/>
  <c r="F33" i="1" s="1"/>
  <c r="R32" i="1"/>
  <c r="P32" i="1"/>
  <c r="N32" i="1"/>
  <c r="B32" i="1"/>
  <c r="L32" i="1" s="1"/>
  <c r="F32" i="1" s="1"/>
  <c r="R31" i="1"/>
  <c r="P31" i="1"/>
  <c r="N31" i="1"/>
  <c r="K31" i="1"/>
  <c r="B31" i="1"/>
  <c r="L31" i="1" s="1"/>
  <c r="F31" i="1" s="1"/>
  <c r="R30" i="1"/>
  <c r="P30" i="1"/>
  <c r="N30" i="1"/>
  <c r="F30" i="1"/>
  <c r="B30" i="1"/>
  <c r="L30" i="1" s="1"/>
  <c r="R29" i="1"/>
  <c r="P29" i="1"/>
  <c r="N29" i="1"/>
  <c r="B29" i="1"/>
  <c r="L29" i="1" s="1"/>
  <c r="F29" i="1" s="1"/>
  <c r="R28" i="1"/>
  <c r="P28" i="1"/>
  <c r="N28" i="1"/>
  <c r="B28" i="1"/>
  <c r="L28" i="1" s="1"/>
  <c r="F28" i="1" s="1"/>
  <c r="R27" i="1"/>
  <c r="P27" i="1"/>
  <c r="N27" i="1"/>
  <c r="B27" i="1"/>
  <c r="L27" i="1" s="1"/>
  <c r="F27" i="1" s="1"/>
  <c r="R26" i="1"/>
  <c r="P26" i="1"/>
  <c r="N26" i="1"/>
  <c r="B26" i="1"/>
  <c r="L26" i="1" s="1"/>
  <c r="F26" i="1" s="1"/>
  <c r="R25" i="1"/>
  <c r="P25" i="1"/>
  <c r="N25" i="1"/>
  <c r="K25" i="1"/>
  <c r="B25" i="1"/>
  <c r="R24" i="1"/>
  <c r="P24" i="1"/>
  <c r="N24" i="1"/>
  <c r="K24" i="1"/>
  <c r="B24" i="1"/>
  <c r="L24" i="1" s="1"/>
  <c r="F24" i="1" s="1"/>
  <c r="R23" i="1"/>
  <c r="P23" i="1"/>
  <c r="N23" i="1"/>
  <c r="B23" i="1"/>
  <c r="L23" i="1" s="1"/>
  <c r="F23" i="1" s="1"/>
  <c r="R22" i="1"/>
  <c r="P22" i="1"/>
  <c r="N22" i="1"/>
  <c r="K22" i="1"/>
  <c r="B22" i="1"/>
  <c r="L22" i="1" s="1"/>
  <c r="F22" i="1" s="1"/>
  <c r="R21" i="1"/>
  <c r="P21" i="1"/>
  <c r="N21" i="1"/>
  <c r="L21" i="1"/>
  <c r="F21" i="1" s="1"/>
  <c r="B21" i="1"/>
  <c r="R20" i="1"/>
  <c r="P20" i="1"/>
  <c r="N20" i="1"/>
  <c r="K20" i="1"/>
  <c r="B20" i="1"/>
  <c r="R19" i="1"/>
  <c r="P19" i="1"/>
  <c r="N19" i="1"/>
  <c r="B19" i="1"/>
  <c r="L19" i="1" s="1"/>
  <c r="F19" i="1" s="1"/>
  <c r="R18" i="1"/>
  <c r="P18" i="1"/>
  <c r="N18" i="1"/>
  <c r="B18" i="1"/>
  <c r="L18" i="1" s="1"/>
  <c r="F18" i="1" s="1"/>
  <c r="R17" i="1"/>
  <c r="P17" i="1"/>
  <c r="N17" i="1"/>
  <c r="K17" i="1"/>
  <c r="B17" i="1"/>
  <c r="L17" i="1" s="1"/>
  <c r="F17" i="1" s="1"/>
  <c r="R16" i="1"/>
  <c r="P16" i="1"/>
  <c r="N16" i="1"/>
  <c r="K16" i="1"/>
  <c r="B16" i="1"/>
  <c r="R15" i="1"/>
  <c r="P15" i="1"/>
  <c r="N15" i="1"/>
  <c r="K15" i="1"/>
  <c r="B15" i="1"/>
  <c r="L15" i="1" s="1"/>
  <c r="F15" i="1" s="1"/>
  <c r="R14" i="1"/>
  <c r="P14" i="1"/>
  <c r="N14" i="1"/>
  <c r="B14" i="1"/>
  <c r="L14" i="1" s="1"/>
  <c r="F14" i="1" s="1"/>
  <c r="R13" i="1"/>
  <c r="P13" i="1"/>
  <c r="N13" i="1"/>
  <c r="B13" i="1"/>
  <c r="L13" i="1" s="1"/>
  <c r="F13" i="1" s="1"/>
  <c r="R12" i="1"/>
  <c r="P12" i="1"/>
  <c r="N12" i="1"/>
  <c r="B12" i="1"/>
  <c r="L12" i="1" s="1"/>
  <c r="F12" i="1" s="1"/>
  <c r="R11" i="1"/>
  <c r="P11" i="1"/>
  <c r="N11" i="1"/>
  <c r="B11" i="1"/>
  <c r="L11" i="1" s="1"/>
  <c r="F11" i="1" s="1"/>
  <c r="R10" i="1"/>
  <c r="P10" i="1"/>
  <c r="N10" i="1"/>
  <c r="B10" i="1"/>
  <c r="L10" i="1" s="1"/>
  <c r="F10" i="1" s="1"/>
  <c r="R9" i="1"/>
  <c r="P9" i="1"/>
  <c r="N9" i="1"/>
  <c r="B9" i="1"/>
  <c r="L9" i="1" s="1"/>
  <c r="F9" i="1" s="1"/>
  <c r="R8" i="1"/>
  <c r="P8" i="1"/>
  <c r="N8" i="1"/>
  <c r="B8" i="1"/>
  <c r="L8" i="1" s="1"/>
  <c r="F8" i="1" s="1"/>
  <c r="R7" i="1"/>
  <c r="P7" i="1"/>
  <c r="N7" i="1"/>
  <c r="K7" i="1"/>
  <c r="G7" i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G266" i="1" s="1"/>
  <c r="G267" i="1" s="1"/>
  <c r="G268" i="1" s="1"/>
  <c r="G269" i="1" s="1"/>
  <c r="G270" i="1" s="1"/>
  <c r="G271" i="1" s="1"/>
  <c r="G272" i="1" s="1"/>
  <c r="G273" i="1" s="1"/>
  <c r="G274" i="1" s="1"/>
  <c r="G275" i="1" s="1"/>
  <c r="G276" i="1" s="1"/>
  <c r="G277" i="1" s="1"/>
  <c r="G278" i="1" s="1"/>
  <c r="G279" i="1" s="1"/>
  <c r="G280" i="1" s="1"/>
  <c r="G281" i="1" s="1"/>
  <c r="G282" i="1" s="1"/>
  <c r="G283" i="1" s="1"/>
  <c r="G284" i="1" s="1"/>
  <c r="G285" i="1" s="1"/>
  <c r="G286" i="1" s="1"/>
  <c r="G287" i="1" s="1"/>
  <c r="G288" i="1" s="1"/>
  <c r="G289" i="1" s="1"/>
  <c r="G290" i="1" s="1"/>
  <c r="G291" i="1" s="1"/>
  <c r="G292" i="1" s="1"/>
  <c r="G293" i="1" s="1"/>
  <c r="G294" i="1" s="1"/>
  <c r="G295" i="1" s="1"/>
  <c r="G296" i="1" s="1"/>
  <c r="G297" i="1" s="1"/>
  <c r="G298" i="1" s="1"/>
  <c r="G299" i="1" s="1"/>
  <c r="G300" i="1" s="1"/>
  <c r="G301" i="1" s="1"/>
  <c r="G302" i="1" s="1"/>
  <c r="G303" i="1" s="1"/>
  <c r="G304" i="1" s="1"/>
  <c r="G305" i="1" s="1"/>
  <c r="G306" i="1" s="1"/>
  <c r="G307" i="1" s="1"/>
  <c r="G308" i="1" s="1"/>
  <c r="G309" i="1" s="1"/>
  <c r="G310" i="1" s="1"/>
  <c r="G311" i="1" s="1"/>
  <c r="G312" i="1" s="1"/>
  <c r="G313" i="1" s="1"/>
  <c r="G314" i="1" s="1"/>
  <c r="G315" i="1" s="1"/>
  <c r="G316" i="1" s="1"/>
  <c r="G317" i="1" s="1"/>
  <c r="G318" i="1" s="1"/>
  <c r="G319" i="1" s="1"/>
  <c r="G320" i="1" s="1"/>
  <c r="G321" i="1" s="1"/>
  <c r="G322" i="1" s="1"/>
  <c r="G323" i="1" s="1"/>
  <c r="G324" i="1" s="1"/>
  <c r="G325" i="1" s="1"/>
  <c r="G326" i="1" s="1"/>
  <c r="G327" i="1" s="1"/>
  <c r="G328" i="1" s="1"/>
  <c r="G329" i="1" s="1"/>
  <c r="G330" i="1" s="1"/>
  <c r="G331" i="1" s="1"/>
  <c r="G332" i="1" s="1"/>
  <c r="G333" i="1" s="1"/>
  <c r="G334" i="1" s="1"/>
  <c r="G335" i="1" s="1"/>
  <c r="G336" i="1" s="1"/>
  <c r="G337" i="1" s="1"/>
  <c r="G338" i="1" s="1"/>
  <c r="G339" i="1" s="1"/>
  <c r="G340" i="1" s="1"/>
  <c r="G341" i="1" s="1"/>
  <c r="G342" i="1" s="1"/>
  <c r="G343" i="1" s="1"/>
  <c r="G344" i="1" s="1"/>
  <c r="G345" i="1" s="1"/>
  <c r="G346" i="1" s="1"/>
  <c r="G347" i="1" s="1"/>
  <c r="G348" i="1" s="1"/>
  <c r="G349" i="1" s="1"/>
  <c r="G350" i="1" s="1"/>
  <c r="G351" i="1" s="1"/>
  <c r="G352" i="1" s="1"/>
  <c r="G353" i="1" s="1"/>
  <c r="G354" i="1" s="1"/>
  <c r="G355" i="1" s="1"/>
  <c r="G356" i="1" s="1"/>
  <c r="G357" i="1" s="1"/>
  <c r="G358" i="1" s="1"/>
  <c r="G359" i="1" s="1"/>
  <c r="G360" i="1" s="1"/>
  <c r="G361" i="1" s="1"/>
  <c r="G362" i="1" s="1"/>
  <c r="G363" i="1" s="1"/>
  <c r="G364" i="1" s="1"/>
  <c r="G365" i="1" s="1"/>
  <c r="G366" i="1" s="1"/>
  <c r="G367" i="1" s="1"/>
  <c r="G368" i="1" s="1"/>
  <c r="G369" i="1" s="1"/>
  <c r="G370" i="1" s="1"/>
  <c r="G371" i="1" s="1"/>
  <c r="G372" i="1" s="1"/>
  <c r="G373" i="1" s="1"/>
  <c r="G374" i="1" s="1"/>
  <c r="G375" i="1" s="1"/>
  <c r="G376" i="1" s="1"/>
  <c r="G377" i="1" s="1"/>
  <c r="G378" i="1" s="1"/>
  <c r="G379" i="1" s="1"/>
  <c r="G380" i="1" s="1"/>
  <c r="G381" i="1" s="1"/>
  <c r="G382" i="1" s="1"/>
  <c r="G383" i="1" s="1"/>
  <c r="G384" i="1" s="1"/>
  <c r="G385" i="1" s="1"/>
  <c r="G386" i="1" s="1"/>
  <c r="G387" i="1" s="1"/>
  <c r="G388" i="1" s="1"/>
  <c r="G389" i="1" s="1"/>
  <c r="G390" i="1" s="1"/>
  <c r="G391" i="1" s="1"/>
  <c r="G392" i="1" s="1"/>
  <c r="G393" i="1" s="1"/>
  <c r="G394" i="1" s="1"/>
  <c r="G395" i="1" s="1"/>
  <c r="G396" i="1" s="1"/>
  <c r="G397" i="1" s="1"/>
  <c r="G398" i="1" s="1"/>
  <c r="G399" i="1" s="1"/>
  <c r="G400" i="1" s="1"/>
  <c r="G401" i="1" s="1"/>
  <c r="G402" i="1" s="1"/>
  <c r="G403" i="1" s="1"/>
  <c r="G404" i="1" s="1"/>
  <c r="G405" i="1" s="1"/>
  <c r="G406" i="1" s="1"/>
  <c r="G407" i="1" s="1"/>
  <c r="G408" i="1" s="1"/>
  <c r="G409" i="1" s="1"/>
  <c r="G410" i="1" s="1"/>
  <c r="G411" i="1" s="1"/>
  <c r="G412" i="1" s="1"/>
  <c r="G413" i="1" s="1"/>
  <c r="G414" i="1" s="1"/>
  <c r="G415" i="1" s="1"/>
  <c r="G416" i="1" s="1"/>
  <c r="G417" i="1" s="1"/>
  <c r="G418" i="1" s="1"/>
  <c r="G419" i="1" s="1"/>
  <c r="G420" i="1" s="1"/>
  <c r="G421" i="1" s="1"/>
  <c r="G422" i="1" s="1"/>
  <c r="G423" i="1" s="1"/>
  <c r="G424" i="1" s="1"/>
  <c r="G425" i="1" s="1"/>
  <c r="G426" i="1" s="1"/>
  <c r="G427" i="1" s="1"/>
  <c r="G428" i="1" s="1"/>
  <c r="G429" i="1" s="1"/>
  <c r="G430" i="1" s="1"/>
  <c r="G431" i="1" s="1"/>
  <c r="G432" i="1" s="1"/>
  <c r="G433" i="1" s="1"/>
  <c r="G434" i="1" s="1"/>
  <c r="G435" i="1" s="1"/>
  <c r="G436" i="1" s="1"/>
  <c r="G437" i="1" s="1"/>
  <c r="G438" i="1" s="1"/>
  <c r="G439" i="1" s="1"/>
  <c r="G440" i="1" s="1"/>
  <c r="G441" i="1" s="1"/>
  <c r="G442" i="1" s="1"/>
  <c r="G443" i="1" s="1"/>
  <c r="G444" i="1" s="1"/>
  <c r="G445" i="1" s="1"/>
  <c r="G446" i="1" s="1"/>
  <c r="G447" i="1" s="1"/>
  <c r="G448" i="1" s="1"/>
  <c r="G449" i="1" s="1"/>
  <c r="G450" i="1" s="1"/>
  <c r="G451" i="1" s="1"/>
  <c r="G452" i="1" s="1"/>
  <c r="G453" i="1" s="1"/>
  <c r="G454" i="1" s="1"/>
  <c r="G455" i="1" s="1"/>
  <c r="G456" i="1" s="1"/>
  <c r="G457" i="1" s="1"/>
  <c r="G458" i="1" s="1"/>
  <c r="G459" i="1" s="1"/>
  <c r="G460" i="1" s="1"/>
  <c r="G461" i="1" s="1"/>
  <c r="G462" i="1" s="1"/>
  <c r="G463" i="1" s="1"/>
  <c r="G464" i="1" s="1"/>
  <c r="G465" i="1" s="1"/>
  <c r="G466" i="1" s="1"/>
  <c r="G467" i="1" s="1"/>
  <c r="G468" i="1" s="1"/>
  <c r="G469" i="1" s="1"/>
  <c r="G470" i="1" s="1"/>
  <c r="G471" i="1" s="1"/>
  <c r="G472" i="1" s="1"/>
  <c r="G473" i="1" s="1"/>
  <c r="G474" i="1" s="1"/>
  <c r="G475" i="1" s="1"/>
  <c r="G476" i="1" s="1"/>
  <c r="G477" i="1" s="1"/>
  <c r="G478" i="1" s="1"/>
  <c r="G479" i="1" s="1"/>
  <c r="G480" i="1" s="1"/>
  <c r="G481" i="1" s="1"/>
  <c r="G482" i="1" s="1"/>
  <c r="G483" i="1" s="1"/>
  <c r="G484" i="1" s="1"/>
  <c r="G485" i="1" s="1"/>
  <c r="G486" i="1" s="1"/>
  <c r="G487" i="1" s="1"/>
  <c r="G488" i="1" s="1"/>
  <c r="G489" i="1" s="1"/>
  <c r="G490" i="1" s="1"/>
  <c r="G491" i="1" s="1"/>
  <c r="G492" i="1" s="1"/>
  <c r="G493" i="1" s="1"/>
  <c r="G494" i="1" s="1"/>
  <c r="G495" i="1" s="1"/>
  <c r="G496" i="1" s="1"/>
  <c r="G497" i="1" s="1"/>
  <c r="G498" i="1" s="1"/>
  <c r="G499" i="1" s="1"/>
  <c r="G500" i="1" s="1"/>
  <c r="G501" i="1" s="1"/>
  <c r="G502" i="1" s="1"/>
  <c r="G503" i="1" s="1"/>
  <c r="G504" i="1" s="1"/>
  <c r="G505" i="1" s="1"/>
  <c r="G506" i="1" s="1"/>
  <c r="G507" i="1" s="1"/>
  <c r="G508" i="1" s="1"/>
  <c r="G509" i="1" s="1"/>
  <c r="G510" i="1" s="1"/>
  <c r="G511" i="1" s="1"/>
  <c r="G512" i="1" s="1"/>
  <c r="G513" i="1" s="1"/>
  <c r="G514" i="1" s="1"/>
  <c r="G515" i="1" s="1"/>
  <c r="G516" i="1" s="1"/>
  <c r="G517" i="1" s="1"/>
  <c r="G518" i="1" s="1"/>
  <c r="G519" i="1" s="1"/>
  <c r="G520" i="1" s="1"/>
  <c r="G521" i="1" s="1"/>
  <c r="G522" i="1" s="1"/>
  <c r="G523" i="1" s="1"/>
  <c r="G524" i="1" s="1"/>
  <c r="G525" i="1" s="1"/>
  <c r="G526" i="1" s="1"/>
  <c r="G527" i="1" s="1"/>
  <c r="G528" i="1" s="1"/>
  <c r="G529" i="1" s="1"/>
  <c r="G530" i="1" s="1"/>
  <c r="G531" i="1" s="1"/>
  <c r="G532" i="1" s="1"/>
  <c r="G533" i="1" s="1"/>
  <c r="G534" i="1" s="1"/>
  <c r="G535" i="1" s="1"/>
  <c r="G536" i="1" s="1"/>
  <c r="G537" i="1" s="1"/>
  <c r="G538" i="1" s="1"/>
  <c r="G539" i="1" s="1"/>
  <c r="G540" i="1" s="1"/>
  <c r="G541" i="1" s="1"/>
  <c r="G542" i="1" s="1"/>
  <c r="G543" i="1" s="1"/>
  <c r="G544" i="1" s="1"/>
  <c r="G545" i="1" s="1"/>
  <c r="G546" i="1" s="1"/>
  <c r="G547" i="1" s="1"/>
  <c r="G548" i="1" s="1"/>
  <c r="G549" i="1" s="1"/>
  <c r="G550" i="1" s="1"/>
  <c r="G551" i="1" s="1"/>
  <c r="G552" i="1" s="1"/>
  <c r="G553" i="1" s="1"/>
  <c r="B7" i="1"/>
  <c r="R6" i="1"/>
  <c r="P6" i="1"/>
  <c r="N6" i="1"/>
  <c r="B6" i="1"/>
  <c r="L6" i="1" s="1"/>
  <c r="F6" i="1" s="1"/>
  <c r="L62" i="1" l="1"/>
  <c r="F62" i="1" s="1"/>
  <c r="L68" i="1"/>
  <c r="F68" i="1" s="1"/>
  <c r="L134" i="1"/>
  <c r="F134" i="1" s="1"/>
  <c r="L155" i="1"/>
  <c r="F155" i="1" s="1"/>
  <c r="L320" i="1"/>
  <c r="F320" i="1" s="1"/>
  <c r="L7" i="1"/>
  <c r="F7" i="1" s="1"/>
  <c r="L16" i="1"/>
  <c r="F16" i="1" s="1"/>
  <c r="L25" i="1"/>
  <c r="F25" i="1" s="1"/>
  <c r="L40" i="1"/>
  <c r="F40" i="1" s="1"/>
  <c r="L50" i="1"/>
  <c r="F50" i="1" s="1"/>
  <c r="L61" i="1"/>
  <c r="F61" i="1" s="1"/>
  <c r="L77" i="1"/>
  <c r="F77" i="1" s="1"/>
  <c r="L84" i="1"/>
  <c r="F84" i="1" s="1"/>
  <c r="L90" i="1"/>
  <c r="F90" i="1" s="1"/>
  <c r="L98" i="1"/>
  <c r="F98" i="1" s="1"/>
  <c r="L102" i="1"/>
  <c r="F102" i="1" s="1"/>
  <c r="L106" i="1"/>
  <c r="F106" i="1" s="1"/>
  <c r="L125" i="1"/>
  <c r="F125" i="1" s="1"/>
  <c r="L133" i="1"/>
  <c r="F133" i="1" s="1"/>
  <c r="L139" i="1"/>
  <c r="F139" i="1" s="1"/>
  <c r="L160" i="1"/>
  <c r="F160" i="1" s="1"/>
  <c r="L189" i="1"/>
  <c r="F189" i="1" s="1"/>
  <c r="L197" i="1"/>
  <c r="F197" i="1" s="1"/>
  <c r="L212" i="1"/>
  <c r="F212" i="1" s="1"/>
  <c r="L244" i="1"/>
  <c r="F244" i="1" s="1"/>
  <c r="L251" i="1"/>
  <c r="F251" i="1" s="1"/>
  <c r="L291" i="1"/>
  <c r="F291" i="1" s="1"/>
  <c r="L312" i="1"/>
  <c r="F312" i="1" s="1"/>
  <c r="L338" i="1"/>
  <c r="F338" i="1" s="1"/>
  <c r="L348" i="1"/>
  <c r="F348" i="1" s="1"/>
  <c r="L371" i="1"/>
  <c r="F371" i="1" s="1"/>
  <c r="L390" i="1"/>
  <c r="F390" i="1" s="1"/>
  <c r="L399" i="1"/>
  <c r="F399" i="1" s="1"/>
  <c r="L406" i="1"/>
  <c r="F406" i="1" s="1"/>
  <c r="L412" i="1"/>
  <c r="F412" i="1" s="1"/>
  <c r="L423" i="1"/>
  <c r="F423" i="1" s="1"/>
  <c r="L432" i="1"/>
  <c r="F432" i="1" s="1"/>
  <c r="L446" i="1"/>
  <c r="F446" i="1" s="1"/>
  <c r="L489" i="1"/>
  <c r="F489" i="1" s="1"/>
  <c r="L497" i="1"/>
  <c r="F497" i="1" s="1"/>
  <c r="L206" i="1"/>
  <c r="F206" i="1" s="1"/>
  <c r="L69" i="1"/>
  <c r="F69" i="1" s="1"/>
  <c r="L20" i="1"/>
  <c r="F20" i="1" s="1"/>
  <c r="L37" i="1"/>
  <c r="F37" i="1" s="1"/>
  <c r="L39" i="1"/>
  <c r="F39" i="1" s="1"/>
  <c r="L41" i="1"/>
  <c r="F41" i="1" s="1"/>
  <c r="L51" i="1"/>
  <c r="F51" i="1" s="1"/>
  <c r="L74" i="1"/>
  <c r="F74" i="1" s="1"/>
  <c r="L76" i="1"/>
  <c r="F76" i="1" s="1"/>
  <c r="L78" i="1"/>
  <c r="F78" i="1" s="1"/>
  <c r="L147" i="1"/>
  <c r="F147" i="1" s="1"/>
  <c r="L229" i="1"/>
  <c r="F229" i="1" s="1"/>
  <c r="L192" i="1"/>
  <c r="F192" i="1" s="1"/>
  <c r="L239" i="1"/>
  <c r="F239" i="1" s="1"/>
  <c r="L299" i="1"/>
  <c r="F299" i="1" s="1"/>
  <c r="L300" i="1"/>
  <c r="F300" i="1" s="1"/>
  <c r="L305" i="1"/>
  <c r="F305" i="1" s="1"/>
  <c r="L310" i="1"/>
  <c r="F310" i="1" s="1"/>
  <c r="L358" i="1"/>
  <c r="F358" i="1" s="1"/>
  <c r="L414" i="1"/>
  <c r="F414" i="1" s="1"/>
  <c r="L397" i="1"/>
  <c r="F397" i="1" s="1"/>
  <c r="L428" i="1"/>
  <c r="F428" i="1" s="1"/>
  <c r="L386" i="1"/>
  <c r="F386" i="1" s="1"/>
  <c r="L504" i="1"/>
  <c r="F504" i="1" s="1"/>
  <c r="L483" i="1"/>
  <c r="F483" i="1" s="1"/>
  <c r="L501" i="1"/>
  <c r="F501" i="1" s="1"/>
</calcChain>
</file>

<file path=xl/sharedStrings.xml><?xml version="1.0" encoding="utf-8"?>
<sst xmlns="http://schemas.openxmlformats.org/spreadsheetml/2006/main" count="1737" uniqueCount="635">
  <si>
    <t>Bahria Town (Pvt) Ltd. Lahore</t>
  </si>
  <si>
    <t>Electricity Meter Reading Sheet April-2025</t>
  </si>
  <si>
    <t>Shaheen Block</t>
  </si>
  <si>
    <t>Reading Date :___________________________</t>
  </si>
  <si>
    <t>S#</t>
  </si>
  <si>
    <t>Meter No.</t>
  </si>
  <si>
    <t>House No.</t>
  </si>
  <si>
    <t>MDI Reading</t>
  </si>
  <si>
    <t>Accumulated Reading</t>
  </si>
  <si>
    <t>Peak Time Reading</t>
  </si>
  <si>
    <t>Off Peak Time Reading</t>
  </si>
  <si>
    <t>Export Reading</t>
  </si>
  <si>
    <t>Remarks From Electric Dept</t>
  </si>
  <si>
    <t>Remarks</t>
  </si>
  <si>
    <t xml:space="preserve">Previous </t>
  </si>
  <si>
    <t>Current</t>
  </si>
  <si>
    <t>S.Slip</t>
  </si>
  <si>
    <t>BTL-23432</t>
  </si>
  <si>
    <t>1 (2nd METER)</t>
  </si>
  <si>
    <t>Residential</t>
  </si>
  <si>
    <t>BTL-21227</t>
  </si>
  <si>
    <t>BTL-28113</t>
  </si>
  <si>
    <t>BTL-27080</t>
  </si>
  <si>
    <t>BTL-31670</t>
  </si>
  <si>
    <t>BTL-10892</t>
  </si>
  <si>
    <t>BTL-11684</t>
  </si>
  <si>
    <t>BTL-18694</t>
  </si>
  <si>
    <t>8-D</t>
  </si>
  <si>
    <t>BTL-15765</t>
  </si>
  <si>
    <t>8-E</t>
  </si>
  <si>
    <t>BTL-12687</t>
  </si>
  <si>
    <t>8-A</t>
  </si>
  <si>
    <t>BTL-27811</t>
  </si>
  <si>
    <t>8-C</t>
  </si>
  <si>
    <t>BTL-23789</t>
  </si>
  <si>
    <t>8-F</t>
  </si>
  <si>
    <t>BTL-26041</t>
  </si>
  <si>
    <t>8-F (2nd METE</t>
  </si>
  <si>
    <t>BTL-11192</t>
  </si>
  <si>
    <t>BTL-14135</t>
  </si>
  <si>
    <t>BTL-20502</t>
  </si>
  <si>
    <t>BTL-21962</t>
  </si>
  <si>
    <t>BTL-22273</t>
  </si>
  <si>
    <t>BTL-10847</t>
  </si>
  <si>
    <t>BTL-11301</t>
  </si>
  <si>
    <t>BTL-17945</t>
  </si>
  <si>
    <t>BTL-27718</t>
  </si>
  <si>
    <t>21 (2nd Meter)</t>
  </si>
  <si>
    <t>BTL-24477</t>
  </si>
  <si>
    <t>BTL-13623</t>
  </si>
  <si>
    <t>BTL-22489</t>
  </si>
  <si>
    <t>BTL-11858</t>
  </si>
  <si>
    <t>BTL-27808</t>
  </si>
  <si>
    <t>BTL-10848</t>
  </si>
  <si>
    <t>BTL-20716</t>
  </si>
  <si>
    <t>29 (2nd METER)</t>
  </si>
  <si>
    <t>BTL-10849</t>
  </si>
  <si>
    <t>BTL-12026</t>
  </si>
  <si>
    <t>BTL-12688</t>
  </si>
  <si>
    <t>BTL-19877</t>
  </si>
  <si>
    <t>BTL-10850</t>
  </si>
  <si>
    <t>BTL-13791</t>
  </si>
  <si>
    <t>BTL-12238</t>
  </si>
  <si>
    <t>BTL-14546</t>
  </si>
  <si>
    <t>BTL-10851</t>
  </si>
  <si>
    <t>BTL-10893</t>
  </si>
  <si>
    <t>BTL-13505</t>
  </si>
  <si>
    <t>BTL-27810</t>
  </si>
  <si>
    <t>BTL-10852</t>
  </si>
  <si>
    <t>BTL-32769</t>
  </si>
  <si>
    <t>BTL-10853</t>
  </si>
  <si>
    <t>BTL-23078</t>
  </si>
  <si>
    <t>BTL-10854</t>
  </si>
  <si>
    <t>BTL-10855</t>
  </si>
  <si>
    <t>BTL-19054</t>
  </si>
  <si>
    <t>BTL-25542</t>
  </si>
  <si>
    <t>53 (2nd METER)</t>
  </si>
  <si>
    <t>BTL-19525</t>
  </si>
  <si>
    <t>BTL-23846</t>
  </si>
  <si>
    <t>54 (2nd METER)</t>
  </si>
  <si>
    <t>BTL-13820</t>
  </si>
  <si>
    <t>BTL-14309</t>
  </si>
  <si>
    <t>BTL-20845</t>
  </si>
  <si>
    <t>BTL-11966</t>
  </si>
  <si>
    <t>BTL-10894</t>
  </si>
  <si>
    <t>BTL-29563</t>
  </si>
  <si>
    <t>BTL-19238</t>
  </si>
  <si>
    <t>BTL-28680</t>
  </si>
  <si>
    <t>BTL-15712</t>
  </si>
  <si>
    <t>BTL-15500</t>
  </si>
  <si>
    <t>BTL-12689</t>
  </si>
  <si>
    <t>BTL-28653</t>
  </si>
  <si>
    <t>BTL-13553</t>
  </si>
  <si>
    <t>BTL-10856</t>
  </si>
  <si>
    <t>BTL-19595</t>
  </si>
  <si>
    <t>BTL-16661</t>
  </si>
  <si>
    <t>BTL-19639</t>
  </si>
  <si>
    <t>BTL-17190</t>
  </si>
  <si>
    <t>BTL-15529</t>
  </si>
  <si>
    <t>BTL-10895</t>
  </si>
  <si>
    <t>BTL-10896</t>
  </si>
  <si>
    <t>BTL-16756</t>
  </si>
  <si>
    <t>BTL-12796</t>
  </si>
  <si>
    <t>BTL-13559</t>
  </si>
  <si>
    <t>BTL-20141</t>
  </si>
  <si>
    <t>BTL-18437</t>
  </si>
  <si>
    <t>BTL-12480</t>
  </si>
  <si>
    <t>BTL-20910</t>
  </si>
  <si>
    <t>87 (2nd Meter</t>
  </si>
  <si>
    <t>BTL-14470</t>
  </si>
  <si>
    <t>BTL-18364</t>
  </si>
  <si>
    <t>BTL-21286</t>
  </si>
  <si>
    <t>BTL-12887</t>
  </si>
  <si>
    <t>BTL-32530</t>
  </si>
  <si>
    <t>BTL-10857</t>
  </si>
  <si>
    <t>BTL-11685</t>
  </si>
  <si>
    <t>BTL-15711</t>
  </si>
  <si>
    <t>BTL-18353</t>
  </si>
  <si>
    <t>BTL-10858</t>
  </si>
  <si>
    <t>BTL-22300</t>
  </si>
  <si>
    <t>99 2nd METER</t>
  </si>
  <si>
    <t>BTL-26260</t>
  </si>
  <si>
    <t>100 (2nd METER)</t>
  </si>
  <si>
    <t>BTL-10859</t>
  </si>
  <si>
    <t>BTL-19237</t>
  </si>
  <si>
    <t>BTL-30324</t>
  </si>
  <si>
    <t>BTL-19142</t>
  </si>
  <si>
    <t>BTL-11532</t>
  </si>
  <si>
    <t>BTL-18401</t>
  </si>
  <si>
    <t>BTL-21757</t>
  </si>
  <si>
    <t>BTL-12604</t>
  </si>
  <si>
    <t>BTL-10860</t>
  </si>
  <si>
    <t>BTL-23171</t>
  </si>
  <si>
    <t>BTL-21881</t>
  </si>
  <si>
    <t>BTL-10897</t>
  </si>
  <si>
    <t>BTL-17946</t>
  </si>
  <si>
    <t>BTL-20934</t>
  </si>
  <si>
    <t>BTL-12797</t>
  </si>
  <si>
    <t>BTL-10861</t>
  </si>
  <si>
    <t>BTL-15160</t>
  </si>
  <si>
    <t>BTL-10862</t>
  </si>
  <si>
    <t>BTL-20905</t>
  </si>
  <si>
    <t>BTL-12605</t>
  </si>
  <si>
    <t>BTL-12027</t>
  </si>
  <si>
    <t>BTL-14160</t>
  </si>
  <si>
    <t>BTL-13436</t>
  </si>
  <si>
    <t>BTL-15564</t>
  </si>
  <si>
    <t>BTL-13593</t>
  </si>
  <si>
    <t>BTL-12176</t>
  </si>
  <si>
    <t>BTL-20664</t>
  </si>
  <si>
    <t>BTL-12798</t>
  </si>
  <si>
    <t>BTL-29353</t>
  </si>
  <si>
    <t>BTL-10863</t>
  </si>
  <si>
    <t>BTL-17464</t>
  </si>
  <si>
    <t>BTL-17250</t>
  </si>
  <si>
    <t>BTL-10898</t>
  </si>
  <si>
    <t>BTL-18696</t>
  </si>
  <si>
    <t>BTL-11720</t>
  </si>
  <si>
    <t>BTL-12606</t>
  </si>
  <si>
    <t>BTL-16041</t>
  </si>
  <si>
    <t>BTL-11598</t>
  </si>
  <si>
    <t>BTL-26893</t>
  </si>
  <si>
    <t>BTL-18362</t>
  </si>
  <si>
    <t>BTL-11754</t>
  </si>
  <si>
    <t>BTL-27862</t>
  </si>
  <si>
    <t>BTL-24544</t>
  </si>
  <si>
    <t>BTL-30083</t>
  </si>
  <si>
    <t>BTL-19991</t>
  </si>
  <si>
    <t>BTL-10899</t>
  </si>
  <si>
    <t>BTL-12550</t>
  </si>
  <si>
    <t>BTL-12690</t>
  </si>
  <si>
    <t>BTL-12347</t>
  </si>
  <si>
    <t>BTL-11505</t>
  </si>
  <si>
    <t>BTL-10864</t>
  </si>
  <si>
    <t>BTL-12607</t>
  </si>
  <si>
    <t>BTL-18888</t>
  </si>
  <si>
    <t>BTL-12608</t>
  </si>
  <si>
    <t>BTL-15482</t>
  </si>
  <si>
    <t>BTL-23020</t>
  </si>
  <si>
    <t>BTL-17072</t>
  </si>
  <si>
    <t>BTL-20537</t>
  </si>
  <si>
    <t>BTL-13506</t>
  </si>
  <si>
    <t>BTL-27159</t>
  </si>
  <si>
    <t>BTL-20165</t>
  </si>
  <si>
    <t>BTL-27698</t>
  </si>
  <si>
    <t>BTL-18486</t>
  </si>
  <si>
    <t>BTL-17016</t>
  </si>
  <si>
    <t>BTL-10865</t>
  </si>
  <si>
    <t>BTL-12799</t>
  </si>
  <si>
    <t>BTL-12481</t>
  </si>
  <si>
    <t>BTL-20282</t>
  </si>
  <si>
    <t>BTL-16937</t>
  </si>
  <si>
    <t>BTL-10900</t>
  </si>
  <si>
    <t>BTL-18076</t>
  </si>
  <si>
    <t>BTL-11344</t>
  </si>
  <si>
    <t>BTL-10901</t>
  </si>
  <si>
    <t>BTL-11967</t>
  </si>
  <si>
    <t>BTL-12483</t>
  </si>
  <si>
    <t>BTL-12085</t>
  </si>
  <si>
    <t>BTL-10866</t>
  </si>
  <si>
    <t>BTL-10902</t>
  </si>
  <si>
    <t>BTL-31271</t>
  </si>
  <si>
    <t>BTL-10903</t>
  </si>
  <si>
    <t>BTL-11719</t>
  </si>
  <si>
    <t>BTL-10904</t>
  </si>
  <si>
    <t>BTL-15777</t>
  </si>
  <si>
    <t>BTL-26198</t>
  </si>
  <si>
    <t>BTL-10867</t>
  </si>
  <si>
    <t>BTL-29184</t>
  </si>
  <si>
    <t>BTL-10868</t>
  </si>
  <si>
    <t>BTL-20075</t>
  </si>
  <si>
    <t>BTL-12609</t>
  </si>
  <si>
    <t>BTL-10869</t>
  </si>
  <si>
    <t>BTL-10905</t>
  </si>
  <si>
    <t>BTL-11736</t>
  </si>
  <si>
    <t>BTL-11911</t>
  </si>
  <si>
    <t>BTL-10906</t>
  </si>
  <si>
    <t>BTL-10907</t>
  </si>
  <si>
    <t>BTL-18896</t>
  </si>
  <si>
    <t>BTL-10870</t>
  </si>
  <si>
    <t>BTL-10908</t>
  </si>
  <si>
    <t>BTL-10871</t>
  </si>
  <si>
    <t>BTL-13854</t>
  </si>
  <si>
    <t>BTL-12117</t>
  </si>
  <si>
    <t>BTL-13187</t>
  </si>
  <si>
    <t>BTL-25014</t>
  </si>
  <si>
    <t>BTL-18643</t>
  </si>
  <si>
    <t>BTL-23650</t>
  </si>
  <si>
    <t>BTL-21206</t>
  </si>
  <si>
    <t>BTL-19526</t>
  </si>
  <si>
    <t>BTL-18414</t>
  </si>
  <si>
    <t>BTL-10909</t>
  </si>
  <si>
    <t>BTL-10910</t>
  </si>
  <si>
    <t>BTL-13943</t>
  </si>
  <si>
    <t>BTL-17582</t>
  </si>
  <si>
    <t>BTL-10872</t>
  </si>
  <si>
    <t>BTL-11548</t>
  </si>
  <si>
    <t>BTL-13742</t>
  </si>
  <si>
    <t>BTL-11619</t>
  </si>
  <si>
    <t>BTL-10911</t>
  </si>
  <si>
    <t>BTL-10912</t>
  </si>
  <si>
    <t>BTL-11721</t>
  </si>
  <si>
    <t>BTL-18168</t>
  </si>
  <si>
    <t>BTL-21921</t>
  </si>
  <si>
    <t>BTL-20600</t>
  </si>
  <si>
    <t>BTL-20652</t>
  </si>
  <si>
    <t>BTL-10873</t>
  </si>
  <si>
    <t>BTL-10913</t>
  </si>
  <si>
    <t>BTL-17452</t>
  </si>
  <si>
    <t>BTL-12691</t>
  </si>
  <si>
    <t>BTL-19083</t>
  </si>
  <si>
    <t>BTL-32674</t>
  </si>
  <si>
    <t>BTL-11793</t>
  </si>
  <si>
    <t>BTL-10874</t>
  </si>
  <si>
    <t>BTL-12548</t>
  </si>
  <si>
    <t>BTL-14536</t>
  </si>
  <si>
    <t>BTL-14824</t>
  </si>
  <si>
    <t>BTL-12118</t>
  </si>
  <si>
    <t>BTL-14955</t>
  </si>
  <si>
    <t>BTL-10914</t>
  </si>
  <si>
    <t>BTL-16792</t>
  </si>
  <si>
    <t>BTL-18077</t>
  </si>
  <si>
    <t>BTL-10915</t>
  </si>
  <si>
    <t>BTL-19481</t>
  </si>
  <si>
    <t>BTL-13507</t>
  </si>
  <si>
    <t>BTL-19932</t>
  </si>
  <si>
    <t>BTL-11584</t>
  </si>
  <si>
    <t>BTL-12482</t>
  </si>
  <si>
    <t>BTL-14157</t>
  </si>
  <si>
    <t>BTL-10916</t>
  </si>
  <si>
    <t>BTL-16438</t>
  </si>
  <si>
    <t>BTL-10917</t>
  </si>
  <si>
    <t>BTL-15545</t>
  </si>
  <si>
    <t>BTL-11968</t>
  </si>
  <si>
    <t>BTL-13702</t>
  </si>
  <si>
    <t>BTL-31003</t>
  </si>
  <si>
    <t>BTL-13124</t>
  </si>
  <si>
    <t>BTL-26357</t>
  </si>
  <si>
    <t>BTL-12692</t>
  </si>
  <si>
    <t>BTL-12610</t>
  </si>
  <si>
    <t>BTL-16372</t>
  </si>
  <si>
    <t>BTL-11585</t>
  </si>
  <si>
    <t>BTL-10875</t>
  </si>
  <si>
    <t>BTL-25507</t>
  </si>
  <si>
    <t>BTL-10876</t>
  </si>
  <si>
    <t>BTL-12239</t>
  </si>
  <si>
    <t>BTL-10918</t>
  </si>
  <si>
    <t>BTL-13551</t>
  </si>
  <si>
    <t>BTL-27138</t>
  </si>
  <si>
    <t>BTL-10919</t>
  </si>
  <si>
    <t>BTL-15015</t>
  </si>
  <si>
    <t>BTL-29183</t>
  </si>
  <si>
    <t>BTL-27861</t>
  </si>
  <si>
    <t>BTL-12028</t>
  </si>
  <si>
    <t>BTL-18317</t>
  </si>
  <si>
    <t>BTL-31671</t>
  </si>
  <si>
    <t>BTL-10877</t>
  </si>
  <si>
    <t>BTL-22106</t>
  </si>
  <si>
    <t>BTL-14764</t>
  </si>
  <si>
    <t>BTL-13660</t>
  </si>
  <si>
    <t>BTL-10920</t>
  </si>
  <si>
    <t>BTL-19906</t>
  </si>
  <si>
    <t>BTL-10878</t>
  </si>
  <si>
    <t>BTL-24698</t>
  </si>
  <si>
    <t>BTL-33899</t>
  </si>
  <si>
    <t>BTL-27860</t>
  </si>
  <si>
    <t>BTL-15238</t>
  </si>
  <si>
    <t>BTL-10879</t>
  </si>
  <si>
    <t>BTL-14763</t>
  </si>
  <si>
    <t>BTL-11969</t>
  </si>
  <si>
    <t>BTL-10921</t>
  </si>
  <si>
    <t>BTL-13959</t>
  </si>
  <si>
    <t>BTL-12240</t>
  </si>
  <si>
    <t>BTL-12484</t>
  </si>
  <si>
    <t>BTL-14971</t>
  </si>
  <si>
    <t>BTL-11193</t>
  </si>
  <si>
    <t>BTL-13437</t>
  </si>
  <si>
    <t>BTL-15213</t>
  </si>
  <si>
    <t>BTL-18078</t>
  </si>
  <si>
    <t>BTL-18079</t>
  </si>
  <si>
    <t>BTL-10880</t>
  </si>
  <si>
    <t>BTL-33900</t>
  </si>
  <si>
    <t>BTL-12485</t>
  </si>
  <si>
    <t>BTL-19679</t>
  </si>
  <si>
    <t>BTL-12693</t>
  </si>
  <si>
    <t>BTL-13958</t>
  </si>
  <si>
    <t>BTL-11506</t>
  </si>
  <si>
    <t>BTL-15239</t>
  </si>
  <si>
    <t>BTL-12177</t>
  </si>
  <si>
    <t>BTL-11860</t>
  </si>
  <si>
    <t>BTL-13125</t>
  </si>
  <si>
    <t>BTL-18080</t>
  </si>
  <si>
    <t>BTL-11380</t>
  </si>
  <si>
    <t>BTL-12611</t>
  </si>
  <si>
    <t>BTL-19024</t>
  </si>
  <si>
    <t>BTL-28420</t>
  </si>
  <si>
    <t>BTL-19396</t>
  </si>
  <si>
    <t>BTL-12694</t>
  </si>
  <si>
    <t>BTL-12695</t>
  </si>
  <si>
    <t>BTL-12696</t>
  </si>
  <si>
    <t>BTL-11706</t>
  </si>
  <si>
    <t>BTL-12697</t>
  </si>
  <si>
    <t>BTL-12698</t>
  </si>
  <si>
    <t>BTL-17420</t>
  </si>
  <si>
    <t>BTL-10881</t>
  </si>
  <si>
    <t>BTL-10882</t>
  </si>
  <si>
    <t>421-A</t>
  </si>
  <si>
    <t>BTL-12888</t>
  </si>
  <si>
    <t>BTL-19097</t>
  </si>
  <si>
    <t>BTL-15397</t>
  </si>
  <si>
    <t>BTL-18170</t>
  </si>
  <si>
    <t>BTL-10883</t>
  </si>
  <si>
    <t>BTL-10922</t>
  </si>
  <si>
    <t>BTL-17249</t>
  </si>
  <si>
    <t>BTL-16861</t>
  </si>
  <si>
    <t>BTL-13036</t>
  </si>
  <si>
    <t>BTL-20188</t>
  </si>
  <si>
    <t>BTL-11737</t>
  </si>
  <si>
    <t>BTL-11302</t>
  </si>
  <si>
    <t>BTL-10884</t>
  </si>
  <si>
    <t>BTL-14691</t>
  </si>
  <si>
    <t>BTL-12612</t>
  </si>
  <si>
    <t>BTL-13979</t>
  </si>
  <si>
    <t>BTL-12964</t>
  </si>
  <si>
    <t>BTL-10885</t>
  </si>
  <si>
    <t>BTL-10923</t>
  </si>
  <si>
    <t>BTL-11794</t>
  </si>
  <si>
    <t>BTL-12178</t>
  </si>
  <si>
    <t>BTL-12086</t>
  </si>
  <si>
    <t>BTL-10924</t>
  </si>
  <si>
    <t>BTL-10925</t>
  </si>
  <si>
    <t>BTL-18081</t>
  </si>
  <si>
    <t>BTL-10926</t>
  </si>
  <si>
    <t>BTL-12029</t>
  </si>
  <si>
    <t>BTL-11755</t>
  </si>
  <si>
    <t>BTL-13899</t>
  </si>
  <si>
    <t>BTL-21297</t>
  </si>
  <si>
    <t>BTL-24128</t>
  </si>
  <si>
    <t>454 (2nd METER)</t>
  </si>
  <si>
    <t>BTL-10927</t>
  </si>
  <si>
    <t>BTL-10928</t>
  </si>
  <si>
    <t>BTL-21228</t>
  </si>
  <si>
    <t>BTL-13438</t>
  </si>
  <si>
    <t>BTL-15739</t>
  </si>
  <si>
    <t>461 2nd Meter</t>
  </si>
  <si>
    <t>BTL-10887</t>
  </si>
  <si>
    <t>BTL-10886</t>
  </si>
  <si>
    <t>BTL-12179</t>
  </si>
  <si>
    <t>BTL-22247</t>
  </si>
  <si>
    <t>BTL-11970</t>
  </si>
  <si>
    <t>BTL-16915</t>
  </si>
  <si>
    <t>BTL-14198</t>
  </si>
  <si>
    <t>BTL-11320</t>
  </si>
  <si>
    <t>BTL-10888</t>
  </si>
  <si>
    <t>BTL-13819</t>
  </si>
  <si>
    <t>BTL-14571</t>
  </si>
  <si>
    <t>BTL-10929</t>
  </si>
  <si>
    <t>BTL-10930</t>
  </si>
  <si>
    <t>BTL-10931</t>
  </si>
  <si>
    <t>BTL-10932</t>
  </si>
  <si>
    <t>BTL-11549</t>
  </si>
  <si>
    <t>BTL-10889</t>
  </si>
  <si>
    <t>BTL-11531</t>
  </si>
  <si>
    <t>BTL-14420</t>
  </si>
  <si>
    <t>BTL-14464</t>
  </si>
  <si>
    <t>BTL-22149</t>
  </si>
  <si>
    <t>BTL-26208</t>
  </si>
  <si>
    <t>BTL-11726</t>
  </si>
  <si>
    <t>BTL-11727</t>
  </si>
  <si>
    <t>BTL-11507</t>
  </si>
  <si>
    <t>BTL-10933</t>
  </si>
  <si>
    <t>BTL-11550</t>
  </si>
  <si>
    <t>BTL-12699</t>
  </si>
  <si>
    <t>BTL-12486</t>
  </si>
  <si>
    <t>BTL-14460</t>
  </si>
  <si>
    <t>BTL-12800</t>
  </si>
  <si>
    <t>BTL-18861</t>
  </si>
  <si>
    <t>BTL-14400</t>
  </si>
  <si>
    <t>BTL-10934</t>
  </si>
  <si>
    <t>BTL-20953</t>
  </si>
  <si>
    <t>BTL-16571</t>
  </si>
  <si>
    <t>BTL-26769</t>
  </si>
  <si>
    <t>BTL-13575</t>
  </si>
  <si>
    <t>BTL-17947</t>
  </si>
  <si>
    <t>BTL-29705</t>
  </si>
  <si>
    <t>BTL-17948</t>
  </si>
  <si>
    <t>BTL-10935</t>
  </si>
  <si>
    <t>BTL-10936</t>
  </si>
  <si>
    <t>BTL-10937</t>
  </si>
  <si>
    <t>BTL-24208</t>
  </si>
  <si>
    <t>BTL-10938</t>
  </si>
  <si>
    <t>BTL-11321</t>
  </si>
  <si>
    <t>BTL-10890</t>
  </si>
  <si>
    <t>BTL-11861</t>
  </si>
  <si>
    <t>BTL-13992</t>
  </si>
  <si>
    <t>BTL-10939</t>
  </si>
  <si>
    <t>BTL-18360</t>
  </si>
  <si>
    <t>BTL-11795</t>
  </si>
  <si>
    <t>BTL-11862</t>
  </si>
  <si>
    <t>BTL-10940</t>
  </si>
  <si>
    <t>BTL-12422</t>
  </si>
  <si>
    <t>BTL-10941</t>
  </si>
  <si>
    <t>BTL-17709</t>
  </si>
  <si>
    <t>BTL-11250</t>
  </si>
  <si>
    <t>BTL-10942</t>
  </si>
  <si>
    <t>BTL-11796</t>
  </si>
  <si>
    <t>BTL-12241</t>
  </si>
  <si>
    <t>BTL-11756</t>
  </si>
  <si>
    <t>BTL-28419</t>
  </si>
  <si>
    <t>BTL-11551</t>
  </si>
  <si>
    <t>BTL-13188</t>
  </si>
  <si>
    <t>BTL-11797</t>
  </si>
  <si>
    <t>BTL-10943</t>
  </si>
  <si>
    <t>BTL-13856</t>
  </si>
  <si>
    <t>BTL-11757</t>
  </si>
  <si>
    <t>BTL-11381</t>
  </si>
  <si>
    <t>BTL-11322</t>
  </si>
  <si>
    <t>BTL-10944</t>
  </si>
  <si>
    <t>BTL-16572</t>
  </si>
  <si>
    <t>BTL-17470</t>
  </si>
  <si>
    <t>BTL-10945</t>
  </si>
  <si>
    <t>BTL-10946</t>
  </si>
  <si>
    <t>BTL-10947</t>
  </si>
  <si>
    <t>BTL-12889</t>
  </si>
  <si>
    <t>BTL-16463</t>
  </si>
  <si>
    <t>BTL-17116</t>
  </si>
  <si>
    <t>BTL-10891</t>
  </si>
  <si>
    <t>BTL-14659</t>
  </si>
  <si>
    <t>BTL-13439</t>
  </si>
  <si>
    <t>BTL-14416</t>
  </si>
  <si>
    <t>BTL-11439</t>
  </si>
  <si>
    <t>BTL-11705</t>
  </si>
  <si>
    <t>BTL-11758</t>
  </si>
  <si>
    <t>BTL-11323</t>
  </si>
  <si>
    <t>BTL-11324</t>
  </si>
  <si>
    <t>BTL-11325</t>
  </si>
  <si>
    <t>BTL-13821</t>
  </si>
  <si>
    <t>BTL-11863</t>
  </si>
  <si>
    <t>BTL-20996</t>
  </si>
  <si>
    <t>BTL-13938</t>
  </si>
  <si>
    <t>BTL-11552</t>
  </si>
  <si>
    <t>BTL-18829</t>
  </si>
  <si>
    <t>BTL-20868</t>
  </si>
  <si>
    <t>BTL-12423</t>
  </si>
  <si>
    <t>BTL-12700</t>
  </si>
  <si>
    <t>BTL-14031</t>
  </si>
  <si>
    <t>BTL-10948</t>
  </si>
  <si>
    <t>BTL-18169</t>
  </si>
  <si>
    <t>BTL-11618</t>
  </si>
  <si>
    <t>BTL-11586</t>
  </si>
  <si>
    <t>BTL-11971</t>
  </si>
  <si>
    <t>BTL-18938</t>
  </si>
  <si>
    <t>BTL-33901</t>
  </si>
  <si>
    <t>BTL-12242</t>
  </si>
  <si>
    <t>BTL-12180</t>
  </si>
  <si>
    <t>BTL-12701</t>
  </si>
  <si>
    <t>BTL-10949</t>
  </si>
  <si>
    <t>BTL-19284</t>
  </si>
  <si>
    <t>BTL-11772</t>
  </si>
  <si>
    <t>BTL-10950</t>
  </si>
  <si>
    <t>BTL-12119</t>
  </si>
  <si>
    <t>BTL-14287</t>
  </si>
  <si>
    <t>BTL-12702</t>
  </si>
  <si>
    <t>BTL-10951</t>
  </si>
  <si>
    <t>BTL-14688</t>
  </si>
  <si>
    <t>BTL-12424</t>
  </si>
  <si>
    <t>BTL-26054</t>
  </si>
  <si>
    <t>BTL-15351</t>
  </si>
  <si>
    <t>BTL-11251</t>
  </si>
  <si>
    <t>BTL-13536</t>
  </si>
  <si>
    <t>BTL-13016</t>
  </si>
  <si>
    <t>BTL-14480</t>
  </si>
  <si>
    <t>BTL-10952</t>
  </si>
  <si>
    <t>BTL-15896</t>
  </si>
  <si>
    <t>BTL-10953</t>
  </si>
  <si>
    <t>BTL-11482</t>
  </si>
  <si>
    <t>BTL-11798</t>
  </si>
  <si>
    <t>BTL-10954</t>
  </si>
  <si>
    <t>BTL-13015</t>
  </si>
  <si>
    <t>BTL-10955</t>
  </si>
  <si>
    <t>BTL-13625</t>
  </si>
  <si>
    <t>BTL-27809</t>
  </si>
  <si>
    <t>BTL-26675</t>
  </si>
  <si>
    <t>BTL-28916</t>
  </si>
  <si>
    <t>614 (2nd Meter)</t>
  </si>
  <si>
    <t>BTL-10956</t>
  </si>
  <si>
    <t>BTL-18589</t>
  </si>
  <si>
    <t>BTL-11799</t>
  </si>
  <si>
    <t>BTL-10957</t>
  </si>
  <si>
    <t>BTL-14733</t>
  </si>
  <si>
    <t>BTL-18678</t>
  </si>
  <si>
    <t>BTL-10958</t>
  </si>
  <si>
    <t>BTL-16777</t>
  </si>
  <si>
    <t>BTL-11326</t>
  </si>
  <si>
    <t>BTL-10959</t>
  </si>
  <si>
    <t>BTL-14426</t>
  </si>
  <si>
    <t>01 (PLAZA)</t>
  </si>
  <si>
    <t>Commercial</t>
  </si>
  <si>
    <t>BTL-32351</t>
  </si>
  <si>
    <t>01 (PLAZA) (Basement/F HALL-B-01)</t>
  </si>
  <si>
    <t>BTL-26842</t>
  </si>
  <si>
    <t>01 (PLAZA) (F/F HALL-101)</t>
  </si>
  <si>
    <t>BTL-15809</t>
  </si>
  <si>
    <t>03 (PLAZA)</t>
  </si>
  <si>
    <t>BTL-15947</t>
  </si>
  <si>
    <t>05 (PLAZA)</t>
  </si>
  <si>
    <t>BTL-32531</t>
  </si>
  <si>
    <t>05 (PLAZA) (G/F SHOP-G-01)</t>
  </si>
  <si>
    <t>BTL-22396</t>
  </si>
  <si>
    <t>06 (PLAZA)</t>
  </si>
  <si>
    <t>BTL-12260</t>
  </si>
  <si>
    <t>07 (PLAZA)</t>
  </si>
  <si>
    <t>BTL-21189</t>
  </si>
  <si>
    <t>10 (PLAZA)</t>
  </si>
  <si>
    <t>BTL-23281</t>
  </si>
  <si>
    <t>10 (PLAZA) G/F HALL</t>
  </si>
  <si>
    <t>BTL-21659</t>
  </si>
  <si>
    <t>11 (PLAZA) (APP -201)</t>
  </si>
  <si>
    <t>BTL-21619</t>
  </si>
  <si>
    <t>11 (PLAZA) (APP -202)</t>
  </si>
  <si>
    <t>BTL-21543</t>
  </si>
  <si>
    <t>11 (PLAZA) (APP -203)</t>
  </si>
  <si>
    <t>BTL-21852</t>
  </si>
  <si>
    <t>11 (PLAZA) BASEMENT</t>
  </si>
  <si>
    <t>BTL-21542</t>
  </si>
  <si>
    <t>11 (PLAZA) F/F 101</t>
  </si>
  <si>
    <t>BTL-19880</t>
  </si>
  <si>
    <t>11 (PLAZA) G/F</t>
  </si>
  <si>
    <t>BTL-15162</t>
  </si>
  <si>
    <t>12 (PLAZA)</t>
  </si>
  <si>
    <t>BTL-17513</t>
  </si>
  <si>
    <t>12 (PLAZA) 2nd Meter</t>
  </si>
  <si>
    <t>BTL-15302</t>
  </si>
  <si>
    <t>13 (PLAZA)</t>
  </si>
  <si>
    <t>BTL-20063</t>
  </si>
  <si>
    <t>13 (PLAZA) F/FLOOR</t>
  </si>
  <si>
    <t>BTL-12261</t>
  </si>
  <si>
    <t>14 (PLAZA)</t>
  </si>
  <si>
    <t>BTL-23018</t>
  </si>
  <si>
    <t>14 (PLAZA) 2nd/FLOOR</t>
  </si>
  <si>
    <t>BTL-23017</t>
  </si>
  <si>
    <t>14 (PLAZA) F/FLOOR</t>
  </si>
  <si>
    <t>BTL-28508</t>
  </si>
  <si>
    <t>15 (PLAZA) (2nd/F APP-201)</t>
  </si>
  <si>
    <t>BTL-26247</t>
  </si>
  <si>
    <t>15 (PLAZA) (2nd/F APP-202)</t>
  </si>
  <si>
    <t>BTL-24145</t>
  </si>
  <si>
    <t>15 (PLAZA)</t>
  </si>
  <si>
    <t>BTL-32770</t>
  </si>
  <si>
    <t>15 (PLAZA) 1st/F Hall-101</t>
  </si>
  <si>
    <t>BTL-27030</t>
  </si>
  <si>
    <t>16 (PLAZA) (2nd/F APP)</t>
  </si>
  <si>
    <t>BTL-12983</t>
  </si>
  <si>
    <t>16 II (PLAZA)</t>
  </si>
  <si>
    <t>BTL-13114</t>
  </si>
  <si>
    <t>16 III (PLAZA)</t>
  </si>
  <si>
    <t>BTL-12445</t>
  </si>
  <si>
    <t>16 (PLAZA)</t>
  </si>
  <si>
    <t>BTL-11836</t>
  </si>
  <si>
    <t>17 (PLAZA)</t>
  </si>
  <si>
    <t>BTL-22883</t>
  </si>
  <si>
    <t>17 (PLAZA) BASMENT HALL-1</t>
  </si>
  <si>
    <t>BTL-22884</t>
  </si>
  <si>
    <t>17 (PLAZA) F/F HALL-101</t>
  </si>
  <si>
    <t>BTL-19318</t>
  </si>
  <si>
    <t>18 (PLAZA)</t>
  </si>
  <si>
    <t>BTL-18775</t>
  </si>
  <si>
    <t>19 (PLAZA)</t>
  </si>
  <si>
    <t>BTL-12984</t>
  </si>
  <si>
    <t>24 II (PLAZA)</t>
  </si>
  <si>
    <t>BTL-12985</t>
  </si>
  <si>
    <t>24 III (PLAZA)</t>
  </si>
  <si>
    <t>BTL-12630</t>
  </si>
  <si>
    <t>24 (PLAZA)</t>
  </si>
  <si>
    <t>BTL-32104</t>
  </si>
  <si>
    <t>BBQ VILLAGE</t>
  </si>
  <si>
    <t>BTL-25276</t>
  </si>
  <si>
    <t>JAMIA BAHRIA MOSQUE</t>
  </si>
  <si>
    <t>BTL-21424</t>
  </si>
  <si>
    <t>GRAVEYARD NR H -09</t>
  </si>
  <si>
    <t>Bahria Self Consumption</t>
  </si>
  <si>
    <t>BTL-21337</t>
  </si>
  <si>
    <t>PARK NR (H-257)</t>
  </si>
  <si>
    <t>BTL-30188</t>
  </si>
  <si>
    <t>PARK NR (H-47)</t>
  </si>
  <si>
    <t>BTL-13278</t>
  </si>
  <si>
    <t>SLP NR (H-167)</t>
  </si>
  <si>
    <t>BTL-13279</t>
  </si>
  <si>
    <t>SLP NR (H-198)</t>
  </si>
  <si>
    <t>BTL-15169</t>
  </si>
  <si>
    <t>SLP NR (H-422)</t>
  </si>
  <si>
    <t>BTL-13277</t>
  </si>
  <si>
    <t>SLP NR (H-478)</t>
  </si>
  <si>
    <t>BTL-13276</t>
  </si>
  <si>
    <t>SLP NR (H-507)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</si>
</sst>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name val="Calibri"/>
      <family val="2"/>
      <scheme val="minor"/>
    </font>
    <font>
      <b/>
      <sz val="2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Rockwell"/>
      <family val="1"/>
    </font>
    <font>
      <b/>
      <sz val="12"/>
      <name val="Rockwell"/>
      <family val="1"/>
    </font>
    <font>
      <b/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8"/>
      <color rgb="FFC7C7C7"/>
      <name val="Calibri"/>
      <family val="2"/>
      <scheme val="minor"/>
    </font>
    <font>
      <sz val="11"/>
      <name val="Calibri"/>
      <family val="2"/>
      <scheme val="minor"/>
    </font>
    <font>
      <sz val="8"/>
      <color theme="0" tint="-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6F6F6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6F6F6F"/>
      </patternFill>
    </fill>
    <fill>
      <patternFill patternType="solid">
        <fgColor indexed="65"/>
        <bgColor rgb="FF6F6F6F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4" fillId="2" borderId="1" xfId="0" applyFont="1" applyFill="1" applyBorder="1"/>
    <xf numFmtId="0" fontId="2" fillId="3" borderId="2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8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0" fontId="9" fillId="4" borderId="0" xfId="0" applyFont="1" applyFill="1"/>
    <xf numFmtId="0" fontId="8" fillId="4" borderId="0" xfId="0" applyFont="1" applyFill="1"/>
    <xf numFmtId="0" fontId="8" fillId="4" borderId="1" xfId="0" applyFont="1" applyFill="1" applyBorder="1"/>
    <xf numFmtId="0" fontId="4" fillId="6" borderId="6" xfId="0" applyFont="1" applyFill="1" applyBorder="1" applyAlignment="1">
      <alignment horizontal="center" vertical="center" wrapText="1"/>
    </xf>
    <xf numFmtId="0" fontId="8" fillId="5" borderId="14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5" borderId="15" xfId="0" applyFont="1" applyFill="1" applyBorder="1" applyAlignment="1">
      <alignment horizontal="center" vertical="center" wrapText="1"/>
    </xf>
    <xf numFmtId="0" fontId="8" fillId="5" borderId="13" xfId="0" applyFont="1" applyFill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center" wrapText="1"/>
    </xf>
    <xf numFmtId="0" fontId="13" fillId="2" borderId="17" xfId="0" applyFont="1" applyFill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/>
    </xf>
    <xf numFmtId="164" fontId="15" fillId="4" borderId="17" xfId="0" applyNumberFormat="1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9" fillId="5" borderId="17" xfId="0" applyFont="1" applyFill="1" applyBorder="1" applyAlignment="1">
      <alignment horizontal="center" vertical="center"/>
    </xf>
    <xf numFmtId="0" fontId="17" fillId="4" borderId="17" xfId="0" applyFont="1" applyFill="1" applyBorder="1" applyAlignment="1">
      <alignment horizontal="center" vertical="center" wrapText="1"/>
    </xf>
    <xf numFmtId="0" fontId="18" fillId="7" borderId="0" xfId="0" applyFont="1" applyFill="1"/>
    <xf numFmtId="0" fontId="14" fillId="0" borderId="0" xfId="0" applyFont="1"/>
    <xf numFmtId="0" fontId="0" fillId="4" borderId="0" xfId="0" applyFill="1"/>
    <xf numFmtId="0" fontId="11" fillId="0" borderId="0" xfId="0" applyFont="1" applyAlignment="1">
      <alignment wrapText="1"/>
    </xf>
    <xf numFmtId="0" fontId="9" fillId="5" borderId="18" xfId="0" applyFont="1" applyFill="1" applyBorder="1"/>
    <xf numFmtId="0" fontId="9" fillId="5" borderId="0" xfId="0" applyFont="1" applyFill="1"/>
    <xf numFmtId="0" fontId="9" fillId="0" borderId="0" xfId="0" applyFont="1"/>
    <xf numFmtId="0" fontId="19" fillId="4" borderId="0" xfId="0" applyFont="1" applyFill="1" applyAlignment="1">
      <alignment horizontal="left" wrapText="1"/>
    </xf>
    <xf numFmtId="0" fontId="0" fillId="8" borderId="0" xfId="0" applyFill="1"/>
    <xf numFmtId="0" fontId="12" fillId="5" borderId="3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0" fillId="5" borderId="5" xfId="0" applyFont="1" applyFill="1" applyBorder="1" applyAlignment="1">
      <alignment horizontal="center" vertical="center" wrapText="1"/>
    </xf>
    <xf numFmtId="0" fontId="10" fillId="5" borderId="11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11" fillId="4" borderId="12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11" fillId="5" borderId="13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8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33617</xdr:colOff>
      <xdr:row>0</xdr:row>
      <xdr:rowOff>1</xdr:rowOff>
    </xdr:from>
    <xdr:to>
      <xdr:col>2</xdr:col>
      <xdr:colOff>141194</xdr:colOff>
      <xdr:row>2</xdr:row>
      <xdr:rowOff>35300</xdr:rowOff>
    </xdr:to>
    <xdr:pic>
      <xdr:nvPicPr>
        <xdr:cNvPr id="2" name="Picture 1" descr="logo bahria">
          <a:extLst>
            <a:ext uri="{FF2B5EF4-FFF2-40B4-BE49-F238E27FC236}">
              <a16:creationId xmlns:a16="http://schemas.microsoft.com/office/drawing/2014/main" xmlns="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6092" y="1"/>
          <a:ext cx="717177" cy="806824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Z1033"/>
  <sheetViews>
    <sheetView tabSelected="1" view="pageBreakPreview" topLeftCell="A544" zoomScaleSheetLayoutView="100" workbookViewId="0">
      <selection activeCell="F554" sqref="F554"/>
    </sheetView>
  </sheetViews>
  <sheetFormatPr defaultRowHeight="15.75" x14ac:dyDescent="0.25"/>
  <cols>
    <col min="1" max="1" width="11.28515625" style="28" customWidth="1"/>
    <col min="7" max="7" width="4.28515625" style="29" customWidth="1"/>
    <col min="8" max="8" width="14.85546875" style="30" bestFit="1" customWidth="1"/>
    <col min="9" max="9" width="14.7109375" style="31" customWidth="1"/>
    <col min="10" max="10" width="8.5703125" customWidth="1"/>
    <col min="11" max="11" width="7.7109375" style="32" customWidth="1"/>
    <col min="12" max="12" width="13" customWidth="1"/>
    <col min="13" max="13" width="7.7109375" style="33" customWidth="1"/>
    <col min="14" max="14" width="13" customWidth="1"/>
    <col min="15" max="15" width="7.7109375" style="33" customWidth="1"/>
    <col min="16" max="16" width="13" customWidth="1"/>
    <col min="17" max="17" width="7.7109375" style="34" customWidth="1"/>
    <col min="18" max="18" width="13" customWidth="1"/>
    <col min="19" max="19" width="14.140625" style="35" customWidth="1"/>
    <col min="20" max="20" width="11.28515625" style="28" customWidth="1"/>
  </cols>
  <sheetData>
    <row r="1" spans="1:20" ht="31.5" customHeight="1" x14ac:dyDescent="0.25">
      <c r="A1"/>
      <c r="G1" s="39" t="s">
        <v>0</v>
      </c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</row>
    <row r="2" spans="1:20" ht="29.25" customHeight="1" thickBot="1" x14ac:dyDescent="0.3">
      <c r="A2"/>
      <c r="G2" s="40" t="s">
        <v>1</v>
      </c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</row>
    <row r="3" spans="1:20" ht="27.75" customHeight="1" thickBot="1" x14ac:dyDescent="0.3">
      <c r="A3" s="1"/>
      <c r="G3" s="2" t="s">
        <v>2</v>
      </c>
      <c r="H3" s="3"/>
      <c r="I3" s="4"/>
      <c r="J3" s="5"/>
      <c r="K3" s="6"/>
      <c r="L3" s="7"/>
      <c r="M3" s="8"/>
      <c r="N3" s="9"/>
      <c r="O3" s="10"/>
      <c r="Q3" s="11" t="s">
        <v>3</v>
      </c>
      <c r="R3" s="11"/>
      <c r="S3" s="12"/>
      <c r="T3" s="1"/>
    </row>
    <row r="4" spans="1:20" ht="21.75" customHeight="1" thickBot="1" x14ac:dyDescent="0.3">
      <c r="A4"/>
      <c r="G4" s="41" t="s">
        <v>4</v>
      </c>
      <c r="H4" s="43" t="s">
        <v>5</v>
      </c>
      <c r="I4" s="45" t="s">
        <v>6</v>
      </c>
      <c r="J4" s="47" t="s">
        <v>7</v>
      </c>
      <c r="K4" s="49" t="s">
        <v>8</v>
      </c>
      <c r="L4" s="50"/>
      <c r="M4" s="51" t="s">
        <v>9</v>
      </c>
      <c r="N4" s="49"/>
      <c r="O4" s="52" t="s">
        <v>10</v>
      </c>
      <c r="P4" s="53"/>
      <c r="Q4" s="52" t="s">
        <v>11</v>
      </c>
      <c r="R4" s="54"/>
      <c r="S4" s="37" t="s">
        <v>12</v>
      </c>
      <c r="T4" s="38"/>
    </row>
    <row r="5" spans="1:20" ht="31.5" customHeight="1" thickBot="1" x14ac:dyDescent="0.3">
      <c r="A5" s="13" t="s">
        <v>13</v>
      </c>
      <c r="G5" s="42"/>
      <c r="H5" s="44" t="s">
        <v>5</v>
      </c>
      <c r="I5" s="46" t="s">
        <v>6</v>
      </c>
      <c r="J5" s="48"/>
      <c r="K5" s="14" t="s">
        <v>14</v>
      </c>
      <c r="L5" s="14" t="s">
        <v>15</v>
      </c>
      <c r="M5" s="14" t="s">
        <v>14</v>
      </c>
      <c r="N5" s="14" t="s">
        <v>15</v>
      </c>
      <c r="O5" s="14" t="s">
        <v>14</v>
      </c>
      <c r="P5" s="15" t="s">
        <v>15</v>
      </c>
      <c r="Q5" s="16" t="s">
        <v>14</v>
      </c>
      <c r="R5" s="17" t="s">
        <v>15</v>
      </c>
      <c r="S5" s="18" t="s">
        <v>16</v>
      </c>
      <c r="T5" s="13" t="s">
        <v>13</v>
      </c>
    </row>
    <row r="6" spans="1:20" ht="37.5" customHeight="1" x14ac:dyDescent="0.25">
      <c r="A6" s="19" t="s">
        <v>17</v>
      </c>
      <c r="B6">
        <f>C6+D6</f>
        <v>76212</v>
      </c>
      <c r="C6">
        <v>8960</v>
      </c>
      <c r="D6">
        <v>67252</v>
      </c>
      <c r="F6">
        <f>L6</f>
        <v>874</v>
      </c>
      <c r="G6" s="20">
        <v>1</v>
      </c>
      <c r="H6" s="21">
        <v>88819030219</v>
      </c>
      <c r="I6" s="22" t="s">
        <v>18</v>
      </c>
      <c r="J6" s="23"/>
      <c r="K6" s="24">
        <v>75338</v>
      </c>
      <c r="L6" s="23">
        <f t="shared" ref="L6:L69" si="0">B6-K6</f>
        <v>874</v>
      </c>
      <c r="M6" s="24">
        <v>8839</v>
      </c>
      <c r="N6" s="25">
        <f t="shared" ref="N6:N69" si="1">C6-M6</f>
        <v>121</v>
      </c>
      <c r="O6" s="24">
        <v>66499</v>
      </c>
      <c r="P6" s="23">
        <f t="shared" ref="P6:P69" si="2">D6-O6</f>
        <v>753</v>
      </c>
      <c r="Q6" s="26"/>
      <c r="R6" s="23">
        <f t="shared" ref="R6:R69" si="3">E6-Q6</f>
        <v>0</v>
      </c>
      <c r="S6" s="27" t="s">
        <v>19</v>
      </c>
      <c r="T6" s="19" t="s">
        <v>17</v>
      </c>
    </row>
    <row r="7" spans="1:20" ht="37.5" customHeight="1" x14ac:dyDescent="0.25">
      <c r="A7" s="19" t="s">
        <v>20</v>
      </c>
      <c r="B7">
        <f t="shared" ref="B7:B70" si="4">C7+D7</f>
        <v>36898</v>
      </c>
      <c r="C7">
        <v>8657</v>
      </c>
      <c r="D7">
        <v>28241</v>
      </c>
      <c r="E7">
        <v>13745</v>
      </c>
      <c r="F7">
        <f t="shared" ref="F7:F70" si="5">L7</f>
        <v>744</v>
      </c>
      <c r="G7" s="20">
        <f>G6+1</f>
        <v>2</v>
      </c>
      <c r="H7" s="21">
        <v>99723010019</v>
      </c>
      <c r="I7" s="22">
        <v>1</v>
      </c>
      <c r="J7" s="23"/>
      <c r="K7" s="24">
        <f>M7+O7</f>
        <v>36154</v>
      </c>
      <c r="L7" s="23">
        <f t="shared" si="0"/>
        <v>744</v>
      </c>
      <c r="M7" s="24">
        <v>8421</v>
      </c>
      <c r="N7" s="25">
        <f t="shared" si="1"/>
        <v>236</v>
      </c>
      <c r="O7" s="24">
        <v>27733</v>
      </c>
      <c r="P7" s="23">
        <f t="shared" si="2"/>
        <v>508</v>
      </c>
      <c r="Q7" s="26">
        <v>12828</v>
      </c>
      <c r="R7" s="23">
        <f t="shared" si="3"/>
        <v>917</v>
      </c>
      <c r="S7" s="27" t="s">
        <v>19</v>
      </c>
      <c r="T7" s="19" t="s">
        <v>20</v>
      </c>
    </row>
    <row r="8" spans="1:20" ht="37.5" customHeight="1" x14ac:dyDescent="0.25">
      <c r="A8" s="19" t="s">
        <v>21</v>
      </c>
      <c r="B8">
        <f t="shared" si="4"/>
        <v>25575</v>
      </c>
      <c r="C8">
        <v>5018</v>
      </c>
      <c r="D8">
        <v>20557</v>
      </c>
      <c r="F8">
        <f t="shared" si="5"/>
        <v>622</v>
      </c>
      <c r="G8" s="20">
        <f t="shared" ref="G8:G71" si="6">G7+1</f>
        <v>3</v>
      </c>
      <c r="H8" s="21">
        <v>66622010207</v>
      </c>
      <c r="I8" s="22">
        <v>2</v>
      </c>
      <c r="J8" s="23"/>
      <c r="K8" s="24">
        <v>24953</v>
      </c>
      <c r="L8" s="23">
        <f t="shared" si="0"/>
        <v>622</v>
      </c>
      <c r="M8" s="24">
        <v>4898</v>
      </c>
      <c r="N8" s="25">
        <f t="shared" si="1"/>
        <v>120</v>
      </c>
      <c r="O8" s="24">
        <v>20055</v>
      </c>
      <c r="P8" s="23">
        <f t="shared" si="2"/>
        <v>502</v>
      </c>
      <c r="Q8" s="26"/>
      <c r="R8" s="23">
        <f t="shared" si="3"/>
        <v>0</v>
      </c>
      <c r="S8" s="27" t="s">
        <v>19</v>
      </c>
      <c r="T8" s="19" t="s">
        <v>21</v>
      </c>
    </row>
    <row r="9" spans="1:20" ht="37.5" customHeight="1" x14ac:dyDescent="0.25">
      <c r="A9" s="19" t="s">
        <v>22</v>
      </c>
      <c r="B9">
        <f t="shared" si="4"/>
        <v>23014</v>
      </c>
      <c r="C9">
        <v>5051</v>
      </c>
      <c r="D9">
        <v>17963</v>
      </c>
      <c r="F9">
        <f t="shared" si="5"/>
        <v>734</v>
      </c>
      <c r="G9" s="20">
        <f t="shared" si="6"/>
        <v>4</v>
      </c>
      <c r="H9" s="21">
        <v>66621070345</v>
      </c>
      <c r="I9" s="22">
        <v>4</v>
      </c>
      <c r="J9" s="23"/>
      <c r="K9" s="24">
        <v>22280</v>
      </c>
      <c r="L9" s="23">
        <f t="shared" si="0"/>
        <v>734</v>
      </c>
      <c r="M9" s="24">
        <v>4906</v>
      </c>
      <c r="N9" s="25">
        <f t="shared" si="1"/>
        <v>145</v>
      </c>
      <c r="O9" s="24">
        <v>17374</v>
      </c>
      <c r="P9" s="23">
        <f t="shared" si="2"/>
        <v>589</v>
      </c>
      <c r="Q9" s="26"/>
      <c r="R9" s="23">
        <f t="shared" si="3"/>
        <v>0</v>
      </c>
      <c r="S9" s="27" t="s">
        <v>19</v>
      </c>
      <c r="T9" s="19" t="s">
        <v>22</v>
      </c>
    </row>
    <row r="10" spans="1:20" ht="37.5" customHeight="1" x14ac:dyDescent="0.25">
      <c r="A10" s="19" t="s">
        <v>23</v>
      </c>
      <c r="B10">
        <f t="shared" si="4"/>
        <v>4112</v>
      </c>
      <c r="C10">
        <v>951</v>
      </c>
      <c r="D10">
        <v>3161</v>
      </c>
      <c r="F10">
        <f t="shared" si="5"/>
        <v>119</v>
      </c>
      <c r="G10" s="20">
        <f t="shared" si="6"/>
        <v>5</v>
      </c>
      <c r="H10" s="21">
        <v>66622040693</v>
      </c>
      <c r="I10" s="22">
        <v>6</v>
      </c>
      <c r="J10" s="23"/>
      <c r="K10" s="24">
        <v>3993</v>
      </c>
      <c r="L10" s="23">
        <f t="shared" si="0"/>
        <v>119</v>
      </c>
      <c r="M10" s="24">
        <v>934</v>
      </c>
      <c r="N10" s="25">
        <f t="shared" si="1"/>
        <v>17</v>
      </c>
      <c r="O10" s="24">
        <v>3059</v>
      </c>
      <c r="P10" s="23">
        <f t="shared" si="2"/>
        <v>102</v>
      </c>
      <c r="Q10" s="26"/>
      <c r="R10" s="23">
        <f t="shared" si="3"/>
        <v>0</v>
      </c>
      <c r="S10" s="27" t="s">
        <v>19</v>
      </c>
      <c r="T10" s="19" t="s">
        <v>23</v>
      </c>
    </row>
    <row r="11" spans="1:20" ht="37.5" customHeight="1" x14ac:dyDescent="0.25">
      <c r="A11" s="19" t="s">
        <v>24</v>
      </c>
      <c r="B11">
        <f t="shared" si="4"/>
        <v>64938</v>
      </c>
      <c r="C11">
        <v>21141</v>
      </c>
      <c r="D11">
        <v>43797</v>
      </c>
      <c r="F11">
        <f t="shared" si="5"/>
        <v>0</v>
      </c>
      <c r="G11" s="20">
        <f t="shared" si="6"/>
        <v>6</v>
      </c>
      <c r="H11" s="21">
        <v>23009080103</v>
      </c>
      <c r="I11" s="22">
        <v>7</v>
      </c>
      <c r="J11" s="23"/>
      <c r="K11" s="24">
        <v>64938</v>
      </c>
      <c r="L11" s="23">
        <f t="shared" si="0"/>
        <v>0</v>
      </c>
      <c r="M11" s="24">
        <v>21141</v>
      </c>
      <c r="N11" s="25">
        <f t="shared" si="1"/>
        <v>0</v>
      </c>
      <c r="O11" s="24">
        <v>43797</v>
      </c>
      <c r="P11" s="23">
        <f t="shared" si="2"/>
        <v>0</v>
      </c>
      <c r="Q11" s="26"/>
      <c r="R11" s="23">
        <f t="shared" si="3"/>
        <v>0</v>
      </c>
      <c r="S11" s="27" t="s">
        <v>19</v>
      </c>
      <c r="T11" s="19" t="s">
        <v>24</v>
      </c>
    </row>
    <row r="12" spans="1:20" ht="37.5" customHeight="1" x14ac:dyDescent="0.25">
      <c r="A12" s="19" t="s">
        <v>25</v>
      </c>
      <c r="B12">
        <f t="shared" si="4"/>
        <v>12838</v>
      </c>
      <c r="C12">
        <v>2574</v>
      </c>
      <c r="D12">
        <v>10264</v>
      </c>
      <c r="F12">
        <f t="shared" si="5"/>
        <v>392</v>
      </c>
      <c r="G12" s="20">
        <f t="shared" si="6"/>
        <v>7</v>
      </c>
      <c r="H12" s="21">
        <v>88819050481</v>
      </c>
      <c r="I12" s="22">
        <v>7</v>
      </c>
      <c r="J12" s="23"/>
      <c r="K12" s="24">
        <v>12446</v>
      </c>
      <c r="L12" s="23">
        <f t="shared" si="0"/>
        <v>392</v>
      </c>
      <c r="M12" s="24">
        <v>2504</v>
      </c>
      <c r="N12" s="25">
        <f t="shared" si="1"/>
        <v>70</v>
      </c>
      <c r="O12" s="24">
        <v>9942</v>
      </c>
      <c r="P12" s="23">
        <f t="shared" si="2"/>
        <v>322</v>
      </c>
      <c r="Q12" s="26"/>
      <c r="R12" s="23">
        <f t="shared" si="3"/>
        <v>0</v>
      </c>
      <c r="S12" s="27" t="s">
        <v>19</v>
      </c>
      <c r="T12" s="19" t="s">
        <v>25</v>
      </c>
    </row>
    <row r="13" spans="1:20" ht="37.5" customHeight="1" x14ac:dyDescent="0.25">
      <c r="A13" s="19" t="s">
        <v>26</v>
      </c>
      <c r="B13">
        <f t="shared" si="4"/>
        <v>146021</v>
      </c>
      <c r="C13">
        <v>24795</v>
      </c>
      <c r="D13">
        <v>121226</v>
      </c>
      <c r="F13">
        <f t="shared" si="5"/>
        <v>1796</v>
      </c>
      <c r="G13" s="20">
        <f t="shared" si="6"/>
        <v>8</v>
      </c>
      <c r="H13" s="21">
        <v>23015010513</v>
      </c>
      <c r="I13" s="22" t="s">
        <v>27</v>
      </c>
      <c r="J13" s="23"/>
      <c r="K13" s="24">
        <v>144225</v>
      </c>
      <c r="L13" s="23">
        <f t="shared" si="0"/>
        <v>1796</v>
      </c>
      <c r="M13" s="24">
        <v>24481</v>
      </c>
      <c r="N13" s="25">
        <f t="shared" si="1"/>
        <v>314</v>
      </c>
      <c r="O13" s="24">
        <v>119744</v>
      </c>
      <c r="P13" s="23">
        <f t="shared" si="2"/>
        <v>1482</v>
      </c>
      <c r="Q13" s="26"/>
      <c r="R13" s="23">
        <f t="shared" si="3"/>
        <v>0</v>
      </c>
      <c r="S13" s="27" t="s">
        <v>19</v>
      </c>
      <c r="T13" s="19" t="s">
        <v>26</v>
      </c>
    </row>
    <row r="14" spans="1:20" ht="37.5" customHeight="1" x14ac:dyDescent="0.25">
      <c r="A14" s="19" t="s">
        <v>28</v>
      </c>
      <c r="B14">
        <f t="shared" si="4"/>
        <v>157621</v>
      </c>
      <c r="C14">
        <v>27678</v>
      </c>
      <c r="D14">
        <v>129943</v>
      </c>
      <c r="F14">
        <f t="shared" si="5"/>
        <v>1266</v>
      </c>
      <c r="G14" s="20">
        <f t="shared" si="6"/>
        <v>9</v>
      </c>
      <c r="H14" s="21">
        <v>23014010297</v>
      </c>
      <c r="I14" s="22" t="s">
        <v>29</v>
      </c>
      <c r="J14" s="23"/>
      <c r="K14" s="24">
        <v>156355</v>
      </c>
      <c r="L14" s="23">
        <f t="shared" si="0"/>
        <v>1266</v>
      </c>
      <c r="M14" s="24">
        <v>27473</v>
      </c>
      <c r="N14" s="25">
        <f t="shared" si="1"/>
        <v>205</v>
      </c>
      <c r="O14" s="24">
        <v>128882</v>
      </c>
      <c r="P14" s="23">
        <f t="shared" si="2"/>
        <v>1061</v>
      </c>
      <c r="Q14" s="26"/>
      <c r="R14" s="23">
        <f t="shared" si="3"/>
        <v>0</v>
      </c>
      <c r="S14" s="27" t="s">
        <v>19</v>
      </c>
      <c r="T14" s="19" t="s">
        <v>28</v>
      </c>
    </row>
    <row r="15" spans="1:20" ht="37.5" customHeight="1" x14ac:dyDescent="0.25">
      <c r="A15" s="19" t="s">
        <v>30</v>
      </c>
      <c r="B15">
        <f t="shared" si="4"/>
        <v>7663</v>
      </c>
      <c r="C15">
        <v>1601</v>
      </c>
      <c r="D15">
        <v>6062</v>
      </c>
      <c r="E15">
        <v>9261</v>
      </c>
      <c r="F15">
        <f t="shared" si="5"/>
        <v>240</v>
      </c>
      <c r="G15" s="20">
        <f t="shared" si="6"/>
        <v>10</v>
      </c>
      <c r="H15" s="21">
        <v>99624010118</v>
      </c>
      <c r="I15" s="22" t="s">
        <v>31</v>
      </c>
      <c r="J15" s="23"/>
      <c r="K15" s="24">
        <f>M15+O15</f>
        <v>7423</v>
      </c>
      <c r="L15" s="23">
        <f t="shared" si="0"/>
        <v>240</v>
      </c>
      <c r="M15" s="24">
        <v>1535</v>
      </c>
      <c r="N15" s="25">
        <f t="shared" si="1"/>
        <v>66</v>
      </c>
      <c r="O15" s="24">
        <v>5888</v>
      </c>
      <c r="P15" s="23">
        <f t="shared" si="2"/>
        <v>174</v>
      </c>
      <c r="Q15" s="26">
        <v>8228</v>
      </c>
      <c r="R15" s="23">
        <f t="shared" si="3"/>
        <v>1033</v>
      </c>
      <c r="S15" s="27" t="s">
        <v>19</v>
      </c>
      <c r="T15" s="19" t="s">
        <v>30</v>
      </c>
    </row>
    <row r="16" spans="1:20" ht="37.5" customHeight="1" x14ac:dyDescent="0.25">
      <c r="A16" s="19" t="s">
        <v>32</v>
      </c>
      <c r="B16">
        <f t="shared" si="4"/>
        <v>8904</v>
      </c>
      <c r="C16">
        <v>1701</v>
      </c>
      <c r="D16">
        <v>7203</v>
      </c>
      <c r="E16">
        <v>14660</v>
      </c>
      <c r="F16">
        <f t="shared" si="5"/>
        <v>405</v>
      </c>
      <c r="G16" s="20">
        <f t="shared" si="6"/>
        <v>11</v>
      </c>
      <c r="H16" s="21">
        <v>99623080238</v>
      </c>
      <c r="I16" s="22" t="s">
        <v>33</v>
      </c>
      <c r="J16" s="23"/>
      <c r="K16" s="24">
        <f>M16+O16</f>
        <v>8499</v>
      </c>
      <c r="L16" s="23">
        <f t="shared" si="0"/>
        <v>405</v>
      </c>
      <c r="M16" s="24">
        <v>1604</v>
      </c>
      <c r="N16" s="25">
        <f t="shared" si="1"/>
        <v>97</v>
      </c>
      <c r="O16" s="24">
        <v>6895</v>
      </c>
      <c r="P16" s="23">
        <f t="shared" si="2"/>
        <v>308</v>
      </c>
      <c r="Q16" s="26">
        <v>13543</v>
      </c>
      <c r="R16" s="23">
        <f t="shared" si="3"/>
        <v>1117</v>
      </c>
      <c r="S16" s="27" t="s">
        <v>19</v>
      </c>
      <c r="T16" s="19" t="s">
        <v>32</v>
      </c>
    </row>
    <row r="17" spans="1:20" ht="37.5" customHeight="1" x14ac:dyDescent="0.25">
      <c r="A17" s="19" t="s">
        <v>34</v>
      </c>
      <c r="B17">
        <f t="shared" si="4"/>
        <v>554</v>
      </c>
      <c r="C17">
        <v>202</v>
      </c>
      <c r="D17">
        <v>352</v>
      </c>
      <c r="E17">
        <v>2549</v>
      </c>
      <c r="F17">
        <f t="shared" si="5"/>
        <v>197</v>
      </c>
      <c r="G17" s="20">
        <f t="shared" si="6"/>
        <v>12</v>
      </c>
      <c r="H17" s="21">
        <v>99624050141</v>
      </c>
      <c r="I17" s="22" t="s">
        <v>35</v>
      </c>
      <c r="J17" s="23"/>
      <c r="K17" s="24">
        <f>M17+O17</f>
        <v>357</v>
      </c>
      <c r="L17" s="23">
        <f t="shared" si="0"/>
        <v>197</v>
      </c>
      <c r="M17" s="24">
        <v>148</v>
      </c>
      <c r="N17" s="25">
        <f t="shared" si="1"/>
        <v>54</v>
      </c>
      <c r="O17" s="24">
        <v>209</v>
      </c>
      <c r="P17" s="23">
        <f t="shared" si="2"/>
        <v>143</v>
      </c>
      <c r="Q17" s="26">
        <v>1804</v>
      </c>
      <c r="R17" s="23">
        <f t="shared" si="3"/>
        <v>745</v>
      </c>
      <c r="S17" s="27" t="s">
        <v>19</v>
      </c>
      <c r="T17" s="19" t="s">
        <v>34</v>
      </c>
    </row>
    <row r="18" spans="1:20" ht="37.5" customHeight="1" x14ac:dyDescent="0.25">
      <c r="A18" s="19" t="s">
        <v>36</v>
      </c>
      <c r="B18">
        <f t="shared" si="4"/>
        <v>62</v>
      </c>
      <c r="C18">
        <v>20</v>
      </c>
      <c r="D18">
        <v>42</v>
      </c>
      <c r="E18">
        <v>272</v>
      </c>
      <c r="F18">
        <f t="shared" si="5"/>
        <v>62</v>
      </c>
      <c r="G18" s="20">
        <f t="shared" si="6"/>
        <v>13</v>
      </c>
      <c r="H18" s="21">
        <v>99625010341</v>
      </c>
      <c r="I18" s="22" t="s">
        <v>37</v>
      </c>
      <c r="J18" s="23"/>
      <c r="K18" s="24">
        <v>0</v>
      </c>
      <c r="L18" s="23">
        <f t="shared" si="0"/>
        <v>62</v>
      </c>
      <c r="M18" s="24">
        <v>0</v>
      </c>
      <c r="N18" s="25">
        <f t="shared" si="1"/>
        <v>20</v>
      </c>
      <c r="O18" s="24">
        <v>0</v>
      </c>
      <c r="P18" s="23">
        <f t="shared" si="2"/>
        <v>42</v>
      </c>
      <c r="Q18" s="26">
        <v>0</v>
      </c>
      <c r="R18" s="23">
        <f t="shared" si="3"/>
        <v>272</v>
      </c>
      <c r="S18" s="27" t="s">
        <v>19</v>
      </c>
      <c r="T18" s="19" t="s">
        <v>36</v>
      </c>
    </row>
    <row r="19" spans="1:20" ht="37.5" customHeight="1" x14ac:dyDescent="0.25">
      <c r="A19" s="19" t="s">
        <v>38</v>
      </c>
      <c r="B19">
        <f t="shared" si="4"/>
        <v>57364</v>
      </c>
      <c r="C19">
        <v>11923</v>
      </c>
      <c r="D19">
        <v>45441</v>
      </c>
      <c r="F19">
        <f t="shared" si="5"/>
        <v>410</v>
      </c>
      <c r="G19" s="20">
        <f t="shared" si="6"/>
        <v>14</v>
      </c>
      <c r="H19" s="21">
        <v>66619040266</v>
      </c>
      <c r="I19" s="22">
        <v>9</v>
      </c>
      <c r="J19" s="23"/>
      <c r="K19" s="24">
        <v>56954</v>
      </c>
      <c r="L19" s="23">
        <f t="shared" si="0"/>
        <v>410</v>
      </c>
      <c r="M19" s="24">
        <v>11782</v>
      </c>
      <c r="N19" s="25">
        <f t="shared" si="1"/>
        <v>141</v>
      </c>
      <c r="O19" s="24">
        <v>45172</v>
      </c>
      <c r="P19" s="23">
        <f t="shared" si="2"/>
        <v>269</v>
      </c>
      <c r="Q19" s="26"/>
      <c r="R19" s="23">
        <f t="shared" si="3"/>
        <v>0</v>
      </c>
      <c r="S19" s="27" t="s">
        <v>19</v>
      </c>
      <c r="T19" s="19" t="s">
        <v>38</v>
      </c>
    </row>
    <row r="20" spans="1:20" ht="37.5" customHeight="1" x14ac:dyDescent="0.25">
      <c r="A20" s="19" t="s">
        <v>39</v>
      </c>
      <c r="B20">
        <f t="shared" si="4"/>
        <v>6072</v>
      </c>
      <c r="C20">
        <v>1532</v>
      </c>
      <c r="D20">
        <v>4540</v>
      </c>
      <c r="E20">
        <v>7457</v>
      </c>
      <c r="F20">
        <f t="shared" si="5"/>
        <v>747</v>
      </c>
      <c r="G20" s="20">
        <f t="shared" si="6"/>
        <v>15</v>
      </c>
      <c r="H20" s="21">
        <v>99624030247</v>
      </c>
      <c r="I20" s="22">
        <v>13</v>
      </c>
      <c r="J20" s="23"/>
      <c r="K20" s="24">
        <f>M20+O20</f>
        <v>5325</v>
      </c>
      <c r="L20" s="23">
        <f t="shared" si="0"/>
        <v>747</v>
      </c>
      <c r="M20" s="24">
        <v>1340</v>
      </c>
      <c r="N20" s="25">
        <f t="shared" si="1"/>
        <v>192</v>
      </c>
      <c r="O20" s="24">
        <v>3985</v>
      </c>
      <c r="P20" s="23">
        <f t="shared" si="2"/>
        <v>555</v>
      </c>
      <c r="Q20" s="26">
        <v>6285</v>
      </c>
      <c r="R20" s="23">
        <f t="shared" si="3"/>
        <v>1172</v>
      </c>
      <c r="S20" s="27" t="s">
        <v>19</v>
      </c>
      <c r="T20" s="19" t="s">
        <v>39</v>
      </c>
    </row>
    <row r="21" spans="1:20" ht="37.5" customHeight="1" x14ac:dyDescent="0.25">
      <c r="A21" s="19" t="s">
        <v>40</v>
      </c>
      <c r="B21">
        <f t="shared" si="4"/>
        <v>84575</v>
      </c>
      <c r="C21">
        <v>18242</v>
      </c>
      <c r="D21">
        <v>66333</v>
      </c>
      <c r="F21">
        <f t="shared" si="5"/>
        <v>563</v>
      </c>
      <c r="G21" s="20">
        <f t="shared" si="6"/>
        <v>16</v>
      </c>
      <c r="H21" s="21">
        <v>23015100878</v>
      </c>
      <c r="I21" s="22">
        <v>14</v>
      </c>
      <c r="J21" s="23"/>
      <c r="K21" s="24">
        <v>84012</v>
      </c>
      <c r="L21" s="23">
        <f t="shared" si="0"/>
        <v>563</v>
      </c>
      <c r="M21" s="24">
        <v>18117</v>
      </c>
      <c r="N21" s="25">
        <f t="shared" si="1"/>
        <v>125</v>
      </c>
      <c r="O21" s="24">
        <v>65895</v>
      </c>
      <c r="P21" s="23">
        <f t="shared" si="2"/>
        <v>438</v>
      </c>
      <c r="Q21" s="26"/>
      <c r="R21" s="23">
        <f t="shared" si="3"/>
        <v>0</v>
      </c>
      <c r="S21" s="27" t="s">
        <v>19</v>
      </c>
      <c r="T21" s="19" t="s">
        <v>40</v>
      </c>
    </row>
    <row r="22" spans="1:20" ht="37.5" customHeight="1" x14ac:dyDescent="0.25">
      <c r="A22" s="19" t="s">
        <v>41</v>
      </c>
      <c r="B22">
        <f t="shared" si="4"/>
        <v>69684</v>
      </c>
      <c r="C22">
        <v>17101</v>
      </c>
      <c r="D22">
        <v>52583</v>
      </c>
      <c r="E22">
        <v>25935</v>
      </c>
      <c r="F22">
        <f t="shared" si="5"/>
        <v>1817</v>
      </c>
      <c r="G22" s="20">
        <f t="shared" si="6"/>
        <v>17</v>
      </c>
      <c r="H22" s="21">
        <v>99722020035</v>
      </c>
      <c r="I22" s="22">
        <v>15</v>
      </c>
      <c r="J22" s="23"/>
      <c r="K22" s="24">
        <f>M22+O22</f>
        <v>67867</v>
      </c>
      <c r="L22" s="23">
        <f t="shared" si="0"/>
        <v>1817</v>
      </c>
      <c r="M22" s="24">
        <v>16560</v>
      </c>
      <c r="N22" s="25">
        <f t="shared" si="1"/>
        <v>541</v>
      </c>
      <c r="O22" s="24">
        <v>51307</v>
      </c>
      <c r="P22" s="23">
        <f t="shared" si="2"/>
        <v>1276</v>
      </c>
      <c r="Q22" s="26">
        <v>24358</v>
      </c>
      <c r="R22" s="23">
        <f t="shared" si="3"/>
        <v>1577</v>
      </c>
      <c r="S22" s="27" t="s">
        <v>19</v>
      </c>
      <c r="T22" s="19" t="s">
        <v>41</v>
      </c>
    </row>
    <row r="23" spans="1:20" ht="37.5" customHeight="1" x14ac:dyDescent="0.25">
      <c r="A23" s="19" t="s">
        <v>42</v>
      </c>
      <c r="B23">
        <f t="shared" si="4"/>
        <v>30227</v>
      </c>
      <c r="C23">
        <v>6074</v>
      </c>
      <c r="D23">
        <v>24153</v>
      </c>
      <c r="F23">
        <f t="shared" si="5"/>
        <v>880</v>
      </c>
      <c r="G23" s="20">
        <f t="shared" si="6"/>
        <v>18</v>
      </c>
      <c r="H23" s="21">
        <v>88819020163</v>
      </c>
      <c r="I23" s="22">
        <v>16</v>
      </c>
      <c r="J23" s="23"/>
      <c r="K23" s="24">
        <v>29347</v>
      </c>
      <c r="L23" s="23">
        <f t="shared" si="0"/>
        <v>880</v>
      </c>
      <c r="M23" s="24">
        <v>5915</v>
      </c>
      <c r="N23" s="25">
        <f t="shared" si="1"/>
        <v>159</v>
      </c>
      <c r="O23" s="24">
        <v>23432</v>
      </c>
      <c r="P23" s="23">
        <f t="shared" si="2"/>
        <v>721</v>
      </c>
      <c r="Q23" s="26"/>
      <c r="R23" s="23">
        <f t="shared" si="3"/>
        <v>0</v>
      </c>
      <c r="S23" s="27" t="s">
        <v>19</v>
      </c>
      <c r="T23" s="19" t="s">
        <v>42</v>
      </c>
    </row>
    <row r="24" spans="1:20" ht="37.5" customHeight="1" x14ac:dyDescent="0.25">
      <c r="A24" s="19" t="s">
        <v>43</v>
      </c>
      <c r="B24">
        <f t="shared" si="4"/>
        <v>55902</v>
      </c>
      <c r="C24">
        <v>14402</v>
      </c>
      <c r="D24">
        <v>41500</v>
      </c>
      <c r="E24">
        <v>30723</v>
      </c>
      <c r="F24">
        <f t="shared" si="5"/>
        <v>1453</v>
      </c>
      <c r="G24" s="20">
        <f t="shared" si="6"/>
        <v>19</v>
      </c>
      <c r="H24" s="21">
        <v>99722020019</v>
      </c>
      <c r="I24" s="22">
        <v>18</v>
      </c>
      <c r="J24" s="23"/>
      <c r="K24" s="24">
        <f>M24+O24</f>
        <v>54449</v>
      </c>
      <c r="L24" s="23">
        <f t="shared" si="0"/>
        <v>1453</v>
      </c>
      <c r="M24" s="24">
        <v>14042</v>
      </c>
      <c r="N24" s="25">
        <f t="shared" si="1"/>
        <v>360</v>
      </c>
      <c r="O24" s="24">
        <v>40407</v>
      </c>
      <c r="P24" s="23">
        <f t="shared" si="2"/>
        <v>1093</v>
      </c>
      <c r="Q24" s="26">
        <v>29054</v>
      </c>
      <c r="R24" s="23">
        <f t="shared" si="3"/>
        <v>1669</v>
      </c>
      <c r="S24" s="27" t="s">
        <v>19</v>
      </c>
      <c r="T24" s="19" t="s">
        <v>43</v>
      </c>
    </row>
    <row r="25" spans="1:20" ht="37.5" customHeight="1" x14ac:dyDescent="0.25">
      <c r="A25" s="19" t="s">
        <v>44</v>
      </c>
      <c r="B25">
        <f t="shared" si="4"/>
        <v>55459</v>
      </c>
      <c r="C25">
        <v>12677</v>
      </c>
      <c r="D25">
        <v>42782</v>
      </c>
      <c r="E25">
        <v>34667</v>
      </c>
      <c r="F25">
        <f t="shared" si="5"/>
        <v>1353</v>
      </c>
      <c r="G25" s="20">
        <f t="shared" si="6"/>
        <v>20</v>
      </c>
      <c r="H25" s="21">
        <v>99722020006</v>
      </c>
      <c r="I25" s="22">
        <v>20</v>
      </c>
      <c r="J25" s="23"/>
      <c r="K25" s="24">
        <f>M25+O25</f>
        <v>54106</v>
      </c>
      <c r="L25" s="23">
        <f t="shared" si="0"/>
        <v>1353</v>
      </c>
      <c r="M25" s="24">
        <v>12351</v>
      </c>
      <c r="N25" s="25">
        <f t="shared" si="1"/>
        <v>326</v>
      </c>
      <c r="O25" s="24">
        <v>41755</v>
      </c>
      <c r="P25" s="23">
        <f t="shared" si="2"/>
        <v>1027</v>
      </c>
      <c r="Q25" s="26">
        <v>32727</v>
      </c>
      <c r="R25" s="23">
        <f t="shared" si="3"/>
        <v>1940</v>
      </c>
      <c r="S25" s="27" t="s">
        <v>19</v>
      </c>
      <c r="T25" s="19" t="s">
        <v>44</v>
      </c>
    </row>
    <row r="26" spans="1:20" ht="37.5" customHeight="1" x14ac:dyDescent="0.25">
      <c r="A26" s="19" t="s">
        <v>45</v>
      </c>
      <c r="B26">
        <f t="shared" si="4"/>
        <v>10871</v>
      </c>
      <c r="C26">
        <v>2153</v>
      </c>
      <c r="D26">
        <v>8718</v>
      </c>
      <c r="F26">
        <f t="shared" si="5"/>
        <v>115</v>
      </c>
      <c r="G26" s="20">
        <f t="shared" si="6"/>
        <v>21</v>
      </c>
      <c r="H26" s="21">
        <v>66621010176</v>
      </c>
      <c r="I26" s="22">
        <v>21</v>
      </c>
      <c r="J26" s="23"/>
      <c r="K26" s="24">
        <v>10756</v>
      </c>
      <c r="L26" s="23">
        <f t="shared" si="0"/>
        <v>115</v>
      </c>
      <c r="M26" s="24">
        <v>2133</v>
      </c>
      <c r="N26" s="25">
        <f t="shared" si="1"/>
        <v>20</v>
      </c>
      <c r="O26" s="24">
        <v>8623</v>
      </c>
      <c r="P26" s="23">
        <f t="shared" si="2"/>
        <v>95</v>
      </c>
      <c r="Q26" s="26"/>
      <c r="R26" s="23">
        <f t="shared" si="3"/>
        <v>0</v>
      </c>
      <c r="S26" s="27" t="s">
        <v>19</v>
      </c>
      <c r="T26" s="19" t="s">
        <v>45</v>
      </c>
    </row>
    <row r="27" spans="1:20" ht="37.5" customHeight="1" x14ac:dyDescent="0.25">
      <c r="A27" s="19" t="s">
        <v>46</v>
      </c>
      <c r="B27">
        <f t="shared" si="4"/>
        <v>7794</v>
      </c>
      <c r="C27">
        <v>1404</v>
      </c>
      <c r="D27">
        <v>6390</v>
      </c>
      <c r="F27">
        <f t="shared" si="5"/>
        <v>174</v>
      </c>
      <c r="G27" s="20">
        <f t="shared" si="6"/>
        <v>22</v>
      </c>
      <c r="H27" s="21">
        <v>66621090023</v>
      </c>
      <c r="I27" s="22" t="s">
        <v>47</v>
      </c>
      <c r="J27" s="23"/>
      <c r="K27" s="24">
        <v>7620</v>
      </c>
      <c r="L27" s="23">
        <f t="shared" si="0"/>
        <v>174</v>
      </c>
      <c r="M27" s="24">
        <v>1370</v>
      </c>
      <c r="N27" s="25">
        <f t="shared" si="1"/>
        <v>34</v>
      </c>
      <c r="O27" s="24">
        <v>6250</v>
      </c>
      <c r="P27" s="23">
        <f t="shared" si="2"/>
        <v>140</v>
      </c>
      <c r="Q27" s="26"/>
      <c r="R27" s="23">
        <f t="shared" si="3"/>
        <v>0</v>
      </c>
      <c r="S27" s="27" t="s">
        <v>19</v>
      </c>
      <c r="T27" s="19" t="s">
        <v>46</v>
      </c>
    </row>
    <row r="28" spans="1:20" ht="37.5" customHeight="1" x14ac:dyDescent="0.25">
      <c r="A28" s="19" t="s">
        <v>48</v>
      </c>
      <c r="B28">
        <f t="shared" si="4"/>
        <v>34345</v>
      </c>
      <c r="C28">
        <v>5713</v>
      </c>
      <c r="D28">
        <v>28632</v>
      </c>
      <c r="F28">
        <f t="shared" si="5"/>
        <v>711</v>
      </c>
      <c r="G28" s="20">
        <f t="shared" si="6"/>
        <v>23</v>
      </c>
      <c r="H28" s="21">
        <v>88820020171</v>
      </c>
      <c r="I28" s="22">
        <v>24</v>
      </c>
      <c r="J28" s="23"/>
      <c r="K28" s="24">
        <v>33634</v>
      </c>
      <c r="L28" s="23">
        <f t="shared" si="0"/>
        <v>711</v>
      </c>
      <c r="M28" s="24">
        <v>5560</v>
      </c>
      <c r="N28" s="25">
        <f t="shared" si="1"/>
        <v>153</v>
      </c>
      <c r="O28" s="24">
        <v>28074</v>
      </c>
      <c r="P28" s="23">
        <f t="shared" si="2"/>
        <v>558</v>
      </c>
      <c r="Q28" s="26"/>
      <c r="R28" s="23">
        <f t="shared" si="3"/>
        <v>0</v>
      </c>
      <c r="S28" s="27" t="s">
        <v>19</v>
      </c>
      <c r="T28" s="19" t="s">
        <v>48</v>
      </c>
    </row>
    <row r="29" spans="1:20" ht="37.5" customHeight="1" x14ac:dyDescent="0.25">
      <c r="A29" s="19" t="s">
        <v>49</v>
      </c>
      <c r="B29">
        <f t="shared" si="4"/>
        <v>68856</v>
      </c>
      <c r="C29">
        <v>13629</v>
      </c>
      <c r="D29">
        <v>55227</v>
      </c>
      <c r="F29">
        <f t="shared" si="5"/>
        <v>421</v>
      </c>
      <c r="G29" s="20">
        <f t="shared" si="6"/>
        <v>24</v>
      </c>
      <c r="H29" s="21">
        <v>23011050161</v>
      </c>
      <c r="I29" s="22">
        <v>25</v>
      </c>
      <c r="J29" s="23"/>
      <c r="K29" s="24">
        <v>68435</v>
      </c>
      <c r="L29" s="23">
        <f t="shared" si="0"/>
        <v>421</v>
      </c>
      <c r="M29" s="24">
        <v>13551</v>
      </c>
      <c r="N29" s="25">
        <f t="shared" si="1"/>
        <v>78</v>
      </c>
      <c r="O29" s="24">
        <v>54884</v>
      </c>
      <c r="P29" s="23">
        <f t="shared" si="2"/>
        <v>343</v>
      </c>
      <c r="Q29" s="26"/>
      <c r="R29" s="23">
        <f t="shared" si="3"/>
        <v>0</v>
      </c>
      <c r="S29" s="27" t="s">
        <v>19</v>
      </c>
      <c r="T29" s="19" t="s">
        <v>49</v>
      </c>
    </row>
    <row r="30" spans="1:20" ht="37.5" customHeight="1" x14ac:dyDescent="0.25">
      <c r="A30" s="19" t="s">
        <v>50</v>
      </c>
      <c r="B30">
        <f t="shared" si="4"/>
        <v>34619</v>
      </c>
      <c r="C30">
        <v>5611</v>
      </c>
      <c r="D30">
        <v>29008</v>
      </c>
      <c r="F30">
        <f t="shared" si="5"/>
        <v>455</v>
      </c>
      <c r="G30" s="20">
        <f t="shared" si="6"/>
        <v>25</v>
      </c>
      <c r="H30" s="21">
        <v>88818030245</v>
      </c>
      <c r="I30" s="22">
        <v>26</v>
      </c>
      <c r="J30" s="23"/>
      <c r="K30" s="24">
        <v>34164</v>
      </c>
      <c r="L30" s="23">
        <f t="shared" si="0"/>
        <v>455</v>
      </c>
      <c r="M30" s="24">
        <v>5534</v>
      </c>
      <c r="N30" s="25">
        <f t="shared" si="1"/>
        <v>77</v>
      </c>
      <c r="O30" s="24">
        <v>28630</v>
      </c>
      <c r="P30" s="23">
        <f t="shared" si="2"/>
        <v>378</v>
      </c>
      <c r="Q30" s="26"/>
      <c r="R30" s="23">
        <f t="shared" si="3"/>
        <v>0</v>
      </c>
      <c r="S30" s="27" t="s">
        <v>19</v>
      </c>
      <c r="T30" s="19" t="s">
        <v>50</v>
      </c>
    </row>
    <row r="31" spans="1:20" ht="37.5" customHeight="1" x14ac:dyDescent="0.25">
      <c r="A31" s="19" t="s">
        <v>51</v>
      </c>
      <c r="B31">
        <f t="shared" si="4"/>
        <v>4245</v>
      </c>
      <c r="C31">
        <v>910</v>
      </c>
      <c r="D31">
        <v>3335</v>
      </c>
      <c r="E31">
        <v>5517</v>
      </c>
      <c r="F31">
        <f t="shared" si="5"/>
        <v>524</v>
      </c>
      <c r="G31" s="20">
        <f t="shared" si="6"/>
        <v>26</v>
      </c>
      <c r="H31" s="21">
        <v>99624040083</v>
      </c>
      <c r="I31" s="22">
        <v>27</v>
      </c>
      <c r="J31" s="23"/>
      <c r="K31" s="24">
        <f>M31+O31</f>
        <v>3721</v>
      </c>
      <c r="L31" s="23">
        <f t="shared" si="0"/>
        <v>524</v>
      </c>
      <c r="M31" s="24">
        <v>773</v>
      </c>
      <c r="N31" s="25">
        <f t="shared" si="1"/>
        <v>137</v>
      </c>
      <c r="O31" s="24">
        <v>2948</v>
      </c>
      <c r="P31" s="23">
        <f t="shared" si="2"/>
        <v>387</v>
      </c>
      <c r="Q31" s="26">
        <v>4402</v>
      </c>
      <c r="R31" s="23">
        <f t="shared" si="3"/>
        <v>1115</v>
      </c>
      <c r="S31" s="27" t="s">
        <v>19</v>
      </c>
      <c r="T31" s="19" t="s">
        <v>51</v>
      </c>
    </row>
    <row r="32" spans="1:20" ht="37.5" customHeight="1" x14ac:dyDescent="0.25">
      <c r="A32" s="19" t="s">
        <v>52</v>
      </c>
      <c r="B32">
        <f t="shared" si="4"/>
        <v>15818</v>
      </c>
      <c r="C32">
        <v>2875</v>
      </c>
      <c r="D32">
        <v>12943</v>
      </c>
      <c r="F32">
        <f t="shared" si="5"/>
        <v>212</v>
      </c>
      <c r="G32" s="20">
        <f t="shared" si="6"/>
        <v>27</v>
      </c>
      <c r="H32" s="21">
        <v>66621100206</v>
      </c>
      <c r="I32" s="22">
        <v>28</v>
      </c>
      <c r="J32" s="23"/>
      <c r="K32" s="24">
        <v>15606</v>
      </c>
      <c r="L32" s="23">
        <f t="shared" si="0"/>
        <v>212</v>
      </c>
      <c r="M32" s="24">
        <v>2835</v>
      </c>
      <c r="N32" s="25">
        <f t="shared" si="1"/>
        <v>40</v>
      </c>
      <c r="O32" s="24">
        <v>12771</v>
      </c>
      <c r="P32" s="23">
        <f t="shared" si="2"/>
        <v>172</v>
      </c>
      <c r="Q32" s="26"/>
      <c r="R32" s="23">
        <f t="shared" si="3"/>
        <v>0</v>
      </c>
      <c r="S32" s="27" t="s">
        <v>19</v>
      </c>
      <c r="T32" s="19" t="s">
        <v>52</v>
      </c>
    </row>
    <row r="33" spans="1:20" ht="37.5" customHeight="1" x14ac:dyDescent="0.25">
      <c r="A33" s="19" t="s">
        <v>53</v>
      </c>
      <c r="B33">
        <f t="shared" si="4"/>
        <v>117194</v>
      </c>
      <c r="C33">
        <v>16472</v>
      </c>
      <c r="D33">
        <v>100722</v>
      </c>
      <c r="F33">
        <f t="shared" si="5"/>
        <v>935</v>
      </c>
      <c r="G33" s="20">
        <f t="shared" si="6"/>
        <v>28</v>
      </c>
      <c r="H33" s="21">
        <v>66617010065</v>
      </c>
      <c r="I33" s="22">
        <v>29</v>
      </c>
      <c r="J33" s="23"/>
      <c r="K33" s="24">
        <v>116259</v>
      </c>
      <c r="L33" s="23">
        <f t="shared" si="0"/>
        <v>935</v>
      </c>
      <c r="M33" s="24">
        <v>16317</v>
      </c>
      <c r="N33" s="25">
        <f t="shared" si="1"/>
        <v>155</v>
      </c>
      <c r="O33" s="24">
        <v>99942</v>
      </c>
      <c r="P33" s="23">
        <f t="shared" si="2"/>
        <v>780</v>
      </c>
      <c r="Q33" s="26"/>
      <c r="R33" s="23">
        <f t="shared" si="3"/>
        <v>0</v>
      </c>
      <c r="S33" s="27" t="s">
        <v>19</v>
      </c>
      <c r="T33" s="19" t="s">
        <v>53</v>
      </c>
    </row>
    <row r="34" spans="1:20" ht="37.5" customHeight="1" x14ac:dyDescent="0.25">
      <c r="A34" s="19" t="s">
        <v>54</v>
      </c>
      <c r="B34">
        <f t="shared" si="4"/>
        <v>74861</v>
      </c>
      <c r="C34">
        <v>10771</v>
      </c>
      <c r="D34">
        <v>64090</v>
      </c>
      <c r="F34">
        <f t="shared" si="5"/>
        <v>823</v>
      </c>
      <c r="G34" s="20">
        <f t="shared" si="6"/>
        <v>29</v>
      </c>
      <c r="H34" s="21">
        <v>23015100594</v>
      </c>
      <c r="I34" s="22" t="s">
        <v>55</v>
      </c>
      <c r="J34" s="23"/>
      <c r="K34" s="24">
        <v>74038</v>
      </c>
      <c r="L34" s="23">
        <f t="shared" si="0"/>
        <v>823</v>
      </c>
      <c r="M34" s="24">
        <v>10634</v>
      </c>
      <c r="N34" s="25">
        <f t="shared" si="1"/>
        <v>137</v>
      </c>
      <c r="O34" s="24">
        <v>63404</v>
      </c>
      <c r="P34" s="23">
        <f t="shared" si="2"/>
        <v>686</v>
      </c>
      <c r="Q34" s="26"/>
      <c r="R34" s="23">
        <f t="shared" si="3"/>
        <v>0</v>
      </c>
      <c r="S34" s="27" t="s">
        <v>19</v>
      </c>
      <c r="T34" s="19" t="s">
        <v>54</v>
      </c>
    </row>
    <row r="35" spans="1:20" ht="37.5" customHeight="1" x14ac:dyDescent="0.25">
      <c r="A35" s="19" t="s">
        <v>56</v>
      </c>
      <c r="B35">
        <f t="shared" si="4"/>
        <v>67342</v>
      </c>
      <c r="C35">
        <v>12699</v>
      </c>
      <c r="D35">
        <v>54643</v>
      </c>
      <c r="F35">
        <f t="shared" si="5"/>
        <v>119</v>
      </c>
      <c r="G35" s="20">
        <f t="shared" si="6"/>
        <v>30</v>
      </c>
      <c r="H35" s="21">
        <v>23014010237</v>
      </c>
      <c r="I35" s="22">
        <v>30</v>
      </c>
      <c r="J35" s="23"/>
      <c r="K35" s="24">
        <v>67223</v>
      </c>
      <c r="L35" s="23">
        <f t="shared" si="0"/>
        <v>119</v>
      </c>
      <c r="M35" s="24">
        <v>12667</v>
      </c>
      <c r="N35" s="25">
        <f t="shared" si="1"/>
        <v>32</v>
      </c>
      <c r="O35" s="24">
        <v>54556</v>
      </c>
      <c r="P35" s="23">
        <f t="shared" si="2"/>
        <v>87</v>
      </c>
      <c r="Q35" s="26"/>
      <c r="R35" s="23">
        <f t="shared" si="3"/>
        <v>0</v>
      </c>
      <c r="S35" s="27" t="s">
        <v>19</v>
      </c>
      <c r="T35" s="19" t="s">
        <v>56</v>
      </c>
    </row>
    <row r="36" spans="1:20" ht="37.5" customHeight="1" x14ac:dyDescent="0.25">
      <c r="A36" s="19" t="s">
        <v>57</v>
      </c>
      <c r="B36">
        <f t="shared" si="4"/>
        <v>35052</v>
      </c>
      <c r="C36">
        <v>9857</v>
      </c>
      <c r="D36">
        <v>25195</v>
      </c>
      <c r="F36">
        <f t="shared" si="5"/>
        <v>301</v>
      </c>
      <c r="G36" s="20">
        <f t="shared" si="6"/>
        <v>31</v>
      </c>
      <c r="H36" s="21">
        <v>23011020051</v>
      </c>
      <c r="I36" s="22">
        <v>30</v>
      </c>
      <c r="J36" s="23"/>
      <c r="K36" s="24">
        <v>34751</v>
      </c>
      <c r="L36" s="23">
        <f t="shared" si="0"/>
        <v>301</v>
      </c>
      <c r="M36" s="24">
        <v>9791</v>
      </c>
      <c r="N36" s="25">
        <f t="shared" si="1"/>
        <v>66</v>
      </c>
      <c r="O36" s="24">
        <v>24960</v>
      </c>
      <c r="P36" s="23">
        <f t="shared" si="2"/>
        <v>235</v>
      </c>
      <c r="Q36" s="26"/>
      <c r="R36" s="23">
        <f t="shared" si="3"/>
        <v>0</v>
      </c>
      <c r="S36" s="27" t="s">
        <v>19</v>
      </c>
      <c r="T36" s="19" t="s">
        <v>57</v>
      </c>
    </row>
    <row r="37" spans="1:20" ht="37.5" customHeight="1" x14ac:dyDescent="0.25">
      <c r="A37" s="19" t="s">
        <v>58</v>
      </c>
      <c r="B37">
        <f t="shared" si="4"/>
        <v>2259</v>
      </c>
      <c r="C37">
        <v>517</v>
      </c>
      <c r="D37">
        <v>1742</v>
      </c>
      <c r="E37">
        <v>4320</v>
      </c>
      <c r="F37">
        <f t="shared" si="5"/>
        <v>238</v>
      </c>
      <c r="G37" s="20">
        <f t="shared" si="6"/>
        <v>32</v>
      </c>
      <c r="H37" s="21">
        <v>99624030276</v>
      </c>
      <c r="I37" s="22">
        <v>31</v>
      </c>
      <c r="J37" s="23"/>
      <c r="K37" s="24">
        <f t="shared" ref="K37:K42" si="7">M37+O37</f>
        <v>2021</v>
      </c>
      <c r="L37" s="23">
        <f t="shared" si="0"/>
        <v>238</v>
      </c>
      <c r="M37" s="24">
        <v>448</v>
      </c>
      <c r="N37" s="25">
        <f t="shared" si="1"/>
        <v>69</v>
      </c>
      <c r="O37" s="24">
        <v>1573</v>
      </c>
      <c r="P37" s="23">
        <f t="shared" si="2"/>
        <v>169</v>
      </c>
      <c r="Q37" s="26">
        <v>3570</v>
      </c>
      <c r="R37" s="23">
        <f t="shared" si="3"/>
        <v>750</v>
      </c>
      <c r="S37" s="27" t="s">
        <v>19</v>
      </c>
      <c r="T37" s="19" t="s">
        <v>58</v>
      </c>
    </row>
    <row r="38" spans="1:20" ht="37.5" customHeight="1" x14ac:dyDescent="0.25">
      <c r="A38" s="19" t="s">
        <v>59</v>
      </c>
      <c r="B38">
        <f t="shared" si="4"/>
        <v>21095</v>
      </c>
      <c r="C38">
        <v>5691</v>
      </c>
      <c r="D38">
        <v>15404</v>
      </c>
      <c r="E38">
        <v>28138</v>
      </c>
      <c r="F38">
        <f t="shared" si="5"/>
        <v>722</v>
      </c>
      <c r="G38" s="20">
        <f t="shared" si="6"/>
        <v>33</v>
      </c>
      <c r="H38" s="21">
        <v>99722020047</v>
      </c>
      <c r="I38" s="22">
        <v>32</v>
      </c>
      <c r="J38" s="23"/>
      <c r="K38" s="24">
        <f t="shared" si="7"/>
        <v>20373</v>
      </c>
      <c r="L38" s="23">
        <f t="shared" si="0"/>
        <v>722</v>
      </c>
      <c r="M38" s="24">
        <v>5477</v>
      </c>
      <c r="N38" s="25">
        <f t="shared" si="1"/>
        <v>214</v>
      </c>
      <c r="O38" s="24">
        <v>14896</v>
      </c>
      <c r="P38" s="23">
        <f t="shared" si="2"/>
        <v>508</v>
      </c>
      <c r="Q38" s="26">
        <v>26832</v>
      </c>
      <c r="R38" s="23">
        <f t="shared" si="3"/>
        <v>1306</v>
      </c>
      <c r="S38" s="27" t="s">
        <v>19</v>
      </c>
      <c r="T38" s="19" t="s">
        <v>59</v>
      </c>
    </row>
    <row r="39" spans="1:20" ht="37.5" customHeight="1" x14ac:dyDescent="0.25">
      <c r="A39" s="19" t="s">
        <v>60</v>
      </c>
      <c r="B39">
        <f t="shared" si="4"/>
        <v>4369</v>
      </c>
      <c r="C39">
        <v>967</v>
      </c>
      <c r="D39">
        <v>3402</v>
      </c>
      <c r="E39">
        <v>9706</v>
      </c>
      <c r="F39">
        <f t="shared" si="5"/>
        <v>100</v>
      </c>
      <c r="G39" s="20">
        <f t="shared" si="6"/>
        <v>34</v>
      </c>
      <c r="H39" s="21">
        <v>99623080015</v>
      </c>
      <c r="I39" s="22">
        <v>33</v>
      </c>
      <c r="J39" s="23"/>
      <c r="K39" s="24">
        <f t="shared" si="7"/>
        <v>4269</v>
      </c>
      <c r="L39" s="23">
        <f t="shared" si="0"/>
        <v>100</v>
      </c>
      <c r="M39" s="24">
        <v>936</v>
      </c>
      <c r="N39" s="25">
        <f t="shared" si="1"/>
        <v>31</v>
      </c>
      <c r="O39" s="24">
        <v>3333</v>
      </c>
      <c r="P39" s="23">
        <f t="shared" si="2"/>
        <v>69</v>
      </c>
      <c r="Q39" s="26">
        <v>8899</v>
      </c>
      <c r="R39" s="23">
        <f t="shared" si="3"/>
        <v>807</v>
      </c>
      <c r="S39" s="27" t="s">
        <v>19</v>
      </c>
      <c r="T39" s="19" t="s">
        <v>60</v>
      </c>
    </row>
    <row r="40" spans="1:20" ht="37.5" customHeight="1" x14ac:dyDescent="0.25">
      <c r="A40" s="19" t="s">
        <v>61</v>
      </c>
      <c r="B40">
        <f t="shared" si="4"/>
        <v>29365</v>
      </c>
      <c r="C40">
        <v>6474</v>
      </c>
      <c r="D40">
        <v>22891</v>
      </c>
      <c r="E40">
        <v>24553</v>
      </c>
      <c r="F40">
        <f t="shared" si="5"/>
        <v>928</v>
      </c>
      <c r="G40" s="20">
        <f t="shared" si="6"/>
        <v>35</v>
      </c>
      <c r="H40" s="21">
        <v>99723030036</v>
      </c>
      <c r="I40" s="22">
        <v>34</v>
      </c>
      <c r="J40" s="23"/>
      <c r="K40" s="24">
        <f t="shared" si="7"/>
        <v>28437</v>
      </c>
      <c r="L40" s="23">
        <f t="shared" si="0"/>
        <v>928</v>
      </c>
      <c r="M40" s="24">
        <v>6226</v>
      </c>
      <c r="N40" s="25">
        <f t="shared" si="1"/>
        <v>248</v>
      </c>
      <c r="O40" s="24">
        <v>22211</v>
      </c>
      <c r="P40" s="23">
        <f t="shared" si="2"/>
        <v>680</v>
      </c>
      <c r="Q40" s="26">
        <v>23218</v>
      </c>
      <c r="R40" s="23">
        <f t="shared" si="3"/>
        <v>1335</v>
      </c>
      <c r="S40" s="27" t="s">
        <v>19</v>
      </c>
      <c r="T40" s="19" t="s">
        <v>61</v>
      </c>
    </row>
    <row r="41" spans="1:20" ht="37.5" customHeight="1" x14ac:dyDescent="0.25">
      <c r="A41" s="19" t="s">
        <v>62</v>
      </c>
      <c r="B41">
        <f t="shared" si="4"/>
        <v>14650</v>
      </c>
      <c r="C41">
        <v>1213</v>
      </c>
      <c r="D41">
        <v>13437</v>
      </c>
      <c r="E41">
        <v>13019</v>
      </c>
      <c r="F41">
        <f t="shared" si="5"/>
        <v>520</v>
      </c>
      <c r="G41" s="20">
        <f t="shared" si="6"/>
        <v>36</v>
      </c>
      <c r="H41" s="21">
        <v>99723040019</v>
      </c>
      <c r="I41" s="22">
        <v>35</v>
      </c>
      <c r="J41" s="23"/>
      <c r="K41" s="24">
        <f t="shared" si="7"/>
        <v>14130</v>
      </c>
      <c r="L41" s="23">
        <f t="shared" si="0"/>
        <v>520</v>
      </c>
      <c r="M41" s="24">
        <v>1156</v>
      </c>
      <c r="N41" s="25">
        <f t="shared" si="1"/>
        <v>57</v>
      </c>
      <c r="O41" s="24">
        <v>12974</v>
      </c>
      <c r="P41" s="23">
        <f t="shared" si="2"/>
        <v>463</v>
      </c>
      <c r="Q41" s="26">
        <v>11958</v>
      </c>
      <c r="R41" s="23">
        <f t="shared" si="3"/>
        <v>1061</v>
      </c>
      <c r="S41" s="27" t="s">
        <v>19</v>
      </c>
      <c r="T41" s="19" t="s">
        <v>62</v>
      </c>
    </row>
    <row r="42" spans="1:20" ht="37.5" customHeight="1" x14ac:dyDescent="0.25">
      <c r="A42" s="19" t="s">
        <v>63</v>
      </c>
      <c r="B42">
        <f t="shared" si="4"/>
        <v>512</v>
      </c>
      <c r="C42">
        <v>100</v>
      </c>
      <c r="D42">
        <v>412</v>
      </c>
      <c r="E42">
        <v>1581</v>
      </c>
      <c r="F42">
        <f t="shared" si="5"/>
        <v>512</v>
      </c>
      <c r="G42" s="20">
        <f t="shared" si="6"/>
        <v>37</v>
      </c>
      <c r="H42" s="21">
        <v>99625010172</v>
      </c>
      <c r="I42" s="22">
        <v>36</v>
      </c>
      <c r="J42" s="23"/>
      <c r="K42" s="24">
        <v>0</v>
      </c>
      <c r="L42" s="23">
        <f t="shared" si="0"/>
        <v>512</v>
      </c>
      <c r="M42" s="24">
        <v>0</v>
      </c>
      <c r="N42" s="25">
        <f t="shared" si="1"/>
        <v>100</v>
      </c>
      <c r="O42" s="24">
        <v>0</v>
      </c>
      <c r="P42" s="23">
        <f t="shared" si="2"/>
        <v>412</v>
      </c>
      <c r="Q42" s="26">
        <v>0</v>
      </c>
      <c r="R42" s="23">
        <f t="shared" si="3"/>
        <v>1581</v>
      </c>
      <c r="S42" s="27" t="s">
        <v>19</v>
      </c>
      <c r="T42" s="19" t="s">
        <v>63</v>
      </c>
    </row>
    <row r="43" spans="1:20" ht="37.5" customHeight="1" x14ac:dyDescent="0.25">
      <c r="A43" s="19" t="s">
        <v>64</v>
      </c>
      <c r="B43">
        <f t="shared" si="4"/>
        <v>68453</v>
      </c>
      <c r="C43">
        <v>14018</v>
      </c>
      <c r="D43">
        <v>54435</v>
      </c>
      <c r="F43">
        <f t="shared" si="5"/>
        <v>471</v>
      </c>
      <c r="G43" s="20">
        <f t="shared" si="6"/>
        <v>38</v>
      </c>
      <c r="H43" s="21">
        <v>66618010480</v>
      </c>
      <c r="I43" s="22">
        <v>40</v>
      </c>
      <c r="J43" s="23"/>
      <c r="K43" s="24">
        <v>67982</v>
      </c>
      <c r="L43" s="23">
        <f t="shared" si="0"/>
        <v>471</v>
      </c>
      <c r="M43" s="24">
        <v>13927</v>
      </c>
      <c r="N43" s="25">
        <f t="shared" si="1"/>
        <v>91</v>
      </c>
      <c r="O43" s="24">
        <v>54055</v>
      </c>
      <c r="P43" s="23">
        <f t="shared" si="2"/>
        <v>380</v>
      </c>
      <c r="Q43" s="26"/>
      <c r="R43" s="23">
        <f t="shared" si="3"/>
        <v>0</v>
      </c>
      <c r="S43" s="27" t="s">
        <v>19</v>
      </c>
      <c r="T43" s="19" t="s">
        <v>64</v>
      </c>
    </row>
    <row r="44" spans="1:20" ht="37.5" customHeight="1" x14ac:dyDescent="0.25">
      <c r="A44" s="19" t="s">
        <v>65</v>
      </c>
      <c r="B44">
        <f t="shared" si="4"/>
        <v>9571</v>
      </c>
      <c r="C44">
        <v>1727</v>
      </c>
      <c r="D44">
        <v>7844</v>
      </c>
      <c r="E44">
        <v>13552</v>
      </c>
      <c r="F44">
        <f t="shared" si="5"/>
        <v>652</v>
      </c>
      <c r="G44" s="20">
        <f t="shared" si="6"/>
        <v>39</v>
      </c>
      <c r="H44" s="21">
        <v>99623080434</v>
      </c>
      <c r="I44" s="22">
        <v>42</v>
      </c>
      <c r="J44" s="23"/>
      <c r="K44" s="24">
        <f>M44+O44</f>
        <v>8919</v>
      </c>
      <c r="L44" s="23">
        <f t="shared" si="0"/>
        <v>652</v>
      </c>
      <c r="M44" s="24">
        <v>1616</v>
      </c>
      <c r="N44" s="25">
        <f t="shared" si="1"/>
        <v>111</v>
      </c>
      <c r="O44" s="24">
        <v>7303</v>
      </c>
      <c r="P44" s="23">
        <f t="shared" si="2"/>
        <v>541</v>
      </c>
      <c r="Q44" s="26">
        <v>12427</v>
      </c>
      <c r="R44" s="23">
        <f t="shared" si="3"/>
        <v>1125</v>
      </c>
      <c r="S44" s="27" t="s">
        <v>19</v>
      </c>
      <c r="T44" s="19" t="s">
        <v>65</v>
      </c>
    </row>
    <row r="45" spans="1:20" ht="37.5" customHeight="1" x14ac:dyDescent="0.25">
      <c r="A45" s="19" t="s">
        <v>66</v>
      </c>
      <c r="B45">
        <f t="shared" si="4"/>
        <v>82520</v>
      </c>
      <c r="C45">
        <v>14809</v>
      </c>
      <c r="D45">
        <v>67711</v>
      </c>
      <c r="F45">
        <f t="shared" si="5"/>
        <v>541</v>
      </c>
      <c r="G45" s="20">
        <f t="shared" si="6"/>
        <v>40</v>
      </c>
      <c r="H45" s="21">
        <v>23012070180</v>
      </c>
      <c r="I45" s="22">
        <v>44</v>
      </c>
      <c r="J45" s="23"/>
      <c r="K45" s="24">
        <v>81979</v>
      </c>
      <c r="L45" s="23">
        <f t="shared" si="0"/>
        <v>541</v>
      </c>
      <c r="M45" s="24">
        <v>14720</v>
      </c>
      <c r="N45" s="25">
        <f t="shared" si="1"/>
        <v>89</v>
      </c>
      <c r="O45" s="24">
        <v>67259</v>
      </c>
      <c r="P45" s="23">
        <f t="shared" si="2"/>
        <v>452</v>
      </c>
      <c r="Q45" s="26"/>
      <c r="R45" s="23">
        <f t="shared" si="3"/>
        <v>0</v>
      </c>
      <c r="S45" s="27" t="s">
        <v>19</v>
      </c>
      <c r="T45" s="19" t="s">
        <v>66</v>
      </c>
    </row>
    <row r="46" spans="1:20" ht="37.5" customHeight="1" x14ac:dyDescent="0.25">
      <c r="A46" s="19" t="s">
        <v>67</v>
      </c>
      <c r="B46">
        <f t="shared" si="4"/>
        <v>25387</v>
      </c>
      <c r="C46">
        <v>7276</v>
      </c>
      <c r="D46">
        <v>18111</v>
      </c>
      <c r="E46">
        <v>26872</v>
      </c>
      <c r="F46">
        <f t="shared" si="5"/>
        <v>607</v>
      </c>
      <c r="G46" s="20">
        <f t="shared" si="6"/>
        <v>41</v>
      </c>
      <c r="H46" s="21">
        <v>99622050022</v>
      </c>
      <c r="I46" s="22">
        <v>45</v>
      </c>
      <c r="J46" s="23"/>
      <c r="K46" s="24">
        <f>M46+O46</f>
        <v>24780</v>
      </c>
      <c r="L46" s="23">
        <f t="shared" si="0"/>
        <v>607</v>
      </c>
      <c r="M46" s="24">
        <v>7102</v>
      </c>
      <c r="N46" s="25">
        <f t="shared" si="1"/>
        <v>174</v>
      </c>
      <c r="O46" s="24">
        <v>17678</v>
      </c>
      <c r="P46" s="23">
        <f t="shared" si="2"/>
        <v>433</v>
      </c>
      <c r="Q46" s="26">
        <v>25341</v>
      </c>
      <c r="R46" s="23">
        <f t="shared" si="3"/>
        <v>1531</v>
      </c>
      <c r="S46" s="27" t="s">
        <v>19</v>
      </c>
      <c r="T46" s="19" t="s">
        <v>67</v>
      </c>
    </row>
    <row r="47" spans="1:20" ht="37.5" customHeight="1" x14ac:dyDescent="0.25">
      <c r="A47" s="19" t="s">
        <v>68</v>
      </c>
      <c r="B47">
        <f t="shared" si="4"/>
        <v>37890</v>
      </c>
      <c r="C47">
        <v>10121</v>
      </c>
      <c r="D47">
        <v>27769</v>
      </c>
      <c r="E47">
        <v>28579</v>
      </c>
      <c r="F47">
        <f t="shared" si="5"/>
        <v>1071</v>
      </c>
      <c r="G47" s="20">
        <f t="shared" si="6"/>
        <v>42</v>
      </c>
      <c r="H47" s="21">
        <v>99722020044</v>
      </c>
      <c r="I47" s="22">
        <v>46</v>
      </c>
      <c r="J47" s="23"/>
      <c r="K47" s="24">
        <f>M47+O47</f>
        <v>36819</v>
      </c>
      <c r="L47" s="23">
        <f t="shared" si="0"/>
        <v>1071</v>
      </c>
      <c r="M47" s="24">
        <v>9879</v>
      </c>
      <c r="N47" s="25">
        <f t="shared" si="1"/>
        <v>242</v>
      </c>
      <c r="O47" s="24">
        <v>26940</v>
      </c>
      <c r="P47" s="23">
        <f t="shared" si="2"/>
        <v>829</v>
      </c>
      <c r="Q47" s="26">
        <v>27000</v>
      </c>
      <c r="R47" s="23">
        <f t="shared" si="3"/>
        <v>1579</v>
      </c>
      <c r="S47" s="27" t="s">
        <v>19</v>
      </c>
      <c r="T47" s="19" t="s">
        <v>68</v>
      </c>
    </row>
    <row r="48" spans="1:20" ht="37.5" customHeight="1" x14ac:dyDescent="0.25">
      <c r="A48" s="19" t="s">
        <v>69</v>
      </c>
      <c r="B48">
        <f t="shared" si="4"/>
        <v>22272</v>
      </c>
      <c r="C48">
        <v>3284</v>
      </c>
      <c r="D48">
        <v>18988</v>
      </c>
      <c r="F48">
        <f t="shared" si="5"/>
        <v>207</v>
      </c>
      <c r="G48" s="20">
        <f t="shared" si="6"/>
        <v>43</v>
      </c>
      <c r="H48" s="21">
        <v>88820060222</v>
      </c>
      <c r="I48" s="22">
        <v>47</v>
      </c>
      <c r="J48" s="23"/>
      <c r="K48" s="24">
        <v>22065</v>
      </c>
      <c r="L48" s="23">
        <f t="shared" si="0"/>
        <v>207</v>
      </c>
      <c r="M48" s="24">
        <v>3272</v>
      </c>
      <c r="N48" s="25">
        <f t="shared" si="1"/>
        <v>12</v>
      </c>
      <c r="O48" s="24">
        <v>18793</v>
      </c>
      <c r="P48" s="23">
        <f t="shared" si="2"/>
        <v>195</v>
      </c>
      <c r="Q48" s="26"/>
      <c r="R48" s="23">
        <f t="shared" si="3"/>
        <v>0</v>
      </c>
      <c r="S48" s="27" t="s">
        <v>19</v>
      </c>
      <c r="T48" s="19" t="s">
        <v>69</v>
      </c>
    </row>
    <row r="49" spans="1:20" ht="37.5" customHeight="1" x14ac:dyDescent="0.25">
      <c r="A49" s="19" t="s">
        <v>70</v>
      </c>
      <c r="B49">
        <f t="shared" si="4"/>
        <v>178554</v>
      </c>
      <c r="C49">
        <v>33520</v>
      </c>
      <c r="D49">
        <v>145034</v>
      </c>
      <c r="F49">
        <f t="shared" si="5"/>
        <v>119</v>
      </c>
      <c r="G49" s="20">
        <f t="shared" si="6"/>
        <v>44</v>
      </c>
      <c r="H49" s="21">
        <v>23013080080</v>
      </c>
      <c r="I49" s="22">
        <v>48</v>
      </c>
      <c r="J49" s="23"/>
      <c r="K49" s="24">
        <v>178435</v>
      </c>
      <c r="L49" s="23">
        <f t="shared" si="0"/>
        <v>119</v>
      </c>
      <c r="M49" s="24">
        <v>33502</v>
      </c>
      <c r="N49" s="25">
        <f t="shared" si="1"/>
        <v>18</v>
      </c>
      <c r="O49" s="24">
        <v>144933</v>
      </c>
      <c r="P49" s="23">
        <f t="shared" si="2"/>
        <v>101</v>
      </c>
      <c r="Q49" s="26"/>
      <c r="R49" s="23">
        <f t="shared" si="3"/>
        <v>0</v>
      </c>
      <c r="S49" s="27" t="s">
        <v>19</v>
      </c>
      <c r="T49" s="19" t="s">
        <v>70</v>
      </c>
    </row>
    <row r="50" spans="1:20" ht="37.5" customHeight="1" x14ac:dyDescent="0.25">
      <c r="A50" s="19" t="s">
        <v>71</v>
      </c>
      <c r="B50">
        <f t="shared" si="4"/>
        <v>2774</v>
      </c>
      <c r="C50">
        <v>759</v>
      </c>
      <c r="D50">
        <v>2015</v>
      </c>
      <c r="E50">
        <v>4791</v>
      </c>
      <c r="F50">
        <f t="shared" si="5"/>
        <v>541</v>
      </c>
      <c r="G50" s="20">
        <f t="shared" si="6"/>
        <v>45</v>
      </c>
      <c r="H50" s="21">
        <v>99624040280</v>
      </c>
      <c r="I50" s="22">
        <v>49</v>
      </c>
      <c r="J50" s="23"/>
      <c r="K50" s="24">
        <f>M50+O50</f>
        <v>2233</v>
      </c>
      <c r="L50" s="23">
        <f t="shared" si="0"/>
        <v>541</v>
      </c>
      <c r="M50" s="24">
        <v>649</v>
      </c>
      <c r="N50" s="25">
        <f t="shared" si="1"/>
        <v>110</v>
      </c>
      <c r="O50" s="24">
        <v>1584</v>
      </c>
      <c r="P50" s="23">
        <f t="shared" si="2"/>
        <v>431</v>
      </c>
      <c r="Q50" s="26">
        <v>3782</v>
      </c>
      <c r="R50" s="23">
        <f t="shared" si="3"/>
        <v>1009</v>
      </c>
      <c r="S50" s="27" t="s">
        <v>19</v>
      </c>
      <c r="T50" s="19" t="s">
        <v>71</v>
      </c>
    </row>
    <row r="51" spans="1:20" ht="37.5" customHeight="1" x14ac:dyDescent="0.25">
      <c r="A51" s="19" t="s">
        <v>72</v>
      </c>
      <c r="B51">
        <f t="shared" si="4"/>
        <v>9536</v>
      </c>
      <c r="C51">
        <v>2123</v>
      </c>
      <c r="D51">
        <v>7413</v>
      </c>
      <c r="E51">
        <v>6914</v>
      </c>
      <c r="F51">
        <f t="shared" si="5"/>
        <v>339</v>
      </c>
      <c r="G51" s="20">
        <f t="shared" si="6"/>
        <v>46</v>
      </c>
      <c r="H51" s="21">
        <v>99723050015</v>
      </c>
      <c r="I51" s="22">
        <v>51</v>
      </c>
      <c r="J51" s="23"/>
      <c r="K51" s="24">
        <f>M51+O51</f>
        <v>9197</v>
      </c>
      <c r="L51" s="23">
        <f t="shared" si="0"/>
        <v>339</v>
      </c>
      <c r="M51" s="24">
        <v>2056</v>
      </c>
      <c r="N51" s="25">
        <f t="shared" si="1"/>
        <v>67</v>
      </c>
      <c r="O51" s="24">
        <v>7141</v>
      </c>
      <c r="P51" s="23">
        <f t="shared" si="2"/>
        <v>272</v>
      </c>
      <c r="Q51" s="26">
        <v>6468</v>
      </c>
      <c r="R51" s="23">
        <f t="shared" si="3"/>
        <v>446</v>
      </c>
      <c r="S51" s="27" t="s">
        <v>19</v>
      </c>
      <c r="T51" s="19" t="s">
        <v>72</v>
      </c>
    </row>
    <row r="52" spans="1:20" ht="37.5" customHeight="1" x14ac:dyDescent="0.25">
      <c r="A52" s="19" t="s">
        <v>73</v>
      </c>
      <c r="B52">
        <f t="shared" si="4"/>
        <v>79442</v>
      </c>
      <c r="C52">
        <v>14301</v>
      </c>
      <c r="D52">
        <v>65141</v>
      </c>
      <c r="F52">
        <f t="shared" si="5"/>
        <v>680</v>
      </c>
      <c r="G52" s="20">
        <f t="shared" si="6"/>
        <v>47</v>
      </c>
      <c r="H52" s="21">
        <v>66617010246</v>
      </c>
      <c r="I52" s="22">
        <v>52</v>
      </c>
      <c r="J52" s="23"/>
      <c r="K52" s="24">
        <v>78762</v>
      </c>
      <c r="L52" s="23">
        <f t="shared" si="0"/>
        <v>680</v>
      </c>
      <c r="M52" s="24">
        <v>14153</v>
      </c>
      <c r="N52" s="25">
        <f t="shared" si="1"/>
        <v>148</v>
      </c>
      <c r="O52" s="24">
        <v>64609</v>
      </c>
      <c r="P52" s="23">
        <f t="shared" si="2"/>
        <v>532</v>
      </c>
      <c r="Q52" s="26"/>
      <c r="R52" s="23">
        <f t="shared" si="3"/>
        <v>0</v>
      </c>
      <c r="S52" s="27" t="s">
        <v>19</v>
      </c>
      <c r="T52" s="19" t="s">
        <v>73</v>
      </c>
    </row>
    <row r="53" spans="1:20" ht="37.5" customHeight="1" x14ac:dyDescent="0.25">
      <c r="A53" s="19" t="s">
        <v>74</v>
      </c>
      <c r="B53">
        <f t="shared" si="4"/>
        <v>10370</v>
      </c>
      <c r="C53">
        <v>2711</v>
      </c>
      <c r="D53">
        <v>7659</v>
      </c>
      <c r="F53">
        <f t="shared" si="5"/>
        <v>215</v>
      </c>
      <c r="G53" s="20">
        <f t="shared" si="6"/>
        <v>48</v>
      </c>
      <c r="H53" s="21">
        <v>88820030043</v>
      </c>
      <c r="I53" s="22">
        <v>53</v>
      </c>
      <c r="J53" s="23"/>
      <c r="K53" s="24">
        <v>10155</v>
      </c>
      <c r="L53" s="23">
        <f t="shared" si="0"/>
        <v>215</v>
      </c>
      <c r="M53" s="24">
        <v>2618</v>
      </c>
      <c r="N53" s="25">
        <f t="shared" si="1"/>
        <v>93</v>
      </c>
      <c r="O53" s="24">
        <v>7537</v>
      </c>
      <c r="P53" s="23">
        <f t="shared" si="2"/>
        <v>122</v>
      </c>
      <c r="Q53" s="26"/>
      <c r="R53" s="23">
        <f t="shared" si="3"/>
        <v>0</v>
      </c>
      <c r="S53" s="27" t="s">
        <v>19</v>
      </c>
      <c r="T53" s="19" t="s">
        <v>74</v>
      </c>
    </row>
    <row r="54" spans="1:20" ht="37.5" customHeight="1" x14ac:dyDescent="0.25">
      <c r="A54" s="19" t="s">
        <v>75</v>
      </c>
      <c r="B54">
        <f t="shared" si="4"/>
        <v>25007</v>
      </c>
      <c r="C54">
        <v>4603</v>
      </c>
      <c r="D54">
        <v>20404</v>
      </c>
      <c r="F54">
        <f t="shared" si="5"/>
        <v>404</v>
      </c>
      <c r="G54" s="20">
        <f t="shared" si="6"/>
        <v>49</v>
      </c>
      <c r="H54" s="21">
        <v>88820060126</v>
      </c>
      <c r="I54" s="22" t="s">
        <v>76</v>
      </c>
      <c r="J54" s="23"/>
      <c r="K54" s="24">
        <v>24603</v>
      </c>
      <c r="L54" s="23">
        <f t="shared" si="0"/>
        <v>404</v>
      </c>
      <c r="M54" s="24">
        <v>4535</v>
      </c>
      <c r="N54" s="25">
        <f t="shared" si="1"/>
        <v>68</v>
      </c>
      <c r="O54" s="24">
        <v>20068</v>
      </c>
      <c r="P54" s="23">
        <f t="shared" si="2"/>
        <v>336</v>
      </c>
      <c r="Q54" s="26"/>
      <c r="R54" s="23">
        <f t="shared" si="3"/>
        <v>0</v>
      </c>
      <c r="S54" s="27" t="s">
        <v>19</v>
      </c>
      <c r="T54" s="19" t="s">
        <v>75</v>
      </c>
    </row>
    <row r="55" spans="1:20" ht="37.5" customHeight="1" x14ac:dyDescent="0.25">
      <c r="A55" s="19" t="s">
        <v>77</v>
      </c>
      <c r="B55">
        <f t="shared" si="4"/>
        <v>62433</v>
      </c>
      <c r="C55">
        <v>11057</v>
      </c>
      <c r="D55">
        <v>51376</v>
      </c>
      <c r="F55">
        <f t="shared" si="5"/>
        <v>1046</v>
      </c>
      <c r="G55" s="20">
        <f t="shared" si="6"/>
        <v>50</v>
      </c>
      <c r="H55" s="21">
        <v>66601102625</v>
      </c>
      <c r="I55" s="22">
        <v>54</v>
      </c>
      <c r="J55" s="23"/>
      <c r="K55" s="24">
        <v>61387</v>
      </c>
      <c r="L55" s="23">
        <f t="shared" si="0"/>
        <v>1046</v>
      </c>
      <c r="M55" s="24">
        <v>10874</v>
      </c>
      <c r="N55" s="25">
        <f t="shared" si="1"/>
        <v>183</v>
      </c>
      <c r="O55" s="24">
        <v>50513</v>
      </c>
      <c r="P55" s="23">
        <f t="shared" si="2"/>
        <v>863</v>
      </c>
      <c r="Q55" s="26"/>
      <c r="R55" s="23">
        <f t="shared" si="3"/>
        <v>0</v>
      </c>
      <c r="S55" s="27" t="s">
        <v>19</v>
      </c>
      <c r="T55" s="19" t="s">
        <v>77</v>
      </c>
    </row>
    <row r="56" spans="1:20" ht="37.5" customHeight="1" x14ac:dyDescent="0.25">
      <c r="A56" s="19" t="s">
        <v>78</v>
      </c>
      <c r="B56">
        <f t="shared" si="4"/>
        <v>46164</v>
      </c>
      <c r="C56">
        <v>7561</v>
      </c>
      <c r="D56">
        <v>38603</v>
      </c>
      <c r="F56">
        <f t="shared" si="5"/>
        <v>501</v>
      </c>
      <c r="G56" s="20">
        <f t="shared" si="6"/>
        <v>51</v>
      </c>
      <c r="H56" s="21">
        <v>88819050040</v>
      </c>
      <c r="I56" s="22" t="s">
        <v>79</v>
      </c>
      <c r="J56" s="23"/>
      <c r="K56" s="24">
        <v>45663</v>
      </c>
      <c r="L56" s="23">
        <f t="shared" si="0"/>
        <v>501</v>
      </c>
      <c r="M56" s="24">
        <v>7478</v>
      </c>
      <c r="N56" s="25">
        <f t="shared" si="1"/>
        <v>83</v>
      </c>
      <c r="O56" s="24">
        <v>38185</v>
      </c>
      <c r="P56" s="23">
        <f t="shared" si="2"/>
        <v>418</v>
      </c>
      <c r="Q56" s="26"/>
      <c r="R56" s="23">
        <f t="shared" si="3"/>
        <v>0</v>
      </c>
      <c r="S56" s="27" t="s">
        <v>19</v>
      </c>
      <c r="T56" s="19" t="s">
        <v>78</v>
      </c>
    </row>
    <row r="57" spans="1:20" ht="37.5" customHeight="1" x14ac:dyDescent="0.25">
      <c r="A57" s="19" t="s">
        <v>80</v>
      </c>
      <c r="B57">
        <f t="shared" si="4"/>
        <v>32089</v>
      </c>
      <c r="C57">
        <v>6160</v>
      </c>
      <c r="D57">
        <v>25929</v>
      </c>
      <c r="F57">
        <f t="shared" si="5"/>
        <v>254</v>
      </c>
      <c r="G57" s="20">
        <f t="shared" si="6"/>
        <v>52</v>
      </c>
      <c r="H57" s="21">
        <v>23013090258</v>
      </c>
      <c r="I57" s="22">
        <v>56</v>
      </c>
      <c r="J57" s="23"/>
      <c r="K57" s="24">
        <v>31835</v>
      </c>
      <c r="L57" s="23">
        <f t="shared" si="0"/>
        <v>254</v>
      </c>
      <c r="M57" s="24">
        <v>6151</v>
      </c>
      <c r="N57" s="25">
        <f t="shared" si="1"/>
        <v>9</v>
      </c>
      <c r="O57" s="24">
        <v>25684</v>
      </c>
      <c r="P57" s="23">
        <f t="shared" si="2"/>
        <v>245</v>
      </c>
      <c r="Q57" s="26"/>
      <c r="R57" s="23">
        <f t="shared" si="3"/>
        <v>0</v>
      </c>
      <c r="S57" s="27" t="s">
        <v>19</v>
      </c>
      <c r="T57" s="19" t="s">
        <v>80</v>
      </c>
    </row>
    <row r="58" spans="1:20" ht="37.5" customHeight="1" x14ac:dyDescent="0.25">
      <c r="A58" s="19" t="s">
        <v>81</v>
      </c>
      <c r="B58">
        <f t="shared" si="4"/>
        <v>33017</v>
      </c>
      <c r="C58">
        <v>6151</v>
      </c>
      <c r="D58">
        <v>26866</v>
      </c>
      <c r="F58">
        <f t="shared" si="5"/>
        <v>315</v>
      </c>
      <c r="G58" s="20">
        <f t="shared" si="6"/>
        <v>53</v>
      </c>
      <c r="H58" s="21">
        <v>888190550220</v>
      </c>
      <c r="I58" s="22">
        <v>57</v>
      </c>
      <c r="J58" s="23"/>
      <c r="K58" s="24">
        <v>32702</v>
      </c>
      <c r="L58" s="23">
        <f t="shared" si="0"/>
        <v>315</v>
      </c>
      <c r="M58" s="24">
        <v>6126</v>
      </c>
      <c r="N58" s="25">
        <f t="shared" si="1"/>
        <v>25</v>
      </c>
      <c r="O58" s="24">
        <v>26576</v>
      </c>
      <c r="P58" s="23">
        <f t="shared" si="2"/>
        <v>290</v>
      </c>
      <c r="Q58" s="26"/>
      <c r="R58" s="23">
        <f t="shared" si="3"/>
        <v>0</v>
      </c>
      <c r="S58" s="27" t="s">
        <v>19</v>
      </c>
      <c r="T58" s="19" t="s">
        <v>81</v>
      </c>
    </row>
    <row r="59" spans="1:20" ht="37.5" customHeight="1" x14ac:dyDescent="0.25">
      <c r="A59" s="19" t="s">
        <v>82</v>
      </c>
      <c r="B59">
        <f t="shared" si="4"/>
        <v>20083</v>
      </c>
      <c r="C59">
        <v>3671</v>
      </c>
      <c r="D59">
        <v>16412</v>
      </c>
      <c r="F59">
        <f t="shared" si="5"/>
        <v>134</v>
      </c>
      <c r="G59" s="20">
        <f t="shared" si="6"/>
        <v>54</v>
      </c>
      <c r="H59" s="21">
        <v>66617010321</v>
      </c>
      <c r="I59" s="22">
        <v>60</v>
      </c>
      <c r="J59" s="23"/>
      <c r="K59" s="24">
        <v>19949</v>
      </c>
      <c r="L59" s="23">
        <f t="shared" si="0"/>
        <v>134</v>
      </c>
      <c r="M59" s="24">
        <v>3651</v>
      </c>
      <c r="N59" s="25">
        <f t="shared" si="1"/>
        <v>20</v>
      </c>
      <c r="O59" s="24">
        <v>16298</v>
      </c>
      <c r="P59" s="23">
        <f t="shared" si="2"/>
        <v>114</v>
      </c>
      <c r="Q59" s="26"/>
      <c r="R59" s="23">
        <f t="shared" si="3"/>
        <v>0</v>
      </c>
      <c r="S59" s="27" t="s">
        <v>19</v>
      </c>
      <c r="T59" s="19" t="s">
        <v>82</v>
      </c>
    </row>
    <row r="60" spans="1:20" ht="37.5" customHeight="1" x14ac:dyDescent="0.25">
      <c r="A60" s="19" t="s">
        <v>83</v>
      </c>
      <c r="B60">
        <f t="shared" si="4"/>
        <v>62761</v>
      </c>
      <c r="C60">
        <v>10626</v>
      </c>
      <c r="D60">
        <v>52135</v>
      </c>
      <c r="F60">
        <f t="shared" si="5"/>
        <v>160</v>
      </c>
      <c r="G60" s="20">
        <f t="shared" si="6"/>
        <v>55</v>
      </c>
      <c r="H60" s="21">
        <v>23015100801</v>
      </c>
      <c r="I60" s="22">
        <v>61</v>
      </c>
      <c r="J60" s="23"/>
      <c r="K60" s="24">
        <v>62601</v>
      </c>
      <c r="L60" s="23">
        <f t="shared" si="0"/>
        <v>160</v>
      </c>
      <c r="M60" s="24">
        <v>10596</v>
      </c>
      <c r="N60" s="25">
        <f t="shared" si="1"/>
        <v>30</v>
      </c>
      <c r="O60" s="24">
        <v>52005</v>
      </c>
      <c r="P60" s="23">
        <f t="shared" si="2"/>
        <v>130</v>
      </c>
      <c r="Q60" s="26"/>
      <c r="R60" s="23">
        <f t="shared" si="3"/>
        <v>0</v>
      </c>
      <c r="S60" s="27" t="s">
        <v>19</v>
      </c>
      <c r="T60" s="19" t="s">
        <v>83</v>
      </c>
    </row>
    <row r="61" spans="1:20" ht="37.5" customHeight="1" x14ac:dyDescent="0.25">
      <c r="A61" s="19" t="s">
        <v>84</v>
      </c>
      <c r="B61">
        <f t="shared" si="4"/>
        <v>14396</v>
      </c>
      <c r="C61">
        <v>3972</v>
      </c>
      <c r="D61">
        <v>10424</v>
      </c>
      <c r="E61">
        <v>25261</v>
      </c>
      <c r="F61">
        <f t="shared" si="5"/>
        <v>446</v>
      </c>
      <c r="G61" s="20">
        <f t="shared" si="6"/>
        <v>56</v>
      </c>
      <c r="H61" s="21">
        <v>99723010079</v>
      </c>
      <c r="I61" s="22">
        <v>62</v>
      </c>
      <c r="J61" s="23"/>
      <c r="K61" s="24">
        <f>M61+O61</f>
        <v>13950</v>
      </c>
      <c r="L61" s="23">
        <f t="shared" si="0"/>
        <v>446</v>
      </c>
      <c r="M61" s="24">
        <v>3857</v>
      </c>
      <c r="N61" s="25">
        <f t="shared" si="1"/>
        <v>115</v>
      </c>
      <c r="O61" s="24">
        <v>10093</v>
      </c>
      <c r="P61" s="23">
        <f t="shared" si="2"/>
        <v>331</v>
      </c>
      <c r="Q61" s="26">
        <v>23977</v>
      </c>
      <c r="R61" s="23">
        <f t="shared" si="3"/>
        <v>1284</v>
      </c>
      <c r="S61" s="27" t="s">
        <v>19</v>
      </c>
      <c r="T61" s="19" t="s">
        <v>84</v>
      </c>
    </row>
    <row r="62" spans="1:20" ht="37.5" customHeight="1" x14ac:dyDescent="0.25">
      <c r="A62" s="19" t="s">
        <v>85</v>
      </c>
      <c r="B62">
        <f t="shared" si="4"/>
        <v>2614</v>
      </c>
      <c r="C62">
        <v>809</v>
      </c>
      <c r="D62">
        <v>1805</v>
      </c>
      <c r="E62">
        <v>4964</v>
      </c>
      <c r="F62">
        <f t="shared" si="5"/>
        <v>458</v>
      </c>
      <c r="G62" s="20">
        <f t="shared" si="6"/>
        <v>57</v>
      </c>
      <c r="H62" s="21">
        <v>99624050140</v>
      </c>
      <c r="I62" s="22">
        <v>63</v>
      </c>
      <c r="J62" s="23"/>
      <c r="K62" s="24">
        <f>M62+O62</f>
        <v>2156</v>
      </c>
      <c r="L62" s="23">
        <f t="shared" si="0"/>
        <v>458</v>
      </c>
      <c r="M62" s="24">
        <v>657</v>
      </c>
      <c r="N62" s="25">
        <f t="shared" si="1"/>
        <v>152</v>
      </c>
      <c r="O62" s="24">
        <v>1499</v>
      </c>
      <c r="P62" s="23">
        <f t="shared" si="2"/>
        <v>306</v>
      </c>
      <c r="Q62" s="26">
        <v>3389</v>
      </c>
      <c r="R62" s="23">
        <f t="shared" si="3"/>
        <v>1575</v>
      </c>
      <c r="S62" s="27" t="s">
        <v>19</v>
      </c>
      <c r="T62" s="19" t="s">
        <v>85</v>
      </c>
    </row>
    <row r="63" spans="1:20" ht="37.5" customHeight="1" x14ac:dyDescent="0.25">
      <c r="A63" s="19" t="s">
        <v>86</v>
      </c>
      <c r="B63">
        <f t="shared" si="4"/>
        <v>5154</v>
      </c>
      <c r="C63">
        <v>1348</v>
      </c>
      <c r="D63">
        <v>3806</v>
      </c>
      <c r="E63">
        <v>5358</v>
      </c>
      <c r="F63">
        <f t="shared" si="5"/>
        <v>700</v>
      </c>
      <c r="G63" s="20">
        <f t="shared" si="6"/>
        <v>58</v>
      </c>
      <c r="H63" s="21">
        <v>99624030345</v>
      </c>
      <c r="I63" s="22">
        <v>64</v>
      </c>
      <c r="J63" s="23"/>
      <c r="K63" s="24">
        <f>M63+O63</f>
        <v>4454</v>
      </c>
      <c r="L63" s="23">
        <f t="shared" si="0"/>
        <v>700</v>
      </c>
      <c r="M63" s="24">
        <v>1136</v>
      </c>
      <c r="N63" s="25">
        <f t="shared" si="1"/>
        <v>212</v>
      </c>
      <c r="O63" s="24">
        <v>3318</v>
      </c>
      <c r="P63" s="23">
        <f t="shared" si="2"/>
        <v>488</v>
      </c>
      <c r="Q63" s="26">
        <v>4550</v>
      </c>
      <c r="R63" s="23">
        <f t="shared" si="3"/>
        <v>808</v>
      </c>
      <c r="S63" s="27" t="s">
        <v>19</v>
      </c>
      <c r="T63" s="19" t="s">
        <v>86</v>
      </c>
    </row>
    <row r="64" spans="1:20" ht="37.5" customHeight="1" x14ac:dyDescent="0.25">
      <c r="A64" s="19" t="s">
        <v>87</v>
      </c>
      <c r="B64">
        <f t="shared" si="4"/>
        <v>3510</v>
      </c>
      <c r="C64">
        <v>970</v>
      </c>
      <c r="D64">
        <v>2540</v>
      </c>
      <c r="F64">
        <f t="shared" si="5"/>
        <v>90</v>
      </c>
      <c r="G64" s="20">
        <f t="shared" si="6"/>
        <v>59</v>
      </c>
      <c r="H64" s="21">
        <v>66622030207</v>
      </c>
      <c r="I64" s="22">
        <v>65</v>
      </c>
      <c r="J64" s="23"/>
      <c r="K64" s="24">
        <v>3420</v>
      </c>
      <c r="L64" s="23">
        <f t="shared" si="0"/>
        <v>90</v>
      </c>
      <c r="M64" s="24">
        <v>928</v>
      </c>
      <c r="N64" s="25">
        <f t="shared" si="1"/>
        <v>42</v>
      </c>
      <c r="O64" s="24">
        <v>2492</v>
      </c>
      <c r="P64" s="23">
        <f t="shared" si="2"/>
        <v>48</v>
      </c>
      <c r="Q64" s="26"/>
      <c r="R64" s="23">
        <f t="shared" si="3"/>
        <v>0</v>
      </c>
      <c r="S64" s="27" t="s">
        <v>19</v>
      </c>
      <c r="T64" s="19" t="s">
        <v>87</v>
      </c>
    </row>
    <row r="65" spans="1:20" ht="37.5" customHeight="1" x14ac:dyDescent="0.25">
      <c r="A65" s="19" t="s">
        <v>88</v>
      </c>
      <c r="B65">
        <f t="shared" si="4"/>
        <v>5642</v>
      </c>
      <c r="C65">
        <v>1633</v>
      </c>
      <c r="D65">
        <v>4009</v>
      </c>
      <c r="E65">
        <v>12945</v>
      </c>
      <c r="F65">
        <f t="shared" si="5"/>
        <v>418</v>
      </c>
      <c r="G65" s="20">
        <f t="shared" si="6"/>
        <v>60</v>
      </c>
      <c r="H65" s="21">
        <v>99623080314</v>
      </c>
      <c r="I65" s="22">
        <v>67</v>
      </c>
      <c r="J65" s="23"/>
      <c r="K65" s="24">
        <f>M65+O65</f>
        <v>5224</v>
      </c>
      <c r="L65" s="23">
        <f t="shared" si="0"/>
        <v>418</v>
      </c>
      <c r="M65" s="24">
        <v>1493</v>
      </c>
      <c r="N65" s="25">
        <f t="shared" si="1"/>
        <v>140</v>
      </c>
      <c r="O65" s="24">
        <v>3731</v>
      </c>
      <c r="P65" s="23">
        <f t="shared" si="2"/>
        <v>278</v>
      </c>
      <c r="Q65" s="26">
        <v>11952</v>
      </c>
      <c r="R65" s="23">
        <f t="shared" si="3"/>
        <v>993</v>
      </c>
      <c r="S65" s="27" t="s">
        <v>19</v>
      </c>
      <c r="T65" s="19" t="s">
        <v>88</v>
      </c>
    </row>
    <row r="66" spans="1:20" ht="37.5" customHeight="1" x14ac:dyDescent="0.25">
      <c r="A66" s="19" t="s">
        <v>89</v>
      </c>
      <c r="B66">
        <f t="shared" si="4"/>
        <v>90506</v>
      </c>
      <c r="C66">
        <v>15654</v>
      </c>
      <c r="D66">
        <v>74852</v>
      </c>
      <c r="F66">
        <f t="shared" si="5"/>
        <v>1167</v>
      </c>
      <c r="G66" s="20">
        <f t="shared" si="6"/>
        <v>61</v>
      </c>
      <c r="H66" s="21">
        <v>66618010160</v>
      </c>
      <c r="I66" s="22">
        <v>68</v>
      </c>
      <c r="J66" s="23"/>
      <c r="K66" s="24">
        <v>89339</v>
      </c>
      <c r="L66" s="23">
        <f t="shared" si="0"/>
        <v>1167</v>
      </c>
      <c r="M66" s="24">
        <v>15467</v>
      </c>
      <c r="N66" s="25">
        <f t="shared" si="1"/>
        <v>187</v>
      </c>
      <c r="O66" s="24">
        <v>73872</v>
      </c>
      <c r="P66" s="23">
        <f t="shared" si="2"/>
        <v>980</v>
      </c>
      <c r="Q66" s="26"/>
      <c r="R66" s="23">
        <f t="shared" si="3"/>
        <v>0</v>
      </c>
      <c r="S66" s="27" t="s">
        <v>19</v>
      </c>
      <c r="T66" s="19" t="s">
        <v>89</v>
      </c>
    </row>
    <row r="67" spans="1:20" ht="37.5" customHeight="1" x14ac:dyDescent="0.25">
      <c r="A67" s="19" t="s">
        <v>90</v>
      </c>
      <c r="B67">
        <f t="shared" si="4"/>
        <v>29715</v>
      </c>
      <c r="C67">
        <v>5404</v>
      </c>
      <c r="D67">
        <v>24311</v>
      </c>
      <c r="F67">
        <f t="shared" si="5"/>
        <v>633</v>
      </c>
      <c r="G67" s="20">
        <f t="shared" si="6"/>
        <v>62</v>
      </c>
      <c r="H67" s="21">
        <v>66621090119</v>
      </c>
      <c r="I67" s="22">
        <v>69</v>
      </c>
      <c r="J67" s="23"/>
      <c r="K67" s="24">
        <v>29082</v>
      </c>
      <c r="L67" s="23">
        <f t="shared" si="0"/>
        <v>633</v>
      </c>
      <c r="M67" s="24">
        <v>5293</v>
      </c>
      <c r="N67" s="25">
        <f t="shared" si="1"/>
        <v>111</v>
      </c>
      <c r="O67" s="24">
        <v>23789</v>
      </c>
      <c r="P67" s="23">
        <f t="shared" si="2"/>
        <v>522</v>
      </c>
      <c r="Q67" s="26"/>
      <c r="R67" s="23">
        <f t="shared" si="3"/>
        <v>0</v>
      </c>
      <c r="S67" s="27" t="s">
        <v>19</v>
      </c>
      <c r="T67" s="19" t="s">
        <v>90</v>
      </c>
    </row>
    <row r="68" spans="1:20" ht="37.5" customHeight="1" x14ac:dyDescent="0.25">
      <c r="A68" s="19" t="s">
        <v>91</v>
      </c>
      <c r="B68">
        <f t="shared" si="4"/>
        <v>1040</v>
      </c>
      <c r="C68">
        <v>362</v>
      </c>
      <c r="D68">
        <v>678</v>
      </c>
      <c r="E68">
        <v>1227</v>
      </c>
      <c r="F68">
        <f t="shared" si="5"/>
        <v>1040</v>
      </c>
      <c r="G68" s="20">
        <f t="shared" si="6"/>
        <v>63</v>
      </c>
      <c r="H68" s="21">
        <v>99625010135</v>
      </c>
      <c r="I68" s="22">
        <v>70</v>
      </c>
      <c r="J68" s="23"/>
      <c r="K68" s="24">
        <v>0</v>
      </c>
      <c r="L68" s="23">
        <f t="shared" si="0"/>
        <v>1040</v>
      </c>
      <c r="M68" s="24">
        <v>0</v>
      </c>
      <c r="N68" s="25">
        <f t="shared" si="1"/>
        <v>362</v>
      </c>
      <c r="O68" s="24">
        <v>0</v>
      </c>
      <c r="P68" s="23">
        <f t="shared" si="2"/>
        <v>678</v>
      </c>
      <c r="Q68" s="26">
        <v>0</v>
      </c>
      <c r="R68" s="23">
        <f t="shared" si="3"/>
        <v>1227</v>
      </c>
      <c r="S68" s="27" t="s">
        <v>19</v>
      </c>
      <c r="T68" s="19" t="s">
        <v>91</v>
      </c>
    </row>
    <row r="69" spans="1:20" ht="37.5" customHeight="1" x14ac:dyDescent="0.25">
      <c r="A69" s="19" t="s">
        <v>92</v>
      </c>
      <c r="B69">
        <f t="shared" si="4"/>
        <v>1575</v>
      </c>
      <c r="C69">
        <v>536</v>
      </c>
      <c r="D69">
        <v>1039</v>
      </c>
      <c r="E69">
        <v>4005</v>
      </c>
      <c r="F69">
        <f t="shared" si="5"/>
        <v>282</v>
      </c>
      <c r="G69" s="20">
        <f t="shared" si="6"/>
        <v>64</v>
      </c>
      <c r="H69" s="21">
        <v>99624050215</v>
      </c>
      <c r="I69" s="22">
        <v>71</v>
      </c>
      <c r="J69" s="23"/>
      <c r="K69" s="24">
        <f>M69+O69</f>
        <v>1293</v>
      </c>
      <c r="L69" s="23">
        <f t="shared" si="0"/>
        <v>282</v>
      </c>
      <c r="M69" s="24">
        <v>419</v>
      </c>
      <c r="N69" s="25">
        <f t="shared" si="1"/>
        <v>117</v>
      </c>
      <c r="O69" s="24">
        <v>874</v>
      </c>
      <c r="P69" s="23">
        <f t="shared" si="2"/>
        <v>165</v>
      </c>
      <c r="Q69" s="26">
        <v>2597</v>
      </c>
      <c r="R69" s="23">
        <f t="shared" si="3"/>
        <v>1408</v>
      </c>
      <c r="S69" s="27" t="s">
        <v>19</v>
      </c>
      <c r="T69" s="19" t="s">
        <v>92</v>
      </c>
    </row>
    <row r="70" spans="1:20" ht="37.5" customHeight="1" x14ac:dyDescent="0.25">
      <c r="A70" s="19" t="s">
        <v>93</v>
      </c>
      <c r="B70">
        <f t="shared" si="4"/>
        <v>21808</v>
      </c>
      <c r="C70">
        <v>3739</v>
      </c>
      <c r="D70">
        <v>18069</v>
      </c>
      <c r="F70">
        <f t="shared" si="5"/>
        <v>403</v>
      </c>
      <c r="G70" s="20">
        <f t="shared" si="6"/>
        <v>65</v>
      </c>
      <c r="H70" s="21">
        <v>66621100090</v>
      </c>
      <c r="I70" s="22">
        <v>72</v>
      </c>
      <c r="J70" s="23"/>
      <c r="K70" s="24">
        <v>21405</v>
      </c>
      <c r="L70" s="23">
        <f t="shared" ref="L70:L133" si="8">B70-K70</f>
        <v>403</v>
      </c>
      <c r="M70" s="24">
        <v>3599</v>
      </c>
      <c r="N70" s="25">
        <f t="shared" ref="N70:N133" si="9">C70-M70</f>
        <v>140</v>
      </c>
      <c r="O70" s="24">
        <v>17806</v>
      </c>
      <c r="P70" s="23">
        <f t="shared" ref="P70:P133" si="10">D70-O70</f>
        <v>263</v>
      </c>
      <c r="Q70" s="26"/>
      <c r="R70" s="23">
        <f t="shared" ref="R70:R133" si="11">E70-Q70</f>
        <v>0</v>
      </c>
      <c r="S70" s="27" t="s">
        <v>19</v>
      </c>
      <c r="T70" s="19" t="s">
        <v>93</v>
      </c>
    </row>
    <row r="71" spans="1:20" ht="37.5" customHeight="1" x14ac:dyDescent="0.25">
      <c r="A71" s="19" t="s">
        <v>94</v>
      </c>
      <c r="B71">
        <f t="shared" ref="B71:B134" si="12">C71+D71</f>
        <v>75952</v>
      </c>
      <c r="C71">
        <v>13775</v>
      </c>
      <c r="D71">
        <v>62177</v>
      </c>
      <c r="F71">
        <f t="shared" ref="F71:F134" si="13">L71</f>
        <v>840</v>
      </c>
      <c r="G71" s="20">
        <f t="shared" si="6"/>
        <v>66</v>
      </c>
      <c r="H71" s="21">
        <v>66617010491</v>
      </c>
      <c r="I71" s="22">
        <v>73</v>
      </c>
      <c r="J71" s="23"/>
      <c r="K71" s="24">
        <v>75112</v>
      </c>
      <c r="L71" s="23">
        <f t="shared" si="8"/>
        <v>840</v>
      </c>
      <c r="M71" s="24">
        <v>13611</v>
      </c>
      <c r="N71" s="25">
        <f t="shared" si="9"/>
        <v>164</v>
      </c>
      <c r="O71" s="24">
        <v>61501</v>
      </c>
      <c r="P71" s="23">
        <f t="shared" si="10"/>
        <v>676</v>
      </c>
      <c r="Q71" s="26"/>
      <c r="R71" s="23">
        <f t="shared" si="11"/>
        <v>0</v>
      </c>
      <c r="S71" s="27" t="s">
        <v>19</v>
      </c>
      <c r="T71" s="19" t="s">
        <v>94</v>
      </c>
    </row>
    <row r="72" spans="1:20" ht="37.5" customHeight="1" x14ac:dyDescent="0.25">
      <c r="A72" s="19" t="s">
        <v>95</v>
      </c>
      <c r="B72">
        <f t="shared" si="12"/>
        <v>45693</v>
      </c>
      <c r="C72">
        <v>6392</v>
      </c>
      <c r="D72">
        <v>39301</v>
      </c>
      <c r="F72">
        <f t="shared" si="13"/>
        <v>1722</v>
      </c>
      <c r="G72" s="20">
        <f t="shared" ref="G72:G135" si="14">G71+1</f>
        <v>67</v>
      </c>
      <c r="H72" s="21">
        <v>66621070193</v>
      </c>
      <c r="I72" s="22">
        <v>74</v>
      </c>
      <c r="J72" s="23"/>
      <c r="K72" s="24">
        <v>43971</v>
      </c>
      <c r="L72" s="23">
        <f t="shared" si="8"/>
        <v>1722</v>
      </c>
      <c r="M72" s="24">
        <v>6206</v>
      </c>
      <c r="N72" s="25">
        <f t="shared" si="9"/>
        <v>186</v>
      </c>
      <c r="O72" s="24">
        <v>37765</v>
      </c>
      <c r="P72" s="23">
        <f t="shared" si="10"/>
        <v>1536</v>
      </c>
      <c r="Q72" s="26"/>
      <c r="R72" s="23">
        <f t="shared" si="11"/>
        <v>0</v>
      </c>
      <c r="S72" s="27" t="s">
        <v>19</v>
      </c>
      <c r="T72" s="19" t="s">
        <v>95</v>
      </c>
    </row>
    <row r="73" spans="1:20" ht="37.5" customHeight="1" x14ac:dyDescent="0.25">
      <c r="A73" s="19" t="s">
        <v>96</v>
      </c>
      <c r="B73">
        <f t="shared" si="12"/>
        <v>1456</v>
      </c>
      <c r="C73">
        <v>191</v>
      </c>
      <c r="D73">
        <v>1265</v>
      </c>
      <c r="F73">
        <f t="shared" si="13"/>
        <v>0</v>
      </c>
      <c r="G73" s="20">
        <f t="shared" si="14"/>
        <v>68</v>
      </c>
      <c r="H73" s="21">
        <v>66616020420</v>
      </c>
      <c r="I73" s="22">
        <v>75</v>
      </c>
      <c r="J73" s="23"/>
      <c r="K73" s="24">
        <v>1456</v>
      </c>
      <c r="L73" s="23">
        <f t="shared" si="8"/>
        <v>0</v>
      </c>
      <c r="M73" s="24">
        <v>191</v>
      </c>
      <c r="N73" s="25">
        <f t="shared" si="9"/>
        <v>0</v>
      </c>
      <c r="O73" s="24">
        <v>1265</v>
      </c>
      <c r="P73" s="23">
        <f t="shared" si="10"/>
        <v>0</v>
      </c>
      <c r="Q73" s="26"/>
      <c r="R73" s="23">
        <f t="shared" si="11"/>
        <v>0</v>
      </c>
      <c r="S73" s="27" t="s">
        <v>19</v>
      </c>
      <c r="T73" s="19" t="s">
        <v>96</v>
      </c>
    </row>
    <row r="74" spans="1:20" ht="37.5" customHeight="1" x14ac:dyDescent="0.25">
      <c r="A74" s="19" t="s">
        <v>97</v>
      </c>
      <c r="B74">
        <f t="shared" si="12"/>
        <v>23979</v>
      </c>
      <c r="C74">
        <v>5892</v>
      </c>
      <c r="D74">
        <v>18087</v>
      </c>
      <c r="E74">
        <v>31712</v>
      </c>
      <c r="F74">
        <f t="shared" si="13"/>
        <v>1327</v>
      </c>
      <c r="G74" s="20">
        <f t="shared" si="14"/>
        <v>69</v>
      </c>
      <c r="H74" s="21">
        <v>99723040082</v>
      </c>
      <c r="I74" s="22">
        <v>76</v>
      </c>
      <c r="J74" s="23"/>
      <c r="K74" s="24">
        <f>M74+O74</f>
        <v>22652</v>
      </c>
      <c r="L74" s="23">
        <f t="shared" si="8"/>
        <v>1327</v>
      </c>
      <c r="M74" s="24">
        <v>5569</v>
      </c>
      <c r="N74" s="25">
        <f t="shared" si="9"/>
        <v>323</v>
      </c>
      <c r="O74" s="24">
        <v>17083</v>
      </c>
      <c r="P74" s="23">
        <f t="shared" si="10"/>
        <v>1004</v>
      </c>
      <c r="Q74" s="26">
        <v>29902</v>
      </c>
      <c r="R74" s="23">
        <f t="shared" si="11"/>
        <v>1810</v>
      </c>
      <c r="S74" s="27" t="s">
        <v>19</v>
      </c>
      <c r="T74" s="19" t="s">
        <v>97</v>
      </c>
    </row>
    <row r="75" spans="1:20" ht="37.5" customHeight="1" x14ac:dyDescent="0.25">
      <c r="A75" s="19" t="s">
        <v>98</v>
      </c>
      <c r="B75">
        <f t="shared" si="12"/>
        <v>9115</v>
      </c>
      <c r="C75">
        <v>2262</v>
      </c>
      <c r="D75">
        <v>6853</v>
      </c>
      <c r="E75">
        <v>16394</v>
      </c>
      <c r="F75">
        <f t="shared" si="13"/>
        <v>433</v>
      </c>
      <c r="G75" s="20">
        <f t="shared" si="14"/>
        <v>70</v>
      </c>
      <c r="H75" s="21">
        <v>99723060168</v>
      </c>
      <c r="I75" s="22">
        <v>77</v>
      </c>
      <c r="J75" s="23"/>
      <c r="K75" s="24">
        <f>M75+O75</f>
        <v>8682</v>
      </c>
      <c r="L75" s="23">
        <f t="shared" si="8"/>
        <v>433</v>
      </c>
      <c r="M75" s="24">
        <v>2155</v>
      </c>
      <c r="N75" s="25">
        <f t="shared" si="9"/>
        <v>107</v>
      </c>
      <c r="O75" s="24">
        <v>6527</v>
      </c>
      <c r="P75" s="23">
        <f t="shared" si="10"/>
        <v>326</v>
      </c>
      <c r="Q75" s="26">
        <v>15202</v>
      </c>
      <c r="R75" s="23">
        <f t="shared" si="11"/>
        <v>1192</v>
      </c>
      <c r="S75" s="27" t="s">
        <v>19</v>
      </c>
      <c r="T75" s="19" t="s">
        <v>98</v>
      </c>
    </row>
    <row r="76" spans="1:20" ht="37.5" customHeight="1" x14ac:dyDescent="0.25">
      <c r="A76" s="19" t="s">
        <v>99</v>
      </c>
      <c r="B76">
        <f t="shared" si="12"/>
        <v>6669</v>
      </c>
      <c r="C76">
        <v>1530</v>
      </c>
      <c r="D76">
        <v>5139</v>
      </c>
      <c r="E76">
        <v>7770</v>
      </c>
      <c r="F76">
        <f t="shared" si="13"/>
        <v>545</v>
      </c>
      <c r="G76" s="20">
        <f t="shared" si="14"/>
        <v>71</v>
      </c>
      <c r="H76" s="21">
        <v>99624030036</v>
      </c>
      <c r="I76" s="22">
        <v>79</v>
      </c>
      <c r="J76" s="23"/>
      <c r="K76" s="24">
        <f>M76+O76</f>
        <v>6124</v>
      </c>
      <c r="L76" s="23">
        <f t="shared" si="8"/>
        <v>545</v>
      </c>
      <c r="M76" s="24">
        <v>1382</v>
      </c>
      <c r="N76" s="25">
        <f t="shared" si="9"/>
        <v>148</v>
      </c>
      <c r="O76" s="24">
        <v>4742</v>
      </c>
      <c r="P76" s="23">
        <f t="shared" si="10"/>
        <v>397</v>
      </c>
      <c r="Q76" s="26">
        <v>6279</v>
      </c>
      <c r="R76" s="23">
        <f t="shared" si="11"/>
        <v>1491</v>
      </c>
      <c r="S76" s="27" t="s">
        <v>19</v>
      </c>
      <c r="T76" s="19" t="s">
        <v>99</v>
      </c>
    </row>
    <row r="77" spans="1:20" ht="37.5" customHeight="1" x14ac:dyDescent="0.25">
      <c r="A77" s="19" t="s">
        <v>100</v>
      </c>
      <c r="B77">
        <f t="shared" si="12"/>
        <v>9970</v>
      </c>
      <c r="C77">
        <v>2200</v>
      </c>
      <c r="D77">
        <v>7770</v>
      </c>
      <c r="E77">
        <v>8893</v>
      </c>
      <c r="F77">
        <f t="shared" si="13"/>
        <v>563</v>
      </c>
      <c r="G77" s="20">
        <f t="shared" si="14"/>
        <v>72</v>
      </c>
      <c r="H77" s="21">
        <v>99624020066</v>
      </c>
      <c r="I77" s="22">
        <v>80</v>
      </c>
      <c r="J77" s="23"/>
      <c r="K77" s="24">
        <f>M77+O77</f>
        <v>9407</v>
      </c>
      <c r="L77" s="23">
        <f t="shared" si="8"/>
        <v>563</v>
      </c>
      <c r="M77" s="24">
        <v>2055</v>
      </c>
      <c r="N77" s="25">
        <f t="shared" si="9"/>
        <v>145</v>
      </c>
      <c r="O77" s="24">
        <v>7352</v>
      </c>
      <c r="P77" s="23">
        <f t="shared" si="10"/>
        <v>418</v>
      </c>
      <c r="Q77" s="26">
        <v>7498</v>
      </c>
      <c r="R77" s="23">
        <f t="shared" si="11"/>
        <v>1395</v>
      </c>
      <c r="S77" s="27" t="s">
        <v>19</v>
      </c>
      <c r="T77" s="19" t="s">
        <v>100</v>
      </c>
    </row>
    <row r="78" spans="1:20" ht="37.5" customHeight="1" x14ac:dyDescent="0.25">
      <c r="A78" s="19" t="s">
        <v>101</v>
      </c>
      <c r="B78">
        <f t="shared" si="12"/>
        <v>8067</v>
      </c>
      <c r="C78">
        <v>2278</v>
      </c>
      <c r="D78">
        <v>5789</v>
      </c>
      <c r="E78">
        <v>10646</v>
      </c>
      <c r="F78">
        <f t="shared" si="13"/>
        <v>416</v>
      </c>
      <c r="G78" s="20">
        <f t="shared" si="14"/>
        <v>73</v>
      </c>
      <c r="H78" s="21">
        <v>99623080288</v>
      </c>
      <c r="I78" s="22">
        <v>81</v>
      </c>
      <c r="J78" s="23"/>
      <c r="K78" s="24">
        <f>M78+O78</f>
        <v>7651</v>
      </c>
      <c r="L78" s="23">
        <f t="shared" si="8"/>
        <v>416</v>
      </c>
      <c r="M78" s="24">
        <v>2155</v>
      </c>
      <c r="N78" s="25">
        <f t="shared" si="9"/>
        <v>123</v>
      </c>
      <c r="O78" s="24">
        <v>5496</v>
      </c>
      <c r="P78" s="23">
        <f t="shared" si="10"/>
        <v>293</v>
      </c>
      <c r="Q78" s="26">
        <v>9678</v>
      </c>
      <c r="R78" s="23">
        <f t="shared" si="11"/>
        <v>968</v>
      </c>
      <c r="S78" s="27" t="s">
        <v>19</v>
      </c>
      <c r="T78" s="19" t="s">
        <v>101</v>
      </c>
    </row>
    <row r="79" spans="1:20" ht="37.5" customHeight="1" x14ac:dyDescent="0.25">
      <c r="A79" s="19" t="s">
        <v>102</v>
      </c>
      <c r="B79">
        <f t="shared" si="12"/>
        <v>86382</v>
      </c>
      <c r="C79">
        <v>14536</v>
      </c>
      <c r="D79">
        <v>71846</v>
      </c>
      <c r="F79">
        <f t="shared" si="13"/>
        <v>38</v>
      </c>
      <c r="G79" s="20">
        <f t="shared" si="14"/>
        <v>74</v>
      </c>
      <c r="H79" s="21">
        <v>23012010186</v>
      </c>
      <c r="I79" s="22">
        <v>82</v>
      </c>
      <c r="J79" s="23"/>
      <c r="K79" s="24">
        <v>86344</v>
      </c>
      <c r="L79" s="23">
        <f t="shared" si="8"/>
        <v>38</v>
      </c>
      <c r="M79" s="24">
        <v>14529</v>
      </c>
      <c r="N79" s="25">
        <f t="shared" si="9"/>
        <v>7</v>
      </c>
      <c r="O79" s="24">
        <v>71815</v>
      </c>
      <c r="P79" s="23">
        <f t="shared" si="10"/>
        <v>31</v>
      </c>
      <c r="Q79" s="26"/>
      <c r="R79" s="23">
        <f t="shared" si="11"/>
        <v>0</v>
      </c>
      <c r="S79" s="27" t="s">
        <v>19</v>
      </c>
      <c r="T79" s="19" t="s">
        <v>102</v>
      </c>
    </row>
    <row r="80" spans="1:20" ht="37.5" customHeight="1" x14ac:dyDescent="0.25">
      <c r="A80" s="19" t="s">
        <v>103</v>
      </c>
      <c r="B80">
        <f t="shared" si="12"/>
        <v>18287</v>
      </c>
      <c r="C80">
        <v>3175</v>
      </c>
      <c r="D80">
        <v>15112</v>
      </c>
      <c r="F80">
        <f t="shared" si="13"/>
        <v>102</v>
      </c>
      <c r="G80" s="20">
        <f t="shared" si="14"/>
        <v>75</v>
      </c>
      <c r="H80" s="21">
        <v>23014090603</v>
      </c>
      <c r="I80" s="22">
        <v>83</v>
      </c>
      <c r="J80" s="23"/>
      <c r="K80" s="24">
        <v>18185</v>
      </c>
      <c r="L80" s="23">
        <f t="shared" si="8"/>
        <v>102</v>
      </c>
      <c r="M80" s="24">
        <v>3158</v>
      </c>
      <c r="N80" s="25">
        <f t="shared" si="9"/>
        <v>17</v>
      </c>
      <c r="O80" s="24">
        <v>15027</v>
      </c>
      <c r="P80" s="23">
        <f t="shared" si="10"/>
        <v>85</v>
      </c>
      <c r="Q80" s="26"/>
      <c r="R80" s="23">
        <f t="shared" si="11"/>
        <v>0</v>
      </c>
      <c r="S80" s="27" t="s">
        <v>19</v>
      </c>
      <c r="T80" s="19" t="s">
        <v>103</v>
      </c>
    </row>
    <row r="81" spans="1:20" ht="37.5" customHeight="1" x14ac:dyDescent="0.25">
      <c r="A81" s="19" t="s">
        <v>104</v>
      </c>
      <c r="B81">
        <f t="shared" si="12"/>
        <v>35475</v>
      </c>
      <c r="C81">
        <v>7768</v>
      </c>
      <c r="D81">
        <v>27707</v>
      </c>
      <c r="E81">
        <v>31489</v>
      </c>
      <c r="F81">
        <f t="shared" si="13"/>
        <v>1253</v>
      </c>
      <c r="G81" s="20">
        <f t="shared" si="14"/>
        <v>76</v>
      </c>
      <c r="H81" s="21">
        <v>99622010043</v>
      </c>
      <c r="I81" s="22">
        <v>85</v>
      </c>
      <c r="J81" s="23"/>
      <c r="K81" s="24">
        <f>M81+O81</f>
        <v>34222</v>
      </c>
      <c r="L81" s="23">
        <f t="shared" si="8"/>
        <v>1253</v>
      </c>
      <c r="M81" s="24">
        <v>7471</v>
      </c>
      <c r="N81" s="25">
        <f t="shared" si="9"/>
        <v>297</v>
      </c>
      <c r="O81" s="24">
        <v>26751</v>
      </c>
      <c r="P81" s="23">
        <f t="shared" si="10"/>
        <v>956</v>
      </c>
      <c r="Q81" s="26">
        <v>30178</v>
      </c>
      <c r="R81" s="23">
        <f t="shared" si="11"/>
        <v>1311</v>
      </c>
      <c r="S81" s="27" t="s">
        <v>19</v>
      </c>
      <c r="T81" s="19" t="s">
        <v>104</v>
      </c>
    </row>
    <row r="82" spans="1:20" ht="37.5" customHeight="1" x14ac:dyDescent="0.25">
      <c r="A82" s="19" t="s">
        <v>105</v>
      </c>
      <c r="B82">
        <f t="shared" si="12"/>
        <v>8016</v>
      </c>
      <c r="C82">
        <v>1586</v>
      </c>
      <c r="D82">
        <v>6430</v>
      </c>
      <c r="F82">
        <f t="shared" si="13"/>
        <v>643</v>
      </c>
      <c r="G82" s="20">
        <f t="shared" si="14"/>
        <v>77</v>
      </c>
      <c r="H82" s="21">
        <v>88819050229</v>
      </c>
      <c r="I82" s="22">
        <v>86</v>
      </c>
      <c r="J82" s="23"/>
      <c r="K82" s="24">
        <v>7373</v>
      </c>
      <c r="L82" s="23">
        <f t="shared" si="8"/>
        <v>643</v>
      </c>
      <c r="M82" s="24">
        <v>1463</v>
      </c>
      <c r="N82" s="25">
        <f t="shared" si="9"/>
        <v>123</v>
      </c>
      <c r="O82" s="24">
        <v>5910</v>
      </c>
      <c r="P82" s="23">
        <f t="shared" si="10"/>
        <v>520</v>
      </c>
      <c r="Q82" s="26"/>
      <c r="R82" s="23">
        <f t="shared" si="11"/>
        <v>0</v>
      </c>
      <c r="S82" s="27" t="s">
        <v>19</v>
      </c>
      <c r="T82" s="19" t="s">
        <v>105</v>
      </c>
    </row>
    <row r="83" spans="1:20" ht="37.5" customHeight="1" x14ac:dyDescent="0.25">
      <c r="A83" s="19" t="s">
        <v>106</v>
      </c>
      <c r="B83">
        <f t="shared" si="12"/>
        <v>6086</v>
      </c>
      <c r="C83">
        <v>1600</v>
      </c>
      <c r="D83">
        <v>4486</v>
      </c>
      <c r="E83">
        <v>5199</v>
      </c>
      <c r="F83">
        <f t="shared" si="13"/>
        <v>509</v>
      </c>
      <c r="G83" s="20">
        <f t="shared" si="14"/>
        <v>78</v>
      </c>
      <c r="H83" s="21">
        <v>99624030062</v>
      </c>
      <c r="I83" s="22">
        <v>87</v>
      </c>
      <c r="J83" s="23"/>
      <c r="K83" s="24">
        <f>M83+O83</f>
        <v>5577</v>
      </c>
      <c r="L83" s="23">
        <f t="shared" si="8"/>
        <v>509</v>
      </c>
      <c r="M83" s="24">
        <v>1469</v>
      </c>
      <c r="N83" s="25">
        <f t="shared" si="9"/>
        <v>131</v>
      </c>
      <c r="O83" s="24">
        <v>4108</v>
      </c>
      <c r="P83" s="23">
        <f t="shared" si="10"/>
        <v>378</v>
      </c>
      <c r="Q83" s="26">
        <v>4241</v>
      </c>
      <c r="R83" s="23">
        <f t="shared" si="11"/>
        <v>958</v>
      </c>
      <c r="S83" s="27" t="s">
        <v>19</v>
      </c>
      <c r="T83" s="19" t="s">
        <v>106</v>
      </c>
    </row>
    <row r="84" spans="1:20" ht="37.5" customHeight="1" x14ac:dyDescent="0.25">
      <c r="A84" s="19" t="s">
        <v>107</v>
      </c>
      <c r="B84">
        <f t="shared" si="12"/>
        <v>6807</v>
      </c>
      <c r="C84">
        <v>1427</v>
      </c>
      <c r="D84">
        <v>5380</v>
      </c>
      <c r="E84">
        <v>7404</v>
      </c>
      <c r="F84">
        <f t="shared" si="13"/>
        <v>534</v>
      </c>
      <c r="G84" s="20">
        <f t="shared" si="14"/>
        <v>79</v>
      </c>
      <c r="H84" s="21">
        <v>99624030063</v>
      </c>
      <c r="I84" s="22" t="s">
        <v>108</v>
      </c>
      <c r="J84" s="23"/>
      <c r="K84" s="24">
        <f>M84+O84</f>
        <v>6273</v>
      </c>
      <c r="L84" s="23">
        <f t="shared" si="8"/>
        <v>534</v>
      </c>
      <c r="M84" s="24">
        <v>1301</v>
      </c>
      <c r="N84" s="25">
        <f t="shared" si="9"/>
        <v>126</v>
      </c>
      <c r="O84" s="24">
        <v>4972</v>
      </c>
      <c r="P84" s="23">
        <f t="shared" si="10"/>
        <v>408</v>
      </c>
      <c r="Q84" s="26">
        <v>6189</v>
      </c>
      <c r="R84" s="23">
        <f t="shared" si="11"/>
        <v>1215</v>
      </c>
      <c r="S84" s="27" t="s">
        <v>19</v>
      </c>
      <c r="T84" s="19" t="s">
        <v>107</v>
      </c>
    </row>
    <row r="85" spans="1:20" ht="37.5" customHeight="1" x14ac:dyDescent="0.25">
      <c r="A85" s="19" t="s">
        <v>109</v>
      </c>
      <c r="B85">
        <f t="shared" si="12"/>
        <v>7066</v>
      </c>
      <c r="C85">
        <v>1621</v>
      </c>
      <c r="D85">
        <v>5445</v>
      </c>
      <c r="E85">
        <v>8035</v>
      </c>
      <c r="F85">
        <f t="shared" si="13"/>
        <v>794</v>
      </c>
      <c r="G85" s="20">
        <f t="shared" si="14"/>
        <v>80</v>
      </c>
      <c r="H85" s="21">
        <v>99624030399</v>
      </c>
      <c r="I85" s="22">
        <v>89</v>
      </c>
      <c r="J85" s="23"/>
      <c r="K85" s="24">
        <f>M85+O85</f>
        <v>6272</v>
      </c>
      <c r="L85" s="23">
        <f t="shared" si="8"/>
        <v>794</v>
      </c>
      <c r="M85" s="24">
        <v>1436</v>
      </c>
      <c r="N85" s="25">
        <f t="shared" si="9"/>
        <v>185</v>
      </c>
      <c r="O85" s="24">
        <v>4836</v>
      </c>
      <c r="P85" s="23">
        <f t="shared" si="10"/>
        <v>609</v>
      </c>
      <c r="Q85" s="26">
        <v>6567</v>
      </c>
      <c r="R85" s="23">
        <f t="shared" si="11"/>
        <v>1468</v>
      </c>
      <c r="S85" s="27" t="s">
        <v>19</v>
      </c>
      <c r="T85" s="19" t="s">
        <v>109</v>
      </c>
    </row>
    <row r="86" spans="1:20" ht="37.5" customHeight="1" x14ac:dyDescent="0.25">
      <c r="A86" s="19" t="s">
        <v>110</v>
      </c>
      <c r="B86">
        <f t="shared" si="12"/>
        <v>38247</v>
      </c>
      <c r="C86">
        <v>7716</v>
      </c>
      <c r="D86">
        <v>30531</v>
      </c>
      <c r="F86">
        <f t="shared" si="13"/>
        <v>438</v>
      </c>
      <c r="G86" s="20">
        <f t="shared" si="14"/>
        <v>81</v>
      </c>
      <c r="H86" s="21">
        <v>66622040328</v>
      </c>
      <c r="I86" s="22">
        <v>90</v>
      </c>
      <c r="J86" s="23"/>
      <c r="K86" s="24">
        <v>37809</v>
      </c>
      <c r="L86" s="23">
        <f t="shared" si="8"/>
        <v>438</v>
      </c>
      <c r="M86" s="24">
        <v>7631</v>
      </c>
      <c r="N86" s="25">
        <f t="shared" si="9"/>
        <v>85</v>
      </c>
      <c r="O86" s="24">
        <v>30178</v>
      </c>
      <c r="P86" s="23">
        <f t="shared" si="10"/>
        <v>353</v>
      </c>
      <c r="Q86" s="26"/>
      <c r="R86" s="23">
        <f t="shared" si="11"/>
        <v>0</v>
      </c>
      <c r="S86" s="27" t="s">
        <v>19</v>
      </c>
      <c r="T86" s="19" t="s">
        <v>110</v>
      </c>
    </row>
    <row r="87" spans="1:20" ht="37.5" customHeight="1" x14ac:dyDescent="0.25">
      <c r="A87" s="19" t="s">
        <v>111</v>
      </c>
      <c r="B87">
        <f t="shared" si="12"/>
        <v>35727</v>
      </c>
      <c r="C87">
        <v>4854</v>
      </c>
      <c r="D87">
        <v>30873</v>
      </c>
      <c r="F87">
        <f t="shared" si="13"/>
        <v>458</v>
      </c>
      <c r="G87" s="20">
        <f t="shared" si="14"/>
        <v>82</v>
      </c>
      <c r="H87" s="21">
        <v>88820010303</v>
      </c>
      <c r="I87" s="22">
        <v>91</v>
      </c>
      <c r="J87" s="23"/>
      <c r="K87" s="24">
        <v>35269</v>
      </c>
      <c r="L87" s="23">
        <f t="shared" si="8"/>
        <v>458</v>
      </c>
      <c r="M87" s="24">
        <v>4784</v>
      </c>
      <c r="N87" s="25">
        <f t="shared" si="9"/>
        <v>70</v>
      </c>
      <c r="O87" s="24">
        <v>30485</v>
      </c>
      <c r="P87" s="23">
        <f t="shared" si="10"/>
        <v>388</v>
      </c>
      <c r="Q87" s="26"/>
      <c r="R87" s="23">
        <f t="shared" si="11"/>
        <v>0</v>
      </c>
      <c r="S87" s="27" t="s">
        <v>19</v>
      </c>
      <c r="T87" s="19" t="s">
        <v>111</v>
      </c>
    </row>
    <row r="88" spans="1:20" ht="37.5" customHeight="1" x14ac:dyDescent="0.25">
      <c r="A88" s="19" t="s">
        <v>112</v>
      </c>
      <c r="B88">
        <f t="shared" si="12"/>
        <v>17088</v>
      </c>
      <c r="C88">
        <v>3440</v>
      </c>
      <c r="D88">
        <v>13648</v>
      </c>
      <c r="F88">
        <f t="shared" si="13"/>
        <v>580</v>
      </c>
      <c r="G88" s="20">
        <f t="shared" si="14"/>
        <v>83</v>
      </c>
      <c r="H88" s="21">
        <v>66621070411</v>
      </c>
      <c r="I88" s="22">
        <v>92</v>
      </c>
      <c r="J88" s="23"/>
      <c r="K88" s="24">
        <v>16508</v>
      </c>
      <c r="L88" s="23">
        <f t="shared" si="8"/>
        <v>580</v>
      </c>
      <c r="M88" s="24">
        <v>3329</v>
      </c>
      <c r="N88" s="25">
        <f t="shared" si="9"/>
        <v>111</v>
      </c>
      <c r="O88" s="24">
        <v>13179</v>
      </c>
      <c r="P88" s="23">
        <f t="shared" si="10"/>
        <v>469</v>
      </c>
      <c r="Q88" s="26"/>
      <c r="R88" s="23">
        <f t="shared" si="11"/>
        <v>0</v>
      </c>
      <c r="S88" s="27" t="s">
        <v>19</v>
      </c>
      <c r="T88" s="19" t="s">
        <v>112</v>
      </c>
    </row>
    <row r="89" spans="1:20" ht="37.5" customHeight="1" x14ac:dyDescent="0.25">
      <c r="A89" s="19" t="s">
        <v>113</v>
      </c>
      <c r="B89">
        <f t="shared" si="12"/>
        <v>43824</v>
      </c>
      <c r="C89">
        <v>6948</v>
      </c>
      <c r="D89">
        <v>36876</v>
      </c>
      <c r="F89">
        <f t="shared" si="13"/>
        <v>97</v>
      </c>
      <c r="G89" s="20">
        <f t="shared" si="14"/>
        <v>84</v>
      </c>
      <c r="H89" s="21">
        <v>88820010483</v>
      </c>
      <c r="I89" s="22">
        <v>93</v>
      </c>
      <c r="J89" s="23"/>
      <c r="K89" s="24">
        <v>43727</v>
      </c>
      <c r="L89" s="23">
        <f t="shared" si="8"/>
        <v>97</v>
      </c>
      <c r="M89" s="24">
        <v>6940</v>
      </c>
      <c r="N89" s="25">
        <f t="shared" si="9"/>
        <v>8</v>
      </c>
      <c r="O89" s="24">
        <v>36787</v>
      </c>
      <c r="P89" s="23">
        <f t="shared" si="10"/>
        <v>89</v>
      </c>
      <c r="Q89" s="26"/>
      <c r="R89" s="23">
        <f t="shared" si="11"/>
        <v>0</v>
      </c>
      <c r="S89" s="27" t="s">
        <v>19</v>
      </c>
      <c r="T89" s="19" t="s">
        <v>113</v>
      </c>
    </row>
    <row r="90" spans="1:20" ht="37.5" customHeight="1" x14ac:dyDescent="0.25">
      <c r="A90" s="19" t="s">
        <v>114</v>
      </c>
      <c r="B90">
        <f t="shared" si="12"/>
        <v>8749</v>
      </c>
      <c r="C90">
        <v>2207</v>
      </c>
      <c r="D90">
        <v>6542</v>
      </c>
      <c r="E90">
        <v>9460</v>
      </c>
      <c r="F90">
        <f t="shared" si="13"/>
        <v>641</v>
      </c>
      <c r="G90" s="20">
        <f t="shared" si="14"/>
        <v>85</v>
      </c>
      <c r="H90" s="21">
        <v>99624010061</v>
      </c>
      <c r="I90" s="22">
        <v>94</v>
      </c>
      <c r="J90" s="23"/>
      <c r="K90" s="24">
        <f>M90+O90</f>
        <v>8108</v>
      </c>
      <c r="L90" s="23">
        <f t="shared" si="8"/>
        <v>641</v>
      </c>
      <c r="M90" s="24">
        <v>2053</v>
      </c>
      <c r="N90" s="25">
        <f t="shared" si="9"/>
        <v>154</v>
      </c>
      <c r="O90" s="24">
        <v>6055</v>
      </c>
      <c r="P90" s="23">
        <f t="shared" si="10"/>
        <v>487</v>
      </c>
      <c r="Q90" s="26">
        <v>8261</v>
      </c>
      <c r="R90" s="23">
        <f t="shared" si="11"/>
        <v>1199</v>
      </c>
      <c r="S90" s="27" t="s">
        <v>19</v>
      </c>
      <c r="T90" s="19" t="s">
        <v>114</v>
      </c>
    </row>
    <row r="91" spans="1:20" ht="37.5" customHeight="1" x14ac:dyDescent="0.25">
      <c r="A91" s="19" t="s">
        <v>115</v>
      </c>
      <c r="B91">
        <f t="shared" si="12"/>
        <v>91070</v>
      </c>
      <c r="C91">
        <v>18508</v>
      </c>
      <c r="D91">
        <v>72562</v>
      </c>
      <c r="F91">
        <f t="shared" si="13"/>
        <v>173</v>
      </c>
      <c r="G91" s="20">
        <f t="shared" si="14"/>
        <v>86</v>
      </c>
      <c r="H91" s="21">
        <v>66601102486</v>
      </c>
      <c r="I91" s="22">
        <v>95</v>
      </c>
      <c r="J91" s="23"/>
      <c r="K91" s="24">
        <v>90897</v>
      </c>
      <c r="L91" s="23">
        <f t="shared" si="8"/>
        <v>173</v>
      </c>
      <c r="M91" s="24">
        <v>18471</v>
      </c>
      <c r="N91" s="25">
        <f t="shared" si="9"/>
        <v>37</v>
      </c>
      <c r="O91" s="24">
        <v>72426</v>
      </c>
      <c r="P91" s="23">
        <f t="shared" si="10"/>
        <v>136</v>
      </c>
      <c r="Q91" s="26"/>
      <c r="R91" s="23">
        <f t="shared" si="11"/>
        <v>0</v>
      </c>
      <c r="S91" s="27" t="s">
        <v>19</v>
      </c>
      <c r="T91" s="19" t="s">
        <v>115</v>
      </c>
    </row>
    <row r="92" spans="1:20" ht="37.5" customHeight="1" x14ac:dyDescent="0.25">
      <c r="A92" s="19" t="s">
        <v>116</v>
      </c>
      <c r="B92">
        <f t="shared" si="12"/>
        <v>91605</v>
      </c>
      <c r="C92">
        <v>16546</v>
      </c>
      <c r="D92">
        <v>75059</v>
      </c>
      <c r="F92">
        <f t="shared" si="13"/>
        <v>867</v>
      </c>
      <c r="G92" s="20">
        <f t="shared" si="14"/>
        <v>87</v>
      </c>
      <c r="H92" s="21">
        <v>88818020149</v>
      </c>
      <c r="I92" s="22">
        <v>96</v>
      </c>
      <c r="J92" s="23"/>
      <c r="K92" s="24">
        <v>90738</v>
      </c>
      <c r="L92" s="23">
        <f t="shared" si="8"/>
        <v>867</v>
      </c>
      <c r="M92" s="24">
        <v>16390</v>
      </c>
      <c r="N92" s="25">
        <f t="shared" si="9"/>
        <v>156</v>
      </c>
      <c r="O92" s="24">
        <v>74348</v>
      </c>
      <c r="P92" s="23">
        <f t="shared" si="10"/>
        <v>711</v>
      </c>
      <c r="Q92" s="26"/>
      <c r="R92" s="23">
        <f t="shared" si="11"/>
        <v>0</v>
      </c>
      <c r="S92" s="27" t="s">
        <v>19</v>
      </c>
      <c r="T92" s="19" t="s">
        <v>116</v>
      </c>
    </row>
    <row r="93" spans="1:20" ht="37.5" customHeight="1" x14ac:dyDescent="0.25">
      <c r="A93" s="19" t="s">
        <v>117</v>
      </c>
      <c r="B93">
        <f t="shared" si="12"/>
        <v>25167</v>
      </c>
      <c r="C93">
        <v>4065</v>
      </c>
      <c r="D93">
        <v>21102</v>
      </c>
      <c r="F93">
        <f t="shared" si="13"/>
        <v>384</v>
      </c>
      <c r="G93" s="20">
        <f t="shared" si="14"/>
        <v>88</v>
      </c>
      <c r="H93" s="21">
        <v>88819020215</v>
      </c>
      <c r="I93" s="22">
        <v>97</v>
      </c>
      <c r="J93" s="23"/>
      <c r="K93" s="24">
        <v>24783</v>
      </c>
      <c r="L93" s="23">
        <f t="shared" si="8"/>
        <v>384</v>
      </c>
      <c r="M93" s="24">
        <v>4004</v>
      </c>
      <c r="N93" s="25">
        <f t="shared" si="9"/>
        <v>61</v>
      </c>
      <c r="O93" s="24">
        <v>20779</v>
      </c>
      <c r="P93" s="23">
        <f t="shared" si="10"/>
        <v>323</v>
      </c>
      <c r="Q93" s="26"/>
      <c r="R93" s="23">
        <f t="shared" si="11"/>
        <v>0</v>
      </c>
      <c r="S93" s="27" t="s">
        <v>19</v>
      </c>
      <c r="T93" s="19" t="s">
        <v>117</v>
      </c>
    </row>
    <row r="94" spans="1:20" ht="37.5" customHeight="1" x14ac:dyDescent="0.25">
      <c r="A94" s="19" t="s">
        <v>118</v>
      </c>
      <c r="B94">
        <f t="shared" si="12"/>
        <v>111839</v>
      </c>
      <c r="C94">
        <v>30366</v>
      </c>
      <c r="D94">
        <v>81473</v>
      </c>
      <c r="F94">
        <f t="shared" si="13"/>
        <v>280</v>
      </c>
      <c r="G94" s="20">
        <f t="shared" si="14"/>
        <v>89</v>
      </c>
      <c r="H94" s="21">
        <v>23011120058</v>
      </c>
      <c r="I94" s="22">
        <v>99</v>
      </c>
      <c r="J94" s="23"/>
      <c r="K94" s="24">
        <v>111559</v>
      </c>
      <c r="L94" s="23">
        <f t="shared" si="8"/>
        <v>280</v>
      </c>
      <c r="M94" s="24">
        <v>30316</v>
      </c>
      <c r="N94" s="25">
        <f t="shared" si="9"/>
        <v>50</v>
      </c>
      <c r="O94" s="24">
        <v>81243</v>
      </c>
      <c r="P94" s="23">
        <f t="shared" si="10"/>
        <v>230</v>
      </c>
      <c r="Q94" s="26"/>
      <c r="R94" s="23">
        <f t="shared" si="11"/>
        <v>0</v>
      </c>
      <c r="S94" s="27" t="s">
        <v>19</v>
      </c>
      <c r="T94" s="19" t="s">
        <v>118</v>
      </c>
    </row>
    <row r="95" spans="1:20" ht="37.5" customHeight="1" x14ac:dyDescent="0.25">
      <c r="A95" s="19" t="s">
        <v>119</v>
      </c>
      <c r="B95">
        <f t="shared" si="12"/>
        <v>51367</v>
      </c>
      <c r="C95">
        <v>8441</v>
      </c>
      <c r="D95">
        <v>42926</v>
      </c>
      <c r="F95">
        <f t="shared" si="13"/>
        <v>553</v>
      </c>
      <c r="G95" s="20">
        <f t="shared" si="14"/>
        <v>90</v>
      </c>
      <c r="H95" s="21">
        <v>88818020394</v>
      </c>
      <c r="I95" s="22" t="s">
        <v>120</v>
      </c>
      <c r="J95" s="23"/>
      <c r="K95" s="24">
        <v>50814</v>
      </c>
      <c r="L95" s="23">
        <f t="shared" si="8"/>
        <v>553</v>
      </c>
      <c r="M95" s="24">
        <v>8332</v>
      </c>
      <c r="N95" s="25">
        <f t="shared" si="9"/>
        <v>109</v>
      </c>
      <c r="O95" s="24">
        <v>42482</v>
      </c>
      <c r="P95" s="23">
        <f t="shared" si="10"/>
        <v>444</v>
      </c>
      <c r="Q95" s="26"/>
      <c r="R95" s="23">
        <f t="shared" si="11"/>
        <v>0</v>
      </c>
      <c r="S95" s="27" t="s">
        <v>19</v>
      </c>
      <c r="T95" s="19" t="s">
        <v>119</v>
      </c>
    </row>
    <row r="96" spans="1:20" ht="37.5" customHeight="1" x14ac:dyDescent="0.25">
      <c r="A96" s="19" t="s">
        <v>121</v>
      </c>
      <c r="B96">
        <f t="shared" si="12"/>
        <v>14748</v>
      </c>
      <c r="C96">
        <v>2127</v>
      </c>
      <c r="D96">
        <v>12621</v>
      </c>
      <c r="F96">
        <f t="shared" si="13"/>
        <v>610</v>
      </c>
      <c r="G96" s="20">
        <f t="shared" si="14"/>
        <v>91</v>
      </c>
      <c r="H96" s="21">
        <v>66621040416</v>
      </c>
      <c r="I96" s="22" t="s">
        <v>122</v>
      </c>
      <c r="J96" s="23"/>
      <c r="K96" s="24">
        <v>14138</v>
      </c>
      <c r="L96" s="23">
        <f t="shared" si="8"/>
        <v>610</v>
      </c>
      <c r="M96" s="24">
        <v>2001</v>
      </c>
      <c r="N96" s="25">
        <f t="shared" si="9"/>
        <v>126</v>
      </c>
      <c r="O96" s="24">
        <v>12137</v>
      </c>
      <c r="P96" s="23">
        <f t="shared" si="10"/>
        <v>484</v>
      </c>
      <c r="Q96" s="26"/>
      <c r="R96" s="23">
        <f t="shared" si="11"/>
        <v>0</v>
      </c>
      <c r="S96" s="27" t="s">
        <v>19</v>
      </c>
      <c r="T96" s="19" t="s">
        <v>121</v>
      </c>
    </row>
    <row r="97" spans="1:20" ht="37.5" customHeight="1" x14ac:dyDescent="0.25">
      <c r="A97" s="19" t="s">
        <v>123</v>
      </c>
      <c r="B97">
        <f t="shared" si="12"/>
        <v>7464</v>
      </c>
      <c r="C97">
        <v>1820</v>
      </c>
      <c r="D97">
        <v>5644</v>
      </c>
      <c r="E97">
        <v>7982</v>
      </c>
      <c r="F97">
        <f t="shared" si="13"/>
        <v>295</v>
      </c>
      <c r="G97" s="20">
        <f t="shared" si="14"/>
        <v>92</v>
      </c>
      <c r="H97" s="21">
        <v>99624010119</v>
      </c>
      <c r="I97" s="22">
        <v>100</v>
      </c>
      <c r="J97" s="23"/>
      <c r="K97" s="24">
        <f>M97+O97</f>
        <v>7169</v>
      </c>
      <c r="L97" s="23">
        <f t="shared" si="8"/>
        <v>295</v>
      </c>
      <c r="M97" s="24">
        <v>1727</v>
      </c>
      <c r="N97" s="25">
        <f t="shared" si="9"/>
        <v>93</v>
      </c>
      <c r="O97" s="24">
        <v>5442</v>
      </c>
      <c r="P97" s="23">
        <f t="shared" si="10"/>
        <v>202</v>
      </c>
      <c r="Q97" s="26">
        <v>6914</v>
      </c>
      <c r="R97" s="23">
        <f t="shared" si="11"/>
        <v>1068</v>
      </c>
      <c r="S97" s="27" t="s">
        <v>19</v>
      </c>
      <c r="T97" s="19" t="s">
        <v>123</v>
      </c>
    </row>
    <row r="98" spans="1:20" ht="37.5" customHeight="1" x14ac:dyDescent="0.25">
      <c r="A98" s="19" t="s">
        <v>124</v>
      </c>
      <c r="B98">
        <f t="shared" si="12"/>
        <v>6130</v>
      </c>
      <c r="C98">
        <v>1847</v>
      </c>
      <c r="D98">
        <v>4283</v>
      </c>
      <c r="E98">
        <v>11786</v>
      </c>
      <c r="F98">
        <f t="shared" si="13"/>
        <v>294</v>
      </c>
      <c r="G98" s="20">
        <f t="shared" si="14"/>
        <v>93</v>
      </c>
      <c r="H98" s="21">
        <v>99624010149</v>
      </c>
      <c r="I98" s="22">
        <v>101</v>
      </c>
      <c r="J98" s="23"/>
      <c r="K98" s="24">
        <f>M98+O98</f>
        <v>5836</v>
      </c>
      <c r="L98" s="23">
        <f t="shared" si="8"/>
        <v>294</v>
      </c>
      <c r="M98" s="24">
        <v>1770</v>
      </c>
      <c r="N98" s="25">
        <f t="shared" si="9"/>
        <v>77</v>
      </c>
      <c r="O98" s="24">
        <v>4066</v>
      </c>
      <c r="P98" s="23">
        <f t="shared" si="10"/>
        <v>217</v>
      </c>
      <c r="Q98" s="26">
        <v>10262</v>
      </c>
      <c r="R98" s="23">
        <f t="shared" si="11"/>
        <v>1524</v>
      </c>
      <c r="S98" s="27" t="s">
        <v>19</v>
      </c>
      <c r="T98" s="19" t="s">
        <v>124</v>
      </c>
    </row>
    <row r="99" spans="1:20" ht="37.5" customHeight="1" x14ac:dyDescent="0.25">
      <c r="A99" s="19" t="s">
        <v>125</v>
      </c>
      <c r="B99">
        <f t="shared" si="12"/>
        <v>2590</v>
      </c>
      <c r="C99">
        <v>291</v>
      </c>
      <c r="D99">
        <v>2299</v>
      </c>
      <c r="F99">
        <f t="shared" si="13"/>
        <v>61</v>
      </c>
      <c r="G99" s="20">
        <f t="shared" si="14"/>
        <v>94</v>
      </c>
      <c r="H99" s="21">
        <v>66622060567</v>
      </c>
      <c r="I99" s="22">
        <v>102</v>
      </c>
      <c r="J99" s="23"/>
      <c r="K99" s="24">
        <v>2529</v>
      </c>
      <c r="L99" s="23">
        <f t="shared" si="8"/>
        <v>61</v>
      </c>
      <c r="M99" s="24">
        <v>282</v>
      </c>
      <c r="N99" s="25">
        <f t="shared" si="9"/>
        <v>9</v>
      </c>
      <c r="O99" s="24">
        <v>2247</v>
      </c>
      <c r="P99" s="23">
        <f t="shared" si="10"/>
        <v>52</v>
      </c>
      <c r="Q99" s="26"/>
      <c r="R99" s="23">
        <f t="shared" si="11"/>
        <v>0</v>
      </c>
      <c r="S99" s="27" t="s">
        <v>19</v>
      </c>
      <c r="T99" s="19" t="s">
        <v>125</v>
      </c>
    </row>
    <row r="100" spans="1:20" ht="37.5" customHeight="1" x14ac:dyDescent="0.25">
      <c r="A100" s="19" t="s">
        <v>126</v>
      </c>
      <c r="B100">
        <f t="shared" si="12"/>
        <v>18677</v>
      </c>
      <c r="C100">
        <v>3934</v>
      </c>
      <c r="D100">
        <v>14743</v>
      </c>
      <c r="E100">
        <v>14800</v>
      </c>
      <c r="F100">
        <f t="shared" si="13"/>
        <v>841</v>
      </c>
      <c r="G100" s="20">
        <f t="shared" si="14"/>
        <v>95</v>
      </c>
      <c r="H100" s="21">
        <v>99723060190</v>
      </c>
      <c r="I100" s="22">
        <v>104</v>
      </c>
      <c r="J100" s="23"/>
      <c r="K100" s="24">
        <f>M100+O100</f>
        <v>17836</v>
      </c>
      <c r="L100" s="23">
        <f t="shared" si="8"/>
        <v>841</v>
      </c>
      <c r="M100" s="24">
        <v>3821</v>
      </c>
      <c r="N100" s="25">
        <f t="shared" si="9"/>
        <v>113</v>
      </c>
      <c r="O100" s="24">
        <v>14015</v>
      </c>
      <c r="P100" s="23">
        <f t="shared" si="10"/>
        <v>728</v>
      </c>
      <c r="Q100" s="26">
        <v>13663</v>
      </c>
      <c r="R100" s="23">
        <f t="shared" si="11"/>
        <v>1137</v>
      </c>
      <c r="S100" s="27" t="s">
        <v>19</v>
      </c>
      <c r="T100" s="19" t="s">
        <v>126</v>
      </c>
    </row>
    <row r="101" spans="1:20" ht="37.5" customHeight="1" x14ac:dyDescent="0.25">
      <c r="A101" s="19" t="s">
        <v>127</v>
      </c>
      <c r="B101">
        <f t="shared" si="12"/>
        <v>5505</v>
      </c>
      <c r="C101">
        <v>939</v>
      </c>
      <c r="D101">
        <v>4566</v>
      </c>
      <c r="E101">
        <v>6818</v>
      </c>
      <c r="F101">
        <f t="shared" si="13"/>
        <v>548</v>
      </c>
      <c r="G101" s="20">
        <f t="shared" si="14"/>
        <v>96</v>
      </c>
      <c r="H101" s="21">
        <v>99624040151</v>
      </c>
      <c r="I101" s="22">
        <v>106</v>
      </c>
      <c r="J101" s="23"/>
      <c r="K101" s="24">
        <f>M101+O101</f>
        <v>4957</v>
      </c>
      <c r="L101" s="23">
        <f t="shared" si="8"/>
        <v>548</v>
      </c>
      <c r="M101" s="24">
        <v>877</v>
      </c>
      <c r="N101" s="25">
        <f t="shared" si="9"/>
        <v>62</v>
      </c>
      <c r="O101" s="24">
        <v>4080</v>
      </c>
      <c r="P101" s="23">
        <f t="shared" si="10"/>
        <v>486</v>
      </c>
      <c r="Q101" s="26">
        <v>5681</v>
      </c>
      <c r="R101" s="23">
        <f t="shared" si="11"/>
        <v>1137</v>
      </c>
      <c r="S101" s="27" t="s">
        <v>19</v>
      </c>
      <c r="T101" s="19" t="s">
        <v>127</v>
      </c>
    </row>
    <row r="102" spans="1:20" ht="37.5" customHeight="1" x14ac:dyDescent="0.25">
      <c r="A102" s="19" t="s">
        <v>128</v>
      </c>
      <c r="B102">
        <f t="shared" si="12"/>
        <v>9073</v>
      </c>
      <c r="C102">
        <v>2362</v>
      </c>
      <c r="D102">
        <v>6711</v>
      </c>
      <c r="E102">
        <v>9371</v>
      </c>
      <c r="F102">
        <f t="shared" si="13"/>
        <v>350</v>
      </c>
      <c r="G102" s="20">
        <f t="shared" si="14"/>
        <v>97</v>
      </c>
      <c r="H102" s="21">
        <v>99723010086</v>
      </c>
      <c r="I102" s="22">
        <v>109</v>
      </c>
      <c r="J102" s="23"/>
      <c r="K102" s="24">
        <f>M102+O102</f>
        <v>8723</v>
      </c>
      <c r="L102" s="23">
        <f t="shared" si="8"/>
        <v>350</v>
      </c>
      <c r="M102" s="24">
        <v>2254</v>
      </c>
      <c r="N102" s="25">
        <f t="shared" si="9"/>
        <v>108</v>
      </c>
      <c r="O102" s="24">
        <v>6469</v>
      </c>
      <c r="P102" s="23">
        <f t="shared" si="10"/>
        <v>242</v>
      </c>
      <c r="Q102" s="26">
        <v>8858</v>
      </c>
      <c r="R102" s="23">
        <f t="shared" si="11"/>
        <v>513</v>
      </c>
      <c r="S102" s="27" t="s">
        <v>19</v>
      </c>
      <c r="T102" s="19" t="s">
        <v>128</v>
      </c>
    </row>
    <row r="103" spans="1:20" ht="37.5" customHeight="1" x14ac:dyDescent="0.25">
      <c r="A103" s="19" t="s">
        <v>129</v>
      </c>
      <c r="B103">
        <f t="shared" si="12"/>
        <v>6957</v>
      </c>
      <c r="C103">
        <v>1073</v>
      </c>
      <c r="D103">
        <v>5884</v>
      </c>
      <c r="F103">
        <f t="shared" si="13"/>
        <v>73</v>
      </c>
      <c r="G103" s="20">
        <f t="shared" si="14"/>
        <v>98</v>
      </c>
      <c r="H103" s="21">
        <v>88818010204</v>
      </c>
      <c r="I103" s="22">
        <v>110</v>
      </c>
      <c r="J103" s="23"/>
      <c r="K103" s="24">
        <v>6884</v>
      </c>
      <c r="L103" s="23">
        <f t="shared" si="8"/>
        <v>73</v>
      </c>
      <c r="M103" s="24">
        <v>1057</v>
      </c>
      <c r="N103" s="25">
        <f t="shared" si="9"/>
        <v>16</v>
      </c>
      <c r="O103" s="24">
        <v>5827</v>
      </c>
      <c r="P103" s="23">
        <f t="shared" si="10"/>
        <v>57</v>
      </c>
      <c r="Q103" s="26"/>
      <c r="R103" s="23">
        <f t="shared" si="11"/>
        <v>0</v>
      </c>
      <c r="S103" s="27" t="s">
        <v>19</v>
      </c>
      <c r="T103" s="19" t="s">
        <v>129</v>
      </c>
    </row>
    <row r="104" spans="1:20" ht="37.5" customHeight="1" x14ac:dyDescent="0.25">
      <c r="A104" s="19" t="s">
        <v>130</v>
      </c>
      <c r="B104">
        <f t="shared" si="12"/>
        <v>5691</v>
      </c>
      <c r="C104">
        <v>1502</v>
      </c>
      <c r="D104">
        <v>4189</v>
      </c>
      <c r="E104">
        <v>7283</v>
      </c>
      <c r="F104">
        <f t="shared" si="13"/>
        <v>510</v>
      </c>
      <c r="G104" s="20">
        <f t="shared" si="14"/>
        <v>99</v>
      </c>
      <c r="H104" s="21">
        <v>99624030377</v>
      </c>
      <c r="I104" s="22">
        <v>111</v>
      </c>
      <c r="J104" s="23"/>
      <c r="K104" s="24">
        <f>M104+O104</f>
        <v>5181</v>
      </c>
      <c r="L104" s="23">
        <f t="shared" si="8"/>
        <v>510</v>
      </c>
      <c r="M104" s="24">
        <v>1366</v>
      </c>
      <c r="N104" s="25">
        <f t="shared" si="9"/>
        <v>136</v>
      </c>
      <c r="O104" s="24">
        <v>3815</v>
      </c>
      <c r="P104" s="23">
        <f t="shared" si="10"/>
        <v>374</v>
      </c>
      <c r="Q104" s="26">
        <v>5975</v>
      </c>
      <c r="R104" s="23">
        <f t="shared" si="11"/>
        <v>1308</v>
      </c>
      <c r="S104" s="27" t="s">
        <v>19</v>
      </c>
      <c r="T104" s="19" t="s">
        <v>130</v>
      </c>
    </row>
    <row r="105" spans="1:20" ht="37.5" customHeight="1" x14ac:dyDescent="0.25">
      <c r="A105" s="19" t="s">
        <v>131</v>
      </c>
      <c r="B105">
        <f t="shared" si="12"/>
        <v>8157</v>
      </c>
      <c r="C105">
        <v>1953</v>
      </c>
      <c r="D105">
        <v>6204</v>
      </c>
      <c r="E105">
        <v>7561</v>
      </c>
      <c r="F105">
        <f t="shared" si="13"/>
        <v>782</v>
      </c>
      <c r="G105" s="20">
        <f t="shared" si="14"/>
        <v>100</v>
      </c>
      <c r="H105" s="21">
        <v>99624030064</v>
      </c>
      <c r="I105" s="22">
        <v>112</v>
      </c>
      <c r="J105" s="23"/>
      <c r="K105" s="24">
        <f>M105+O105</f>
        <v>7375</v>
      </c>
      <c r="L105" s="23">
        <f t="shared" si="8"/>
        <v>782</v>
      </c>
      <c r="M105" s="24">
        <v>1765</v>
      </c>
      <c r="N105" s="25">
        <f t="shared" si="9"/>
        <v>188</v>
      </c>
      <c r="O105" s="24">
        <v>5610</v>
      </c>
      <c r="P105" s="23">
        <f t="shared" si="10"/>
        <v>594</v>
      </c>
      <c r="Q105" s="26">
        <v>6409</v>
      </c>
      <c r="R105" s="23">
        <f t="shared" si="11"/>
        <v>1152</v>
      </c>
      <c r="S105" s="27" t="s">
        <v>19</v>
      </c>
      <c r="T105" s="19" t="s">
        <v>131</v>
      </c>
    </row>
    <row r="106" spans="1:20" ht="37.5" customHeight="1" x14ac:dyDescent="0.25">
      <c r="A106" s="19" t="s">
        <v>132</v>
      </c>
      <c r="B106">
        <f t="shared" si="12"/>
        <v>13587</v>
      </c>
      <c r="C106">
        <v>2543</v>
      </c>
      <c r="D106">
        <v>11044</v>
      </c>
      <c r="E106">
        <v>15588</v>
      </c>
      <c r="F106">
        <f t="shared" si="13"/>
        <v>633</v>
      </c>
      <c r="G106" s="20">
        <f t="shared" si="14"/>
        <v>101</v>
      </c>
      <c r="H106" s="21">
        <v>99723040065</v>
      </c>
      <c r="I106" s="22">
        <v>113</v>
      </c>
      <c r="J106" s="23"/>
      <c r="K106" s="24">
        <f>M106+O106</f>
        <v>12954</v>
      </c>
      <c r="L106" s="23">
        <f t="shared" si="8"/>
        <v>633</v>
      </c>
      <c r="M106" s="24">
        <v>2392</v>
      </c>
      <c r="N106" s="25">
        <f t="shared" si="9"/>
        <v>151</v>
      </c>
      <c r="O106" s="24">
        <v>10562</v>
      </c>
      <c r="P106" s="23">
        <f t="shared" si="10"/>
        <v>482</v>
      </c>
      <c r="Q106" s="26">
        <v>14558</v>
      </c>
      <c r="R106" s="23">
        <f t="shared" si="11"/>
        <v>1030</v>
      </c>
      <c r="S106" s="27" t="s">
        <v>19</v>
      </c>
      <c r="T106" s="19" t="s">
        <v>132</v>
      </c>
    </row>
    <row r="107" spans="1:20" ht="37.5" customHeight="1" x14ac:dyDescent="0.25">
      <c r="A107" s="19" t="s">
        <v>133</v>
      </c>
      <c r="B107">
        <f t="shared" si="12"/>
        <v>79934</v>
      </c>
      <c r="C107">
        <v>11246</v>
      </c>
      <c r="D107">
        <v>68688</v>
      </c>
      <c r="F107">
        <f t="shared" si="13"/>
        <v>1652</v>
      </c>
      <c r="G107" s="20">
        <f t="shared" si="14"/>
        <v>102</v>
      </c>
      <c r="H107" s="21">
        <v>66618010298</v>
      </c>
      <c r="I107" s="22">
        <v>115</v>
      </c>
      <c r="J107" s="23"/>
      <c r="K107" s="24">
        <v>78282</v>
      </c>
      <c r="L107" s="23">
        <f t="shared" si="8"/>
        <v>1652</v>
      </c>
      <c r="M107" s="24">
        <v>10973</v>
      </c>
      <c r="N107" s="25">
        <f t="shared" si="9"/>
        <v>273</v>
      </c>
      <c r="O107" s="24">
        <v>67309</v>
      </c>
      <c r="P107" s="23">
        <f t="shared" si="10"/>
        <v>1379</v>
      </c>
      <c r="Q107" s="26"/>
      <c r="R107" s="23">
        <f t="shared" si="11"/>
        <v>0</v>
      </c>
      <c r="S107" s="27" t="s">
        <v>19</v>
      </c>
      <c r="T107" s="19" t="s">
        <v>133</v>
      </c>
    </row>
    <row r="108" spans="1:20" ht="37.5" customHeight="1" x14ac:dyDescent="0.25">
      <c r="A108" s="19" t="s">
        <v>134</v>
      </c>
      <c r="B108">
        <f t="shared" si="12"/>
        <v>20351</v>
      </c>
      <c r="C108">
        <v>4675</v>
      </c>
      <c r="D108">
        <v>15676</v>
      </c>
      <c r="F108">
        <f t="shared" si="13"/>
        <v>282</v>
      </c>
      <c r="G108" s="20">
        <f t="shared" si="14"/>
        <v>103</v>
      </c>
      <c r="H108" s="21">
        <v>66621070242</v>
      </c>
      <c r="I108" s="22">
        <v>116</v>
      </c>
      <c r="J108" s="23"/>
      <c r="K108" s="24">
        <v>20069</v>
      </c>
      <c r="L108" s="23">
        <f t="shared" si="8"/>
        <v>282</v>
      </c>
      <c r="M108" s="24">
        <v>4612</v>
      </c>
      <c r="N108" s="25">
        <f t="shared" si="9"/>
        <v>63</v>
      </c>
      <c r="O108" s="24">
        <v>15457</v>
      </c>
      <c r="P108" s="23">
        <f t="shared" si="10"/>
        <v>219</v>
      </c>
      <c r="Q108" s="26"/>
      <c r="R108" s="23">
        <f t="shared" si="11"/>
        <v>0</v>
      </c>
      <c r="S108" s="27" t="s">
        <v>19</v>
      </c>
      <c r="T108" s="19" t="s">
        <v>134</v>
      </c>
    </row>
    <row r="109" spans="1:20" ht="37.5" customHeight="1" x14ac:dyDescent="0.25">
      <c r="A109" s="19" t="s">
        <v>135</v>
      </c>
      <c r="B109">
        <f t="shared" si="12"/>
        <v>111812</v>
      </c>
      <c r="C109">
        <v>19084</v>
      </c>
      <c r="D109">
        <v>92728</v>
      </c>
      <c r="F109">
        <f t="shared" si="13"/>
        <v>1556</v>
      </c>
      <c r="G109" s="20">
        <f t="shared" si="14"/>
        <v>104</v>
      </c>
      <c r="H109" s="21">
        <v>23014090645</v>
      </c>
      <c r="I109" s="22">
        <v>118</v>
      </c>
      <c r="J109" s="23"/>
      <c r="K109" s="24">
        <v>110256</v>
      </c>
      <c r="L109" s="23">
        <f t="shared" si="8"/>
        <v>1556</v>
      </c>
      <c r="M109" s="24">
        <v>18857</v>
      </c>
      <c r="N109" s="25">
        <f t="shared" si="9"/>
        <v>227</v>
      </c>
      <c r="O109" s="24">
        <v>91399</v>
      </c>
      <c r="P109" s="23">
        <f t="shared" si="10"/>
        <v>1329</v>
      </c>
      <c r="Q109" s="26"/>
      <c r="R109" s="23">
        <f t="shared" si="11"/>
        <v>0</v>
      </c>
      <c r="S109" s="27" t="s">
        <v>19</v>
      </c>
      <c r="T109" s="19" t="s">
        <v>135</v>
      </c>
    </row>
    <row r="110" spans="1:20" ht="37.5" customHeight="1" x14ac:dyDescent="0.25">
      <c r="A110" s="19" t="s">
        <v>136</v>
      </c>
      <c r="B110">
        <f t="shared" si="12"/>
        <v>9143</v>
      </c>
      <c r="C110">
        <v>1595</v>
      </c>
      <c r="D110">
        <v>7548</v>
      </c>
      <c r="F110">
        <f t="shared" si="13"/>
        <v>405</v>
      </c>
      <c r="G110" s="20">
        <f t="shared" si="14"/>
        <v>105</v>
      </c>
      <c r="H110" s="21">
        <v>66617010360</v>
      </c>
      <c r="I110" s="22">
        <v>119</v>
      </c>
      <c r="J110" s="23"/>
      <c r="K110" s="24">
        <v>8738</v>
      </c>
      <c r="L110" s="23">
        <f t="shared" si="8"/>
        <v>405</v>
      </c>
      <c r="M110" s="24">
        <v>1536</v>
      </c>
      <c r="N110" s="25">
        <f t="shared" si="9"/>
        <v>59</v>
      </c>
      <c r="O110" s="24">
        <v>7202</v>
      </c>
      <c r="P110" s="23">
        <f t="shared" si="10"/>
        <v>346</v>
      </c>
      <c r="Q110" s="26"/>
      <c r="R110" s="23">
        <f t="shared" si="11"/>
        <v>0</v>
      </c>
      <c r="S110" s="27" t="s">
        <v>19</v>
      </c>
      <c r="T110" s="19" t="s">
        <v>136</v>
      </c>
    </row>
    <row r="111" spans="1:20" ht="37.5" customHeight="1" x14ac:dyDescent="0.25">
      <c r="A111" s="19" t="s">
        <v>137</v>
      </c>
      <c r="B111">
        <v>38491</v>
      </c>
      <c r="F111">
        <f t="shared" si="13"/>
        <v>0</v>
      </c>
      <c r="G111" s="20">
        <f t="shared" si="14"/>
        <v>106</v>
      </c>
      <c r="H111" s="21">
        <v>23012010185</v>
      </c>
      <c r="I111" s="22">
        <v>121</v>
      </c>
      <c r="J111" s="23"/>
      <c r="K111" s="24">
        <v>38491</v>
      </c>
      <c r="L111" s="23">
        <f t="shared" si="8"/>
        <v>0</v>
      </c>
      <c r="M111" s="24"/>
      <c r="N111" s="25">
        <f t="shared" si="9"/>
        <v>0</v>
      </c>
      <c r="O111" s="24"/>
      <c r="P111" s="23">
        <f t="shared" si="10"/>
        <v>0</v>
      </c>
      <c r="Q111" s="26"/>
      <c r="R111" s="23">
        <f t="shared" si="11"/>
        <v>0</v>
      </c>
      <c r="S111" s="27" t="s">
        <v>19</v>
      </c>
      <c r="T111" s="19" t="s">
        <v>137</v>
      </c>
    </row>
    <row r="112" spans="1:20" ht="37.5" customHeight="1" x14ac:dyDescent="0.25">
      <c r="A112" s="19" t="s">
        <v>138</v>
      </c>
      <c r="B112">
        <f t="shared" si="12"/>
        <v>47334</v>
      </c>
      <c r="C112">
        <v>9138</v>
      </c>
      <c r="D112">
        <v>38196</v>
      </c>
      <c r="F112">
        <f t="shared" si="13"/>
        <v>0</v>
      </c>
      <c r="G112" s="20">
        <f t="shared" si="14"/>
        <v>107</v>
      </c>
      <c r="H112" s="21">
        <v>23013010174</v>
      </c>
      <c r="I112" s="22">
        <v>122</v>
      </c>
      <c r="J112" s="23"/>
      <c r="K112" s="24">
        <v>47334</v>
      </c>
      <c r="L112" s="23">
        <f t="shared" si="8"/>
        <v>0</v>
      </c>
      <c r="M112" s="24"/>
      <c r="N112" s="25">
        <f t="shared" si="9"/>
        <v>9138</v>
      </c>
      <c r="O112" s="24"/>
      <c r="P112" s="23">
        <f t="shared" si="10"/>
        <v>38196</v>
      </c>
      <c r="Q112" s="26"/>
      <c r="R112" s="23">
        <f t="shared" si="11"/>
        <v>0</v>
      </c>
      <c r="S112" s="27" t="s">
        <v>19</v>
      </c>
      <c r="T112" s="19" t="s">
        <v>138</v>
      </c>
    </row>
    <row r="113" spans="1:20" ht="37.5" customHeight="1" x14ac:dyDescent="0.25">
      <c r="A113" s="19" t="s">
        <v>139</v>
      </c>
      <c r="B113">
        <f t="shared" si="12"/>
        <v>55024</v>
      </c>
      <c r="C113">
        <v>9552</v>
      </c>
      <c r="D113">
        <v>45472</v>
      </c>
      <c r="F113">
        <f t="shared" si="13"/>
        <v>316</v>
      </c>
      <c r="G113" s="20">
        <f t="shared" si="14"/>
        <v>108</v>
      </c>
      <c r="H113" s="21">
        <v>23013090300</v>
      </c>
      <c r="I113" s="22">
        <v>123</v>
      </c>
      <c r="J113" s="23"/>
      <c r="K113" s="24">
        <v>54708</v>
      </c>
      <c r="L113" s="23">
        <f t="shared" si="8"/>
        <v>316</v>
      </c>
      <c r="M113" s="24">
        <v>9507</v>
      </c>
      <c r="N113" s="25">
        <f t="shared" si="9"/>
        <v>45</v>
      </c>
      <c r="O113" s="24">
        <v>45201</v>
      </c>
      <c r="P113" s="23">
        <f t="shared" si="10"/>
        <v>271</v>
      </c>
      <c r="Q113" s="26"/>
      <c r="R113" s="23">
        <f t="shared" si="11"/>
        <v>0</v>
      </c>
      <c r="S113" s="27" t="s">
        <v>19</v>
      </c>
      <c r="T113" s="19" t="s">
        <v>139</v>
      </c>
    </row>
    <row r="114" spans="1:20" ht="37.5" customHeight="1" x14ac:dyDescent="0.25">
      <c r="A114" s="19" t="s">
        <v>140</v>
      </c>
      <c r="B114">
        <f t="shared" si="12"/>
        <v>19041</v>
      </c>
      <c r="C114">
        <v>3882</v>
      </c>
      <c r="D114">
        <v>15159</v>
      </c>
      <c r="E114">
        <v>14928</v>
      </c>
      <c r="F114">
        <f t="shared" si="13"/>
        <v>622</v>
      </c>
      <c r="G114" s="20">
        <f t="shared" si="14"/>
        <v>109</v>
      </c>
      <c r="H114" s="21">
        <v>99723040040</v>
      </c>
      <c r="I114" s="22">
        <v>124</v>
      </c>
      <c r="J114" s="23"/>
      <c r="K114" s="24">
        <f>M114+O114</f>
        <v>18419</v>
      </c>
      <c r="L114" s="23">
        <f t="shared" si="8"/>
        <v>622</v>
      </c>
      <c r="M114" s="24">
        <v>3695</v>
      </c>
      <c r="N114" s="25">
        <f t="shared" si="9"/>
        <v>187</v>
      </c>
      <c r="O114" s="24">
        <v>14724</v>
      </c>
      <c r="P114" s="23">
        <f t="shared" si="10"/>
        <v>435</v>
      </c>
      <c r="Q114" s="26">
        <v>14040</v>
      </c>
      <c r="R114" s="23">
        <f t="shared" si="11"/>
        <v>888</v>
      </c>
      <c r="S114" s="27" t="s">
        <v>19</v>
      </c>
      <c r="T114" s="19" t="s">
        <v>140</v>
      </c>
    </row>
    <row r="115" spans="1:20" ht="37.5" customHeight="1" x14ac:dyDescent="0.25">
      <c r="A115" s="19" t="s">
        <v>141</v>
      </c>
      <c r="B115">
        <f t="shared" si="12"/>
        <v>64492</v>
      </c>
      <c r="C115">
        <v>11305</v>
      </c>
      <c r="D115">
        <v>53187</v>
      </c>
      <c r="F115">
        <f t="shared" si="13"/>
        <v>261</v>
      </c>
      <c r="G115" s="20">
        <f t="shared" si="14"/>
        <v>110</v>
      </c>
      <c r="H115" s="21">
        <v>66617010426</v>
      </c>
      <c r="I115" s="22">
        <v>125</v>
      </c>
      <c r="J115" s="23"/>
      <c r="K115" s="24">
        <v>64231</v>
      </c>
      <c r="L115" s="23">
        <f t="shared" si="8"/>
        <v>261</v>
      </c>
      <c r="M115" s="24">
        <v>11245</v>
      </c>
      <c r="N115" s="25">
        <f t="shared" si="9"/>
        <v>60</v>
      </c>
      <c r="O115" s="24">
        <v>52986</v>
      </c>
      <c r="P115" s="23">
        <f t="shared" si="10"/>
        <v>201</v>
      </c>
      <c r="Q115" s="26"/>
      <c r="R115" s="23">
        <f t="shared" si="11"/>
        <v>0</v>
      </c>
      <c r="S115" s="27" t="s">
        <v>19</v>
      </c>
      <c r="T115" s="19" t="s">
        <v>141</v>
      </c>
    </row>
    <row r="116" spans="1:20" ht="37.5" customHeight="1" x14ac:dyDescent="0.25">
      <c r="A116" s="19" t="s">
        <v>142</v>
      </c>
      <c r="B116">
        <f t="shared" si="12"/>
        <v>105619</v>
      </c>
      <c r="C116">
        <v>21819</v>
      </c>
      <c r="D116">
        <v>83800</v>
      </c>
      <c r="F116">
        <f t="shared" si="13"/>
        <v>373</v>
      </c>
      <c r="G116" s="20">
        <f t="shared" si="14"/>
        <v>111</v>
      </c>
      <c r="H116" s="21">
        <v>23011120035</v>
      </c>
      <c r="I116" s="22">
        <v>126</v>
      </c>
      <c r="J116" s="23"/>
      <c r="K116" s="24">
        <v>105246</v>
      </c>
      <c r="L116" s="23">
        <f t="shared" si="8"/>
        <v>373</v>
      </c>
      <c r="M116" s="24">
        <v>21764</v>
      </c>
      <c r="N116" s="25">
        <f t="shared" si="9"/>
        <v>55</v>
      </c>
      <c r="O116" s="24">
        <v>83482</v>
      </c>
      <c r="P116" s="23">
        <f t="shared" si="10"/>
        <v>318</v>
      </c>
      <c r="Q116" s="26"/>
      <c r="R116" s="23">
        <f t="shared" si="11"/>
        <v>0</v>
      </c>
      <c r="S116" s="27" t="s">
        <v>19</v>
      </c>
      <c r="T116" s="19" t="s">
        <v>142</v>
      </c>
    </row>
    <row r="117" spans="1:20" ht="37.5" customHeight="1" x14ac:dyDescent="0.25">
      <c r="A117" s="19" t="s">
        <v>143</v>
      </c>
      <c r="B117">
        <f t="shared" si="12"/>
        <v>101261</v>
      </c>
      <c r="C117">
        <v>26540</v>
      </c>
      <c r="D117">
        <v>74721</v>
      </c>
      <c r="F117">
        <f t="shared" si="13"/>
        <v>227</v>
      </c>
      <c r="G117" s="20">
        <f t="shared" si="14"/>
        <v>112</v>
      </c>
      <c r="H117" s="21">
        <v>2301120043</v>
      </c>
      <c r="I117" s="22">
        <v>128</v>
      </c>
      <c r="J117" s="23"/>
      <c r="K117" s="24">
        <v>101034</v>
      </c>
      <c r="L117" s="23">
        <f t="shared" si="8"/>
        <v>227</v>
      </c>
      <c r="M117" s="24">
        <v>26483</v>
      </c>
      <c r="N117" s="25">
        <f t="shared" si="9"/>
        <v>57</v>
      </c>
      <c r="O117" s="24">
        <v>74551</v>
      </c>
      <c r="P117" s="23">
        <f t="shared" si="10"/>
        <v>170</v>
      </c>
      <c r="Q117" s="26"/>
      <c r="R117" s="23">
        <f t="shared" si="11"/>
        <v>0</v>
      </c>
      <c r="S117" s="27" t="s">
        <v>19</v>
      </c>
      <c r="T117" s="19" t="s">
        <v>143</v>
      </c>
    </row>
    <row r="118" spans="1:20" ht="37.5" customHeight="1" x14ac:dyDescent="0.25">
      <c r="A118" s="19" t="s">
        <v>144</v>
      </c>
      <c r="B118">
        <f t="shared" si="12"/>
        <v>85804</v>
      </c>
      <c r="C118">
        <v>11605</v>
      </c>
      <c r="D118">
        <v>74199</v>
      </c>
      <c r="F118">
        <f t="shared" si="13"/>
        <v>412</v>
      </c>
      <c r="G118" s="20">
        <f t="shared" si="14"/>
        <v>113</v>
      </c>
      <c r="H118" s="21">
        <v>23013010488</v>
      </c>
      <c r="I118" s="22">
        <v>129</v>
      </c>
      <c r="J118" s="23"/>
      <c r="K118" s="24">
        <v>85392</v>
      </c>
      <c r="L118" s="23">
        <f t="shared" si="8"/>
        <v>412</v>
      </c>
      <c r="M118" s="24">
        <v>11528</v>
      </c>
      <c r="N118" s="25">
        <f t="shared" si="9"/>
        <v>77</v>
      </c>
      <c r="O118" s="24">
        <v>73864</v>
      </c>
      <c r="P118" s="23">
        <f t="shared" si="10"/>
        <v>335</v>
      </c>
      <c r="Q118" s="26"/>
      <c r="R118" s="23">
        <f t="shared" si="11"/>
        <v>0</v>
      </c>
      <c r="S118" s="27" t="s">
        <v>19</v>
      </c>
      <c r="T118" s="19" t="s">
        <v>144</v>
      </c>
    </row>
    <row r="119" spans="1:20" ht="37.5" customHeight="1" x14ac:dyDescent="0.25">
      <c r="A119" s="19" t="s">
        <v>145</v>
      </c>
      <c r="B119">
        <f t="shared" si="12"/>
        <v>1701</v>
      </c>
      <c r="C119">
        <v>455</v>
      </c>
      <c r="D119">
        <v>1246</v>
      </c>
      <c r="E119">
        <v>848</v>
      </c>
      <c r="F119">
        <f t="shared" si="13"/>
        <v>579</v>
      </c>
      <c r="G119" s="20">
        <f t="shared" si="14"/>
        <v>114</v>
      </c>
      <c r="H119" s="21">
        <v>99624050157</v>
      </c>
      <c r="I119" s="22">
        <v>130</v>
      </c>
      <c r="J119" s="23"/>
      <c r="K119" s="24">
        <f>M119+O119</f>
        <v>1122</v>
      </c>
      <c r="L119" s="23">
        <f t="shared" si="8"/>
        <v>579</v>
      </c>
      <c r="M119" s="24">
        <v>340</v>
      </c>
      <c r="N119" s="25">
        <f t="shared" si="9"/>
        <v>115</v>
      </c>
      <c r="O119" s="24">
        <v>782</v>
      </c>
      <c r="P119" s="23">
        <f t="shared" si="10"/>
        <v>464</v>
      </c>
      <c r="Q119" s="26">
        <v>848</v>
      </c>
      <c r="R119" s="23">
        <f t="shared" si="11"/>
        <v>0</v>
      </c>
      <c r="S119" s="27" t="s">
        <v>19</v>
      </c>
      <c r="T119" s="19" t="s">
        <v>145</v>
      </c>
    </row>
    <row r="120" spans="1:20" ht="37.5" customHeight="1" x14ac:dyDescent="0.25">
      <c r="A120" s="19" t="s">
        <v>146</v>
      </c>
      <c r="B120">
        <f t="shared" si="12"/>
        <v>21514</v>
      </c>
      <c r="C120">
        <v>4149</v>
      </c>
      <c r="D120">
        <v>17365</v>
      </c>
      <c r="F120">
        <f t="shared" si="13"/>
        <v>260</v>
      </c>
      <c r="G120" s="20">
        <f t="shared" si="14"/>
        <v>115</v>
      </c>
      <c r="H120" s="21">
        <v>23014010051</v>
      </c>
      <c r="I120" s="22">
        <v>132</v>
      </c>
      <c r="J120" s="23"/>
      <c r="K120" s="24">
        <v>21254</v>
      </c>
      <c r="L120" s="23">
        <f t="shared" si="8"/>
        <v>260</v>
      </c>
      <c r="M120" s="24">
        <v>4101</v>
      </c>
      <c r="N120" s="25">
        <f t="shared" si="9"/>
        <v>48</v>
      </c>
      <c r="O120" s="24">
        <v>17153</v>
      </c>
      <c r="P120" s="23">
        <f t="shared" si="10"/>
        <v>212</v>
      </c>
      <c r="Q120" s="26"/>
      <c r="R120" s="23">
        <f t="shared" si="11"/>
        <v>0</v>
      </c>
      <c r="S120" s="27" t="s">
        <v>19</v>
      </c>
      <c r="T120" s="19" t="s">
        <v>146</v>
      </c>
    </row>
    <row r="121" spans="1:20" ht="37.5" customHeight="1" x14ac:dyDescent="0.25">
      <c r="A121" s="19" t="s">
        <v>147</v>
      </c>
      <c r="B121">
        <f t="shared" si="12"/>
        <v>17336</v>
      </c>
      <c r="C121">
        <v>2944</v>
      </c>
      <c r="D121">
        <v>14392</v>
      </c>
      <c r="F121">
        <f t="shared" si="13"/>
        <v>645</v>
      </c>
      <c r="G121" s="20">
        <f t="shared" si="14"/>
        <v>116</v>
      </c>
      <c r="H121" s="21">
        <v>66601129435</v>
      </c>
      <c r="I121" s="22">
        <v>133</v>
      </c>
      <c r="J121" s="23"/>
      <c r="K121" s="24">
        <v>16691</v>
      </c>
      <c r="L121" s="23">
        <f t="shared" si="8"/>
        <v>645</v>
      </c>
      <c r="M121" s="24">
        <v>2827</v>
      </c>
      <c r="N121" s="25">
        <f t="shared" si="9"/>
        <v>117</v>
      </c>
      <c r="O121" s="24">
        <v>13864</v>
      </c>
      <c r="P121" s="23">
        <f t="shared" si="10"/>
        <v>528</v>
      </c>
      <c r="Q121" s="26"/>
      <c r="R121" s="23">
        <f t="shared" si="11"/>
        <v>0</v>
      </c>
      <c r="S121" s="27" t="s">
        <v>19</v>
      </c>
      <c r="T121" s="19" t="s">
        <v>147</v>
      </c>
    </row>
    <row r="122" spans="1:20" ht="37.5" customHeight="1" x14ac:dyDescent="0.25">
      <c r="A122" s="19" t="s">
        <v>148</v>
      </c>
      <c r="B122">
        <f t="shared" si="12"/>
        <v>11114</v>
      </c>
      <c r="C122">
        <v>1892</v>
      </c>
      <c r="D122">
        <v>9222</v>
      </c>
      <c r="F122">
        <f t="shared" si="13"/>
        <v>105</v>
      </c>
      <c r="G122" s="20">
        <f t="shared" si="14"/>
        <v>117</v>
      </c>
      <c r="H122" s="21">
        <v>66621040456</v>
      </c>
      <c r="I122" s="22">
        <v>134</v>
      </c>
      <c r="J122" s="23"/>
      <c r="K122" s="24">
        <v>11009</v>
      </c>
      <c r="L122" s="23">
        <f t="shared" si="8"/>
        <v>105</v>
      </c>
      <c r="M122" s="24">
        <v>1873</v>
      </c>
      <c r="N122" s="25">
        <f t="shared" si="9"/>
        <v>19</v>
      </c>
      <c r="O122" s="24">
        <v>9136</v>
      </c>
      <c r="P122" s="23">
        <f t="shared" si="10"/>
        <v>86</v>
      </c>
      <c r="Q122" s="26"/>
      <c r="R122" s="23">
        <f t="shared" si="11"/>
        <v>0</v>
      </c>
      <c r="S122" s="27" t="s">
        <v>19</v>
      </c>
      <c r="T122" s="19" t="s">
        <v>148</v>
      </c>
    </row>
    <row r="123" spans="1:20" ht="37.5" customHeight="1" x14ac:dyDescent="0.25">
      <c r="A123" s="19" t="s">
        <v>149</v>
      </c>
      <c r="B123">
        <f t="shared" si="12"/>
        <v>15740</v>
      </c>
      <c r="C123">
        <v>2629</v>
      </c>
      <c r="D123">
        <v>13111</v>
      </c>
      <c r="F123">
        <f t="shared" si="13"/>
        <v>456</v>
      </c>
      <c r="G123" s="20">
        <f t="shared" si="14"/>
        <v>118</v>
      </c>
      <c r="H123" s="21">
        <v>88820030299</v>
      </c>
      <c r="I123" s="22">
        <v>135</v>
      </c>
      <c r="J123" s="23"/>
      <c r="K123" s="24">
        <v>15284</v>
      </c>
      <c r="L123" s="23">
        <f t="shared" si="8"/>
        <v>456</v>
      </c>
      <c r="M123" s="24">
        <v>2547</v>
      </c>
      <c r="N123" s="25">
        <f t="shared" si="9"/>
        <v>82</v>
      </c>
      <c r="O123" s="24">
        <v>12737</v>
      </c>
      <c r="P123" s="23">
        <f t="shared" si="10"/>
        <v>374</v>
      </c>
      <c r="Q123" s="26"/>
      <c r="R123" s="23">
        <f t="shared" si="11"/>
        <v>0</v>
      </c>
      <c r="S123" s="27" t="s">
        <v>19</v>
      </c>
      <c r="T123" s="19" t="s">
        <v>149</v>
      </c>
    </row>
    <row r="124" spans="1:20" ht="37.5" customHeight="1" x14ac:dyDescent="0.25">
      <c r="A124" s="19" t="s">
        <v>150</v>
      </c>
      <c r="B124">
        <f t="shared" si="12"/>
        <v>103823</v>
      </c>
      <c r="C124">
        <v>20000</v>
      </c>
      <c r="D124">
        <v>83823</v>
      </c>
      <c r="F124">
        <f t="shared" si="13"/>
        <v>630</v>
      </c>
      <c r="G124" s="20">
        <f t="shared" si="14"/>
        <v>119</v>
      </c>
      <c r="H124" s="21">
        <v>23012010199</v>
      </c>
      <c r="I124" s="22">
        <v>136</v>
      </c>
      <c r="J124" s="23"/>
      <c r="K124" s="24">
        <v>103193</v>
      </c>
      <c r="L124" s="23">
        <f t="shared" si="8"/>
        <v>630</v>
      </c>
      <c r="M124" s="24">
        <v>19874</v>
      </c>
      <c r="N124" s="25">
        <f t="shared" si="9"/>
        <v>126</v>
      </c>
      <c r="O124" s="24">
        <v>83319</v>
      </c>
      <c r="P124" s="23">
        <f t="shared" si="10"/>
        <v>504</v>
      </c>
      <c r="Q124" s="26"/>
      <c r="R124" s="23">
        <f t="shared" si="11"/>
        <v>0</v>
      </c>
      <c r="S124" s="27" t="s">
        <v>19</v>
      </c>
      <c r="T124" s="19" t="s">
        <v>150</v>
      </c>
    </row>
    <row r="125" spans="1:20" ht="37.5" customHeight="1" x14ac:dyDescent="0.25">
      <c r="A125" s="19" t="s">
        <v>151</v>
      </c>
      <c r="B125">
        <f t="shared" si="12"/>
        <v>1236</v>
      </c>
      <c r="C125">
        <v>248</v>
      </c>
      <c r="D125">
        <v>988</v>
      </c>
      <c r="E125">
        <v>4313</v>
      </c>
      <c r="F125">
        <f t="shared" si="13"/>
        <v>240</v>
      </c>
      <c r="G125" s="20">
        <f t="shared" si="14"/>
        <v>120</v>
      </c>
      <c r="H125" s="21">
        <v>99624010104</v>
      </c>
      <c r="I125" s="22">
        <v>137</v>
      </c>
      <c r="J125" s="23"/>
      <c r="K125" s="24">
        <f>M125+O125</f>
        <v>996</v>
      </c>
      <c r="L125" s="23">
        <f t="shared" si="8"/>
        <v>240</v>
      </c>
      <c r="M125" s="24">
        <v>214</v>
      </c>
      <c r="N125" s="25">
        <f t="shared" si="9"/>
        <v>34</v>
      </c>
      <c r="O125" s="24">
        <v>782</v>
      </c>
      <c r="P125" s="23">
        <f t="shared" si="10"/>
        <v>206</v>
      </c>
      <c r="Q125" s="26">
        <v>3155</v>
      </c>
      <c r="R125" s="23">
        <f t="shared" si="11"/>
        <v>1158</v>
      </c>
      <c r="S125" s="27" t="s">
        <v>19</v>
      </c>
      <c r="T125" s="19" t="s">
        <v>151</v>
      </c>
    </row>
    <row r="126" spans="1:20" ht="37.5" customHeight="1" x14ac:dyDescent="0.25">
      <c r="A126" s="19" t="s">
        <v>152</v>
      </c>
      <c r="B126">
        <f t="shared" si="12"/>
        <v>586</v>
      </c>
      <c r="C126">
        <v>228</v>
      </c>
      <c r="D126">
        <v>358</v>
      </c>
      <c r="E126">
        <v>3938</v>
      </c>
      <c r="F126">
        <f t="shared" si="13"/>
        <v>153</v>
      </c>
      <c r="G126" s="20">
        <f t="shared" si="14"/>
        <v>121</v>
      </c>
      <c r="H126" s="21">
        <v>99624050138</v>
      </c>
      <c r="I126" s="22">
        <v>138</v>
      </c>
      <c r="J126" s="23"/>
      <c r="K126" s="24">
        <f>M126+O126</f>
        <v>433</v>
      </c>
      <c r="L126" s="23">
        <f t="shared" si="8"/>
        <v>153</v>
      </c>
      <c r="M126" s="24">
        <v>164</v>
      </c>
      <c r="N126" s="25">
        <f t="shared" si="9"/>
        <v>64</v>
      </c>
      <c r="O126" s="24">
        <v>269</v>
      </c>
      <c r="P126" s="23">
        <f t="shared" si="10"/>
        <v>89</v>
      </c>
      <c r="Q126" s="26">
        <v>2752</v>
      </c>
      <c r="R126" s="23">
        <f t="shared" si="11"/>
        <v>1186</v>
      </c>
      <c r="S126" s="27" t="s">
        <v>19</v>
      </c>
      <c r="T126" s="19" t="s">
        <v>152</v>
      </c>
    </row>
    <row r="127" spans="1:20" ht="37.5" customHeight="1" x14ac:dyDescent="0.25">
      <c r="A127" s="19" t="s">
        <v>153</v>
      </c>
      <c r="B127">
        <f t="shared" si="12"/>
        <v>65591</v>
      </c>
      <c r="C127">
        <v>11979</v>
      </c>
      <c r="D127">
        <v>53612</v>
      </c>
      <c r="F127">
        <f t="shared" si="13"/>
        <v>134</v>
      </c>
      <c r="G127" s="20">
        <f t="shared" si="14"/>
        <v>122</v>
      </c>
      <c r="H127" s="21">
        <v>23014090143</v>
      </c>
      <c r="I127" s="22">
        <v>139</v>
      </c>
      <c r="J127" s="23"/>
      <c r="K127" s="24">
        <v>65457</v>
      </c>
      <c r="L127" s="23">
        <f t="shared" si="8"/>
        <v>134</v>
      </c>
      <c r="M127" s="24">
        <v>11956</v>
      </c>
      <c r="N127" s="25">
        <f t="shared" si="9"/>
        <v>23</v>
      </c>
      <c r="O127" s="24">
        <v>53501</v>
      </c>
      <c r="P127" s="23">
        <f t="shared" si="10"/>
        <v>111</v>
      </c>
      <c r="Q127" s="26"/>
      <c r="R127" s="23">
        <f t="shared" si="11"/>
        <v>0</v>
      </c>
      <c r="S127" s="27" t="s">
        <v>19</v>
      </c>
      <c r="T127" s="19" t="s">
        <v>153</v>
      </c>
    </row>
    <row r="128" spans="1:20" ht="37.5" customHeight="1" x14ac:dyDescent="0.25">
      <c r="A128" s="19" t="s">
        <v>154</v>
      </c>
      <c r="B128">
        <f t="shared" si="12"/>
        <v>77181</v>
      </c>
      <c r="C128">
        <v>13420</v>
      </c>
      <c r="D128">
        <v>63761</v>
      </c>
      <c r="F128">
        <f t="shared" si="13"/>
        <v>501</v>
      </c>
      <c r="G128" s="20">
        <f t="shared" si="14"/>
        <v>123</v>
      </c>
      <c r="H128" s="21">
        <v>23014060886</v>
      </c>
      <c r="I128" s="22">
        <v>140</v>
      </c>
      <c r="J128" s="23"/>
      <c r="K128" s="24">
        <v>76680</v>
      </c>
      <c r="L128" s="23">
        <f t="shared" si="8"/>
        <v>501</v>
      </c>
      <c r="M128" s="24">
        <v>13354</v>
      </c>
      <c r="N128" s="25">
        <f t="shared" si="9"/>
        <v>66</v>
      </c>
      <c r="O128" s="24">
        <v>63326</v>
      </c>
      <c r="P128" s="23">
        <f t="shared" si="10"/>
        <v>435</v>
      </c>
      <c r="Q128" s="26"/>
      <c r="R128" s="23">
        <f t="shared" si="11"/>
        <v>0</v>
      </c>
      <c r="S128" s="27" t="s">
        <v>19</v>
      </c>
      <c r="T128" s="19" t="s">
        <v>154</v>
      </c>
    </row>
    <row r="129" spans="1:20" ht="37.5" customHeight="1" x14ac:dyDescent="0.25">
      <c r="A129" s="19" t="s">
        <v>155</v>
      </c>
      <c r="B129">
        <f t="shared" si="12"/>
        <v>12212</v>
      </c>
      <c r="C129">
        <v>2054</v>
      </c>
      <c r="D129">
        <v>10158</v>
      </c>
      <c r="F129">
        <f t="shared" si="13"/>
        <v>491</v>
      </c>
      <c r="G129" s="20">
        <f t="shared" si="14"/>
        <v>124</v>
      </c>
      <c r="H129" s="21">
        <v>66622010222</v>
      </c>
      <c r="I129" s="22">
        <v>141</v>
      </c>
      <c r="J129" s="23"/>
      <c r="K129" s="24">
        <v>11721</v>
      </c>
      <c r="L129" s="23">
        <f t="shared" si="8"/>
        <v>491</v>
      </c>
      <c r="M129" s="24">
        <v>1975</v>
      </c>
      <c r="N129" s="25">
        <f t="shared" si="9"/>
        <v>79</v>
      </c>
      <c r="O129" s="24">
        <v>9746</v>
      </c>
      <c r="P129" s="23">
        <f t="shared" si="10"/>
        <v>412</v>
      </c>
      <c r="Q129" s="26"/>
      <c r="R129" s="23">
        <f t="shared" si="11"/>
        <v>0</v>
      </c>
      <c r="S129" s="27" t="s">
        <v>19</v>
      </c>
      <c r="T129" s="19" t="s">
        <v>155</v>
      </c>
    </row>
    <row r="130" spans="1:20" ht="37.5" customHeight="1" x14ac:dyDescent="0.25">
      <c r="A130" s="19" t="s">
        <v>156</v>
      </c>
      <c r="B130">
        <f t="shared" si="12"/>
        <v>40834</v>
      </c>
      <c r="C130">
        <v>6513</v>
      </c>
      <c r="D130">
        <v>34321</v>
      </c>
      <c r="F130">
        <f t="shared" si="13"/>
        <v>536</v>
      </c>
      <c r="G130" s="20">
        <f t="shared" si="14"/>
        <v>125</v>
      </c>
      <c r="H130" s="21">
        <v>23015010514</v>
      </c>
      <c r="I130" s="22">
        <v>142</v>
      </c>
      <c r="J130" s="23"/>
      <c r="K130" s="24">
        <v>40298</v>
      </c>
      <c r="L130" s="23">
        <f t="shared" si="8"/>
        <v>536</v>
      </c>
      <c r="M130" s="24">
        <v>6427</v>
      </c>
      <c r="N130" s="25">
        <f t="shared" si="9"/>
        <v>86</v>
      </c>
      <c r="O130" s="24">
        <v>33871</v>
      </c>
      <c r="P130" s="23">
        <f t="shared" si="10"/>
        <v>450</v>
      </c>
      <c r="Q130" s="26"/>
      <c r="R130" s="23">
        <f t="shared" si="11"/>
        <v>0</v>
      </c>
      <c r="S130" s="27" t="s">
        <v>19</v>
      </c>
      <c r="T130" s="19" t="s">
        <v>156</v>
      </c>
    </row>
    <row r="131" spans="1:20" ht="37.5" customHeight="1" x14ac:dyDescent="0.25">
      <c r="A131" s="19" t="s">
        <v>157</v>
      </c>
      <c r="B131">
        <f t="shared" si="12"/>
        <v>35317</v>
      </c>
      <c r="C131">
        <v>6723</v>
      </c>
      <c r="D131">
        <v>28594</v>
      </c>
      <c r="F131">
        <f t="shared" si="13"/>
        <v>474</v>
      </c>
      <c r="G131" s="20">
        <f t="shared" si="14"/>
        <v>126</v>
      </c>
      <c r="H131" s="21">
        <v>88819050156</v>
      </c>
      <c r="I131" s="22">
        <v>143</v>
      </c>
      <c r="J131" s="23"/>
      <c r="K131" s="24">
        <v>34843</v>
      </c>
      <c r="L131" s="23">
        <f t="shared" si="8"/>
        <v>474</v>
      </c>
      <c r="M131" s="24">
        <v>6642</v>
      </c>
      <c r="N131" s="25">
        <f t="shared" si="9"/>
        <v>81</v>
      </c>
      <c r="O131" s="24">
        <v>28201</v>
      </c>
      <c r="P131" s="23">
        <f t="shared" si="10"/>
        <v>393</v>
      </c>
      <c r="Q131" s="26"/>
      <c r="R131" s="23">
        <f t="shared" si="11"/>
        <v>0</v>
      </c>
      <c r="S131" s="27" t="s">
        <v>19</v>
      </c>
      <c r="T131" s="19" t="s">
        <v>157</v>
      </c>
    </row>
    <row r="132" spans="1:20" ht="37.5" customHeight="1" x14ac:dyDescent="0.25">
      <c r="A132" s="19" t="s">
        <v>158</v>
      </c>
      <c r="B132">
        <f t="shared" si="12"/>
        <v>166441</v>
      </c>
      <c r="C132">
        <v>29755</v>
      </c>
      <c r="D132">
        <v>136686</v>
      </c>
      <c r="F132">
        <f t="shared" si="13"/>
        <v>238</v>
      </c>
      <c r="G132" s="20">
        <f t="shared" si="14"/>
        <v>127</v>
      </c>
      <c r="H132" s="21">
        <v>23011120019</v>
      </c>
      <c r="I132" s="22">
        <v>145</v>
      </c>
      <c r="J132" s="23"/>
      <c r="K132" s="24">
        <v>166203</v>
      </c>
      <c r="L132" s="23">
        <f t="shared" si="8"/>
        <v>238</v>
      </c>
      <c r="M132" s="24">
        <v>29720</v>
      </c>
      <c r="N132" s="25">
        <f t="shared" si="9"/>
        <v>35</v>
      </c>
      <c r="O132" s="24">
        <v>136483</v>
      </c>
      <c r="P132" s="23">
        <f t="shared" si="10"/>
        <v>203</v>
      </c>
      <c r="Q132" s="26"/>
      <c r="R132" s="23">
        <f t="shared" si="11"/>
        <v>0</v>
      </c>
      <c r="S132" s="27" t="s">
        <v>19</v>
      </c>
      <c r="T132" s="19" t="s">
        <v>158</v>
      </c>
    </row>
    <row r="133" spans="1:20" ht="37.5" customHeight="1" x14ac:dyDescent="0.25">
      <c r="A133" s="19" t="s">
        <v>159</v>
      </c>
      <c r="B133">
        <f t="shared" si="12"/>
        <v>17341</v>
      </c>
      <c r="C133">
        <v>3646</v>
      </c>
      <c r="D133">
        <v>13695</v>
      </c>
      <c r="E133">
        <v>15234</v>
      </c>
      <c r="F133">
        <f t="shared" si="13"/>
        <v>773</v>
      </c>
      <c r="G133" s="20">
        <f t="shared" si="14"/>
        <v>128</v>
      </c>
      <c r="H133" s="21">
        <v>99723060184</v>
      </c>
      <c r="I133" s="22">
        <v>146</v>
      </c>
      <c r="J133" s="23"/>
      <c r="K133" s="24">
        <f>M133+O133</f>
        <v>16568</v>
      </c>
      <c r="L133" s="23">
        <f t="shared" si="8"/>
        <v>773</v>
      </c>
      <c r="M133" s="24">
        <v>3486</v>
      </c>
      <c r="N133" s="25">
        <f t="shared" si="9"/>
        <v>160</v>
      </c>
      <c r="O133" s="24">
        <v>13082</v>
      </c>
      <c r="P133" s="23">
        <f t="shared" si="10"/>
        <v>613</v>
      </c>
      <c r="Q133" s="26">
        <v>14032</v>
      </c>
      <c r="R133" s="23">
        <f t="shared" si="11"/>
        <v>1202</v>
      </c>
      <c r="S133" s="27" t="s">
        <v>19</v>
      </c>
      <c r="T133" s="19" t="s">
        <v>159</v>
      </c>
    </row>
    <row r="134" spans="1:20" ht="37.5" customHeight="1" x14ac:dyDescent="0.25">
      <c r="A134" s="19" t="s">
        <v>160</v>
      </c>
      <c r="B134">
        <f t="shared" si="12"/>
        <v>7282</v>
      </c>
      <c r="C134">
        <v>2021</v>
      </c>
      <c r="D134">
        <v>5261</v>
      </c>
      <c r="E134">
        <v>12864</v>
      </c>
      <c r="F134">
        <f t="shared" si="13"/>
        <v>306</v>
      </c>
      <c r="G134" s="20">
        <f t="shared" si="14"/>
        <v>129</v>
      </c>
      <c r="H134" s="21">
        <v>99723050023</v>
      </c>
      <c r="I134" s="22">
        <v>147</v>
      </c>
      <c r="J134" s="23"/>
      <c r="K134" s="24">
        <f>M134+O134</f>
        <v>6976</v>
      </c>
      <c r="L134" s="23">
        <f t="shared" ref="L134:L197" si="15">B134-K134</f>
        <v>306</v>
      </c>
      <c r="M134" s="24">
        <v>1967</v>
      </c>
      <c r="N134" s="25">
        <f t="shared" ref="N134:N197" si="16">C134-M134</f>
        <v>54</v>
      </c>
      <c r="O134" s="24">
        <v>5009</v>
      </c>
      <c r="P134" s="23">
        <f t="shared" ref="P134:P197" si="17">D134-O134</f>
        <v>252</v>
      </c>
      <c r="Q134" s="26">
        <v>11848</v>
      </c>
      <c r="R134" s="23">
        <f t="shared" ref="R134:R197" si="18">E134-Q134</f>
        <v>1016</v>
      </c>
      <c r="S134" s="27" t="s">
        <v>19</v>
      </c>
      <c r="T134" s="19" t="s">
        <v>160</v>
      </c>
    </row>
    <row r="135" spans="1:20" ht="37.5" customHeight="1" x14ac:dyDescent="0.25">
      <c r="A135" s="19" t="s">
        <v>161</v>
      </c>
      <c r="B135">
        <f t="shared" ref="B135:B198" si="19">C135+D135</f>
        <v>3004</v>
      </c>
      <c r="C135">
        <v>489</v>
      </c>
      <c r="D135">
        <v>2515</v>
      </c>
      <c r="F135">
        <f t="shared" ref="F135:F198" si="20">L135</f>
        <v>8</v>
      </c>
      <c r="G135" s="20">
        <f t="shared" si="14"/>
        <v>130</v>
      </c>
      <c r="H135" s="21">
        <v>66621060496</v>
      </c>
      <c r="I135" s="22">
        <v>148</v>
      </c>
      <c r="J135" s="23"/>
      <c r="K135" s="24">
        <v>2996</v>
      </c>
      <c r="L135" s="23">
        <f t="shared" si="15"/>
        <v>8</v>
      </c>
      <c r="M135" s="24">
        <v>487</v>
      </c>
      <c r="N135" s="25">
        <f t="shared" si="16"/>
        <v>2</v>
      </c>
      <c r="O135" s="24">
        <v>2509</v>
      </c>
      <c r="P135" s="23">
        <f t="shared" si="17"/>
        <v>6</v>
      </c>
      <c r="Q135" s="26"/>
      <c r="R135" s="23">
        <f t="shared" si="18"/>
        <v>0</v>
      </c>
      <c r="S135" s="27" t="s">
        <v>19</v>
      </c>
      <c r="T135" s="19" t="s">
        <v>161</v>
      </c>
    </row>
    <row r="136" spans="1:20" ht="37.5" customHeight="1" x14ac:dyDescent="0.25">
      <c r="A136" s="19" t="s">
        <v>162</v>
      </c>
      <c r="B136">
        <f t="shared" si="19"/>
        <v>38391</v>
      </c>
      <c r="C136">
        <v>7018</v>
      </c>
      <c r="D136">
        <v>31373</v>
      </c>
      <c r="F136">
        <f t="shared" si="20"/>
        <v>445</v>
      </c>
      <c r="G136" s="20">
        <f t="shared" ref="G136:G199" si="21">G135+1</f>
        <v>131</v>
      </c>
      <c r="H136" s="21">
        <v>23015010039</v>
      </c>
      <c r="I136" s="22">
        <v>150</v>
      </c>
      <c r="J136" s="23"/>
      <c r="K136" s="24">
        <v>37946</v>
      </c>
      <c r="L136" s="23">
        <f t="shared" si="15"/>
        <v>445</v>
      </c>
      <c r="M136" s="24">
        <v>6948</v>
      </c>
      <c r="N136" s="25">
        <f t="shared" si="16"/>
        <v>70</v>
      </c>
      <c r="O136" s="24">
        <v>30998</v>
      </c>
      <c r="P136" s="23">
        <f t="shared" si="17"/>
        <v>375</v>
      </c>
      <c r="Q136" s="26"/>
      <c r="R136" s="23">
        <f t="shared" si="18"/>
        <v>0</v>
      </c>
      <c r="S136" s="27" t="s">
        <v>19</v>
      </c>
      <c r="T136" s="19" t="s">
        <v>162</v>
      </c>
    </row>
    <row r="137" spans="1:20" ht="37.5" customHeight="1" x14ac:dyDescent="0.25">
      <c r="A137" s="19" t="s">
        <v>163</v>
      </c>
      <c r="B137">
        <f t="shared" si="19"/>
        <v>77016</v>
      </c>
      <c r="C137">
        <v>13408</v>
      </c>
      <c r="D137">
        <v>63608</v>
      </c>
      <c r="F137">
        <f t="shared" si="20"/>
        <v>10</v>
      </c>
      <c r="G137" s="20">
        <f t="shared" si="21"/>
        <v>132</v>
      </c>
      <c r="H137" s="21">
        <v>23014040117</v>
      </c>
      <c r="I137" s="22">
        <v>151</v>
      </c>
      <c r="J137" s="23"/>
      <c r="K137" s="24">
        <v>77006</v>
      </c>
      <c r="L137" s="23">
        <f t="shared" si="15"/>
        <v>10</v>
      </c>
      <c r="M137" s="24">
        <v>13406</v>
      </c>
      <c r="N137" s="25">
        <f t="shared" si="16"/>
        <v>2</v>
      </c>
      <c r="O137" s="24">
        <v>63600</v>
      </c>
      <c r="P137" s="23">
        <f t="shared" si="17"/>
        <v>8</v>
      </c>
      <c r="Q137" s="26"/>
      <c r="R137" s="23">
        <f t="shared" si="18"/>
        <v>0</v>
      </c>
      <c r="S137" s="27" t="s">
        <v>19</v>
      </c>
      <c r="T137" s="19" t="s">
        <v>163</v>
      </c>
    </row>
    <row r="138" spans="1:20" ht="37.5" customHeight="1" x14ac:dyDescent="0.25">
      <c r="A138" s="19" t="s">
        <v>164</v>
      </c>
      <c r="B138">
        <f t="shared" si="19"/>
        <v>2126</v>
      </c>
      <c r="C138">
        <v>368</v>
      </c>
      <c r="D138">
        <v>1758</v>
      </c>
      <c r="F138">
        <f t="shared" si="20"/>
        <v>29</v>
      </c>
      <c r="G138" s="20">
        <f t="shared" si="21"/>
        <v>133</v>
      </c>
      <c r="H138" s="21">
        <v>66621100478</v>
      </c>
      <c r="I138" s="22">
        <v>152</v>
      </c>
      <c r="J138" s="23"/>
      <c r="K138" s="24">
        <v>2097</v>
      </c>
      <c r="L138" s="23">
        <f t="shared" si="15"/>
        <v>29</v>
      </c>
      <c r="M138" s="24">
        <v>359</v>
      </c>
      <c r="N138" s="25">
        <f t="shared" si="16"/>
        <v>9</v>
      </c>
      <c r="O138" s="24">
        <v>1738</v>
      </c>
      <c r="P138" s="23">
        <f t="shared" si="17"/>
        <v>20</v>
      </c>
      <c r="Q138" s="26"/>
      <c r="R138" s="23">
        <f t="shared" si="18"/>
        <v>0</v>
      </c>
      <c r="S138" s="27" t="s">
        <v>19</v>
      </c>
      <c r="T138" s="19" t="s">
        <v>164</v>
      </c>
    </row>
    <row r="139" spans="1:20" ht="37.5" customHeight="1" x14ac:dyDescent="0.25">
      <c r="A139" s="19" t="s">
        <v>165</v>
      </c>
      <c r="B139">
        <f t="shared" si="19"/>
        <v>2482</v>
      </c>
      <c r="C139">
        <v>728</v>
      </c>
      <c r="D139">
        <v>1754</v>
      </c>
      <c r="E139">
        <v>4702</v>
      </c>
      <c r="F139">
        <f t="shared" si="20"/>
        <v>265</v>
      </c>
      <c r="G139" s="20">
        <f t="shared" si="21"/>
        <v>134</v>
      </c>
      <c r="H139" s="21">
        <v>99624030332</v>
      </c>
      <c r="I139" s="22">
        <v>153</v>
      </c>
      <c r="J139" s="23"/>
      <c r="K139" s="24">
        <f>M139+O139</f>
        <v>2217</v>
      </c>
      <c r="L139" s="23">
        <f t="shared" si="15"/>
        <v>265</v>
      </c>
      <c r="M139" s="24">
        <v>634</v>
      </c>
      <c r="N139" s="25">
        <f t="shared" si="16"/>
        <v>94</v>
      </c>
      <c r="O139" s="24">
        <v>1583</v>
      </c>
      <c r="P139" s="23">
        <f t="shared" si="17"/>
        <v>171</v>
      </c>
      <c r="Q139" s="26">
        <v>3894</v>
      </c>
      <c r="R139" s="23">
        <f t="shared" si="18"/>
        <v>808</v>
      </c>
      <c r="S139" s="27" t="s">
        <v>19</v>
      </c>
      <c r="T139" s="19" t="s">
        <v>165</v>
      </c>
    </row>
    <row r="140" spans="1:20" ht="37.5" customHeight="1" x14ac:dyDescent="0.25">
      <c r="A140" s="19" t="s">
        <v>166</v>
      </c>
      <c r="B140">
        <f t="shared" si="19"/>
        <v>1422</v>
      </c>
      <c r="C140">
        <v>259</v>
      </c>
      <c r="D140">
        <v>1163</v>
      </c>
      <c r="F140">
        <f t="shared" si="20"/>
        <v>385</v>
      </c>
      <c r="G140" s="20">
        <f t="shared" si="21"/>
        <v>135</v>
      </c>
      <c r="H140" s="21">
        <v>66624030163</v>
      </c>
      <c r="I140" s="22">
        <v>154</v>
      </c>
      <c r="J140" s="23"/>
      <c r="K140" s="24">
        <v>1037</v>
      </c>
      <c r="L140" s="23">
        <f t="shared" si="15"/>
        <v>385</v>
      </c>
      <c r="M140" s="24">
        <v>192</v>
      </c>
      <c r="N140" s="25">
        <f t="shared" si="16"/>
        <v>67</v>
      </c>
      <c r="O140" s="24">
        <v>845</v>
      </c>
      <c r="P140" s="23">
        <f t="shared" si="17"/>
        <v>318</v>
      </c>
      <c r="Q140" s="26"/>
      <c r="R140" s="23">
        <f t="shared" si="18"/>
        <v>0</v>
      </c>
      <c r="S140" s="27" t="s">
        <v>19</v>
      </c>
      <c r="T140" s="19" t="s">
        <v>166</v>
      </c>
    </row>
    <row r="141" spans="1:20" ht="37.5" customHeight="1" x14ac:dyDescent="0.25">
      <c r="A141" s="19" t="s">
        <v>167</v>
      </c>
      <c r="B141">
        <f t="shared" si="19"/>
        <v>33345</v>
      </c>
      <c r="C141">
        <v>5977</v>
      </c>
      <c r="D141">
        <v>27368</v>
      </c>
      <c r="F141">
        <f t="shared" si="20"/>
        <v>275</v>
      </c>
      <c r="G141" s="20">
        <f t="shared" si="21"/>
        <v>136</v>
      </c>
      <c r="H141" s="21">
        <v>66616031182</v>
      </c>
      <c r="I141" s="22">
        <v>155</v>
      </c>
      <c r="J141" s="23"/>
      <c r="K141" s="24">
        <v>33070</v>
      </c>
      <c r="L141" s="23">
        <f t="shared" si="15"/>
        <v>275</v>
      </c>
      <c r="M141" s="24">
        <v>5928</v>
      </c>
      <c r="N141" s="25">
        <f t="shared" si="16"/>
        <v>49</v>
      </c>
      <c r="O141" s="24">
        <v>27142</v>
      </c>
      <c r="P141" s="23">
        <f t="shared" si="17"/>
        <v>226</v>
      </c>
      <c r="Q141" s="26"/>
      <c r="R141" s="23">
        <f t="shared" si="18"/>
        <v>0</v>
      </c>
      <c r="S141" s="27" t="s">
        <v>19</v>
      </c>
      <c r="T141" s="19" t="s">
        <v>167</v>
      </c>
    </row>
    <row r="142" spans="1:20" ht="37.5" customHeight="1" x14ac:dyDescent="0.25">
      <c r="A142" s="19" t="s">
        <v>168</v>
      </c>
      <c r="B142">
        <f t="shared" si="19"/>
        <v>28943</v>
      </c>
      <c r="C142">
        <v>5769</v>
      </c>
      <c r="D142">
        <v>23174</v>
      </c>
      <c r="F142">
        <f t="shared" si="20"/>
        <v>331</v>
      </c>
      <c r="G142" s="20">
        <f t="shared" si="21"/>
        <v>137</v>
      </c>
      <c r="H142" s="21">
        <v>66616020135</v>
      </c>
      <c r="I142" s="22">
        <v>156</v>
      </c>
      <c r="J142" s="23"/>
      <c r="K142" s="24">
        <v>28612</v>
      </c>
      <c r="L142" s="23">
        <f t="shared" si="15"/>
        <v>331</v>
      </c>
      <c r="M142" s="24">
        <v>5718</v>
      </c>
      <c r="N142" s="25">
        <f t="shared" si="16"/>
        <v>51</v>
      </c>
      <c r="O142" s="24">
        <v>22894</v>
      </c>
      <c r="P142" s="23">
        <f t="shared" si="17"/>
        <v>280</v>
      </c>
      <c r="Q142" s="26"/>
      <c r="R142" s="23">
        <f t="shared" si="18"/>
        <v>0</v>
      </c>
      <c r="S142" s="27" t="s">
        <v>19</v>
      </c>
      <c r="T142" s="19" t="s">
        <v>168</v>
      </c>
    </row>
    <row r="143" spans="1:20" ht="37.5" customHeight="1" x14ac:dyDescent="0.25">
      <c r="A143" s="19" t="s">
        <v>169</v>
      </c>
      <c r="B143">
        <f t="shared" si="19"/>
        <v>85563</v>
      </c>
      <c r="C143">
        <v>16266</v>
      </c>
      <c r="D143">
        <v>69297</v>
      </c>
      <c r="F143">
        <f t="shared" si="20"/>
        <v>377</v>
      </c>
      <c r="G143" s="20">
        <f t="shared" si="21"/>
        <v>138</v>
      </c>
      <c r="H143" s="21">
        <v>23011100105</v>
      </c>
      <c r="I143" s="22">
        <v>157</v>
      </c>
      <c r="J143" s="23"/>
      <c r="K143" s="24">
        <v>85186</v>
      </c>
      <c r="L143" s="23">
        <f t="shared" si="15"/>
        <v>377</v>
      </c>
      <c r="M143" s="24">
        <v>16194</v>
      </c>
      <c r="N143" s="25">
        <f t="shared" si="16"/>
        <v>72</v>
      </c>
      <c r="O143" s="24">
        <v>68992</v>
      </c>
      <c r="P143" s="23">
        <f t="shared" si="17"/>
        <v>305</v>
      </c>
      <c r="Q143" s="26"/>
      <c r="R143" s="23">
        <f t="shared" si="18"/>
        <v>0</v>
      </c>
      <c r="S143" s="27" t="s">
        <v>19</v>
      </c>
      <c r="T143" s="19" t="s">
        <v>169</v>
      </c>
    </row>
    <row r="144" spans="1:20" ht="37.5" customHeight="1" x14ac:dyDescent="0.25">
      <c r="A144" s="19" t="s">
        <v>170</v>
      </c>
      <c r="B144">
        <f t="shared" si="19"/>
        <v>92341</v>
      </c>
      <c r="C144">
        <v>17926</v>
      </c>
      <c r="D144">
        <v>74415</v>
      </c>
      <c r="F144">
        <f t="shared" si="20"/>
        <v>456</v>
      </c>
      <c r="G144" s="20">
        <f t="shared" si="21"/>
        <v>139</v>
      </c>
      <c r="H144" s="21">
        <v>23012010004</v>
      </c>
      <c r="I144" s="22">
        <v>158</v>
      </c>
      <c r="J144" s="23"/>
      <c r="K144" s="24">
        <v>91885</v>
      </c>
      <c r="L144" s="23">
        <f t="shared" si="15"/>
        <v>456</v>
      </c>
      <c r="M144" s="24">
        <v>17815</v>
      </c>
      <c r="N144" s="25">
        <f t="shared" si="16"/>
        <v>111</v>
      </c>
      <c r="O144" s="24">
        <v>74070</v>
      </c>
      <c r="P144" s="23">
        <f t="shared" si="17"/>
        <v>345</v>
      </c>
      <c r="Q144" s="26"/>
      <c r="R144" s="23">
        <f t="shared" si="18"/>
        <v>0</v>
      </c>
      <c r="S144" s="27" t="s">
        <v>19</v>
      </c>
      <c r="T144" s="19" t="s">
        <v>170</v>
      </c>
    </row>
    <row r="145" spans="1:20" ht="37.5" customHeight="1" x14ac:dyDescent="0.25">
      <c r="A145" s="19" t="s">
        <v>171</v>
      </c>
      <c r="B145">
        <f t="shared" si="19"/>
        <v>14000</v>
      </c>
      <c r="C145">
        <v>2712</v>
      </c>
      <c r="D145">
        <v>11288</v>
      </c>
      <c r="F145">
        <f t="shared" si="20"/>
        <v>257</v>
      </c>
      <c r="G145" s="20">
        <f t="shared" si="21"/>
        <v>140</v>
      </c>
      <c r="H145" s="21">
        <v>66621070243</v>
      </c>
      <c r="I145" s="22">
        <v>159</v>
      </c>
      <c r="J145" s="23"/>
      <c r="K145" s="24">
        <v>13743</v>
      </c>
      <c r="L145" s="23">
        <f t="shared" si="15"/>
        <v>257</v>
      </c>
      <c r="M145" s="24">
        <v>2664</v>
      </c>
      <c r="N145" s="25">
        <f t="shared" si="16"/>
        <v>48</v>
      </c>
      <c r="O145" s="24">
        <v>11079</v>
      </c>
      <c r="P145" s="23">
        <f t="shared" si="17"/>
        <v>209</v>
      </c>
      <c r="Q145" s="26"/>
      <c r="R145" s="23">
        <f t="shared" si="18"/>
        <v>0</v>
      </c>
      <c r="S145" s="27" t="s">
        <v>19</v>
      </c>
      <c r="T145" s="19" t="s">
        <v>171</v>
      </c>
    </row>
    <row r="146" spans="1:20" ht="37.5" customHeight="1" x14ac:dyDescent="0.25">
      <c r="A146" s="19" t="s">
        <v>172</v>
      </c>
      <c r="B146">
        <f t="shared" si="19"/>
        <v>33866</v>
      </c>
      <c r="C146">
        <v>6477</v>
      </c>
      <c r="D146">
        <v>27389</v>
      </c>
      <c r="F146">
        <f t="shared" si="20"/>
        <v>2</v>
      </c>
      <c r="G146" s="20">
        <f t="shared" si="21"/>
        <v>141</v>
      </c>
      <c r="H146" s="21">
        <v>23013010238</v>
      </c>
      <c r="I146" s="22">
        <v>160</v>
      </c>
      <c r="J146" s="23"/>
      <c r="K146" s="24">
        <v>33864</v>
      </c>
      <c r="L146" s="23">
        <f t="shared" si="15"/>
        <v>2</v>
      </c>
      <c r="M146" s="24">
        <v>6477</v>
      </c>
      <c r="N146" s="25">
        <f t="shared" si="16"/>
        <v>0</v>
      </c>
      <c r="O146" s="24">
        <v>27387</v>
      </c>
      <c r="P146" s="23">
        <f t="shared" si="17"/>
        <v>2</v>
      </c>
      <c r="Q146" s="26"/>
      <c r="R146" s="23">
        <f t="shared" si="18"/>
        <v>0</v>
      </c>
      <c r="S146" s="27" t="s">
        <v>19</v>
      </c>
      <c r="T146" s="19" t="s">
        <v>172</v>
      </c>
    </row>
    <row r="147" spans="1:20" ht="37.5" customHeight="1" x14ac:dyDescent="0.25">
      <c r="A147" s="19" t="s">
        <v>173</v>
      </c>
      <c r="B147">
        <f t="shared" si="19"/>
        <v>2201</v>
      </c>
      <c r="C147">
        <v>581</v>
      </c>
      <c r="D147">
        <v>1620</v>
      </c>
      <c r="E147">
        <v>4893</v>
      </c>
      <c r="F147">
        <f t="shared" si="20"/>
        <v>380</v>
      </c>
      <c r="G147" s="20">
        <f t="shared" si="21"/>
        <v>142</v>
      </c>
      <c r="H147" s="21">
        <v>99624040229</v>
      </c>
      <c r="I147" s="22">
        <v>164</v>
      </c>
      <c r="J147" s="23"/>
      <c r="K147" s="24">
        <f>M147+O147</f>
        <v>1821</v>
      </c>
      <c r="L147" s="23">
        <f t="shared" si="15"/>
        <v>380</v>
      </c>
      <c r="M147" s="24">
        <v>474</v>
      </c>
      <c r="N147" s="25">
        <f t="shared" si="16"/>
        <v>107</v>
      </c>
      <c r="O147" s="24">
        <v>1347</v>
      </c>
      <c r="P147" s="23">
        <f t="shared" si="17"/>
        <v>273</v>
      </c>
      <c r="Q147" s="26">
        <v>3877</v>
      </c>
      <c r="R147" s="23">
        <f t="shared" si="18"/>
        <v>1016</v>
      </c>
      <c r="S147" s="27" t="s">
        <v>19</v>
      </c>
      <c r="T147" s="19" t="s">
        <v>173</v>
      </c>
    </row>
    <row r="148" spans="1:20" ht="37.5" customHeight="1" x14ac:dyDescent="0.25">
      <c r="A148" s="19" t="s">
        <v>174</v>
      </c>
      <c r="B148">
        <f t="shared" si="19"/>
        <v>16394</v>
      </c>
      <c r="C148">
        <v>3060</v>
      </c>
      <c r="D148">
        <v>13334</v>
      </c>
      <c r="F148">
        <f t="shared" si="20"/>
        <v>235</v>
      </c>
      <c r="G148" s="20">
        <f t="shared" si="21"/>
        <v>143</v>
      </c>
      <c r="H148" s="21">
        <v>66621100204</v>
      </c>
      <c r="I148" s="22">
        <v>165</v>
      </c>
      <c r="J148" s="23"/>
      <c r="K148" s="24">
        <v>16159</v>
      </c>
      <c r="L148" s="23">
        <f t="shared" si="15"/>
        <v>235</v>
      </c>
      <c r="M148" s="24">
        <v>3021</v>
      </c>
      <c r="N148" s="25">
        <f t="shared" si="16"/>
        <v>39</v>
      </c>
      <c r="O148" s="24">
        <v>13138</v>
      </c>
      <c r="P148" s="23">
        <f t="shared" si="17"/>
        <v>196</v>
      </c>
      <c r="Q148" s="26"/>
      <c r="R148" s="23">
        <f t="shared" si="18"/>
        <v>0</v>
      </c>
      <c r="S148" s="27" t="s">
        <v>19</v>
      </c>
      <c r="T148" s="19" t="s">
        <v>174</v>
      </c>
    </row>
    <row r="149" spans="1:20" ht="37.5" customHeight="1" x14ac:dyDescent="0.25">
      <c r="A149" s="19" t="s">
        <v>175</v>
      </c>
      <c r="B149">
        <f t="shared" si="19"/>
        <v>104297</v>
      </c>
      <c r="C149">
        <v>16999</v>
      </c>
      <c r="D149">
        <v>87298</v>
      </c>
      <c r="F149">
        <f t="shared" si="20"/>
        <v>1752</v>
      </c>
      <c r="G149" s="20">
        <f t="shared" si="21"/>
        <v>144</v>
      </c>
      <c r="H149" s="21">
        <v>23015100372</v>
      </c>
      <c r="I149" s="22">
        <v>166</v>
      </c>
      <c r="J149" s="23"/>
      <c r="K149" s="24">
        <v>102545</v>
      </c>
      <c r="L149" s="23">
        <f t="shared" si="15"/>
        <v>1752</v>
      </c>
      <c r="M149" s="24">
        <v>16701</v>
      </c>
      <c r="N149" s="25">
        <f t="shared" si="16"/>
        <v>298</v>
      </c>
      <c r="O149" s="24">
        <v>85844</v>
      </c>
      <c r="P149" s="23">
        <f t="shared" si="17"/>
        <v>1454</v>
      </c>
      <c r="Q149" s="26"/>
      <c r="R149" s="23">
        <f t="shared" si="18"/>
        <v>0</v>
      </c>
      <c r="S149" s="27" t="s">
        <v>19</v>
      </c>
      <c r="T149" s="19" t="s">
        <v>175</v>
      </c>
    </row>
    <row r="150" spans="1:20" ht="37.5" customHeight="1" x14ac:dyDescent="0.25">
      <c r="A150" s="19" t="s">
        <v>176</v>
      </c>
      <c r="B150">
        <f t="shared" si="19"/>
        <v>109523</v>
      </c>
      <c r="C150">
        <v>20370</v>
      </c>
      <c r="D150">
        <v>89153</v>
      </c>
      <c r="F150">
        <f t="shared" si="20"/>
        <v>690</v>
      </c>
      <c r="G150" s="20">
        <f t="shared" si="21"/>
        <v>145</v>
      </c>
      <c r="H150" s="21">
        <v>23011120037</v>
      </c>
      <c r="I150" s="22">
        <v>167</v>
      </c>
      <c r="J150" s="23"/>
      <c r="K150" s="24">
        <v>108833</v>
      </c>
      <c r="L150" s="23">
        <f t="shared" si="15"/>
        <v>690</v>
      </c>
      <c r="M150" s="24">
        <v>20251</v>
      </c>
      <c r="N150" s="25">
        <f t="shared" si="16"/>
        <v>119</v>
      </c>
      <c r="O150" s="24">
        <v>88582</v>
      </c>
      <c r="P150" s="23">
        <f t="shared" si="17"/>
        <v>571</v>
      </c>
      <c r="Q150" s="26"/>
      <c r="R150" s="23">
        <f t="shared" si="18"/>
        <v>0</v>
      </c>
      <c r="S150" s="27" t="s">
        <v>19</v>
      </c>
      <c r="T150" s="19" t="s">
        <v>176</v>
      </c>
    </row>
    <row r="151" spans="1:20" ht="37.5" customHeight="1" x14ac:dyDescent="0.25">
      <c r="A151" s="19" t="s">
        <v>177</v>
      </c>
      <c r="B151">
        <f t="shared" si="19"/>
        <v>10348</v>
      </c>
      <c r="C151">
        <v>1915</v>
      </c>
      <c r="D151">
        <v>8433</v>
      </c>
      <c r="F151">
        <f t="shared" si="20"/>
        <v>1177</v>
      </c>
      <c r="G151" s="20">
        <f t="shared" si="21"/>
        <v>146</v>
      </c>
      <c r="H151" s="21">
        <v>66624020003</v>
      </c>
      <c r="I151" s="22">
        <v>168</v>
      </c>
      <c r="J151" s="23"/>
      <c r="K151" s="24">
        <v>9171</v>
      </c>
      <c r="L151" s="23">
        <f t="shared" si="15"/>
        <v>1177</v>
      </c>
      <c r="M151" s="24">
        <v>1732</v>
      </c>
      <c r="N151" s="25">
        <f t="shared" si="16"/>
        <v>183</v>
      </c>
      <c r="O151" s="24">
        <v>7439</v>
      </c>
      <c r="P151" s="23">
        <f t="shared" si="17"/>
        <v>994</v>
      </c>
      <c r="Q151" s="26"/>
      <c r="R151" s="23">
        <f t="shared" si="18"/>
        <v>0</v>
      </c>
      <c r="S151" s="27" t="s">
        <v>19</v>
      </c>
      <c r="T151" s="19" t="s">
        <v>177</v>
      </c>
    </row>
    <row r="152" spans="1:20" ht="37.5" customHeight="1" x14ac:dyDescent="0.25">
      <c r="A152" s="19" t="s">
        <v>178</v>
      </c>
      <c r="B152">
        <f t="shared" si="19"/>
        <v>33532</v>
      </c>
      <c r="C152">
        <v>6118</v>
      </c>
      <c r="D152">
        <v>27414</v>
      </c>
      <c r="F152">
        <f t="shared" si="20"/>
        <v>216</v>
      </c>
      <c r="G152" s="20">
        <f t="shared" si="21"/>
        <v>147</v>
      </c>
      <c r="H152" s="21">
        <v>88819020145</v>
      </c>
      <c r="I152" s="22">
        <v>170</v>
      </c>
      <c r="J152" s="23"/>
      <c r="K152" s="24">
        <v>33316</v>
      </c>
      <c r="L152" s="23">
        <f t="shared" si="15"/>
        <v>216</v>
      </c>
      <c r="M152" s="24">
        <v>6079</v>
      </c>
      <c r="N152" s="25">
        <f t="shared" si="16"/>
        <v>39</v>
      </c>
      <c r="O152" s="24">
        <v>27237</v>
      </c>
      <c r="P152" s="23">
        <f t="shared" si="17"/>
        <v>177</v>
      </c>
      <c r="Q152" s="26"/>
      <c r="R152" s="23">
        <f t="shared" si="18"/>
        <v>0</v>
      </c>
      <c r="S152" s="27" t="s">
        <v>19</v>
      </c>
      <c r="T152" s="19" t="s">
        <v>178</v>
      </c>
    </row>
    <row r="153" spans="1:20" ht="37.5" customHeight="1" x14ac:dyDescent="0.25">
      <c r="A153" s="19" t="s">
        <v>179</v>
      </c>
      <c r="B153">
        <f t="shared" si="19"/>
        <v>41169</v>
      </c>
      <c r="C153">
        <v>7823</v>
      </c>
      <c r="D153">
        <v>33346</v>
      </c>
      <c r="F153">
        <f t="shared" si="20"/>
        <v>34</v>
      </c>
      <c r="G153" s="20">
        <f t="shared" si="21"/>
        <v>148</v>
      </c>
      <c r="H153" s="21">
        <v>23014060685</v>
      </c>
      <c r="I153" s="22">
        <v>171</v>
      </c>
      <c r="J153" s="23"/>
      <c r="K153" s="24">
        <v>41135</v>
      </c>
      <c r="L153" s="23">
        <f t="shared" si="15"/>
        <v>34</v>
      </c>
      <c r="M153" s="24">
        <v>7817</v>
      </c>
      <c r="N153" s="25">
        <f t="shared" si="16"/>
        <v>6</v>
      </c>
      <c r="O153" s="24">
        <v>33318</v>
      </c>
      <c r="P153" s="23">
        <f t="shared" si="17"/>
        <v>28</v>
      </c>
      <c r="Q153" s="26"/>
      <c r="R153" s="23">
        <f t="shared" si="18"/>
        <v>0</v>
      </c>
      <c r="S153" s="27" t="s">
        <v>19</v>
      </c>
      <c r="T153" s="19" t="s">
        <v>179</v>
      </c>
    </row>
    <row r="154" spans="1:20" ht="37.5" customHeight="1" x14ac:dyDescent="0.25">
      <c r="A154" s="19" t="s">
        <v>180</v>
      </c>
      <c r="B154">
        <f t="shared" si="19"/>
        <v>42310</v>
      </c>
      <c r="C154">
        <v>8098</v>
      </c>
      <c r="D154">
        <v>34212</v>
      </c>
      <c r="F154">
        <f t="shared" si="20"/>
        <v>509</v>
      </c>
      <c r="G154" s="20">
        <f t="shared" si="21"/>
        <v>149</v>
      </c>
      <c r="H154" s="21">
        <v>23015100839</v>
      </c>
      <c r="I154" s="22">
        <v>172</v>
      </c>
      <c r="J154" s="23"/>
      <c r="K154" s="24">
        <v>41801</v>
      </c>
      <c r="L154" s="23">
        <f t="shared" si="15"/>
        <v>509</v>
      </c>
      <c r="M154" s="24">
        <v>8022</v>
      </c>
      <c r="N154" s="25">
        <f t="shared" si="16"/>
        <v>76</v>
      </c>
      <c r="O154" s="24">
        <v>33779</v>
      </c>
      <c r="P154" s="23">
        <f t="shared" si="17"/>
        <v>433</v>
      </c>
      <c r="Q154" s="26"/>
      <c r="R154" s="23">
        <f t="shared" si="18"/>
        <v>0</v>
      </c>
      <c r="S154" s="27" t="s">
        <v>19</v>
      </c>
      <c r="T154" s="19" t="s">
        <v>180</v>
      </c>
    </row>
    <row r="155" spans="1:20" ht="37.5" customHeight="1" x14ac:dyDescent="0.25">
      <c r="A155" s="19" t="s">
        <v>181</v>
      </c>
      <c r="B155">
        <f t="shared" si="19"/>
        <v>14930</v>
      </c>
      <c r="C155">
        <v>4034</v>
      </c>
      <c r="D155">
        <v>10896</v>
      </c>
      <c r="E155">
        <v>22127</v>
      </c>
      <c r="F155">
        <f t="shared" si="20"/>
        <v>295</v>
      </c>
      <c r="G155" s="20">
        <f t="shared" si="21"/>
        <v>150</v>
      </c>
      <c r="H155" s="21">
        <v>99723030026</v>
      </c>
      <c r="I155" s="22">
        <v>173</v>
      </c>
      <c r="J155" s="23"/>
      <c r="K155" s="24">
        <f>M155+O155</f>
        <v>14635</v>
      </c>
      <c r="L155" s="23">
        <f t="shared" si="15"/>
        <v>295</v>
      </c>
      <c r="M155" s="24">
        <v>3938</v>
      </c>
      <c r="N155" s="25">
        <f t="shared" si="16"/>
        <v>96</v>
      </c>
      <c r="O155" s="24">
        <v>10697</v>
      </c>
      <c r="P155" s="23">
        <f t="shared" si="17"/>
        <v>199</v>
      </c>
      <c r="Q155" s="26">
        <v>20826</v>
      </c>
      <c r="R155" s="23">
        <f t="shared" si="18"/>
        <v>1301</v>
      </c>
      <c r="S155" s="27" t="s">
        <v>19</v>
      </c>
      <c r="T155" s="19" t="s">
        <v>181</v>
      </c>
    </row>
    <row r="156" spans="1:20" ht="37.5" customHeight="1" x14ac:dyDescent="0.25">
      <c r="A156" s="19" t="s">
        <v>182</v>
      </c>
      <c r="B156">
        <f t="shared" si="19"/>
        <v>21255</v>
      </c>
      <c r="C156">
        <v>3992</v>
      </c>
      <c r="D156">
        <v>17263</v>
      </c>
      <c r="F156">
        <f t="shared" si="20"/>
        <v>686</v>
      </c>
      <c r="G156" s="20">
        <f t="shared" si="21"/>
        <v>151</v>
      </c>
      <c r="H156" s="21">
        <v>66618010205</v>
      </c>
      <c r="I156" s="22">
        <v>174</v>
      </c>
      <c r="J156" s="23"/>
      <c r="K156" s="24">
        <v>20569</v>
      </c>
      <c r="L156" s="23">
        <f t="shared" si="15"/>
        <v>686</v>
      </c>
      <c r="M156" s="24">
        <v>3880</v>
      </c>
      <c r="N156" s="25">
        <f t="shared" si="16"/>
        <v>112</v>
      </c>
      <c r="O156" s="24">
        <v>16689</v>
      </c>
      <c r="P156" s="23">
        <f t="shared" si="17"/>
        <v>574</v>
      </c>
      <c r="Q156" s="26"/>
      <c r="R156" s="23">
        <f t="shared" si="18"/>
        <v>0</v>
      </c>
      <c r="S156" s="27" t="s">
        <v>19</v>
      </c>
      <c r="T156" s="19" t="s">
        <v>182</v>
      </c>
    </row>
    <row r="157" spans="1:20" ht="37.5" customHeight="1" x14ac:dyDescent="0.25">
      <c r="A157" s="19" t="s">
        <v>183</v>
      </c>
      <c r="B157">
        <f t="shared" si="19"/>
        <v>8459</v>
      </c>
      <c r="C157">
        <v>1847</v>
      </c>
      <c r="D157">
        <v>6612</v>
      </c>
      <c r="E157">
        <v>5429</v>
      </c>
      <c r="F157">
        <f t="shared" si="20"/>
        <v>592</v>
      </c>
      <c r="G157" s="20">
        <f t="shared" si="21"/>
        <v>152</v>
      </c>
      <c r="H157" s="21">
        <v>99624030233</v>
      </c>
      <c r="I157" s="22">
        <v>175</v>
      </c>
      <c r="J157" s="23"/>
      <c r="K157" s="24">
        <f>M157+O157</f>
        <v>7867</v>
      </c>
      <c r="L157" s="23">
        <f t="shared" si="15"/>
        <v>592</v>
      </c>
      <c r="M157" s="24">
        <v>1708</v>
      </c>
      <c r="N157" s="25">
        <f t="shared" si="16"/>
        <v>139</v>
      </c>
      <c r="O157" s="24">
        <v>6159</v>
      </c>
      <c r="P157" s="23">
        <f t="shared" si="17"/>
        <v>453</v>
      </c>
      <c r="Q157" s="26">
        <v>4401</v>
      </c>
      <c r="R157" s="23">
        <f t="shared" si="18"/>
        <v>1028</v>
      </c>
      <c r="S157" s="27" t="s">
        <v>19</v>
      </c>
      <c r="T157" s="19" t="s">
        <v>183</v>
      </c>
    </row>
    <row r="158" spans="1:20" ht="37.5" customHeight="1" x14ac:dyDescent="0.25">
      <c r="A158" s="19" t="s">
        <v>184</v>
      </c>
      <c r="B158">
        <f t="shared" si="19"/>
        <v>19059</v>
      </c>
      <c r="C158">
        <v>3056</v>
      </c>
      <c r="D158">
        <v>16003</v>
      </c>
      <c r="F158">
        <f t="shared" si="20"/>
        <v>748</v>
      </c>
      <c r="G158" s="20">
        <f t="shared" si="21"/>
        <v>153</v>
      </c>
      <c r="H158" s="21">
        <v>66621090330</v>
      </c>
      <c r="I158" s="22">
        <v>176</v>
      </c>
      <c r="J158" s="23"/>
      <c r="K158" s="24">
        <v>18311</v>
      </c>
      <c r="L158" s="23">
        <f t="shared" si="15"/>
        <v>748</v>
      </c>
      <c r="M158" s="24">
        <v>2941</v>
      </c>
      <c r="N158" s="25">
        <f t="shared" si="16"/>
        <v>115</v>
      </c>
      <c r="O158" s="24">
        <v>15370</v>
      </c>
      <c r="P158" s="23">
        <f t="shared" si="17"/>
        <v>633</v>
      </c>
      <c r="Q158" s="26"/>
      <c r="R158" s="23">
        <f t="shared" si="18"/>
        <v>0</v>
      </c>
      <c r="S158" s="27" t="s">
        <v>19</v>
      </c>
      <c r="T158" s="19" t="s">
        <v>184</v>
      </c>
    </row>
    <row r="159" spans="1:20" ht="37.5" customHeight="1" x14ac:dyDescent="0.25">
      <c r="A159" s="19" t="s">
        <v>185</v>
      </c>
      <c r="B159">
        <f t="shared" si="19"/>
        <v>35296</v>
      </c>
      <c r="C159">
        <v>6365</v>
      </c>
      <c r="D159">
        <v>28931</v>
      </c>
      <c r="F159">
        <f t="shared" si="20"/>
        <v>330</v>
      </c>
      <c r="G159" s="20">
        <f t="shared" si="21"/>
        <v>154</v>
      </c>
      <c r="H159" s="21">
        <v>66621050288</v>
      </c>
      <c r="I159" s="22">
        <v>177</v>
      </c>
      <c r="J159" s="23"/>
      <c r="K159" s="24">
        <v>34966</v>
      </c>
      <c r="L159" s="23">
        <f t="shared" si="15"/>
        <v>330</v>
      </c>
      <c r="M159" s="24">
        <v>6299</v>
      </c>
      <c r="N159" s="25">
        <f t="shared" si="16"/>
        <v>66</v>
      </c>
      <c r="O159" s="24">
        <v>28667</v>
      </c>
      <c r="P159" s="23">
        <f t="shared" si="17"/>
        <v>264</v>
      </c>
      <c r="Q159" s="26"/>
      <c r="R159" s="23">
        <f t="shared" si="18"/>
        <v>0</v>
      </c>
      <c r="S159" s="27" t="s">
        <v>19</v>
      </c>
      <c r="T159" s="19" t="s">
        <v>185</v>
      </c>
    </row>
    <row r="160" spans="1:20" ht="37.5" customHeight="1" x14ac:dyDescent="0.25">
      <c r="A160" s="19" t="s">
        <v>186</v>
      </c>
      <c r="B160">
        <f t="shared" si="19"/>
        <v>234</v>
      </c>
      <c r="C160">
        <v>73</v>
      </c>
      <c r="D160">
        <v>161</v>
      </c>
      <c r="E160">
        <v>945</v>
      </c>
      <c r="F160">
        <f t="shared" si="20"/>
        <v>234</v>
      </c>
      <c r="G160" s="20">
        <f t="shared" si="21"/>
        <v>155</v>
      </c>
      <c r="H160" s="21">
        <v>99625010238</v>
      </c>
      <c r="I160" s="22">
        <v>178</v>
      </c>
      <c r="J160" s="23"/>
      <c r="K160" s="24">
        <v>0</v>
      </c>
      <c r="L160" s="23">
        <f t="shared" si="15"/>
        <v>234</v>
      </c>
      <c r="M160" s="24">
        <v>0</v>
      </c>
      <c r="N160" s="25">
        <f t="shared" si="16"/>
        <v>73</v>
      </c>
      <c r="O160" s="24">
        <v>0</v>
      </c>
      <c r="P160" s="23">
        <f t="shared" si="17"/>
        <v>161</v>
      </c>
      <c r="Q160" s="26">
        <v>0</v>
      </c>
      <c r="R160" s="23">
        <f t="shared" si="18"/>
        <v>945</v>
      </c>
      <c r="S160" s="27" t="s">
        <v>19</v>
      </c>
      <c r="T160" s="19" t="s">
        <v>186</v>
      </c>
    </row>
    <row r="161" spans="1:20" ht="37.5" customHeight="1" x14ac:dyDescent="0.25">
      <c r="A161" s="19" t="s">
        <v>187</v>
      </c>
      <c r="B161">
        <f t="shared" si="19"/>
        <v>76273</v>
      </c>
      <c r="C161">
        <v>14600</v>
      </c>
      <c r="D161">
        <v>61673</v>
      </c>
      <c r="F161">
        <f t="shared" si="20"/>
        <v>332</v>
      </c>
      <c r="G161" s="20">
        <f t="shared" si="21"/>
        <v>156</v>
      </c>
      <c r="H161" s="21">
        <v>23014010088</v>
      </c>
      <c r="I161" s="22">
        <v>179</v>
      </c>
      <c r="J161" s="23"/>
      <c r="K161" s="24">
        <v>75941</v>
      </c>
      <c r="L161" s="23">
        <f t="shared" si="15"/>
        <v>332</v>
      </c>
      <c r="M161" s="24">
        <v>14509</v>
      </c>
      <c r="N161" s="25">
        <f t="shared" si="16"/>
        <v>91</v>
      </c>
      <c r="O161" s="24">
        <v>61432</v>
      </c>
      <c r="P161" s="23">
        <f t="shared" si="17"/>
        <v>241</v>
      </c>
      <c r="Q161" s="26"/>
      <c r="R161" s="23">
        <f t="shared" si="18"/>
        <v>0</v>
      </c>
      <c r="S161" s="27" t="s">
        <v>19</v>
      </c>
      <c r="T161" s="19" t="s">
        <v>187</v>
      </c>
    </row>
    <row r="162" spans="1:20" ht="37.5" customHeight="1" x14ac:dyDescent="0.25">
      <c r="A162" s="19" t="s">
        <v>188</v>
      </c>
      <c r="B162">
        <f t="shared" si="19"/>
        <v>8902</v>
      </c>
      <c r="C162">
        <v>1633</v>
      </c>
      <c r="D162">
        <v>7269</v>
      </c>
      <c r="E162">
        <v>7632</v>
      </c>
      <c r="F162">
        <f t="shared" si="20"/>
        <v>473</v>
      </c>
      <c r="G162" s="20">
        <f t="shared" si="21"/>
        <v>157</v>
      </c>
      <c r="H162" s="21">
        <v>99624010072</v>
      </c>
      <c r="I162" s="22">
        <v>180</v>
      </c>
      <c r="J162" s="23"/>
      <c r="K162" s="24">
        <f>M162+O162</f>
        <v>8429</v>
      </c>
      <c r="L162" s="23">
        <f t="shared" si="15"/>
        <v>473</v>
      </c>
      <c r="M162" s="24">
        <v>1571</v>
      </c>
      <c r="N162" s="25">
        <f t="shared" si="16"/>
        <v>62</v>
      </c>
      <c r="O162" s="24">
        <v>6858</v>
      </c>
      <c r="P162" s="23">
        <f t="shared" si="17"/>
        <v>411</v>
      </c>
      <c r="Q162" s="26">
        <v>6751</v>
      </c>
      <c r="R162" s="23">
        <f t="shared" si="18"/>
        <v>881</v>
      </c>
      <c r="S162" s="27" t="s">
        <v>19</v>
      </c>
      <c r="T162" s="19" t="s">
        <v>188</v>
      </c>
    </row>
    <row r="163" spans="1:20" ht="37.5" customHeight="1" x14ac:dyDescent="0.25">
      <c r="A163" s="19" t="s">
        <v>189</v>
      </c>
      <c r="B163">
        <f t="shared" si="19"/>
        <v>44594</v>
      </c>
      <c r="C163">
        <v>7683</v>
      </c>
      <c r="D163">
        <v>36911</v>
      </c>
      <c r="F163">
        <f t="shared" si="20"/>
        <v>188</v>
      </c>
      <c r="G163" s="20">
        <f t="shared" si="21"/>
        <v>158</v>
      </c>
      <c r="H163" s="21">
        <v>23015010359</v>
      </c>
      <c r="I163" s="22">
        <v>181</v>
      </c>
      <c r="J163" s="23"/>
      <c r="K163" s="24">
        <v>44406</v>
      </c>
      <c r="L163" s="23">
        <f t="shared" si="15"/>
        <v>188</v>
      </c>
      <c r="M163" s="24">
        <v>7644</v>
      </c>
      <c r="N163" s="25">
        <f t="shared" si="16"/>
        <v>39</v>
      </c>
      <c r="O163" s="24">
        <v>36762</v>
      </c>
      <c r="P163" s="23">
        <f t="shared" si="17"/>
        <v>149</v>
      </c>
      <c r="Q163" s="26"/>
      <c r="R163" s="23">
        <f t="shared" si="18"/>
        <v>0</v>
      </c>
      <c r="S163" s="27" t="s">
        <v>19</v>
      </c>
      <c r="T163" s="19" t="s">
        <v>189</v>
      </c>
    </row>
    <row r="164" spans="1:20" ht="37.5" customHeight="1" x14ac:dyDescent="0.25">
      <c r="A164" s="19" t="s">
        <v>190</v>
      </c>
      <c r="B164">
        <f t="shared" si="19"/>
        <v>112734</v>
      </c>
      <c r="C164">
        <v>20541</v>
      </c>
      <c r="D164">
        <v>92193</v>
      </c>
      <c r="F164">
        <f t="shared" si="20"/>
        <v>525</v>
      </c>
      <c r="G164" s="20">
        <f t="shared" si="21"/>
        <v>159</v>
      </c>
      <c r="H164" s="21">
        <v>23014010338</v>
      </c>
      <c r="I164" s="22">
        <v>182</v>
      </c>
      <c r="J164" s="23"/>
      <c r="K164" s="24">
        <v>112209</v>
      </c>
      <c r="L164" s="23">
        <f t="shared" si="15"/>
        <v>525</v>
      </c>
      <c r="M164" s="24">
        <v>20450</v>
      </c>
      <c r="N164" s="25">
        <f t="shared" si="16"/>
        <v>91</v>
      </c>
      <c r="O164" s="24">
        <v>91759</v>
      </c>
      <c r="P164" s="23">
        <f t="shared" si="17"/>
        <v>434</v>
      </c>
      <c r="Q164" s="26"/>
      <c r="R164" s="23">
        <f t="shared" si="18"/>
        <v>0</v>
      </c>
      <c r="S164" s="27" t="s">
        <v>19</v>
      </c>
      <c r="T164" s="19" t="s">
        <v>190</v>
      </c>
    </row>
    <row r="165" spans="1:20" ht="37.5" customHeight="1" x14ac:dyDescent="0.25">
      <c r="A165" s="19" t="s">
        <v>191</v>
      </c>
      <c r="B165">
        <f t="shared" si="19"/>
        <v>89356</v>
      </c>
      <c r="C165">
        <v>18885</v>
      </c>
      <c r="D165">
        <v>70471</v>
      </c>
      <c r="F165">
        <f t="shared" si="20"/>
        <v>458</v>
      </c>
      <c r="G165" s="20">
        <f t="shared" si="21"/>
        <v>160</v>
      </c>
      <c r="H165" s="21">
        <v>23014060528</v>
      </c>
      <c r="I165" s="22">
        <v>183</v>
      </c>
      <c r="J165" s="23"/>
      <c r="K165" s="24">
        <v>88898</v>
      </c>
      <c r="L165" s="23">
        <f t="shared" si="15"/>
        <v>458</v>
      </c>
      <c r="M165" s="24">
        <v>18796</v>
      </c>
      <c r="N165" s="25">
        <f t="shared" si="16"/>
        <v>89</v>
      </c>
      <c r="O165" s="24">
        <v>70102</v>
      </c>
      <c r="P165" s="23">
        <f t="shared" si="17"/>
        <v>369</v>
      </c>
      <c r="Q165" s="26"/>
      <c r="R165" s="23">
        <f t="shared" si="18"/>
        <v>0</v>
      </c>
      <c r="S165" s="27" t="s">
        <v>19</v>
      </c>
      <c r="T165" s="19" t="s">
        <v>191</v>
      </c>
    </row>
    <row r="166" spans="1:20" ht="37.5" customHeight="1" x14ac:dyDescent="0.25">
      <c r="A166" s="19" t="s">
        <v>192</v>
      </c>
      <c r="B166">
        <f t="shared" si="19"/>
        <v>13775</v>
      </c>
      <c r="C166">
        <v>1858</v>
      </c>
      <c r="D166">
        <v>11917</v>
      </c>
      <c r="F166">
        <f t="shared" si="20"/>
        <v>198</v>
      </c>
      <c r="G166" s="20">
        <f t="shared" si="21"/>
        <v>161</v>
      </c>
      <c r="H166" s="21">
        <v>88820050131</v>
      </c>
      <c r="I166" s="22">
        <v>184</v>
      </c>
      <c r="J166" s="23"/>
      <c r="K166" s="24">
        <v>13577</v>
      </c>
      <c r="L166" s="23">
        <f t="shared" si="15"/>
        <v>198</v>
      </c>
      <c r="M166" s="24">
        <v>1830</v>
      </c>
      <c r="N166" s="25">
        <f t="shared" si="16"/>
        <v>28</v>
      </c>
      <c r="O166" s="24">
        <v>11747</v>
      </c>
      <c r="P166" s="23">
        <f t="shared" si="17"/>
        <v>170</v>
      </c>
      <c r="Q166" s="26"/>
      <c r="R166" s="23">
        <f t="shared" si="18"/>
        <v>0</v>
      </c>
      <c r="S166" s="27" t="s">
        <v>19</v>
      </c>
      <c r="T166" s="19" t="s">
        <v>192</v>
      </c>
    </row>
    <row r="167" spans="1:20" ht="37.5" customHeight="1" x14ac:dyDescent="0.25">
      <c r="A167" s="19" t="s">
        <v>193</v>
      </c>
      <c r="B167">
        <f t="shared" si="19"/>
        <v>24013</v>
      </c>
      <c r="C167">
        <v>4357</v>
      </c>
      <c r="D167">
        <v>19656</v>
      </c>
      <c r="F167">
        <f t="shared" si="20"/>
        <v>435</v>
      </c>
      <c r="G167" s="20">
        <f t="shared" si="21"/>
        <v>162</v>
      </c>
      <c r="H167" s="21">
        <v>66621060491</v>
      </c>
      <c r="I167" s="22">
        <v>185</v>
      </c>
      <c r="J167" s="23"/>
      <c r="K167" s="24">
        <v>23578</v>
      </c>
      <c r="L167" s="23">
        <f t="shared" si="15"/>
        <v>435</v>
      </c>
      <c r="M167" s="24">
        <v>4285</v>
      </c>
      <c r="N167" s="25">
        <f t="shared" si="16"/>
        <v>72</v>
      </c>
      <c r="O167" s="24">
        <v>19293</v>
      </c>
      <c r="P167" s="23">
        <f t="shared" si="17"/>
        <v>363</v>
      </c>
      <c r="Q167" s="26"/>
      <c r="R167" s="23">
        <f t="shared" si="18"/>
        <v>0</v>
      </c>
      <c r="S167" s="27" t="s">
        <v>19</v>
      </c>
      <c r="T167" s="19" t="s">
        <v>193</v>
      </c>
    </row>
    <row r="168" spans="1:20" ht="37.5" customHeight="1" x14ac:dyDescent="0.25">
      <c r="A168" s="19" t="s">
        <v>194</v>
      </c>
      <c r="B168">
        <f t="shared" si="19"/>
        <v>774</v>
      </c>
      <c r="C168">
        <v>189</v>
      </c>
      <c r="D168">
        <v>585</v>
      </c>
      <c r="E168">
        <v>2391</v>
      </c>
      <c r="F168">
        <f t="shared" si="20"/>
        <v>448</v>
      </c>
      <c r="G168" s="20">
        <f t="shared" si="21"/>
        <v>163</v>
      </c>
      <c r="H168" s="21">
        <v>99624050278</v>
      </c>
      <c r="I168" s="22">
        <v>187</v>
      </c>
      <c r="J168" s="23"/>
      <c r="K168" s="24">
        <f>M168+O168</f>
        <v>326</v>
      </c>
      <c r="L168" s="23">
        <f t="shared" si="15"/>
        <v>448</v>
      </c>
      <c r="M168" s="24">
        <v>90</v>
      </c>
      <c r="N168" s="25">
        <f t="shared" si="16"/>
        <v>99</v>
      </c>
      <c r="O168" s="24">
        <v>236</v>
      </c>
      <c r="P168" s="23">
        <f t="shared" si="17"/>
        <v>349</v>
      </c>
      <c r="Q168" s="26">
        <v>1275</v>
      </c>
      <c r="R168" s="23">
        <f t="shared" si="18"/>
        <v>1116</v>
      </c>
      <c r="S168" s="27" t="s">
        <v>19</v>
      </c>
      <c r="T168" s="19" t="s">
        <v>194</v>
      </c>
    </row>
    <row r="169" spans="1:20" ht="37.5" customHeight="1" x14ac:dyDescent="0.25">
      <c r="A169" s="19" t="s">
        <v>195</v>
      </c>
      <c r="B169">
        <f t="shared" si="19"/>
        <v>4172</v>
      </c>
      <c r="C169">
        <v>696</v>
      </c>
      <c r="D169">
        <v>3476</v>
      </c>
      <c r="F169">
        <f t="shared" si="20"/>
        <v>256</v>
      </c>
      <c r="G169" s="20">
        <f t="shared" si="21"/>
        <v>164</v>
      </c>
      <c r="H169" s="21">
        <v>66618010382</v>
      </c>
      <c r="I169" s="22">
        <v>188</v>
      </c>
      <c r="J169" s="23"/>
      <c r="K169" s="24">
        <v>3916</v>
      </c>
      <c r="L169" s="23">
        <f t="shared" si="15"/>
        <v>256</v>
      </c>
      <c r="M169" s="24">
        <v>660</v>
      </c>
      <c r="N169" s="25">
        <f t="shared" si="16"/>
        <v>36</v>
      </c>
      <c r="O169" s="24">
        <v>3256</v>
      </c>
      <c r="P169" s="23">
        <f t="shared" si="17"/>
        <v>220</v>
      </c>
      <c r="Q169" s="26"/>
      <c r="R169" s="23">
        <f t="shared" si="18"/>
        <v>0</v>
      </c>
      <c r="S169" s="27" t="s">
        <v>19</v>
      </c>
      <c r="T169" s="19" t="s">
        <v>195</v>
      </c>
    </row>
    <row r="170" spans="1:20" ht="37.5" customHeight="1" x14ac:dyDescent="0.25">
      <c r="A170" s="19" t="s">
        <v>196</v>
      </c>
      <c r="B170">
        <f t="shared" si="19"/>
        <v>113641</v>
      </c>
      <c r="C170">
        <v>24840</v>
      </c>
      <c r="D170">
        <v>88801</v>
      </c>
      <c r="F170">
        <f t="shared" si="20"/>
        <v>1177</v>
      </c>
      <c r="G170" s="20">
        <f t="shared" si="21"/>
        <v>165</v>
      </c>
      <c r="H170" s="21">
        <v>23011010053</v>
      </c>
      <c r="I170" s="22">
        <v>189</v>
      </c>
      <c r="J170" s="23"/>
      <c r="K170" s="24">
        <v>112464</v>
      </c>
      <c r="L170" s="23">
        <f t="shared" si="15"/>
        <v>1177</v>
      </c>
      <c r="M170" s="24">
        <v>24656</v>
      </c>
      <c r="N170" s="25">
        <f t="shared" si="16"/>
        <v>184</v>
      </c>
      <c r="O170" s="24">
        <v>87808</v>
      </c>
      <c r="P170" s="23">
        <f t="shared" si="17"/>
        <v>993</v>
      </c>
      <c r="Q170" s="26"/>
      <c r="R170" s="23">
        <f t="shared" si="18"/>
        <v>0</v>
      </c>
      <c r="S170" s="27" t="s">
        <v>19</v>
      </c>
      <c r="T170" s="19" t="s">
        <v>196</v>
      </c>
    </row>
    <row r="171" spans="1:20" ht="37.5" customHeight="1" x14ac:dyDescent="0.25">
      <c r="A171" s="19" t="s">
        <v>197</v>
      </c>
      <c r="B171">
        <f t="shared" si="19"/>
        <v>6022</v>
      </c>
      <c r="C171">
        <v>1130</v>
      </c>
      <c r="D171">
        <v>4892</v>
      </c>
      <c r="F171">
        <f t="shared" si="20"/>
        <v>3</v>
      </c>
      <c r="G171" s="20">
        <f t="shared" si="21"/>
        <v>166</v>
      </c>
      <c r="H171" s="21">
        <v>88820040138</v>
      </c>
      <c r="I171" s="22">
        <v>190</v>
      </c>
      <c r="J171" s="23"/>
      <c r="K171" s="24">
        <v>6019</v>
      </c>
      <c r="L171" s="23">
        <f t="shared" si="15"/>
        <v>3</v>
      </c>
      <c r="M171" s="24">
        <v>1129</v>
      </c>
      <c r="N171" s="25">
        <f t="shared" si="16"/>
        <v>1</v>
      </c>
      <c r="O171" s="24">
        <v>4888</v>
      </c>
      <c r="P171" s="23">
        <f t="shared" si="17"/>
        <v>4</v>
      </c>
      <c r="Q171" s="26"/>
      <c r="R171" s="23">
        <f t="shared" si="18"/>
        <v>0</v>
      </c>
      <c r="S171" s="27" t="s">
        <v>19</v>
      </c>
      <c r="T171" s="19" t="s">
        <v>197</v>
      </c>
    </row>
    <row r="172" spans="1:20" ht="37.5" customHeight="1" x14ac:dyDescent="0.25">
      <c r="A172" s="19" t="s">
        <v>198</v>
      </c>
      <c r="B172">
        <f t="shared" si="19"/>
        <v>1747</v>
      </c>
      <c r="C172">
        <v>479</v>
      </c>
      <c r="D172">
        <v>1268</v>
      </c>
      <c r="E172">
        <v>2494</v>
      </c>
      <c r="F172">
        <f t="shared" si="20"/>
        <v>495</v>
      </c>
      <c r="G172" s="20">
        <f t="shared" si="21"/>
        <v>167</v>
      </c>
      <c r="H172" s="21">
        <v>99624050179</v>
      </c>
      <c r="I172" s="22">
        <v>191</v>
      </c>
      <c r="J172" s="23"/>
      <c r="K172" s="24">
        <f>M172+O172</f>
        <v>1252</v>
      </c>
      <c r="L172" s="23">
        <f t="shared" si="15"/>
        <v>495</v>
      </c>
      <c r="M172" s="24">
        <v>358</v>
      </c>
      <c r="N172" s="25">
        <f t="shared" si="16"/>
        <v>121</v>
      </c>
      <c r="O172" s="24">
        <v>894</v>
      </c>
      <c r="P172" s="23">
        <f t="shared" si="17"/>
        <v>374</v>
      </c>
      <c r="Q172" s="26">
        <v>1681</v>
      </c>
      <c r="R172" s="23">
        <f t="shared" si="18"/>
        <v>813</v>
      </c>
      <c r="S172" s="27" t="s">
        <v>19</v>
      </c>
      <c r="T172" s="19" t="s">
        <v>198</v>
      </c>
    </row>
    <row r="173" spans="1:20" ht="37.5" customHeight="1" x14ac:dyDescent="0.25">
      <c r="A173" s="19" t="s">
        <v>199</v>
      </c>
      <c r="B173">
        <f t="shared" si="19"/>
        <v>65423</v>
      </c>
      <c r="C173">
        <v>21319</v>
      </c>
      <c r="D173">
        <v>44104</v>
      </c>
      <c r="F173">
        <f t="shared" si="20"/>
        <v>192</v>
      </c>
      <c r="G173" s="20">
        <f t="shared" si="21"/>
        <v>168</v>
      </c>
      <c r="H173" s="21">
        <v>9050099</v>
      </c>
      <c r="I173" s="22">
        <v>192</v>
      </c>
      <c r="J173" s="23"/>
      <c r="K173" s="24">
        <v>65231</v>
      </c>
      <c r="L173" s="23">
        <f t="shared" si="15"/>
        <v>192</v>
      </c>
      <c r="M173" s="24">
        <v>21295</v>
      </c>
      <c r="N173" s="25">
        <f t="shared" si="16"/>
        <v>24</v>
      </c>
      <c r="O173" s="24">
        <v>43936</v>
      </c>
      <c r="P173" s="23">
        <f t="shared" si="17"/>
        <v>168</v>
      </c>
      <c r="Q173" s="26"/>
      <c r="R173" s="23">
        <f t="shared" si="18"/>
        <v>0</v>
      </c>
      <c r="S173" s="27" t="s">
        <v>19</v>
      </c>
      <c r="T173" s="19" t="s">
        <v>199</v>
      </c>
    </row>
    <row r="174" spans="1:20" ht="37.5" customHeight="1" x14ac:dyDescent="0.25">
      <c r="A174" s="19" t="s">
        <v>200</v>
      </c>
      <c r="B174">
        <f t="shared" si="19"/>
        <v>51376</v>
      </c>
      <c r="C174">
        <v>8858</v>
      </c>
      <c r="D174">
        <v>42518</v>
      </c>
      <c r="F174">
        <f t="shared" si="20"/>
        <v>422</v>
      </c>
      <c r="G174" s="20">
        <f t="shared" si="21"/>
        <v>169</v>
      </c>
      <c r="H174" s="21">
        <v>23013010399</v>
      </c>
      <c r="I174" s="22">
        <v>194</v>
      </c>
      <c r="J174" s="23"/>
      <c r="K174" s="24">
        <v>50954</v>
      </c>
      <c r="L174" s="23">
        <f t="shared" si="15"/>
        <v>422</v>
      </c>
      <c r="M174" s="24">
        <v>8789</v>
      </c>
      <c r="N174" s="25">
        <f t="shared" si="16"/>
        <v>69</v>
      </c>
      <c r="O174" s="24">
        <v>42165</v>
      </c>
      <c r="P174" s="23">
        <f t="shared" si="17"/>
        <v>353</v>
      </c>
      <c r="Q174" s="26"/>
      <c r="R174" s="23">
        <f t="shared" si="18"/>
        <v>0</v>
      </c>
      <c r="S174" s="27" t="s">
        <v>19</v>
      </c>
      <c r="T174" s="19" t="s">
        <v>200</v>
      </c>
    </row>
    <row r="175" spans="1:20" ht="37.5" customHeight="1" x14ac:dyDescent="0.25">
      <c r="A175" s="19" t="s">
        <v>201</v>
      </c>
      <c r="B175">
        <f t="shared" si="19"/>
        <v>2849</v>
      </c>
      <c r="C175">
        <v>651</v>
      </c>
      <c r="D175">
        <v>2198</v>
      </c>
      <c r="F175">
        <f t="shared" si="20"/>
        <v>318</v>
      </c>
      <c r="G175" s="20">
        <f t="shared" si="21"/>
        <v>170</v>
      </c>
      <c r="H175" s="21">
        <v>66623011386</v>
      </c>
      <c r="I175" s="22">
        <v>195</v>
      </c>
      <c r="J175" s="23"/>
      <c r="K175" s="24">
        <v>2531</v>
      </c>
      <c r="L175" s="23">
        <f t="shared" si="15"/>
        <v>318</v>
      </c>
      <c r="M175" s="24">
        <v>596</v>
      </c>
      <c r="N175" s="25">
        <f t="shared" si="16"/>
        <v>55</v>
      </c>
      <c r="O175" s="24">
        <v>1935</v>
      </c>
      <c r="P175" s="23">
        <f t="shared" si="17"/>
        <v>263</v>
      </c>
      <c r="Q175" s="26"/>
      <c r="R175" s="23">
        <f t="shared" si="18"/>
        <v>0</v>
      </c>
      <c r="S175" s="27" t="s">
        <v>19</v>
      </c>
      <c r="T175" s="19" t="s">
        <v>201</v>
      </c>
    </row>
    <row r="176" spans="1:20" ht="37.5" customHeight="1" x14ac:dyDescent="0.25">
      <c r="A176" s="19" t="s">
        <v>202</v>
      </c>
      <c r="B176">
        <f t="shared" si="19"/>
        <v>21733</v>
      </c>
      <c r="C176">
        <v>3514</v>
      </c>
      <c r="D176">
        <v>18219</v>
      </c>
      <c r="F176">
        <f t="shared" si="20"/>
        <v>529</v>
      </c>
      <c r="G176" s="20">
        <f t="shared" si="21"/>
        <v>171</v>
      </c>
      <c r="H176" s="21">
        <v>66622010283</v>
      </c>
      <c r="I176" s="22">
        <v>197</v>
      </c>
      <c r="J176" s="23"/>
      <c r="K176" s="24">
        <v>21204</v>
      </c>
      <c r="L176" s="23">
        <f t="shared" si="15"/>
        <v>529</v>
      </c>
      <c r="M176" s="24">
        <v>3438</v>
      </c>
      <c r="N176" s="25">
        <f t="shared" si="16"/>
        <v>76</v>
      </c>
      <c r="O176" s="24">
        <v>17766</v>
      </c>
      <c r="P176" s="23">
        <f t="shared" si="17"/>
        <v>453</v>
      </c>
      <c r="Q176" s="26"/>
      <c r="R176" s="23">
        <f t="shared" si="18"/>
        <v>0</v>
      </c>
      <c r="S176" s="27" t="s">
        <v>19</v>
      </c>
      <c r="T176" s="19" t="s">
        <v>202</v>
      </c>
    </row>
    <row r="177" spans="1:20" ht="37.5" customHeight="1" x14ac:dyDescent="0.25">
      <c r="A177" s="19" t="s">
        <v>203</v>
      </c>
      <c r="B177">
        <f t="shared" si="19"/>
        <v>25314</v>
      </c>
      <c r="C177">
        <v>4867</v>
      </c>
      <c r="D177">
        <v>20447</v>
      </c>
      <c r="F177">
        <f t="shared" si="20"/>
        <v>169</v>
      </c>
      <c r="G177" s="20">
        <f t="shared" si="21"/>
        <v>172</v>
      </c>
      <c r="H177" s="21">
        <v>88821020138</v>
      </c>
      <c r="I177" s="22">
        <v>198</v>
      </c>
      <c r="J177" s="23"/>
      <c r="K177" s="24">
        <v>25145</v>
      </c>
      <c r="L177" s="23">
        <f t="shared" si="15"/>
        <v>169</v>
      </c>
      <c r="M177" s="24">
        <v>4840</v>
      </c>
      <c r="N177" s="25">
        <f t="shared" si="16"/>
        <v>27</v>
      </c>
      <c r="O177" s="24">
        <v>20305</v>
      </c>
      <c r="P177" s="23">
        <f t="shared" si="17"/>
        <v>142</v>
      </c>
      <c r="Q177" s="26"/>
      <c r="R177" s="23">
        <f t="shared" si="18"/>
        <v>0</v>
      </c>
      <c r="S177" s="27" t="s">
        <v>19</v>
      </c>
      <c r="T177" s="19" t="s">
        <v>203</v>
      </c>
    </row>
    <row r="178" spans="1:20" ht="37.5" customHeight="1" x14ac:dyDescent="0.25">
      <c r="A178" s="19" t="s">
        <v>204</v>
      </c>
      <c r="B178">
        <f t="shared" si="19"/>
        <v>28076</v>
      </c>
      <c r="C178">
        <v>4612</v>
      </c>
      <c r="D178">
        <v>23464</v>
      </c>
      <c r="F178">
        <f t="shared" si="20"/>
        <v>504</v>
      </c>
      <c r="G178" s="20">
        <f t="shared" si="21"/>
        <v>173</v>
      </c>
      <c r="H178" s="21">
        <v>88820010403</v>
      </c>
      <c r="I178" s="22">
        <v>199</v>
      </c>
      <c r="J178" s="23"/>
      <c r="K178" s="24">
        <v>27572</v>
      </c>
      <c r="L178" s="23">
        <f t="shared" si="15"/>
        <v>504</v>
      </c>
      <c r="M178" s="24">
        <v>4535</v>
      </c>
      <c r="N178" s="25">
        <f t="shared" si="16"/>
        <v>77</v>
      </c>
      <c r="O178" s="24">
        <v>23037</v>
      </c>
      <c r="P178" s="23">
        <f t="shared" si="17"/>
        <v>427</v>
      </c>
      <c r="Q178" s="26"/>
      <c r="R178" s="23">
        <f t="shared" si="18"/>
        <v>0</v>
      </c>
      <c r="S178" s="27" t="s">
        <v>19</v>
      </c>
      <c r="T178" s="19" t="s">
        <v>204</v>
      </c>
    </row>
    <row r="179" spans="1:20" ht="37.5" customHeight="1" x14ac:dyDescent="0.25">
      <c r="A179" s="19" t="s">
        <v>205</v>
      </c>
      <c r="B179">
        <f t="shared" si="19"/>
        <v>27784</v>
      </c>
      <c r="C179">
        <v>4910</v>
      </c>
      <c r="D179">
        <v>22874</v>
      </c>
      <c r="F179">
        <f t="shared" si="20"/>
        <v>435</v>
      </c>
      <c r="G179" s="20">
        <f t="shared" si="21"/>
        <v>174</v>
      </c>
      <c r="H179" s="21">
        <v>23014010327</v>
      </c>
      <c r="I179" s="22">
        <v>200</v>
      </c>
      <c r="J179" s="23"/>
      <c r="K179" s="24">
        <v>27349</v>
      </c>
      <c r="L179" s="23">
        <f t="shared" si="15"/>
        <v>435</v>
      </c>
      <c r="M179" s="24">
        <v>4830</v>
      </c>
      <c r="N179" s="25">
        <f t="shared" si="16"/>
        <v>80</v>
      </c>
      <c r="O179" s="24">
        <v>22519</v>
      </c>
      <c r="P179" s="23">
        <f t="shared" si="17"/>
        <v>355</v>
      </c>
      <c r="Q179" s="26"/>
      <c r="R179" s="23">
        <f t="shared" si="18"/>
        <v>0</v>
      </c>
      <c r="S179" s="27" t="s">
        <v>19</v>
      </c>
      <c r="T179" s="19" t="s">
        <v>205</v>
      </c>
    </row>
    <row r="180" spans="1:20" ht="37.5" customHeight="1" x14ac:dyDescent="0.25">
      <c r="A180" s="19" t="s">
        <v>206</v>
      </c>
      <c r="B180">
        <f t="shared" si="19"/>
        <v>2276</v>
      </c>
      <c r="C180">
        <v>310</v>
      </c>
      <c r="D180">
        <v>1966</v>
      </c>
      <c r="F180">
        <f t="shared" si="20"/>
        <v>295</v>
      </c>
      <c r="G180" s="20">
        <f t="shared" si="21"/>
        <v>175</v>
      </c>
      <c r="H180" s="21">
        <v>66621040393</v>
      </c>
      <c r="I180" s="22">
        <v>203</v>
      </c>
      <c r="J180" s="23"/>
      <c r="K180" s="24">
        <v>1981</v>
      </c>
      <c r="L180" s="23">
        <f t="shared" si="15"/>
        <v>295</v>
      </c>
      <c r="M180" s="24">
        <v>248</v>
      </c>
      <c r="N180" s="25">
        <f t="shared" si="16"/>
        <v>62</v>
      </c>
      <c r="O180" s="24">
        <v>1733</v>
      </c>
      <c r="P180" s="23">
        <f t="shared" si="17"/>
        <v>233</v>
      </c>
      <c r="Q180" s="26"/>
      <c r="R180" s="23">
        <f t="shared" si="18"/>
        <v>0</v>
      </c>
      <c r="S180" s="27" t="s">
        <v>19</v>
      </c>
      <c r="T180" s="19" t="s">
        <v>206</v>
      </c>
    </row>
    <row r="181" spans="1:20" ht="37.5" customHeight="1" x14ac:dyDescent="0.25">
      <c r="A181" s="19" t="s">
        <v>207</v>
      </c>
      <c r="B181">
        <f t="shared" si="19"/>
        <v>68183</v>
      </c>
      <c r="C181">
        <v>11838</v>
      </c>
      <c r="D181">
        <v>56345</v>
      </c>
      <c r="F181">
        <f t="shared" si="20"/>
        <v>338</v>
      </c>
      <c r="G181" s="20">
        <f t="shared" si="21"/>
        <v>176</v>
      </c>
      <c r="H181" s="21">
        <v>23013080475</v>
      </c>
      <c r="I181" s="22">
        <v>204</v>
      </c>
      <c r="J181" s="23"/>
      <c r="K181" s="24">
        <v>67845</v>
      </c>
      <c r="L181" s="23">
        <f t="shared" si="15"/>
        <v>338</v>
      </c>
      <c r="M181" s="24">
        <v>11790</v>
      </c>
      <c r="N181" s="25">
        <f t="shared" si="16"/>
        <v>48</v>
      </c>
      <c r="O181" s="24">
        <v>56055</v>
      </c>
      <c r="P181" s="23">
        <f t="shared" si="17"/>
        <v>290</v>
      </c>
      <c r="Q181" s="26"/>
      <c r="R181" s="23">
        <f t="shared" si="18"/>
        <v>0</v>
      </c>
      <c r="S181" s="27" t="s">
        <v>19</v>
      </c>
      <c r="T181" s="19" t="s">
        <v>207</v>
      </c>
    </row>
    <row r="182" spans="1:20" ht="37.5" customHeight="1" x14ac:dyDescent="0.25">
      <c r="A182" s="19" t="s">
        <v>208</v>
      </c>
      <c r="B182">
        <f t="shared" si="19"/>
        <v>11634</v>
      </c>
      <c r="C182">
        <v>2764</v>
      </c>
      <c r="D182">
        <v>8870</v>
      </c>
      <c r="F182">
        <f t="shared" si="20"/>
        <v>529</v>
      </c>
      <c r="G182" s="20">
        <f t="shared" si="21"/>
        <v>177</v>
      </c>
      <c r="H182" s="21">
        <v>66622040643</v>
      </c>
      <c r="I182" s="22">
        <v>205</v>
      </c>
      <c r="J182" s="23"/>
      <c r="K182" s="24">
        <v>11105</v>
      </c>
      <c r="L182" s="23">
        <f t="shared" si="15"/>
        <v>529</v>
      </c>
      <c r="M182" s="24">
        <v>2649</v>
      </c>
      <c r="N182" s="25">
        <f t="shared" si="16"/>
        <v>115</v>
      </c>
      <c r="O182" s="24">
        <v>8456</v>
      </c>
      <c r="P182" s="23">
        <f t="shared" si="17"/>
        <v>414</v>
      </c>
      <c r="Q182" s="26"/>
      <c r="R182" s="23">
        <f t="shared" si="18"/>
        <v>0</v>
      </c>
      <c r="S182" s="27" t="s">
        <v>19</v>
      </c>
      <c r="T182" s="19" t="s">
        <v>208</v>
      </c>
    </row>
    <row r="183" spans="1:20" ht="37.5" customHeight="1" x14ac:dyDescent="0.25">
      <c r="A183" s="19" t="s">
        <v>209</v>
      </c>
      <c r="B183">
        <f t="shared" si="19"/>
        <v>72792</v>
      </c>
      <c r="C183">
        <v>15037</v>
      </c>
      <c r="D183">
        <v>57755</v>
      </c>
      <c r="F183">
        <f t="shared" si="20"/>
        <v>464</v>
      </c>
      <c r="G183" s="20">
        <f t="shared" si="21"/>
        <v>178</v>
      </c>
      <c r="H183" s="21">
        <v>23012010174</v>
      </c>
      <c r="I183" s="22">
        <v>206</v>
      </c>
      <c r="J183" s="23"/>
      <c r="K183" s="24">
        <v>72328</v>
      </c>
      <c r="L183" s="23">
        <f t="shared" si="15"/>
        <v>464</v>
      </c>
      <c r="M183" s="24">
        <v>14975</v>
      </c>
      <c r="N183" s="25">
        <f t="shared" si="16"/>
        <v>62</v>
      </c>
      <c r="O183" s="24">
        <v>57353</v>
      </c>
      <c r="P183" s="23">
        <f t="shared" si="17"/>
        <v>402</v>
      </c>
      <c r="Q183" s="26"/>
      <c r="R183" s="23">
        <f t="shared" si="18"/>
        <v>0</v>
      </c>
      <c r="S183" s="27" t="s">
        <v>19</v>
      </c>
      <c r="T183" s="19" t="s">
        <v>209</v>
      </c>
    </row>
    <row r="184" spans="1:20" ht="37.5" customHeight="1" x14ac:dyDescent="0.25">
      <c r="A184" s="19" t="s">
        <v>210</v>
      </c>
      <c r="B184">
        <f t="shared" si="19"/>
        <v>720</v>
      </c>
      <c r="C184">
        <v>216</v>
      </c>
      <c r="D184">
        <v>504</v>
      </c>
      <c r="E184">
        <v>2247</v>
      </c>
      <c r="F184">
        <f t="shared" si="20"/>
        <v>220</v>
      </c>
      <c r="G184" s="20">
        <f t="shared" si="21"/>
        <v>179</v>
      </c>
      <c r="H184" s="21">
        <v>99624050189</v>
      </c>
      <c r="I184" s="22">
        <v>207</v>
      </c>
      <c r="J184" s="23"/>
      <c r="K184" s="24">
        <f>M184+O184</f>
        <v>500</v>
      </c>
      <c r="L184" s="23">
        <f t="shared" si="15"/>
        <v>220</v>
      </c>
      <c r="M184" s="24">
        <v>150</v>
      </c>
      <c r="N184" s="25">
        <f t="shared" si="16"/>
        <v>66</v>
      </c>
      <c r="O184" s="24">
        <v>350</v>
      </c>
      <c r="P184" s="23">
        <f t="shared" si="17"/>
        <v>154</v>
      </c>
      <c r="Q184" s="26">
        <v>1438</v>
      </c>
      <c r="R184" s="23">
        <f t="shared" si="18"/>
        <v>809</v>
      </c>
      <c r="S184" s="27" t="s">
        <v>19</v>
      </c>
      <c r="T184" s="19" t="s">
        <v>210</v>
      </c>
    </row>
    <row r="185" spans="1:20" ht="37.5" customHeight="1" x14ac:dyDescent="0.25">
      <c r="A185" s="19" t="s">
        <v>211</v>
      </c>
      <c r="B185">
        <f t="shared" si="19"/>
        <v>111157</v>
      </c>
      <c r="C185">
        <v>22813</v>
      </c>
      <c r="D185">
        <v>88344</v>
      </c>
      <c r="F185">
        <f t="shared" si="20"/>
        <v>222</v>
      </c>
      <c r="G185" s="20">
        <f t="shared" si="21"/>
        <v>180</v>
      </c>
      <c r="H185" s="21">
        <v>23011120025</v>
      </c>
      <c r="I185" s="22">
        <v>208</v>
      </c>
      <c r="J185" s="23"/>
      <c r="K185" s="24">
        <v>110935</v>
      </c>
      <c r="L185" s="23">
        <f t="shared" si="15"/>
        <v>222</v>
      </c>
      <c r="M185" s="24">
        <v>22774</v>
      </c>
      <c r="N185" s="25">
        <f t="shared" si="16"/>
        <v>39</v>
      </c>
      <c r="O185" s="24">
        <v>88161</v>
      </c>
      <c r="P185" s="23">
        <f t="shared" si="17"/>
        <v>183</v>
      </c>
      <c r="Q185" s="26"/>
      <c r="R185" s="23">
        <f t="shared" si="18"/>
        <v>0</v>
      </c>
      <c r="S185" s="27" t="s">
        <v>19</v>
      </c>
      <c r="T185" s="19" t="s">
        <v>211</v>
      </c>
    </row>
    <row r="186" spans="1:20" ht="37.5" customHeight="1" x14ac:dyDescent="0.25">
      <c r="A186" s="19" t="s">
        <v>212</v>
      </c>
      <c r="B186">
        <f t="shared" si="19"/>
        <v>1513</v>
      </c>
      <c r="C186">
        <v>296</v>
      </c>
      <c r="D186">
        <v>1217</v>
      </c>
      <c r="F186">
        <f t="shared" si="20"/>
        <v>0</v>
      </c>
      <c r="G186" s="20">
        <f t="shared" si="21"/>
        <v>181</v>
      </c>
      <c r="H186" s="21">
        <v>66619040074</v>
      </c>
      <c r="I186" s="22">
        <v>209</v>
      </c>
      <c r="J186" s="23"/>
      <c r="K186" s="24">
        <v>1513</v>
      </c>
      <c r="L186" s="23">
        <f t="shared" si="15"/>
        <v>0</v>
      </c>
      <c r="M186" s="24">
        <v>296</v>
      </c>
      <c r="N186" s="25">
        <f t="shared" si="16"/>
        <v>0</v>
      </c>
      <c r="O186" s="24">
        <v>1217</v>
      </c>
      <c r="P186" s="23">
        <f t="shared" si="17"/>
        <v>0</v>
      </c>
      <c r="Q186" s="26"/>
      <c r="R186" s="23">
        <f t="shared" si="18"/>
        <v>0</v>
      </c>
      <c r="S186" s="27" t="s">
        <v>19</v>
      </c>
      <c r="T186" s="19" t="s">
        <v>212</v>
      </c>
    </row>
    <row r="187" spans="1:20" ht="37.5" customHeight="1" x14ac:dyDescent="0.25">
      <c r="A187" s="19" t="s">
        <v>213</v>
      </c>
      <c r="B187">
        <f t="shared" si="19"/>
        <v>17884</v>
      </c>
      <c r="C187">
        <v>3491</v>
      </c>
      <c r="D187">
        <v>14393</v>
      </c>
      <c r="F187">
        <f t="shared" si="20"/>
        <v>385</v>
      </c>
      <c r="G187" s="20">
        <f t="shared" si="21"/>
        <v>182</v>
      </c>
      <c r="H187" s="21">
        <v>88820050358</v>
      </c>
      <c r="I187" s="22">
        <v>210</v>
      </c>
      <c r="J187" s="23"/>
      <c r="K187" s="24">
        <v>17499</v>
      </c>
      <c r="L187" s="23">
        <f t="shared" si="15"/>
        <v>385</v>
      </c>
      <c r="M187" s="24">
        <v>3431</v>
      </c>
      <c r="N187" s="25">
        <f t="shared" si="16"/>
        <v>60</v>
      </c>
      <c r="O187" s="24">
        <v>14068</v>
      </c>
      <c r="P187" s="23">
        <f t="shared" si="17"/>
        <v>325</v>
      </c>
      <c r="Q187" s="26"/>
      <c r="R187" s="23">
        <f t="shared" si="18"/>
        <v>0</v>
      </c>
      <c r="S187" s="27" t="s">
        <v>19</v>
      </c>
      <c r="T187" s="19" t="s">
        <v>213</v>
      </c>
    </row>
    <row r="188" spans="1:20" ht="37.5" customHeight="1" x14ac:dyDescent="0.25">
      <c r="A188" s="19" t="s">
        <v>214</v>
      </c>
      <c r="B188">
        <f t="shared" si="19"/>
        <v>23953</v>
      </c>
      <c r="C188">
        <v>5637</v>
      </c>
      <c r="D188">
        <v>18316</v>
      </c>
      <c r="F188">
        <f t="shared" si="20"/>
        <v>24</v>
      </c>
      <c r="G188" s="20">
        <f t="shared" si="21"/>
        <v>183</v>
      </c>
      <c r="H188" s="21">
        <v>23010090013</v>
      </c>
      <c r="I188" s="22">
        <v>211</v>
      </c>
      <c r="J188" s="23"/>
      <c r="K188" s="24">
        <v>23929</v>
      </c>
      <c r="L188" s="23">
        <f t="shared" si="15"/>
        <v>24</v>
      </c>
      <c r="M188" s="24">
        <v>5629</v>
      </c>
      <c r="N188" s="25">
        <f t="shared" si="16"/>
        <v>8</v>
      </c>
      <c r="O188" s="24">
        <v>18300</v>
      </c>
      <c r="P188" s="23">
        <f t="shared" si="17"/>
        <v>16</v>
      </c>
      <c r="Q188" s="26"/>
      <c r="R188" s="23">
        <f t="shared" si="18"/>
        <v>0</v>
      </c>
      <c r="S188" s="27" t="s">
        <v>19</v>
      </c>
      <c r="T188" s="19" t="s">
        <v>214</v>
      </c>
    </row>
    <row r="189" spans="1:20" ht="37.5" customHeight="1" x14ac:dyDescent="0.25">
      <c r="A189" s="19" t="s">
        <v>215</v>
      </c>
      <c r="B189">
        <f t="shared" si="19"/>
        <v>7684</v>
      </c>
      <c r="C189">
        <v>1652</v>
      </c>
      <c r="D189">
        <v>6032</v>
      </c>
      <c r="E189">
        <v>12470</v>
      </c>
      <c r="F189">
        <f t="shared" si="20"/>
        <v>328</v>
      </c>
      <c r="G189" s="20">
        <f t="shared" si="21"/>
        <v>184</v>
      </c>
      <c r="H189" s="21">
        <v>99623080052</v>
      </c>
      <c r="I189" s="22">
        <v>212</v>
      </c>
      <c r="J189" s="23"/>
      <c r="K189" s="24">
        <f>M189+O189</f>
        <v>7356</v>
      </c>
      <c r="L189" s="23">
        <f t="shared" si="15"/>
        <v>328</v>
      </c>
      <c r="M189" s="24">
        <v>1560</v>
      </c>
      <c r="N189" s="25">
        <f t="shared" si="16"/>
        <v>92</v>
      </c>
      <c r="O189" s="24">
        <v>5796</v>
      </c>
      <c r="P189" s="23">
        <f t="shared" si="17"/>
        <v>236</v>
      </c>
      <c r="Q189" s="26">
        <v>11446</v>
      </c>
      <c r="R189" s="23">
        <f t="shared" si="18"/>
        <v>1024</v>
      </c>
      <c r="S189" s="27" t="s">
        <v>19</v>
      </c>
      <c r="T189" s="19" t="s">
        <v>215</v>
      </c>
    </row>
    <row r="190" spans="1:20" ht="37.5" customHeight="1" x14ac:dyDescent="0.25">
      <c r="A190" s="19" t="s">
        <v>216</v>
      </c>
      <c r="B190">
        <f t="shared" si="19"/>
        <v>48614</v>
      </c>
      <c r="C190">
        <v>7395</v>
      </c>
      <c r="D190">
        <v>41219</v>
      </c>
      <c r="F190">
        <f t="shared" si="20"/>
        <v>403</v>
      </c>
      <c r="G190" s="20">
        <f t="shared" si="21"/>
        <v>185</v>
      </c>
      <c r="H190" s="21">
        <v>23015100629</v>
      </c>
      <c r="I190" s="22">
        <v>213</v>
      </c>
      <c r="J190" s="23"/>
      <c r="K190" s="24">
        <v>48211</v>
      </c>
      <c r="L190" s="23">
        <f t="shared" si="15"/>
        <v>403</v>
      </c>
      <c r="M190" s="24">
        <v>7329</v>
      </c>
      <c r="N190" s="25">
        <f t="shared" si="16"/>
        <v>66</v>
      </c>
      <c r="O190" s="24">
        <v>40882</v>
      </c>
      <c r="P190" s="23">
        <f t="shared" si="17"/>
        <v>337</v>
      </c>
      <c r="Q190" s="26"/>
      <c r="R190" s="23">
        <f t="shared" si="18"/>
        <v>0</v>
      </c>
      <c r="S190" s="27" t="s">
        <v>19</v>
      </c>
      <c r="T190" s="19" t="s">
        <v>216</v>
      </c>
    </row>
    <row r="191" spans="1:20" ht="37.5" customHeight="1" x14ac:dyDescent="0.25">
      <c r="A191" s="19" t="s">
        <v>217</v>
      </c>
      <c r="B191">
        <f t="shared" si="19"/>
        <v>20192</v>
      </c>
      <c r="C191">
        <v>3261</v>
      </c>
      <c r="D191">
        <v>16931</v>
      </c>
      <c r="F191">
        <f t="shared" si="20"/>
        <v>261</v>
      </c>
      <c r="G191" s="20">
        <f t="shared" si="21"/>
        <v>186</v>
      </c>
      <c r="H191" s="21">
        <v>88819030196</v>
      </c>
      <c r="I191" s="22">
        <v>214</v>
      </c>
      <c r="J191" s="23"/>
      <c r="K191" s="24">
        <v>19931</v>
      </c>
      <c r="L191" s="23">
        <f t="shared" si="15"/>
        <v>261</v>
      </c>
      <c r="M191" s="24">
        <v>3214</v>
      </c>
      <c r="N191" s="25">
        <f t="shared" si="16"/>
        <v>47</v>
      </c>
      <c r="O191" s="24">
        <v>16717</v>
      </c>
      <c r="P191" s="23">
        <f t="shared" si="17"/>
        <v>214</v>
      </c>
      <c r="Q191" s="26"/>
      <c r="R191" s="23">
        <f t="shared" si="18"/>
        <v>0</v>
      </c>
      <c r="S191" s="27" t="s">
        <v>19</v>
      </c>
      <c r="T191" s="19" t="s">
        <v>217</v>
      </c>
    </row>
    <row r="192" spans="1:20" ht="37.5" customHeight="1" x14ac:dyDescent="0.25">
      <c r="A192" s="19" t="s">
        <v>218</v>
      </c>
      <c r="B192">
        <f t="shared" si="19"/>
        <v>4340</v>
      </c>
      <c r="C192">
        <v>1091</v>
      </c>
      <c r="D192">
        <v>3249</v>
      </c>
      <c r="E192">
        <v>6992</v>
      </c>
      <c r="F192">
        <f t="shared" si="20"/>
        <v>380</v>
      </c>
      <c r="G192" s="20">
        <f t="shared" si="21"/>
        <v>187</v>
      </c>
      <c r="H192" s="21">
        <v>99624020222</v>
      </c>
      <c r="I192" s="22">
        <v>215</v>
      </c>
      <c r="J192" s="23"/>
      <c r="K192" s="24">
        <f>M192+O192</f>
        <v>3960</v>
      </c>
      <c r="L192" s="23">
        <f t="shared" si="15"/>
        <v>380</v>
      </c>
      <c r="M192" s="24">
        <v>1005</v>
      </c>
      <c r="N192" s="25">
        <f t="shared" si="16"/>
        <v>86</v>
      </c>
      <c r="O192" s="24">
        <v>2955</v>
      </c>
      <c r="P192" s="23">
        <f t="shared" si="17"/>
        <v>294</v>
      </c>
      <c r="Q192" s="26">
        <v>5931</v>
      </c>
      <c r="R192" s="23">
        <f t="shared" si="18"/>
        <v>1061</v>
      </c>
      <c r="S192" s="27" t="s">
        <v>19</v>
      </c>
      <c r="T192" s="19" t="s">
        <v>218</v>
      </c>
    </row>
    <row r="193" spans="1:20" ht="37.5" customHeight="1" x14ac:dyDescent="0.25">
      <c r="A193" s="19" t="s">
        <v>219</v>
      </c>
      <c r="B193">
        <f t="shared" si="19"/>
        <v>49308</v>
      </c>
      <c r="C193">
        <v>8152</v>
      </c>
      <c r="D193">
        <v>41156</v>
      </c>
      <c r="F193">
        <f t="shared" si="20"/>
        <v>585</v>
      </c>
      <c r="G193" s="20">
        <f t="shared" si="21"/>
        <v>188</v>
      </c>
      <c r="H193" s="21">
        <v>66617010301</v>
      </c>
      <c r="I193" s="22">
        <v>216</v>
      </c>
      <c r="J193" s="23"/>
      <c r="K193" s="24">
        <v>48723</v>
      </c>
      <c r="L193" s="23">
        <f t="shared" si="15"/>
        <v>585</v>
      </c>
      <c r="M193" s="24">
        <v>8066</v>
      </c>
      <c r="N193" s="25">
        <f t="shared" si="16"/>
        <v>86</v>
      </c>
      <c r="O193" s="24">
        <v>40657</v>
      </c>
      <c r="P193" s="23">
        <f t="shared" si="17"/>
        <v>499</v>
      </c>
      <c r="Q193" s="26"/>
      <c r="R193" s="23">
        <f t="shared" si="18"/>
        <v>0</v>
      </c>
      <c r="S193" s="27" t="s">
        <v>19</v>
      </c>
      <c r="T193" s="19" t="s">
        <v>219</v>
      </c>
    </row>
    <row r="194" spans="1:20" ht="37.5" customHeight="1" x14ac:dyDescent="0.25">
      <c r="A194" s="19" t="s">
        <v>220</v>
      </c>
      <c r="B194">
        <f t="shared" si="19"/>
        <v>8077</v>
      </c>
      <c r="C194">
        <v>1857</v>
      </c>
      <c r="D194">
        <v>6220</v>
      </c>
      <c r="E194">
        <v>9416</v>
      </c>
      <c r="F194">
        <f t="shared" si="20"/>
        <v>594</v>
      </c>
      <c r="G194" s="20">
        <f t="shared" si="21"/>
        <v>189</v>
      </c>
      <c r="H194" s="21">
        <v>99623080502</v>
      </c>
      <c r="I194" s="22">
        <v>217</v>
      </c>
      <c r="J194" s="23"/>
      <c r="K194" s="24">
        <f>M194+O194</f>
        <v>7483</v>
      </c>
      <c r="L194" s="23">
        <f t="shared" si="15"/>
        <v>594</v>
      </c>
      <c r="M194" s="24">
        <v>1716</v>
      </c>
      <c r="N194" s="25">
        <f t="shared" si="16"/>
        <v>141</v>
      </c>
      <c r="O194" s="24">
        <v>5767</v>
      </c>
      <c r="P194" s="23">
        <f t="shared" si="17"/>
        <v>453</v>
      </c>
      <c r="Q194" s="26">
        <v>8516</v>
      </c>
      <c r="R194" s="23">
        <f t="shared" si="18"/>
        <v>900</v>
      </c>
      <c r="S194" s="27" t="s">
        <v>19</v>
      </c>
      <c r="T194" s="19" t="s">
        <v>220</v>
      </c>
    </row>
    <row r="195" spans="1:20" ht="37.5" customHeight="1" x14ac:dyDescent="0.25">
      <c r="A195" s="19" t="s">
        <v>221</v>
      </c>
      <c r="B195">
        <f t="shared" si="19"/>
        <v>8536</v>
      </c>
      <c r="C195">
        <v>2044</v>
      </c>
      <c r="D195">
        <v>6492</v>
      </c>
      <c r="E195">
        <v>16574</v>
      </c>
      <c r="F195">
        <f t="shared" si="20"/>
        <v>380</v>
      </c>
      <c r="G195" s="20">
        <f t="shared" si="21"/>
        <v>190</v>
      </c>
      <c r="H195" s="21">
        <v>99723060061</v>
      </c>
      <c r="I195" s="22">
        <v>218</v>
      </c>
      <c r="J195" s="23"/>
      <c r="K195" s="24">
        <f>M195+O195</f>
        <v>8156</v>
      </c>
      <c r="L195" s="23">
        <f t="shared" si="15"/>
        <v>380</v>
      </c>
      <c r="M195" s="24">
        <v>1952</v>
      </c>
      <c r="N195" s="25">
        <f t="shared" si="16"/>
        <v>92</v>
      </c>
      <c r="O195" s="24">
        <v>6204</v>
      </c>
      <c r="P195" s="23">
        <f t="shared" si="17"/>
        <v>288</v>
      </c>
      <c r="Q195" s="26">
        <v>15430</v>
      </c>
      <c r="R195" s="23">
        <f t="shared" si="18"/>
        <v>1144</v>
      </c>
      <c r="S195" s="27" t="s">
        <v>19</v>
      </c>
      <c r="T195" s="19" t="s">
        <v>221</v>
      </c>
    </row>
    <row r="196" spans="1:20" ht="37.5" customHeight="1" x14ac:dyDescent="0.25">
      <c r="A196" s="19" t="s">
        <v>222</v>
      </c>
      <c r="B196">
        <f t="shared" si="19"/>
        <v>23399</v>
      </c>
      <c r="C196">
        <v>4535</v>
      </c>
      <c r="D196">
        <v>18864</v>
      </c>
      <c r="F196">
        <f t="shared" si="20"/>
        <v>352</v>
      </c>
      <c r="G196" s="20">
        <f t="shared" si="21"/>
        <v>191</v>
      </c>
      <c r="H196" s="21">
        <v>66621100353</v>
      </c>
      <c r="I196" s="22">
        <v>219</v>
      </c>
      <c r="J196" s="23"/>
      <c r="K196" s="24">
        <v>23047</v>
      </c>
      <c r="L196" s="23">
        <f t="shared" si="15"/>
        <v>352</v>
      </c>
      <c r="M196" s="24">
        <v>4468</v>
      </c>
      <c r="N196" s="25">
        <f t="shared" si="16"/>
        <v>67</v>
      </c>
      <c r="O196" s="24">
        <v>18579</v>
      </c>
      <c r="P196" s="23">
        <f t="shared" si="17"/>
        <v>285</v>
      </c>
      <c r="Q196" s="26"/>
      <c r="R196" s="23">
        <f t="shared" si="18"/>
        <v>0</v>
      </c>
      <c r="S196" s="27" t="s">
        <v>19</v>
      </c>
      <c r="T196" s="19" t="s">
        <v>222</v>
      </c>
    </row>
    <row r="197" spans="1:20" ht="37.5" customHeight="1" x14ac:dyDescent="0.25">
      <c r="A197" s="19" t="s">
        <v>223</v>
      </c>
      <c r="B197">
        <f t="shared" si="19"/>
        <v>6595</v>
      </c>
      <c r="C197">
        <v>1203</v>
      </c>
      <c r="D197">
        <v>5392</v>
      </c>
      <c r="E197">
        <v>6638</v>
      </c>
      <c r="F197">
        <f t="shared" si="20"/>
        <v>464</v>
      </c>
      <c r="G197" s="20">
        <f t="shared" si="21"/>
        <v>192</v>
      </c>
      <c r="H197" s="21">
        <v>99624010098</v>
      </c>
      <c r="I197" s="22">
        <v>220</v>
      </c>
      <c r="J197" s="23"/>
      <c r="K197" s="24">
        <f>M197+O197</f>
        <v>6131</v>
      </c>
      <c r="L197" s="23">
        <f t="shared" si="15"/>
        <v>464</v>
      </c>
      <c r="M197" s="24">
        <v>1104</v>
      </c>
      <c r="N197" s="25">
        <f t="shared" si="16"/>
        <v>99</v>
      </c>
      <c r="O197" s="24">
        <v>5027</v>
      </c>
      <c r="P197" s="23">
        <f t="shared" si="17"/>
        <v>365</v>
      </c>
      <c r="Q197" s="26">
        <v>5968</v>
      </c>
      <c r="R197" s="23">
        <f t="shared" si="18"/>
        <v>670</v>
      </c>
      <c r="S197" s="27" t="s">
        <v>19</v>
      </c>
      <c r="T197" s="19" t="s">
        <v>223</v>
      </c>
    </row>
    <row r="198" spans="1:20" ht="37.5" customHeight="1" x14ac:dyDescent="0.25">
      <c r="A198" s="19" t="s">
        <v>224</v>
      </c>
      <c r="B198">
        <f t="shared" si="19"/>
        <v>15890</v>
      </c>
      <c r="C198">
        <v>3504</v>
      </c>
      <c r="D198">
        <v>12386</v>
      </c>
      <c r="E198">
        <v>15280</v>
      </c>
      <c r="F198">
        <f t="shared" si="20"/>
        <v>786</v>
      </c>
      <c r="G198" s="20">
        <f t="shared" si="21"/>
        <v>193</v>
      </c>
      <c r="H198" s="21">
        <v>99723050184</v>
      </c>
      <c r="I198" s="22">
        <v>221</v>
      </c>
      <c r="J198" s="23"/>
      <c r="K198" s="24">
        <f>M198+O198</f>
        <v>15104</v>
      </c>
      <c r="L198" s="23">
        <f t="shared" ref="L198:L261" si="22">B198-K198</f>
        <v>786</v>
      </c>
      <c r="M198" s="24">
        <v>3337</v>
      </c>
      <c r="N198" s="25">
        <f t="shared" ref="N198:N261" si="23">C198-M198</f>
        <v>167</v>
      </c>
      <c r="O198" s="24">
        <v>11767</v>
      </c>
      <c r="P198" s="23">
        <f t="shared" ref="P198:P261" si="24">D198-O198</f>
        <v>619</v>
      </c>
      <c r="Q198" s="26">
        <v>14231</v>
      </c>
      <c r="R198" s="23">
        <f t="shared" ref="R198:R261" si="25">E198-Q198</f>
        <v>1049</v>
      </c>
      <c r="S198" s="27" t="s">
        <v>19</v>
      </c>
      <c r="T198" s="19" t="s">
        <v>224</v>
      </c>
    </row>
    <row r="199" spans="1:20" ht="37.5" customHeight="1" x14ac:dyDescent="0.25">
      <c r="A199" s="19" t="s">
        <v>225</v>
      </c>
      <c r="B199">
        <f t="shared" ref="B199:B262" si="26">C199+D199</f>
        <v>16606</v>
      </c>
      <c r="C199">
        <v>2735</v>
      </c>
      <c r="D199">
        <v>13871</v>
      </c>
      <c r="F199">
        <f t="shared" ref="F199:F262" si="27">L199</f>
        <v>584</v>
      </c>
      <c r="G199" s="20">
        <f t="shared" si="21"/>
        <v>194</v>
      </c>
      <c r="H199" s="21">
        <v>88820040133</v>
      </c>
      <c r="I199" s="22">
        <v>222</v>
      </c>
      <c r="J199" s="23"/>
      <c r="K199" s="24">
        <v>16022</v>
      </c>
      <c r="L199" s="23">
        <f t="shared" si="22"/>
        <v>584</v>
      </c>
      <c r="M199" s="24">
        <v>2633</v>
      </c>
      <c r="N199" s="25">
        <f t="shared" si="23"/>
        <v>102</v>
      </c>
      <c r="O199" s="24">
        <v>13389</v>
      </c>
      <c r="P199" s="23">
        <f t="shared" si="24"/>
        <v>482</v>
      </c>
      <c r="Q199" s="26"/>
      <c r="R199" s="23">
        <f t="shared" si="25"/>
        <v>0</v>
      </c>
      <c r="S199" s="27" t="s">
        <v>19</v>
      </c>
      <c r="T199" s="19" t="s">
        <v>225</v>
      </c>
    </row>
    <row r="200" spans="1:20" ht="37.5" customHeight="1" x14ac:dyDescent="0.25">
      <c r="A200" s="19" t="s">
        <v>226</v>
      </c>
      <c r="B200">
        <f t="shared" si="26"/>
        <v>68429</v>
      </c>
      <c r="C200">
        <v>12556</v>
      </c>
      <c r="D200">
        <v>55873</v>
      </c>
      <c r="F200">
        <f t="shared" si="27"/>
        <v>587</v>
      </c>
      <c r="G200" s="20">
        <f t="shared" ref="G200:G263" si="28">G199+1</f>
        <v>195</v>
      </c>
      <c r="H200" s="21">
        <v>23015010454</v>
      </c>
      <c r="I200" s="22">
        <v>223</v>
      </c>
      <c r="J200" s="23"/>
      <c r="K200" s="24">
        <v>67842</v>
      </c>
      <c r="L200" s="23">
        <f t="shared" si="22"/>
        <v>587</v>
      </c>
      <c r="M200" s="24">
        <v>12439</v>
      </c>
      <c r="N200" s="25">
        <f t="shared" si="23"/>
        <v>117</v>
      </c>
      <c r="O200" s="24">
        <v>55403</v>
      </c>
      <c r="P200" s="23">
        <f t="shared" si="24"/>
        <v>470</v>
      </c>
      <c r="Q200" s="26"/>
      <c r="R200" s="23">
        <f t="shared" si="25"/>
        <v>0</v>
      </c>
      <c r="S200" s="27" t="s">
        <v>19</v>
      </c>
      <c r="T200" s="19" t="s">
        <v>226</v>
      </c>
    </row>
    <row r="201" spans="1:20" ht="37.5" customHeight="1" x14ac:dyDescent="0.25">
      <c r="A201" s="19" t="s">
        <v>227</v>
      </c>
      <c r="B201">
        <f t="shared" si="26"/>
        <v>25725</v>
      </c>
      <c r="C201">
        <v>4574</v>
      </c>
      <c r="D201">
        <v>21151</v>
      </c>
      <c r="F201">
        <f t="shared" si="27"/>
        <v>529</v>
      </c>
      <c r="G201" s="20">
        <f t="shared" si="28"/>
        <v>196</v>
      </c>
      <c r="H201" s="21">
        <v>88820030297</v>
      </c>
      <c r="I201" s="22">
        <v>224</v>
      </c>
      <c r="J201" s="23"/>
      <c r="K201" s="24">
        <v>25196</v>
      </c>
      <c r="L201" s="23">
        <f t="shared" si="22"/>
        <v>529</v>
      </c>
      <c r="M201" s="24">
        <v>4505</v>
      </c>
      <c r="N201" s="25">
        <f t="shared" si="23"/>
        <v>69</v>
      </c>
      <c r="O201" s="24">
        <v>20691</v>
      </c>
      <c r="P201" s="23">
        <f t="shared" si="24"/>
        <v>460</v>
      </c>
      <c r="Q201" s="26"/>
      <c r="R201" s="23">
        <f t="shared" si="25"/>
        <v>0</v>
      </c>
      <c r="S201" s="27" t="s">
        <v>19</v>
      </c>
      <c r="T201" s="19" t="s">
        <v>227</v>
      </c>
    </row>
    <row r="202" spans="1:20" ht="37.5" customHeight="1" x14ac:dyDescent="0.25">
      <c r="A202" s="19" t="s">
        <v>228</v>
      </c>
      <c r="B202">
        <f t="shared" si="26"/>
        <v>1268</v>
      </c>
      <c r="C202">
        <v>96</v>
      </c>
      <c r="D202">
        <v>1172</v>
      </c>
      <c r="F202">
        <f t="shared" si="27"/>
        <v>0</v>
      </c>
      <c r="G202" s="20">
        <f t="shared" si="28"/>
        <v>197</v>
      </c>
      <c r="H202" s="21">
        <v>66617020216</v>
      </c>
      <c r="I202" s="22">
        <v>225</v>
      </c>
      <c r="J202" s="23"/>
      <c r="K202" s="24">
        <v>1268</v>
      </c>
      <c r="L202" s="23">
        <f t="shared" si="22"/>
        <v>0</v>
      </c>
      <c r="M202" s="24">
        <v>96</v>
      </c>
      <c r="N202" s="25">
        <f t="shared" si="23"/>
        <v>0</v>
      </c>
      <c r="O202" s="24">
        <v>1172</v>
      </c>
      <c r="P202" s="23">
        <f t="shared" si="24"/>
        <v>0</v>
      </c>
      <c r="Q202" s="26"/>
      <c r="R202" s="23">
        <f t="shared" si="25"/>
        <v>0</v>
      </c>
      <c r="S202" s="27" t="s">
        <v>19</v>
      </c>
      <c r="T202" s="19" t="s">
        <v>228</v>
      </c>
    </row>
    <row r="203" spans="1:20" ht="37.5" customHeight="1" x14ac:dyDescent="0.25">
      <c r="A203" s="19" t="s">
        <v>229</v>
      </c>
      <c r="B203">
        <f t="shared" si="26"/>
        <v>44562</v>
      </c>
      <c r="C203">
        <v>7345</v>
      </c>
      <c r="D203">
        <v>37217</v>
      </c>
      <c r="F203">
        <f t="shared" si="27"/>
        <v>502</v>
      </c>
      <c r="G203" s="20">
        <f t="shared" si="28"/>
        <v>198</v>
      </c>
      <c r="H203" s="21">
        <v>66601102612</v>
      </c>
      <c r="I203" s="22">
        <v>226</v>
      </c>
      <c r="J203" s="23"/>
      <c r="K203" s="24">
        <v>44060</v>
      </c>
      <c r="L203" s="23">
        <f t="shared" si="22"/>
        <v>502</v>
      </c>
      <c r="M203" s="24">
        <v>7279</v>
      </c>
      <c r="N203" s="25">
        <f t="shared" si="23"/>
        <v>66</v>
      </c>
      <c r="O203" s="24">
        <v>36781</v>
      </c>
      <c r="P203" s="23">
        <f t="shared" si="24"/>
        <v>436</v>
      </c>
      <c r="Q203" s="26"/>
      <c r="R203" s="23">
        <f t="shared" si="25"/>
        <v>0</v>
      </c>
      <c r="S203" s="27" t="s">
        <v>19</v>
      </c>
      <c r="T203" s="19" t="s">
        <v>229</v>
      </c>
    </row>
    <row r="204" spans="1:20" ht="37.5" customHeight="1" x14ac:dyDescent="0.25">
      <c r="A204" s="19" t="s">
        <v>230</v>
      </c>
      <c r="B204">
        <f t="shared" si="26"/>
        <v>54180</v>
      </c>
      <c r="C204">
        <v>8134</v>
      </c>
      <c r="D204">
        <v>46046</v>
      </c>
      <c r="F204">
        <f t="shared" si="27"/>
        <v>21</v>
      </c>
      <c r="G204" s="20">
        <f t="shared" si="28"/>
        <v>199</v>
      </c>
      <c r="H204" s="21">
        <v>66617020311</v>
      </c>
      <c r="I204" s="22">
        <v>227</v>
      </c>
      <c r="J204" s="23"/>
      <c r="K204" s="24">
        <v>54159</v>
      </c>
      <c r="L204" s="23">
        <f t="shared" si="22"/>
        <v>21</v>
      </c>
      <c r="M204" s="24">
        <v>8130</v>
      </c>
      <c r="N204" s="25">
        <f t="shared" si="23"/>
        <v>4</v>
      </c>
      <c r="O204" s="24">
        <v>46029</v>
      </c>
      <c r="P204" s="23">
        <f t="shared" si="24"/>
        <v>17</v>
      </c>
      <c r="Q204" s="26"/>
      <c r="R204" s="23">
        <f t="shared" si="25"/>
        <v>0</v>
      </c>
      <c r="S204" s="27" t="s">
        <v>19</v>
      </c>
      <c r="T204" s="19" t="s">
        <v>230</v>
      </c>
    </row>
    <row r="205" spans="1:20" ht="37.5" customHeight="1" x14ac:dyDescent="0.25">
      <c r="A205" s="19" t="s">
        <v>231</v>
      </c>
      <c r="B205">
        <f t="shared" si="26"/>
        <v>86900</v>
      </c>
      <c r="C205">
        <v>14817</v>
      </c>
      <c r="D205">
        <v>72083</v>
      </c>
      <c r="F205">
        <f t="shared" si="27"/>
        <v>602</v>
      </c>
      <c r="G205" s="20">
        <f t="shared" si="28"/>
        <v>200</v>
      </c>
      <c r="H205" s="21">
        <v>88818020352</v>
      </c>
      <c r="I205" s="22">
        <v>228</v>
      </c>
      <c r="J205" s="23"/>
      <c r="K205" s="24">
        <v>86298</v>
      </c>
      <c r="L205" s="23">
        <f t="shared" si="22"/>
        <v>602</v>
      </c>
      <c r="M205" s="24">
        <v>14738</v>
      </c>
      <c r="N205" s="25">
        <f t="shared" si="23"/>
        <v>79</v>
      </c>
      <c r="O205" s="24">
        <v>71560</v>
      </c>
      <c r="P205" s="23">
        <f t="shared" si="24"/>
        <v>523</v>
      </c>
      <c r="Q205" s="26"/>
      <c r="R205" s="23">
        <f t="shared" si="25"/>
        <v>0</v>
      </c>
      <c r="S205" s="27" t="s">
        <v>19</v>
      </c>
      <c r="T205" s="19" t="s">
        <v>231</v>
      </c>
    </row>
    <row r="206" spans="1:20" ht="37.5" customHeight="1" x14ac:dyDescent="0.25">
      <c r="A206" s="19" t="s">
        <v>232</v>
      </c>
      <c r="B206">
        <f t="shared" si="26"/>
        <v>15989</v>
      </c>
      <c r="C206">
        <v>3178</v>
      </c>
      <c r="D206">
        <v>12811</v>
      </c>
      <c r="E206">
        <v>7137</v>
      </c>
      <c r="F206">
        <f t="shared" si="27"/>
        <v>889</v>
      </c>
      <c r="G206" s="20">
        <f t="shared" si="28"/>
        <v>201</v>
      </c>
      <c r="H206" s="21">
        <v>9962401005</v>
      </c>
      <c r="I206" s="22">
        <v>229</v>
      </c>
      <c r="J206" s="23"/>
      <c r="K206" s="24">
        <f>M206+O206</f>
        <v>15100</v>
      </c>
      <c r="L206" s="23">
        <f t="shared" si="22"/>
        <v>889</v>
      </c>
      <c r="M206" s="24">
        <v>2963</v>
      </c>
      <c r="N206" s="25">
        <f t="shared" si="23"/>
        <v>215</v>
      </c>
      <c r="O206" s="24">
        <v>12137</v>
      </c>
      <c r="P206" s="23">
        <f t="shared" si="24"/>
        <v>674</v>
      </c>
      <c r="Q206" s="26">
        <v>6290</v>
      </c>
      <c r="R206" s="23">
        <f t="shared" si="25"/>
        <v>847</v>
      </c>
      <c r="S206" s="27" t="s">
        <v>19</v>
      </c>
      <c r="T206" s="19" t="s">
        <v>232</v>
      </c>
    </row>
    <row r="207" spans="1:20" ht="37.5" customHeight="1" x14ac:dyDescent="0.25">
      <c r="A207" s="19" t="s">
        <v>233</v>
      </c>
      <c r="B207">
        <f t="shared" si="26"/>
        <v>8749</v>
      </c>
      <c r="C207">
        <v>1678</v>
      </c>
      <c r="D207">
        <v>7071</v>
      </c>
      <c r="F207">
        <f t="shared" si="27"/>
        <v>32</v>
      </c>
      <c r="G207" s="20">
        <f t="shared" si="28"/>
        <v>202</v>
      </c>
      <c r="H207" s="21">
        <v>66619040495</v>
      </c>
      <c r="I207" s="22">
        <v>231</v>
      </c>
      <c r="J207" s="23"/>
      <c r="K207" s="24">
        <v>8717</v>
      </c>
      <c r="L207" s="23">
        <f t="shared" si="22"/>
        <v>32</v>
      </c>
      <c r="M207" s="24">
        <v>1672</v>
      </c>
      <c r="N207" s="25">
        <f t="shared" si="23"/>
        <v>6</v>
      </c>
      <c r="O207" s="24">
        <v>7045</v>
      </c>
      <c r="P207" s="23">
        <f t="shared" si="24"/>
        <v>26</v>
      </c>
      <c r="Q207" s="26"/>
      <c r="R207" s="23">
        <f t="shared" si="25"/>
        <v>0</v>
      </c>
      <c r="S207" s="27" t="s">
        <v>19</v>
      </c>
      <c r="T207" s="19" t="s">
        <v>233</v>
      </c>
    </row>
    <row r="208" spans="1:20" ht="37.5" customHeight="1" x14ac:dyDescent="0.25">
      <c r="A208" s="19" t="s">
        <v>234</v>
      </c>
      <c r="B208">
        <f t="shared" si="26"/>
        <v>3034</v>
      </c>
      <c r="C208">
        <v>521</v>
      </c>
      <c r="D208">
        <v>2513</v>
      </c>
      <c r="F208">
        <f t="shared" si="27"/>
        <v>23</v>
      </c>
      <c r="G208" s="20">
        <f t="shared" si="28"/>
        <v>203</v>
      </c>
      <c r="H208" s="21">
        <v>88819020377</v>
      </c>
      <c r="I208" s="22">
        <v>233</v>
      </c>
      <c r="J208" s="23"/>
      <c r="K208" s="24">
        <v>3011</v>
      </c>
      <c r="L208" s="23">
        <f t="shared" si="22"/>
        <v>23</v>
      </c>
      <c r="M208" s="24">
        <v>517</v>
      </c>
      <c r="N208" s="25">
        <f t="shared" si="23"/>
        <v>4</v>
      </c>
      <c r="O208" s="24">
        <v>2494</v>
      </c>
      <c r="P208" s="23">
        <f t="shared" si="24"/>
        <v>19</v>
      </c>
      <c r="Q208" s="26"/>
      <c r="R208" s="23">
        <f t="shared" si="25"/>
        <v>0</v>
      </c>
      <c r="S208" s="27" t="s">
        <v>19</v>
      </c>
      <c r="T208" s="19" t="s">
        <v>234</v>
      </c>
    </row>
    <row r="209" spans="1:20" ht="37.5" customHeight="1" x14ac:dyDescent="0.25">
      <c r="A209" s="19" t="s">
        <v>235</v>
      </c>
      <c r="B209">
        <f t="shared" si="26"/>
        <v>19339</v>
      </c>
      <c r="C209">
        <v>3530</v>
      </c>
      <c r="D209">
        <v>15809</v>
      </c>
      <c r="F209">
        <f t="shared" si="27"/>
        <v>494</v>
      </c>
      <c r="G209" s="20">
        <f t="shared" si="28"/>
        <v>204</v>
      </c>
      <c r="H209" s="21">
        <v>66621070400</v>
      </c>
      <c r="I209" s="22">
        <v>235</v>
      </c>
      <c r="J209" s="23"/>
      <c r="K209" s="24">
        <v>18845</v>
      </c>
      <c r="L209" s="23">
        <f t="shared" si="22"/>
        <v>494</v>
      </c>
      <c r="M209" s="24">
        <v>3451</v>
      </c>
      <c r="N209" s="25">
        <f t="shared" si="23"/>
        <v>79</v>
      </c>
      <c r="O209" s="24">
        <v>15394</v>
      </c>
      <c r="P209" s="23">
        <f t="shared" si="24"/>
        <v>415</v>
      </c>
      <c r="Q209" s="26"/>
      <c r="R209" s="23">
        <f t="shared" si="25"/>
        <v>0</v>
      </c>
      <c r="S209" s="27" t="s">
        <v>19</v>
      </c>
      <c r="T209" s="19" t="s">
        <v>235</v>
      </c>
    </row>
    <row r="210" spans="1:20" ht="37.5" customHeight="1" x14ac:dyDescent="0.25">
      <c r="A210" s="19" t="s">
        <v>236</v>
      </c>
      <c r="B210">
        <f t="shared" si="26"/>
        <v>12631</v>
      </c>
      <c r="C210">
        <v>3352</v>
      </c>
      <c r="D210">
        <v>9279</v>
      </c>
      <c r="E210">
        <v>18374</v>
      </c>
      <c r="F210">
        <f t="shared" si="27"/>
        <v>708</v>
      </c>
      <c r="G210" s="20">
        <f t="shared" si="28"/>
        <v>205</v>
      </c>
      <c r="H210" s="21">
        <v>99723050078</v>
      </c>
      <c r="I210" s="22">
        <v>236</v>
      </c>
      <c r="J210" s="23"/>
      <c r="K210" s="24">
        <f>M210+O210</f>
        <v>11923</v>
      </c>
      <c r="L210" s="23">
        <f t="shared" si="22"/>
        <v>708</v>
      </c>
      <c r="M210" s="24">
        <v>3166</v>
      </c>
      <c r="N210" s="25">
        <f t="shared" si="23"/>
        <v>186</v>
      </c>
      <c r="O210" s="24">
        <v>8757</v>
      </c>
      <c r="P210" s="23">
        <f t="shared" si="24"/>
        <v>522</v>
      </c>
      <c r="Q210" s="26">
        <v>17412</v>
      </c>
      <c r="R210" s="23">
        <f t="shared" si="25"/>
        <v>962</v>
      </c>
      <c r="S210" s="27" t="s">
        <v>19</v>
      </c>
      <c r="T210" s="19" t="s">
        <v>236</v>
      </c>
    </row>
    <row r="211" spans="1:20" ht="37.5" customHeight="1" x14ac:dyDescent="0.25">
      <c r="A211" s="19" t="s">
        <v>237</v>
      </c>
      <c r="B211">
        <f t="shared" si="26"/>
        <v>43895</v>
      </c>
      <c r="C211">
        <v>7725</v>
      </c>
      <c r="D211">
        <v>36170</v>
      </c>
      <c r="F211">
        <f t="shared" si="27"/>
        <v>85</v>
      </c>
      <c r="G211" s="20">
        <f t="shared" si="28"/>
        <v>206</v>
      </c>
      <c r="H211" s="21">
        <v>23012110124</v>
      </c>
      <c r="I211" s="22">
        <v>237</v>
      </c>
      <c r="J211" s="23"/>
      <c r="K211" s="24">
        <v>43810</v>
      </c>
      <c r="L211" s="23">
        <f t="shared" si="22"/>
        <v>85</v>
      </c>
      <c r="M211" s="24">
        <v>7714</v>
      </c>
      <c r="N211" s="25">
        <f t="shared" si="23"/>
        <v>11</v>
      </c>
      <c r="O211" s="24">
        <v>36096</v>
      </c>
      <c r="P211" s="23">
        <f t="shared" si="24"/>
        <v>74</v>
      </c>
      <c r="Q211" s="26"/>
      <c r="R211" s="23">
        <f t="shared" si="25"/>
        <v>0</v>
      </c>
      <c r="S211" s="27" t="s">
        <v>19</v>
      </c>
      <c r="T211" s="19" t="s">
        <v>237</v>
      </c>
    </row>
    <row r="212" spans="1:20" ht="37.5" customHeight="1" x14ac:dyDescent="0.25">
      <c r="A212" s="19" t="s">
        <v>238</v>
      </c>
      <c r="B212">
        <f t="shared" si="26"/>
        <v>6178</v>
      </c>
      <c r="C212">
        <v>1898</v>
      </c>
      <c r="D212">
        <v>4280</v>
      </c>
      <c r="E212">
        <v>15585</v>
      </c>
      <c r="F212">
        <f t="shared" si="27"/>
        <v>357</v>
      </c>
      <c r="G212" s="20">
        <f t="shared" si="28"/>
        <v>207</v>
      </c>
      <c r="H212" s="21">
        <v>99623080045</v>
      </c>
      <c r="I212" s="22">
        <v>238</v>
      </c>
      <c r="J212" s="23"/>
      <c r="K212" s="24">
        <f>M212+O212</f>
        <v>5821</v>
      </c>
      <c r="L212" s="23">
        <f t="shared" si="22"/>
        <v>357</v>
      </c>
      <c r="M212" s="24">
        <v>1798</v>
      </c>
      <c r="N212" s="25">
        <f t="shared" si="23"/>
        <v>100</v>
      </c>
      <c r="O212" s="24">
        <v>4023</v>
      </c>
      <c r="P212" s="23">
        <f t="shared" si="24"/>
        <v>257</v>
      </c>
      <c r="Q212" s="26">
        <v>14387</v>
      </c>
      <c r="R212" s="23">
        <f t="shared" si="25"/>
        <v>1198</v>
      </c>
      <c r="S212" s="27" t="s">
        <v>19</v>
      </c>
      <c r="T212" s="19" t="s">
        <v>238</v>
      </c>
    </row>
    <row r="213" spans="1:20" ht="37.5" customHeight="1" x14ac:dyDescent="0.25">
      <c r="A213" s="19" t="s">
        <v>239</v>
      </c>
      <c r="B213">
        <f t="shared" si="26"/>
        <v>89074</v>
      </c>
      <c r="C213">
        <v>22166</v>
      </c>
      <c r="D213">
        <v>66908</v>
      </c>
      <c r="F213">
        <f t="shared" si="27"/>
        <v>474</v>
      </c>
      <c r="G213" s="20">
        <f t="shared" si="28"/>
        <v>208</v>
      </c>
      <c r="H213" s="21">
        <v>9070133</v>
      </c>
      <c r="I213" s="22">
        <v>239</v>
      </c>
      <c r="J213" s="23"/>
      <c r="K213" s="24">
        <v>88600</v>
      </c>
      <c r="L213" s="23">
        <f t="shared" si="22"/>
        <v>474</v>
      </c>
      <c r="M213" s="24">
        <v>22081</v>
      </c>
      <c r="N213" s="25">
        <f t="shared" si="23"/>
        <v>85</v>
      </c>
      <c r="O213" s="24">
        <v>66519</v>
      </c>
      <c r="P213" s="23">
        <f t="shared" si="24"/>
        <v>389</v>
      </c>
      <c r="Q213" s="26"/>
      <c r="R213" s="23">
        <f t="shared" si="25"/>
        <v>0</v>
      </c>
      <c r="S213" s="27" t="s">
        <v>19</v>
      </c>
      <c r="T213" s="19" t="s">
        <v>239</v>
      </c>
    </row>
    <row r="214" spans="1:20" ht="37.5" customHeight="1" x14ac:dyDescent="0.25">
      <c r="A214" s="19" t="s">
        <v>240</v>
      </c>
      <c r="B214">
        <f t="shared" si="26"/>
        <v>47188</v>
      </c>
      <c r="C214">
        <v>7804</v>
      </c>
      <c r="D214">
        <v>39384</v>
      </c>
      <c r="F214">
        <f t="shared" si="27"/>
        <v>126</v>
      </c>
      <c r="G214" s="20">
        <f t="shared" si="28"/>
        <v>209</v>
      </c>
      <c r="H214" s="21">
        <v>23014010120</v>
      </c>
      <c r="I214" s="22">
        <v>240</v>
      </c>
      <c r="J214" s="23"/>
      <c r="K214" s="24">
        <v>47062</v>
      </c>
      <c r="L214" s="23">
        <f t="shared" si="22"/>
        <v>126</v>
      </c>
      <c r="M214" s="24">
        <v>7781</v>
      </c>
      <c r="N214" s="25">
        <f t="shared" si="23"/>
        <v>23</v>
      </c>
      <c r="O214" s="24">
        <v>39281</v>
      </c>
      <c r="P214" s="23">
        <f t="shared" si="24"/>
        <v>103</v>
      </c>
      <c r="Q214" s="26"/>
      <c r="R214" s="23">
        <f t="shared" si="25"/>
        <v>0</v>
      </c>
      <c r="S214" s="27" t="s">
        <v>19</v>
      </c>
      <c r="T214" s="19" t="s">
        <v>240</v>
      </c>
    </row>
    <row r="215" spans="1:20" ht="37.5" customHeight="1" x14ac:dyDescent="0.25">
      <c r="A215" s="19" t="s">
        <v>241</v>
      </c>
      <c r="B215">
        <f t="shared" si="26"/>
        <v>5171</v>
      </c>
      <c r="C215">
        <v>1047</v>
      </c>
      <c r="D215">
        <v>4124</v>
      </c>
      <c r="E215">
        <v>3578</v>
      </c>
      <c r="F215">
        <f t="shared" si="27"/>
        <v>817</v>
      </c>
      <c r="G215" s="20">
        <f t="shared" si="28"/>
        <v>210</v>
      </c>
      <c r="H215" s="21">
        <v>99624040346</v>
      </c>
      <c r="I215" s="22">
        <v>241</v>
      </c>
      <c r="J215" s="23"/>
      <c r="K215" s="24">
        <f>M215+O215</f>
        <v>4354</v>
      </c>
      <c r="L215" s="23">
        <f t="shared" si="22"/>
        <v>817</v>
      </c>
      <c r="M215" s="24">
        <v>871</v>
      </c>
      <c r="N215" s="25">
        <f t="shared" si="23"/>
        <v>176</v>
      </c>
      <c r="O215" s="24">
        <v>3483</v>
      </c>
      <c r="P215" s="23">
        <f t="shared" si="24"/>
        <v>641</v>
      </c>
      <c r="Q215" s="26">
        <v>2630</v>
      </c>
      <c r="R215" s="23">
        <f t="shared" si="25"/>
        <v>948</v>
      </c>
      <c r="S215" s="27" t="s">
        <v>19</v>
      </c>
      <c r="T215" s="19" t="s">
        <v>241</v>
      </c>
    </row>
    <row r="216" spans="1:20" ht="37.5" customHeight="1" x14ac:dyDescent="0.25">
      <c r="A216" s="19" t="s">
        <v>242</v>
      </c>
      <c r="B216">
        <f t="shared" si="26"/>
        <v>7402</v>
      </c>
      <c r="C216">
        <v>1535</v>
      </c>
      <c r="D216">
        <v>5867</v>
      </c>
      <c r="F216">
        <f t="shared" si="27"/>
        <v>268</v>
      </c>
      <c r="G216" s="20">
        <f t="shared" si="28"/>
        <v>211</v>
      </c>
      <c r="H216" s="21">
        <v>66622050421</v>
      </c>
      <c r="I216" s="22">
        <v>242</v>
      </c>
      <c r="J216" s="23"/>
      <c r="K216" s="24">
        <v>7134</v>
      </c>
      <c r="L216" s="23">
        <f t="shared" si="22"/>
        <v>268</v>
      </c>
      <c r="M216" s="24">
        <v>1485</v>
      </c>
      <c r="N216" s="25">
        <f t="shared" si="23"/>
        <v>50</v>
      </c>
      <c r="O216" s="24">
        <v>5649</v>
      </c>
      <c r="P216" s="23">
        <f t="shared" si="24"/>
        <v>218</v>
      </c>
      <c r="Q216" s="26"/>
      <c r="R216" s="23">
        <f t="shared" si="25"/>
        <v>0</v>
      </c>
      <c r="S216" s="27" t="s">
        <v>19</v>
      </c>
      <c r="T216" s="19" t="s">
        <v>242</v>
      </c>
    </row>
    <row r="217" spans="1:20" ht="37.5" customHeight="1" x14ac:dyDescent="0.25">
      <c r="A217" s="19" t="s">
        <v>243</v>
      </c>
      <c r="B217">
        <f t="shared" si="26"/>
        <v>61769</v>
      </c>
      <c r="C217">
        <v>9354</v>
      </c>
      <c r="D217">
        <v>52415</v>
      </c>
      <c r="F217">
        <f t="shared" si="27"/>
        <v>912</v>
      </c>
      <c r="G217" s="20">
        <f t="shared" si="28"/>
        <v>212</v>
      </c>
      <c r="H217" s="21">
        <v>66618010131</v>
      </c>
      <c r="I217" s="22">
        <v>243</v>
      </c>
      <c r="J217" s="23"/>
      <c r="K217" s="24">
        <v>60857</v>
      </c>
      <c r="L217" s="23">
        <f t="shared" si="22"/>
        <v>912</v>
      </c>
      <c r="M217" s="24">
        <v>9230</v>
      </c>
      <c r="N217" s="25">
        <f t="shared" si="23"/>
        <v>124</v>
      </c>
      <c r="O217" s="24">
        <v>51627</v>
      </c>
      <c r="P217" s="23">
        <f t="shared" si="24"/>
        <v>788</v>
      </c>
      <c r="Q217" s="26"/>
      <c r="R217" s="23">
        <f t="shared" si="25"/>
        <v>0</v>
      </c>
      <c r="S217" s="27" t="s">
        <v>19</v>
      </c>
      <c r="T217" s="19" t="s">
        <v>243</v>
      </c>
    </row>
    <row r="218" spans="1:20" ht="37.5" customHeight="1" x14ac:dyDescent="0.25">
      <c r="A218" s="19" t="s">
        <v>244</v>
      </c>
      <c r="B218">
        <f t="shared" si="26"/>
        <v>19570</v>
      </c>
      <c r="C218">
        <v>3646</v>
      </c>
      <c r="D218">
        <v>15924</v>
      </c>
      <c r="F218">
        <f t="shared" si="27"/>
        <v>0</v>
      </c>
      <c r="G218" s="20">
        <f t="shared" si="28"/>
        <v>213</v>
      </c>
      <c r="H218" s="21">
        <v>66621030216</v>
      </c>
      <c r="I218" s="22">
        <v>244</v>
      </c>
      <c r="J218" s="23"/>
      <c r="K218" s="24">
        <v>19570</v>
      </c>
      <c r="L218" s="23">
        <f t="shared" si="22"/>
        <v>0</v>
      </c>
      <c r="M218" s="24">
        <v>3646</v>
      </c>
      <c r="N218" s="25">
        <f t="shared" si="23"/>
        <v>0</v>
      </c>
      <c r="O218" s="24">
        <v>15924</v>
      </c>
      <c r="P218" s="23">
        <f t="shared" si="24"/>
        <v>0</v>
      </c>
      <c r="Q218" s="26"/>
      <c r="R218" s="23">
        <f t="shared" si="25"/>
        <v>0</v>
      </c>
      <c r="S218" s="27" t="s">
        <v>19</v>
      </c>
      <c r="T218" s="19" t="s">
        <v>244</v>
      </c>
    </row>
    <row r="219" spans="1:20" ht="37.5" customHeight="1" x14ac:dyDescent="0.25">
      <c r="A219" s="19" t="s">
        <v>245</v>
      </c>
      <c r="B219">
        <f t="shared" si="26"/>
        <v>29165</v>
      </c>
      <c r="C219">
        <v>4425</v>
      </c>
      <c r="D219">
        <v>24740</v>
      </c>
      <c r="F219">
        <f t="shared" si="27"/>
        <v>367</v>
      </c>
      <c r="G219" s="20">
        <f t="shared" si="28"/>
        <v>214</v>
      </c>
      <c r="H219" s="21">
        <v>23015100533</v>
      </c>
      <c r="I219" s="22">
        <v>245</v>
      </c>
      <c r="J219" s="23"/>
      <c r="K219" s="24">
        <v>28798</v>
      </c>
      <c r="L219" s="23">
        <f t="shared" si="22"/>
        <v>367</v>
      </c>
      <c r="M219" s="24">
        <v>4374</v>
      </c>
      <c r="N219" s="25">
        <f t="shared" si="23"/>
        <v>51</v>
      </c>
      <c r="O219" s="24">
        <v>24424</v>
      </c>
      <c r="P219" s="23">
        <f t="shared" si="24"/>
        <v>316</v>
      </c>
      <c r="Q219" s="26"/>
      <c r="R219" s="23">
        <f t="shared" si="25"/>
        <v>0</v>
      </c>
      <c r="S219" s="27" t="s">
        <v>19</v>
      </c>
      <c r="T219" s="19" t="s">
        <v>245</v>
      </c>
    </row>
    <row r="220" spans="1:20" ht="37.5" customHeight="1" x14ac:dyDescent="0.25">
      <c r="A220" s="19" t="s">
        <v>246</v>
      </c>
      <c r="B220">
        <f t="shared" si="26"/>
        <v>18346</v>
      </c>
      <c r="C220">
        <v>3668</v>
      </c>
      <c r="D220">
        <v>14678</v>
      </c>
      <c r="F220">
        <f t="shared" si="27"/>
        <v>599</v>
      </c>
      <c r="G220" s="20">
        <f t="shared" si="28"/>
        <v>215</v>
      </c>
      <c r="H220" s="21">
        <v>66622020241</v>
      </c>
      <c r="I220" s="22">
        <v>246</v>
      </c>
      <c r="J220" s="23"/>
      <c r="K220" s="24">
        <v>17747</v>
      </c>
      <c r="L220" s="23">
        <f t="shared" si="22"/>
        <v>599</v>
      </c>
      <c r="M220" s="24">
        <v>3564</v>
      </c>
      <c r="N220" s="25">
        <f t="shared" si="23"/>
        <v>104</v>
      </c>
      <c r="O220" s="24">
        <v>14183</v>
      </c>
      <c r="P220" s="23">
        <f t="shared" si="24"/>
        <v>495</v>
      </c>
      <c r="Q220" s="26"/>
      <c r="R220" s="23">
        <f t="shared" si="25"/>
        <v>0</v>
      </c>
      <c r="S220" s="27" t="s">
        <v>19</v>
      </c>
      <c r="T220" s="19" t="s">
        <v>246</v>
      </c>
    </row>
    <row r="221" spans="1:20" ht="37.5" customHeight="1" x14ac:dyDescent="0.25">
      <c r="A221" s="19" t="s">
        <v>247</v>
      </c>
      <c r="B221">
        <f t="shared" si="26"/>
        <v>20926</v>
      </c>
      <c r="C221">
        <v>2817</v>
      </c>
      <c r="D221">
        <v>18109</v>
      </c>
      <c r="F221">
        <f t="shared" si="27"/>
        <v>393</v>
      </c>
      <c r="G221" s="20">
        <f t="shared" si="28"/>
        <v>216</v>
      </c>
      <c r="H221" s="21">
        <v>88821080191</v>
      </c>
      <c r="I221" s="22">
        <v>247</v>
      </c>
      <c r="J221" s="23"/>
      <c r="K221" s="24">
        <v>20533</v>
      </c>
      <c r="L221" s="23">
        <f t="shared" si="22"/>
        <v>393</v>
      </c>
      <c r="M221" s="24">
        <v>2758</v>
      </c>
      <c r="N221" s="25">
        <f t="shared" si="23"/>
        <v>59</v>
      </c>
      <c r="O221" s="24">
        <v>17775</v>
      </c>
      <c r="P221" s="23">
        <f t="shared" si="24"/>
        <v>334</v>
      </c>
      <c r="Q221" s="26"/>
      <c r="R221" s="23">
        <f t="shared" si="25"/>
        <v>0</v>
      </c>
      <c r="S221" s="27" t="s">
        <v>19</v>
      </c>
      <c r="T221" s="19" t="s">
        <v>247</v>
      </c>
    </row>
    <row r="222" spans="1:20" ht="37.5" customHeight="1" x14ac:dyDescent="0.25">
      <c r="A222" s="19" t="s">
        <v>248</v>
      </c>
      <c r="B222">
        <f t="shared" si="26"/>
        <v>84801</v>
      </c>
      <c r="C222">
        <v>16318</v>
      </c>
      <c r="D222">
        <v>68483</v>
      </c>
      <c r="F222">
        <f t="shared" si="27"/>
        <v>391</v>
      </c>
      <c r="G222" s="20">
        <f t="shared" si="28"/>
        <v>217</v>
      </c>
      <c r="H222" s="21">
        <v>23014090128</v>
      </c>
      <c r="I222" s="22">
        <v>249</v>
      </c>
      <c r="J222" s="23"/>
      <c r="K222" s="24">
        <v>84410</v>
      </c>
      <c r="L222" s="23">
        <f t="shared" si="22"/>
        <v>391</v>
      </c>
      <c r="M222" s="24">
        <v>16239</v>
      </c>
      <c r="N222" s="25">
        <f t="shared" si="23"/>
        <v>79</v>
      </c>
      <c r="O222" s="24">
        <v>68171</v>
      </c>
      <c r="P222" s="23">
        <f t="shared" si="24"/>
        <v>312</v>
      </c>
      <c r="Q222" s="26"/>
      <c r="R222" s="23">
        <f t="shared" si="25"/>
        <v>0</v>
      </c>
      <c r="S222" s="27" t="s">
        <v>19</v>
      </c>
      <c r="T222" s="19" t="s">
        <v>248</v>
      </c>
    </row>
    <row r="223" spans="1:20" ht="37.5" customHeight="1" x14ac:dyDescent="0.25">
      <c r="A223" s="19" t="s">
        <v>249</v>
      </c>
      <c r="B223">
        <f t="shared" si="26"/>
        <v>105894</v>
      </c>
      <c r="C223">
        <v>21405</v>
      </c>
      <c r="D223">
        <v>84489</v>
      </c>
      <c r="F223">
        <f t="shared" si="27"/>
        <v>753</v>
      </c>
      <c r="G223" s="20">
        <f t="shared" si="28"/>
        <v>218</v>
      </c>
      <c r="H223" s="21">
        <v>2301210125</v>
      </c>
      <c r="I223" s="22">
        <v>251</v>
      </c>
      <c r="J223" s="23"/>
      <c r="K223" s="24">
        <v>105141</v>
      </c>
      <c r="L223" s="23">
        <f t="shared" si="22"/>
        <v>753</v>
      </c>
      <c r="M223" s="24">
        <v>21262</v>
      </c>
      <c r="N223" s="25">
        <f t="shared" si="23"/>
        <v>143</v>
      </c>
      <c r="O223" s="24">
        <v>83879</v>
      </c>
      <c r="P223" s="23">
        <f t="shared" si="24"/>
        <v>610</v>
      </c>
      <c r="Q223" s="26"/>
      <c r="R223" s="23">
        <f t="shared" si="25"/>
        <v>0</v>
      </c>
      <c r="S223" s="27" t="s">
        <v>19</v>
      </c>
      <c r="T223" s="19" t="s">
        <v>249</v>
      </c>
    </row>
    <row r="224" spans="1:20" ht="37.5" customHeight="1" x14ac:dyDescent="0.25">
      <c r="A224" s="19" t="s">
        <v>250</v>
      </c>
      <c r="B224">
        <f t="shared" si="26"/>
        <v>2841</v>
      </c>
      <c r="C224">
        <v>532</v>
      </c>
      <c r="D224">
        <v>2309</v>
      </c>
      <c r="F224">
        <f t="shared" si="27"/>
        <v>3</v>
      </c>
      <c r="G224" s="20">
        <f t="shared" si="28"/>
        <v>219</v>
      </c>
      <c r="H224" s="21">
        <v>88820040324</v>
      </c>
      <c r="I224" s="22">
        <v>252</v>
      </c>
      <c r="J224" s="23"/>
      <c r="K224" s="24">
        <v>2838</v>
      </c>
      <c r="L224" s="23">
        <f t="shared" si="22"/>
        <v>3</v>
      </c>
      <c r="M224" s="24">
        <v>531</v>
      </c>
      <c r="N224" s="25">
        <f t="shared" si="23"/>
        <v>1</v>
      </c>
      <c r="O224" s="24">
        <v>2307</v>
      </c>
      <c r="P224" s="23">
        <f t="shared" si="24"/>
        <v>2</v>
      </c>
      <c r="Q224" s="26"/>
      <c r="R224" s="23">
        <f t="shared" si="25"/>
        <v>0</v>
      </c>
      <c r="S224" s="27" t="s">
        <v>19</v>
      </c>
      <c r="T224" s="19" t="s">
        <v>250</v>
      </c>
    </row>
    <row r="225" spans="1:20" ht="37.5" customHeight="1" x14ac:dyDescent="0.25">
      <c r="A225" s="19" t="s">
        <v>251</v>
      </c>
      <c r="B225">
        <f t="shared" si="26"/>
        <v>1120</v>
      </c>
      <c r="C225">
        <v>162</v>
      </c>
      <c r="D225">
        <v>958</v>
      </c>
      <c r="F225">
        <f t="shared" si="27"/>
        <v>79</v>
      </c>
      <c r="G225" s="20">
        <f t="shared" si="28"/>
        <v>220</v>
      </c>
      <c r="H225" s="21">
        <v>66624010103</v>
      </c>
      <c r="I225" s="22">
        <v>253</v>
      </c>
      <c r="J225" s="23"/>
      <c r="K225" s="24">
        <v>1041</v>
      </c>
      <c r="L225" s="23">
        <f t="shared" si="22"/>
        <v>79</v>
      </c>
      <c r="M225" s="24">
        <v>150</v>
      </c>
      <c r="N225" s="25">
        <f t="shared" si="23"/>
        <v>12</v>
      </c>
      <c r="O225" s="24">
        <v>891</v>
      </c>
      <c r="P225" s="23">
        <f t="shared" si="24"/>
        <v>67</v>
      </c>
      <c r="Q225" s="26"/>
      <c r="R225" s="23">
        <f t="shared" si="25"/>
        <v>0</v>
      </c>
      <c r="S225" s="27" t="s">
        <v>19</v>
      </c>
      <c r="T225" s="19" t="s">
        <v>251</v>
      </c>
    </row>
    <row r="226" spans="1:20" ht="37.5" customHeight="1" x14ac:dyDescent="0.25">
      <c r="A226" s="19" t="s">
        <v>252</v>
      </c>
      <c r="B226">
        <f t="shared" si="26"/>
        <v>12198</v>
      </c>
      <c r="C226">
        <v>2480</v>
      </c>
      <c r="D226">
        <v>9718</v>
      </c>
      <c r="F226">
        <f t="shared" si="27"/>
        <v>317</v>
      </c>
      <c r="G226" s="20">
        <f t="shared" si="28"/>
        <v>221</v>
      </c>
      <c r="H226" s="21">
        <v>88821080192</v>
      </c>
      <c r="I226" s="22">
        <v>254</v>
      </c>
      <c r="J226" s="23"/>
      <c r="K226" s="24">
        <v>11881</v>
      </c>
      <c r="L226" s="23">
        <f t="shared" si="22"/>
        <v>317</v>
      </c>
      <c r="M226" s="24">
        <v>2422</v>
      </c>
      <c r="N226" s="25">
        <f t="shared" si="23"/>
        <v>58</v>
      </c>
      <c r="O226" s="24">
        <v>9459</v>
      </c>
      <c r="P226" s="23">
        <f t="shared" si="24"/>
        <v>259</v>
      </c>
      <c r="Q226" s="26"/>
      <c r="R226" s="23">
        <f t="shared" si="25"/>
        <v>0</v>
      </c>
      <c r="S226" s="27" t="s">
        <v>19</v>
      </c>
      <c r="T226" s="19" t="s">
        <v>252</v>
      </c>
    </row>
    <row r="227" spans="1:20" ht="37.5" customHeight="1" x14ac:dyDescent="0.25">
      <c r="A227" s="19" t="s">
        <v>253</v>
      </c>
      <c r="B227">
        <f t="shared" si="26"/>
        <v>22014</v>
      </c>
      <c r="C227">
        <v>3377</v>
      </c>
      <c r="D227">
        <v>18637</v>
      </c>
      <c r="F227">
        <f t="shared" si="27"/>
        <v>396</v>
      </c>
      <c r="G227" s="20">
        <f t="shared" si="28"/>
        <v>222</v>
      </c>
      <c r="H227" s="21">
        <v>66621060425</v>
      </c>
      <c r="I227" s="22">
        <v>255</v>
      </c>
      <c r="J227" s="23"/>
      <c r="K227" s="24">
        <v>21618</v>
      </c>
      <c r="L227" s="23">
        <f t="shared" si="22"/>
        <v>396</v>
      </c>
      <c r="M227" s="24">
        <v>3319</v>
      </c>
      <c r="N227" s="25">
        <f t="shared" si="23"/>
        <v>58</v>
      </c>
      <c r="O227" s="24">
        <v>18299</v>
      </c>
      <c r="P227" s="23">
        <f t="shared" si="24"/>
        <v>338</v>
      </c>
      <c r="Q227" s="26"/>
      <c r="R227" s="23">
        <f t="shared" si="25"/>
        <v>0</v>
      </c>
      <c r="S227" s="27" t="s">
        <v>19</v>
      </c>
      <c r="T227" s="19" t="s">
        <v>253</v>
      </c>
    </row>
    <row r="228" spans="1:20" ht="37.5" customHeight="1" x14ac:dyDescent="0.25">
      <c r="A228" s="19" t="s">
        <v>254</v>
      </c>
      <c r="B228">
        <f t="shared" si="26"/>
        <v>73882</v>
      </c>
      <c r="C228">
        <v>13263</v>
      </c>
      <c r="D228">
        <v>60619</v>
      </c>
      <c r="F228">
        <f t="shared" si="27"/>
        <v>483</v>
      </c>
      <c r="G228" s="20">
        <f t="shared" si="28"/>
        <v>223</v>
      </c>
      <c r="H228" s="21">
        <v>88819020312</v>
      </c>
      <c r="I228" s="22">
        <v>257</v>
      </c>
      <c r="J228" s="23"/>
      <c r="K228" s="24">
        <v>73399</v>
      </c>
      <c r="L228" s="23">
        <f t="shared" si="22"/>
        <v>483</v>
      </c>
      <c r="M228" s="24">
        <v>13182</v>
      </c>
      <c r="N228" s="25">
        <f t="shared" si="23"/>
        <v>81</v>
      </c>
      <c r="O228" s="24">
        <v>60217</v>
      </c>
      <c r="P228" s="23">
        <f t="shared" si="24"/>
        <v>402</v>
      </c>
      <c r="Q228" s="26"/>
      <c r="R228" s="23">
        <f t="shared" si="25"/>
        <v>0</v>
      </c>
      <c r="S228" s="27" t="s">
        <v>19</v>
      </c>
      <c r="T228" s="19" t="s">
        <v>254</v>
      </c>
    </row>
    <row r="229" spans="1:20" ht="37.5" customHeight="1" x14ac:dyDescent="0.25">
      <c r="A229" s="19" t="s">
        <v>255</v>
      </c>
      <c r="B229">
        <f t="shared" si="26"/>
        <v>150</v>
      </c>
      <c r="C229">
        <v>48</v>
      </c>
      <c r="D229">
        <v>102</v>
      </c>
      <c r="E229">
        <v>611</v>
      </c>
      <c r="F229">
        <f t="shared" si="27"/>
        <v>150</v>
      </c>
      <c r="G229" s="20">
        <f t="shared" si="28"/>
        <v>224</v>
      </c>
      <c r="H229" s="21">
        <v>99625010293</v>
      </c>
      <c r="I229" s="22">
        <v>259</v>
      </c>
      <c r="J229" s="23"/>
      <c r="K229" s="24">
        <v>0</v>
      </c>
      <c r="L229" s="23">
        <f t="shared" si="22"/>
        <v>150</v>
      </c>
      <c r="M229" s="24">
        <v>0</v>
      </c>
      <c r="N229" s="25">
        <f t="shared" si="23"/>
        <v>48</v>
      </c>
      <c r="O229" s="24">
        <v>0</v>
      </c>
      <c r="P229" s="23">
        <f t="shared" si="24"/>
        <v>102</v>
      </c>
      <c r="Q229" s="26">
        <v>0</v>
      </c>
      <c r="R229" s="23">
        <f t="shared" si="25"/>
        <v>611</v>
      </c>
      <c r="S229" s="27" t="s">
        <v>19</v>
      </c>
      <c r="T229" s="19" t="s">
        <v>255</v>
      </c>
    </row>
    <row r="230" spans="1:20" ht="37.5" customHeight="1" x14ac:dyDescent="0.25">
      <c r="A230" s="19" t="s">
        <v>256</v>
      </c>
      <c r="B230">
        <f t="shared" si="26"/>
        <v>22921</v>
      </c>
      <c r="C230">
        <v>3211</v>
      </c>
      <c r="D230">
        <v>19710</v>
      </c>
      <c r="F230">
        <f t="shared" si="27"/>
        <v>126</v>
      </c>
      <c r="G230" s="20">
        <f t="shared" si="28"/>
        <v>225</v>
      </c>
      <c r="H230" s="21">
        <v>66621070291</v>
      </c>
      <c r="I230" s="22">
        <v>261</v>
      </c>
      <c r="J230" s="23"/>
      <c r="K230" s="24">
        <v>22795</v>
      </c>
      <c r="L230" s="23">
        <f t="shared" si="22"/>
        <v>126</v>
      </c>
      <c r="M230" s="24">
        <v>3193</v>
      </c>
      <c r="N230" s="25">
        <f t="shared" si="23"/>
        <v>18</v>
      </c>
      <c r="O230" s="24">
        <v>19602</v>
      </c>
      <c r="P230" s="23">
        <f t="shared" si="24"/>
        <v>108</v>
      </c>
      <c r="Q230" s="26"/>
      <c r="R230" s="23">
        <f t="shared" si="25"/>
        <v>0</v>
      </c>
      <c r="S230" s="27" t="s">
        <v>19</v>
      </c>
      <c r="T230" s="19" t="s">
        <v>256</v>
      </c>
    </row>
    <row r="231" spans="1:20" ht="37.5" customHeight="1" x14ac:dyDescent="0.25">
      <c r="A231" s="19" t="s">
        <v>257</v>
      </c>
      <c r="B231">
        <f t="shared" si="26"/>
        <v>689</v>
      </c>
      <c r="C231">
        <v>122</v>
      </c>
      <c r="D231">
        <v>567</v>
      </c>
      <c r="F231">
        <f t="shared" si="27"/>
        <v>145</v>
      </c>
      <c r="G231" s="20">
        <f t="shared" si="28"/>
        <v>226</v>
      </c>
      <c r="H231" s="21">
        <v>66622010584</v>
      </c>
      <c r="I231" s="22">
        <v>262</v>
      </c>
      <c r="J231" s="23"/>
      <c r="K231" s="24">
        <v>544</v>
      </c>
      <c r="L231" s="23">
        <f t="shared" si="22"/>
        <v>145</v>
      </c>
      <c r="M231" s="24">
        <v>96</v>
      </c>
      <c r="N231" s="25">
        <f t="shared" si="23"/>
        <v>26</v>
      </c>
      <c r="O231" s="24">
        <v>448</v>
      </c>
      <c r="P231" s="23">
        <f t="shared" si="24"/>
        <v>119</v>
      </c>
      <c r="Q231" s="26"/>
      <c r="R231" s="23">
        <f t="shared" si="25"/>
        <v>0</v>
      </c>
      <c r="S231" s="27" t="s">
        <v>19</v>
      </c>
      <c r="T231" s="19" t="s">
        <v>257</v>
      </c>
    </row>
    <row r="232" spans="1:20" ht="37.5" customHeight="1" x14ac:dyDescent="0.25">
      <c r="A232" s="19" t="s">
        <v>258</v>
      </c>
      <c r="B232">
        <f t="shared" si="26"/>
        <v>1298</v>
      </c>
      <c r="C232">
        <v>212</v>
      </c>
      <c r="D232">
        <v>1086</v>
      </c>
      <c r="F232">
        <f t="shared" si="27"/>
        <v>212</v>
      </c>
      <c r="G232" s="20">
        <f t="shared" si="28"/>
        <v>227</v>
      </c>
      <c r="H232" s="21">
        <v>66622010451</v>
      </c>
      <c r="I232" s="22">
        <v>263</v>
      </c>
      <c r="J232" s="23"/>
      <c r="K232" s="24">
        <v>1086</v>
      </c>
      <c r="L232" s="23">
        <f t="shared" si="22"/>
        <v>212</v>
      </c>
      <c r="M232" s="24">
        <v>177</v>
      </c>
      <c r="N232" s="25">
        <f t="shared" si="23"/>
        <v>35</v>
      </c>
      <c r="O232" s="24">
        <v>909</v>
      </c>
      <c r="P232" s="23">
        <f t="shared" si="24"/>
        <v>177</v>
      </c>
      <c r="Q232" s="26"/>
      <c r="R232" s="23">
        <f t="shared" si="25"/>
        <v>0</v>
      </c>
      <c r="S232" s="27" t="s">
        <v>19</v>
      </c>
      <c r="T232" s="19" t="s">
        <v>258</v>
      </c>
    </row>
    <row r="233" spans="1:20" ht="37.5" customHeight="1" x14ac:dyDescent="0.25">
      <c r="A233" s="19" t="s">
        <v>259</v>
      </c>
      <c r="B233">
        <f t="shared" si="26"/>
        <v>92786</v>
      </c>
      <c r="C233">
        <v>28708</v>
      </c>
      <c r="D233">
        <v>64078</v>
      </c>
      <c r="F233">
        <f t="shared" si="27"/>
        <v>300</v>
      </c>
      <c r="G233" s="20">
        <f t="shared" si="28"/>
        <v>228</v>
      </c>
      <c r="H233" s="21">
        <v>9070056</v>
      </c>
      <c r="I233" s="22">
        <v>266</v>
      </c>
      <c r="J233" s="23"/>
      <c r="K233" s="24">
        <v>92486</v>
      </c>
      <c r="L233" s="23">
        <f t="shared" si="22"/>
        <v>300</v>
      </c>
      <c r="M233" s="24">
        <v>28661</v>
      </c>
      <c r="N233" s="25">
        <f t="shared" si="23"/>
        <v>47</v>
      </c>
      <c r="O233" s="24">
        <v>63825</v>
      </c>
      <c r="P233" s="23">
        <f t="shared" si="24"/>
        <v>253</v>
      </c>
      <c r="Q233" s="26"/>
      <c r="R233" s="23">
        <f t="shared" si="25"/>
        <v>0</v>
      </c>
      <c r="S233" s="27" t="s">
        <v>19</v>
      </c>
      <c r="T233" s="19" t="s">
        <v>259</v>
      </c>
    </row>
    <row r="234" spans="1:20" ht="37.5" customHeight="1" x14ac:dyDescent="0.25">
      <c r="A234" s="19" t="s">
        <v>260</v>
      </c>
      <c r="B234">
        <f t="shared" si="26"/>
        <v>31532</v>
      </c>
      <c r="C234">
        <v>5319</v>
      </c>
      <c r="D234">
        <v>26213</v>
      </c>
      <c r="F234">
        <f t="shared" si="27"/>
        <v>910</v>
      </c>
      <c r="G234" s="20">
        <f t="shared" si="28"/>
        <v>229</v>
      </c>
      <c r="H234" s="21">
        <v>88820040086</v>
      </c>
      <c r="I234" s="22">
        <v>267</v>
      </c>
      <c r="J234" s="23"/>
      <c r="K234" s="24">
        <v>30622</v>
      </c>
      <c r="L234" s="23">
        <f t="shared" si="22"/>
        <v>910</v>
      </c>
      <c r="M234" s="24">
        <v>5166</v>
      </c>
      <c r="N234" s="25">
        <f t="shared" si="23"/>
        <v>153</v>
      </c>
      <c r="O234" s="24">
        <v>25456</v>
      </c>
      <c r="P234" s="23">
        <f t="shared" si="24"/>
        <v>757</v>
      </c>
      <c r="Q234" s="26"/>
      <c r="R234" s="23">
        <f t="shared" si="25"/>
        <v>0</v>
      </c>
      <c r="S234" s="27" t="s">
        <v>19</v>
      </c>
      <c r="T234" s="19" t="s">
        <v>260</v>
      </c>
    </row>
    <row r="235" spans="1:20" ht="37.5" customHeight="1" x14ac:dyDescent="0.25">
      <c r="A235" s="19" t="s">
        <v>261</v>
      </c>
      <c r="B235">
        <f t="shared" si="26"/>
        <v>43585</v>
      </c>
      <c r="C235">
        <v>6472</v>
      </c>
      <c r="D235">
        <v>37113</v>
      </c>
      <c r="F235">
        <f t="shared" si="27"/>
        <v>448</v>
      </c>
      <c r="G235" s="20">
        <f t="shared" si="28"/>
        <v>230</v>
      </c>
      <c r="H235" s="21">
        <v>23014090822</v>
      </c>
      <c r="I235" s="22">
        <v>268</v>
      </c>
      <c r="J235" s="23"/>
      <c r="K235" s="24">
        <v>43137</v>
      </c>
      <c r="L235" s="23">
        <f t="shared" si="22"/>
        <v>448</v>
      </c>
      <c r="M235" s="24">
        <v>6402</v>
      </c>
      <c r="N235" s="25">
        <f t="shared" si="23"/>
        <v>70</v>
      </c>
      <c r="O235" s="24">
        <v>36735</v>
      </c>
      <c r="P235" s="23">
        <f t="shared" si="24"/>
        <v>378</v>
      </c>
      <c r="Q235" s="26"/>
      <c r="R235" s="23">
        <f t="shared" si="25"/>
        <v>0</v>
      </c>
      <c r="S235" s="27" t="s">
        <v>19</v>
      </c>
      <c r="T235" s="19" t="s">
        <v>261</v>
      </c>
    </row>
    <row r="236" spans="1:20" ht="37.5" customHeight="1" x14ac:dyDescent="0.25">
      <c r="A236" s="19" t="s">
        <v>262</v>
      </c>
      <c r="B236">
        <f t="shared" si="26"/>
        <v>42984</v>
      </c>
      <c r="C236">
        <v>7784</v>
      </c>
      <c r="D236">
        <v>35200</v>
      </c>
      <c r="F236">
        <f t="shared" si="27"/>
        <v>664</v>
      </c>
      <c r="G236" s="20">
        <f t="shared" si="28"/>
        <v>231</v>
      </c>
      <c r="H236" s="21">
        <v>23011070167</v>
      </c>
      <c r="I236" s="22">
        <v>269</v>
      </c>
      <c r="J236" s="23"/>
      <c r="K236" s="24">
        <v>42320</v>
      </c>
      <c r="L236" s="23">
        <f t="shared" si="22"/>
        <v>664</v>
      </c>
      <c r="M236" s="24">
        <v>7650</v>
      </c>
      <c r="N236" s="25">
        <f t="shared" si="23"/>
        <v>134</v>
      </c>
      <c r="O236" s="24">
        <v>34670</v>
      </c>
      <c r="P236" s="23">
        <f t="shared" si="24"/>
        <v>530</v>
      </c>
      <c r="Q236" s="26"/>
      <c r="R236" s="23">
        <f t="shared" si="25"/>
        <v>0</v>
      </c>
      <c r="S236" s="27" t="s">
        <v>19</v>
      </c>
      <c r="T236" s="19" t="s">
        <v>262</v>
      </c>
    </row>
    <row r="237" spans="1:20" ht="37.5" customHeight="1" x14ac:dyDescent="0.25">
      <c r="A237" s="19" t="s">
        <v>263</v>
      </c>
      <c r="B237">
        <f t="shared" si="26"/>
        <v>10438</v>
      </c>
      <c r="C237">
        <v>2964</v>
      </c>
      <c r="D237">
        <v>7474</v>
      </c>
      <c r="E237">
        <v>14099</v>
      </c>
      <c r="F237">
        <f t="shared" si="27"/>
        <v>591</v>
      </c>
      <c r="G237" s="20">
        <f t="shared" si="28"/>
        <v>232</v>
      </c>
      <c r="H237" s="21">
        <v>99623080213</v>
      </c>
      <c r="I237" s="22">
        <v>270</v>
      </c>
      <c r="J237" s="23"/>
      <c r="K237" s="24">
        <f>M237+O237</f>
        <v>9847</v>
      </c>
      <c r="L237" s="23">
        <f t="shared" si="22"/>
        <v>591</v>
      </c>
      <c r="M237" s="24">
        <v>2787</v>
      </c>
      <c r="N237" s="25">
        <f t="shared" si="23"/>
        <v>177</v>
      </c>
      <c r="O237" s="24">
        <v>7060</v>
      </c>
      <c r="P237" s="23">
        <f t="shared" si="24"/>
        <v>414</v>
      </c>
      <c r="Q237" s="26">
        <v>12973</v>
      </c>
      <c r="R237" s="23">
        <f t="shared" si="25"/>
        <v>1126</v>
      </c>
      <c r="S237" s="27" t="s">
        <v>19</v>
      </c>
      <c r="T237" s="19" t="s">
        <v>263</v>
      </c>
    </row>
    <row r="238" spans="1:20" ht="37.5" customHeight="1" x14ac:dyDescent="0.25">
      <c r="A238" s="19" t="s">
        <v>264</v>
      </c>
      <c r="B238">
        <f t="shared" si="26"/>
        <v>43613</v>
      </c>
      <c r="C238">
        <v>9204</v>
      </c>
      <c r="D238">
        <v>34409</v>
      </c>
      <c r="F238">
        <f t="shared" si="27"/>
        <v>402</v>
      </c>
      <c r="G238" s="20">
        <f t="shared" si="28"/>
        <v>233</v>
      </c>
      <c r="H238" s="21">
        <v>23012070002</v>
      </c>
      <c r="I238" s="22">
        <v>271</v>
      </c>
      <c r="J238" s="23"/>
      <c r="K238" s="24">
        <v>43211</v>
      </c>
      <c r="L238" s="23">
        <f t="shared" si="22"/>
        <v>402</v>
      </c>
      <c r="M238" s="24">
        <v>9141</v>
      </c>
      <c r="N238" s="25">
        <f t="shared" si="23"/>
        <v>63</v>
      </c>
      <c r="O238" s="24">
        <v>34070</v>
      </c>
      <c r="P238" s="23">
        <f t="shared" si="24"/>
        <v>339</v>
      </c>
      <c r="Q238" s="26"/>
      <c r="R238" s="23">
        <f t="shared" si="25"/>
        <v>0</v>
      </c>
      <c r="S238" s="27" t="s">
        <v>19</v>
      </c>
      <c r="T238" s="19" t="s">
        <v>264</v>
      </c>
    </row>
    <row r="239" spans="1:20" ht="37.5" customHeight="1" x14ac:dyDescent="0.25">
      <c r="A239" s="19" t="s">
        <v>265</v>
      </c>
      <c r="B239">
        <f t="shared" si="26"/>
        <v>1081</v>
      </c>
      <c r="C239">
        <v>281</v>
      </c>
      <c r="D239">
        <v>800</v>
      </c>
      <c r="E239">
        <v>2204</v>
      </c>
      <c r="F239">
        <f t="shared" si="27"/>
        <v>366</v>
      </c>
      <c r="G239" s="20">
        <f t="shared" si="28"/>
        <v>234</v>
      </c>
      <c r="H239" s="21">
        <v>99624050230</v>
      </c>
      <c r="I239" s="22">
        <v>272</v>
      </c>
      <c r="J239" s="23"/>
      <c r="K239" s="24">
        <f>M239+O239</f>
        <v>715</v>
      </c>
      <c r="L239" s="23">
        <f t="shared" si="22"/>
        <v>366</v>
      </c>
      <c r="M239" s="24">
        <v>188</v>
      </c>
      <c r="N239" s="25">
        <f t="shared" si="23"/>
        <v>93</v>
      </c>
      <c r="O239" s="24">
        <v>527</v>
      </c>
      <c r="P239" s="23">
        <f t="shared" si="24"/>
        <v>273</v>
      </c>
      <c r="Q239" s="26">
        <v>1404</v>
      </c>
      <c r="R239" s="23">
        <f t="shared" si="25"/>
        <v>800</v>
      </c>
      <c r="S239" s="27" t="s">
        <v>19</v>
      </c>
      <c r="T239" s="19" t="s">
        <v>265</v>
      </c>
    </row>
    <row r="240" spans="1:20" ht="37.5" customHeight="1" x14ac:dyDescent="0.25">
      <c r="A240" s="19" t="s">
        <v>266</v>
      </c>
      <c r="B240">
        <f t="shared" si="26"/>
        <v>65332</v>
      </c>
      <c r="C240">
        <v>12605</v>
      </c>
      <c r="D240">
        <v>52727</v>
      </c>
      <c r="F240">
        <f t="shared" si="27"/>
        <v>394</v>
      </c>
      <c r="G240" s="20">
        <f t="shared" si="28"/>
        <v>235</v>
      </c>
      <c r="H240" s="21">
        <v>23015100681</v>
      </c>
      <c r="I240" s="22">
        <v>273</v>
      </c>
      <c r="J240" s="23"/>
      <c r="K240" s="24">
        <v>64938</v>
      </c>
      <c r="L240" s="23">
        <f t="shared" si="22"/>
        <v>394</v>
      </c>
      <c r="M240" s="24">
        <v>12529</v>
      </c>
      <c r="N240" s="25">
        <f t="shared" si="23"/>
        <v>76</v>
      </c>
      <c r="O240" s="24">
        <v>52409</v>
      </c>
      <c r="P240" s="23">
        <f t="shared" si="24"/>
        <v>318</v>
      </c>
      <c r="Q240" s="26"/>
      <c r="R240" s="23">
        <f t="shared" si="25"/>
        <v>0</v>
      </c>
      <c r="S240" s="27" t="s">
        <v>19</v>
      </c>
      <c r="T240" s="19" t="s">
        <v>266</v>
      </c>
    </row>
    <row r="241" spans="1:20" ht="37.5" customHeight="1" x14ac:dyDescent="0.25">
      <c r="A241" s="19" t="s">
        <v>267</v>
      </c>
      <c r="B241">
        <f t="shared" si="26"/>
        <v>5931</v>
      </c>
      <c r="C241">
        <v>1468</v>
      </c>
      <c r="D241">
        <v>4463</v>
      </c>
      <c r="E241">
        <v>11235</v>
      </c>
      <c r="F241">
        <f t="shared" si="27"/>
        <v>363</v>
      </c>
      <c r="G241" s="20">
        <f t="shared" si="28"/>
        <v>236</v>
      </c>
      <c r="H241" s="21">
        <v>99623080524</v>
      </c>
      <c r="I241" s="22">
        <v>274</v>
      </c>
      <c r="J241" s="23"/>
      <c r="K241" s="24">
        <f>M241+O241</f>
        <v>5568</v>
      </c>
      <c r="L241" s="23">
        <f t="shared" si="22"/>
        <v>363</v>
      </c>
      <c r="M241" s="24">
        <v>1372</v>
      </c>
      <c r="N241" s="25">
        <f t="shared" si="23"/>
        <v>96</v>
      </c>
      <c r="O241" s="24">
        <v>4196</v>
      </c>
      <c r="P241" s="23">
        <f t="shared" si="24"/>
        <v>267</v>
      </c>
      <c r="Q241" s="26">
        <v>10126</v>
      </c>
      <c r="R241" s="23">
        <f t="shared" si="25"/>
        <v>1109</v>
      </c>
      <c r="S241" s="27" t="s">
        <v>19</v>
      </c>
      <c r="T241" s="19" t="s">
        <v>267</v>
      </c>
    </row>
    <row r="242" spans="1:20" ht="37.5" customHeight="1" x14ac:dyDescent="0.25">
      <c r="A242" s="19" t="s">
        <v>268</v>
      </c>
      <c r="B242">
        <f t="shared" si="26"/>
        <v>30144</v>
      </c>
      <c r="C242">
        <v>5088</v>
      </c>
      <c r="D242">
        <v>25056</v>
      </c>
      <c r="F242">
        <f t="shared" si="27"/>
        <v>153</v>
      </c>
      <c r="G242" s="20">
        <f t="shared" si="28"/>
        <v>237</v>
      </c>
      <c r="H242" s="21">
        <v>23013010487</v>
      </c>
      <c r="I242" s="22">
        <v>275</v>
      </c>
      <c r="J242" s="23"/>
      <c r="K242" s="24">
        <v>29991</v>
      </c>
      <c r="L242" s="23">
        <f t="shared" si="22"/>
        <v>153</v>
      </c>
      <c r="M242" s="24">
        <v>5063</v>
      </c>
      <c r="N242" s="25">
        <f t="shared" si="23"/>
        <v>25</v>
      </c>
      <c r="O242" s="24">
        <v>24928</v>
      </c>
      <c r="P242" s="23">
        <f t="shared" si="24"/>
        <v>128</v>
      </c>
      <c r="Q242" s="26"/>
      <c r="R242" s="23">
        <f t="shared" si="25"/>
        <v>0</v>
      </c>
      <c r="S242" s="27" t="s">
        <v>19</v>
      </c>
      <c r="T242" s="19" t="s">
        <v>268</v>
      </c>
    </row>
    <row r="243" spans="1:20" ht="37.5" customHeight="1" x14ac:dyDescent="0.25">
      <c r="A243" s="19" t="s">
        <v>269</v>
      </c>
      <c r="B243">
        <f t="shared" si="26"/>
        <v>49811</v>
      </c>
      <c r="C243">
        <v>7685</v>
      </c>
      <c r="D243">
        <v>42126</v>
      </c>
      <c r="F243">
        <f t="shared" si="27"/>
        <v>584</v>
      </c>
      <c r="G243" s="20">
        <f t="shared" si="28"/>
        <v>238</v>
      </c>
      <c r="H243" s="21">
        <v>88819020044</v>
      </c>
      <c r="I243" s="22">
        <v>276</v>
      </c>
      <c r="J243" s="23"/>
      <c r="K243" s="24">
        <v>49227</v>
      </c>
      <c r="L243" s="23">
        <f t="shared" si="22"/>
        <v>584</v>
      </c>
      <c r="M243" s="24">
        <v>7587</v>
      </c>
      <c r="N243" s="25">
        <f t="shared" si="23"/>
        <v>98</v>
      </c>
      <c r="O243" s="24">
        <v>41640</v>
      </c>
      <c r="P243" s="23">
        <f t="shared" si="24"/>
        <v>486</v>
      </c>
      <c r="Q243" s="26"/>
      <c r="R243" s="23">
        <f t="shared" si="25"/>
        <v>0</v>
      </c>
      <c r="S243" s="27" t="s">
        <v>19</v>
      </c>
      <c r="T243" s="19" t="s">
        <v>269</v>
      </c>
    </row>
    <row r="244" spans="1:20" ht="37.5" customHeight="1" x14ac:dyDescent="0.25">
      <c r="A244" s="19" t="s">
        <v>270</v>
      </c>
      <c r="B244">
        <f t="shared" si="26"/>
        <v>1698</v>
      </c>
      <c r="C244">
        <v>488</v>
      </c>
      <c r="D244">
        <v>1210</v>
      </c>
      <c r="E244">
        <v>3301</v>
      </c>
      <c r="F244">
        <f t="shared" si="27"/>
        <v>375</v>
      </c>
      <c r="G244" s="20">
        <f t="shared" si="28"/>
        <v>239</v>
      </c>
      <c r="H244" s="21">
        <v>99624050114</v>
      </c>
      <c r="I244" s="22">
        <v>277</v>
      </c>
      <c r="J244" s="23"/>
      <c r="K244" s="24">
        <f>M244+O244</f>
        <v>1323</v>
      </c>
      <c r="L244" s="23">
        <f t="shared" si="22"/>
        <v>375</v>
      </c>
      <c r="M244" s="24">
        <v>379</v>
      </c>
      <c r="N244" s="25">
        <f t="shared" si="23"/>
        <v>109</v>
      </c>
      <c r="O244" s="24">
        <v>944</v>
      </c>
      <c r="P244" s="23">
        <f t="shared" si="24"/>
        <v>266</v>
      </c>
      <c r="Q244" s="26">
        <v>2364</v>
      </c>
      <c r="R244" s="23">
        <f t="shared" si="25"/>
        <v>937</v>
      </c>
      <c r="S244" s="27" t="s">
        <v>19</v>
      </c>
      <c r="T244" s="19" t="s">
        <v>270</v>
      </c>
    </row>
    <row r="245" spans="1:20" ht="37.5" customHeight="1" x14ac:dyDescent="0.25">
      <c r="A245" s="19" t="s">
        <v>271</v>
      </c>
      <c r="B245">
        <f t="shared" si="26"/>
        <v>26223</v>
      </c>
      <c r="C245">
        <v>4604</v>
      </c>
      <c r="D245">
        <v>21619</v>
      </c>
      <c r="F245">
        <f t="shared" si="27"/>
        <v>54</v>
      </c>
      <c r="G245" s="20">
        <f t="shared" si="28"/>
        <v>240</v>
      </c>
      <c r="H245" s="21">
        <v>23015100335</v>
      </c>
      <c r="I245" s="22">
        <v>278</v>
      </c>
      <c r="J245" s="23"/>
      <c r="K245" s="24">
        <v>26169</v>
      </c>
      <c r="L245" s="23">
        <f t="shared" si="22"/>
        <v>54</v>
      </c>
      <c r="M245" s="24">
        <v>4595</v>
      </c>
      <c r="N245" s="25">
        <f t="shared" si="23"/>
        <v>9</v>
      </c>
      <c r="O245" s="24">
        <v>21574</v>
      </c>
      <c r="P245" s="23">
        <f t="shared" si="24"/>
        <v>45</v>
      </c>
      <c r="Q245" s="26"/>
      <c r="R245" s="23">
        <f t="shared" si="25"/>
        <v>0</v>
      </c>
      <c r="S245" s="27" t="s">
        <v>19</v>
      </c>
      <c r="T245" s="19" t="s">
        <v>271</v>
      </c>
    </row>
    <row r="246" spans="1:20" ht="37.5" customHeight="1" x14ac:dyDescent="0.25">
      <c r="A246" s="19" t="s">
        <v>272</v>
      </c>
      <c r="B246">
        <f t="shared" si="26"/>
        <v>6989</v>
      </c>
      <c r="C246">
        <v>1508</v>
      </c>
      <c r="D246">
        <v>5481</v>
      </c>
      <c r="E246">
        <v>8551</v>
      </c>
      <c r="F246">
        <f t="shared" si="27"/>
        <v>553</v>
      </c>
      <c r="G246" s="20">
        <f t="shared" si="28"/>
        <v>241</v>
      </c>
      <c r="H246" s="21">
        <v>99624010172</v>
      </c>
      <c r="I246" s="22">
        <v>280</v>
      </c>
      <c r="J246" s="23"/>
      <c r="K246" s="24">
        <f>M246+O246</f>
        <v>6436</v>
      </c>
      <c r="L246" s="23">
        <f t="shared" si="22"/>
        <v>553</v>
      </c>
      <c r="M246" s="24">
        <v>1390</v>
      </c>
      <c r="N246" s="25">
        <f t="shared" si="23"/>
        <v>118</v>
      </c>
      <c r="O246" s="24">
        <v>5046</v>
      </c>
      <c r="P246" s="23">
        <f t="shared" si="24"/>
        <v>435</v>
      </c>
      <c r="Q246" s="26">
        <v>7583</v>
      </c>
      <c r="R246" s="23">
        <f t="shared" si="25"/>
        <v>968</v>
      </c>
      <c r="S246" s="27" t="s">
        <v>19</v>
      </c>
      <c r="T246" s="19" t="s">
        <v>272</v>
      </c>
    </row>
    <row r="247" spans="1:20" ht="37.5" customHeight="1" x14ac:dyDescent="0.25">
      <c r="A247" s="19" t="s">
        <v>273</v>
      </c>
      <c r="B247">
        <f t="shared" si="26"/>
        <v>13042</v>
      </c>
      <c r="C247">
        <v>2329</v>
      </c>
      <c r="D247">
        <v>10713</v>
      </c>
      <c r="F247">
        <f t="shared" si="27"/>
        <v>532</v>
      </c>
      <c r="G247" s="20">
        <f t="shared" si="28"/>
        <v>242</v>
      </c>
      <c r="H247" s="21">
        <v>66623010082</v>
      </c>
      <c r="I247" s="22">
        <v>281</v>
      </c>
      <c r="J247" s="23"/>
      <c r="K247" s="24">
        <v>12510</v>
      </c>
      <c r="L247" s="23">
        <f t="shared" si="22"/>
        <v>532</v>
      </c>
      <c r="M247" s="24">
        <v>2240</v>
      </c>
      <c r="N247" s="25">
        <f t="shared" si="23"/>
        <v>89</v>
      </c>
      <c r="O247" s="24">
        <v>10270</v>
      </c>
      <c r="P247" s="23">
        <f t="shared" si="24"/>
        <v>443</v>
      </c>
      <c r="Q247" s="26"/>
      <c r="R247" s="23">
        <f t="shared" si="25"/>
        <v>0</v>
      </c>
      <c r="S247" s="27" t="s">
        <v>19</v>
      </c>
      <c r="T247" s="19" t="s">
        <v>273</v>
      </c>
    </row>
    <row r="248" spans="1:20" ht="37.5" customHeight="1" x14ac:dyDescent="0.25">
      <c r="A248" s="19" t="s">
        <v>274</v>
      </c>
      <c r="B248">
        <f t="shared" si="26"/>
        <v>72415</v>
      </c>
      <c r="C248">
        <v>12222</v>
      </c>
      <c r="D248">
        <v>60193</v>
      </c>
      <c r="F248">
        <f t="shared" si="27"/>
        <v>599</v>
      </c>
      <c r="G248" s="20">
        <f t="shared" si="28"/>
        <v>243</v>
      </c>
      <c r="H248" s="21">
        <v>23014040287</v>
      </c>
      <c r="I248" s="22">
        <v>283</v>
      </c>
      <c r="J248" s="23"/>
      <c r="K248" s="24">
        <v>71816</v>
      </c>
      <c r="L248" s="23">
        <f t="shared" si="22"/>
        <v>599</v>
      </c>
      <c r="M248" s="24">
        <v>12127</v>
      </c>
      <c r="N248" s="25">
        <f t="shared" si="23"/>
        <v>95</v>
      </c>
      <c r="O248" s="24">
        <v>59689</v>
      </c>
      <c r="P248" s="23">
        <f t="shared" si="24"/>
        <v>504</v>
      </c>
      <c r="Q248" s="26"/>
      <c r="R248" s="23">
        <f t="shared" si="25"/>
        <v>0</v>
      </c>
      <c r="S248" s="27" t="s">
        <v>19</v>
      </c>
      <c r="T248" s="19" t="s">
        <v>274</v>
      </c>
    </row>
    <row r="249" spans="1:20" ht="37.5" customHeight="1" x14ac:dyDescent="0.25">
      <c r="A249" s="19" t="s">
        <v>275</v>
      </c>
      <c r="B249">
        <f t="shared" si="26"/>
        <v>9688</v>
      </c>
      <c r="C249">
        <v>2344</v>
      </c>
      <c r="D249">
        <v>7344</v>
      </c>
      <c r="F249">
        <f t="shared" si="27"/>
        <v>442</v>
      </c>
      <c r="G249" s="20">
        <f t="shared" si="28"/>
        <v>244</v>
      </c>
      <c r="H249" s="21">
        <v>66623011005</v>
      </c>
      <c r="I249" s="22">
        <v>284</v>
      </c>
      <c r="J249" s="23"/>
      <c r="K249" s="24">
        <v>9246</v>
      </c>
      <c r="L249" s="23">
        <f t="shared" si="22"/>
        <v>442</v>
      </c>
      <c r="M249" s="24">
        <v>2229</v>
      </c>
      <c r="N249" s="25">
        <f t="shared" si="23"/>
        <v>115</v>
      </c>
      <c r="O249" s="24">
        <v>7017</v>
      </c>
      <c r="P249" s="23">
        <f t="shared" si="24"/>
        <v>327</v>
      </c>
      <c r="Q249" s="26"/>
      <c r="R249" s="23">
        <f t="shared" si="25"/>
        <v>0</v>
      </c>
      <c r="S249" s="27" t="s">
        <v>19</v>
      </c>
      <c r="T249" s="19" t="s">
        <v>275</v>
      </c>
    </row>
    <row r="250" spans="1:20" ht="37.5" customHeight="1" x14ac:dyDescent="0.25">
      <c r="A250" s="19" t="s">
        <v>276</v>
      </c>
      <c r="B250">
        <f t="shared" si="26"/>
        <v>543</v>
      </c>
      <c r="C250">
        <v>202</v>
      </c>
      <c r="D250">
        <v>341</v>
      </c>
      <c r="E250">
        <v>3127</v>
      </c>
      <c r="F250">
        <f t="shared" si="27"/>
        <v>252</v>
      </c>
      <c r="G250" s="20">
        <f t="shared" si="28"/>
        <v>245</v>
      </c>
      <c r="H250" s="21">
        <v>99624050205</v>
      </c>
      <c r="I250" s="22">
        <v>285</v>
      </c>
      <c r="J250" s="23"/>
      <c r="K250" s="24">
        <f>M250+O250</f>
        <v>291</v>
      </c>
      <c r="L250" s="23">
        <f t="shared" si="22"/>
        <v>252</v>
      </c>
      <c r="M250" s="24">
        <v>107</v>
      </c>
      <c r="N250" s="25">
        <f t="shared" si="23"/>
        <v>95</v>
      </c>
      <c r="O250" s="24">
        <v>184</v>
      </c>
      <c r="P250" s="23">
        <f t="shared" si="24"/>
        <v>157</v>
      </c>
      <c r="Q250" s="26">
        <v>2085</v>
      </c>
      <c r="R250" s="23">
        <f t="shared" si="25"/>
        <v>1042</v>
      </c>
      <c r="S250" s="27" t="s">
        <v>19</v>
      </c>
      <c r="T250" s="19" t="s">
        <v>276</v>
      </c>
    </row>
    <row r="251" spans="1:20" ht="37.5" customHeight="1" x14ac:dyDescent="0.25">
      <c r="A251" s="19" t="s">
        <v>277</v>
      </c>
      <c r="B251">
        <f t="shared" si="26"/>
        <v>940</v>
      </c>
      <c r="C251">
        <v>248</v>
      </c>
      <c r="D251">
        <v>692</v>
      </c>
      <c r="E251">
        <v>2112</v>
      </c>
      <c r="F251">
        <f t="shared" si="27"/>
        <v>407</v>
      </c>
      <c r="G251" s="20">
        <f t="shared" si="28"/>
        <v>246</v>
      </c>
      <c r="H251" s="21">
        <v>99624050229</v>
      </c>
      <c r="I251" s="22">
        <v>286</v>
      </c>
      <c r="J251" s="23"/>
      <c r="K251" s="24">
        <f>M251+O251</f>
        <v>533</v>
      </c>
      <c r="L251" s="23">
        <f t="shared" si="22"/>
        <v>407</v>
      </c>
      <c r="M251" s="24">
        <v>153</v>
      </c>
      <c r="N251" s="25">
        <f t="shared" si="23"/>
        <v>95</v>
      </c>
      <c r="O251" s="24">
        <v>380</v>
      </c>
      <c r="P251" s="23">
        <f t="shared" si="24"/>
        <v>312</v>
      </c>
      <c r="Q251" s="26">
        <v>1328</v>
      </c>
      <c r="R251" s="23">
        <f t="shared" si="25"/>
        <v>784</v>
      </c>
      <c r="S251" s="27" t="s">
        <v>19</v>
      </c>
      <c r="T251" s="19" t="s">
        <v>277</v>
      </c>
    </row>
    <row r="252" spans="1:20" ht="37.5" customHeight="1" x14ac:dyDescent="0.25">
      <c r="A252" s="19" t="s">
        <v>278</v>
      </c>
      <c r="B252">
        <f t="shared" si="26"/>
        <v>63350</v>
      </c>
      <c r="C252">
        <v>10218</v>
      </c>
      <c r="D252">
        <v>53132</v>
      </c>
      <c r="F252">
        <f t="shared" si="27"/>
        <v>480</v>
      </c>
      <c r="G252" s="20">
        <f t="shared" si="28"/>
        <v>247</v>
      </c>
      <c r="H252" s="21">
        <v>23014090147</v>
      </c>
      <c r="I252" s="22">
        <v>287</v>
      </c>
      <c r="J252" s="23"/>
      <c r="K252" s="24">
        <v>62870</v>
      </c>
      <c r="L252" s="23">
        <f t="shared" si="22"/>
        <v>480</v>
      </c>
      <c r="M252" s="24">
        <v>10126</v>
      </c>
      <c r="N252" s="25">
        <f t="shared" si="23"/>
        <v>92</v>
      </c>
      <c r="O252" s="24">
        <v>52744</v>
      </c>
      <c r="P252" s="23">
        <f t="shared" si="24"/>
        <v>388</v>
      </c>
      <c r="Q252" s="26"/>
      <c r="R252" s="23">
        <f t="shared" si="25"/>
        <v>0</v>
      </c>
      <c r="S252" s="27" t="s">
        <v>19</v>
      </c>
      <c r="T252" s="19" t="s">
        <v>278</v>
      </c>
    </row>
    <row r="253" spans="1:20" ht="37.5" customHeight="1" x14ac:dyDescent="0.25">
      <c r="A253" s="19" t="s">
        <v>279</v>
      </c>
      <c r="B253">
        <f t="shared" si="26"/>
        <v>23377</v>
      </c>
      <c r="C253">
        <v>3702</v>
      </c>
      <c r="D253">
        <v>19675</v>
      </c>
      <c r="F253">
        <f t="shared" si="27"/>
        <v>835</v>
      </c>
      <c r="G253" s="20">
        <f t="shared" si="28"/>
        <v>248</v>
      </c>
      <c r="H253" s="21">
        <v>88821080269</v>
      </c>
      <c r="I253" s="22">
        <v>288</v>
      </c>
      <c r="J253" s="23"/>
      <c r="K253" s="24">
        <v>22542</v>
      </c>
      <c r="L253" s="23">
        <f t="shared" si="22"/>
        <v>835</v>
      </c>
      <c r="M253" s="24">
        <v>3584</v>
      </c>
      <c r="N253" s="25">
        <f t="shared" si="23"/>
        <v>118</v>
      </c>
      <c r="O253" s="24">
        <v>18958</v>
      </c>
      <c r="P253" s="23">
        <f t="shared" si="24"/>
        <v>717</v>
      </c>
      <c r="Q253" s="26"/>
      <c r="R253" s="23">
        <f t="shared" si="25"/>
        <v>0</v>
      </c>
      <c r="S253" s="27" t="s">
        <v>19</v>
      </c>
      <c r="T253" s="19" t="s">
        <v>279</v>
      </c>
    </row>
    <row r="254" spans="1:20" ht="37.5" customHeight="1" x14ac:dyDescent="0.25">
      <c r="A254" s="19" t="s">
        <v>280</v>
      </c>
      <c r="B254">
        <f t="shared" si="26"/>
        <v>12085</v>
      </c>
      <c r="C254">
        <v>2125</v>
      </c>
      <c r="D254">
        <v>9960</v>
      </c>
      <c r="F254">
        <f t="shared" si="27"/>
        <v>177</v>
      </c>
      <c r="G254" s="20">
        <f t="shared" si="28"/>
        <v>249</v>
      </c>
      <c r="H254" s="21">
        <v>66621090336</v>
      </c>
      <c r="I254" s="22">
        <v>289</v>
      </c>
      <c r="J254" s="23"/>
      <c r="K254" s="24">
        <v>11908</v>
      </c>
      <c r="L254" s="23">
        <f t="shared" si="22"/>
        <v>177</v>
      </c>
      <c r="M254" s="24">
        <v>2096</v>
      </c>
      <c r="N254" s="25">
        <f t="shared" si="23"/>
        <v>29</v>
      </c>
      <c r="O254" s="24">
        <v>9812</v>
      </c>
      <c r="P254" s="23">
        <f t="shared" si="24"/>
        <v>148</v>
      </c>
      <c r="Q254" s="26"/>
      <c r="R254" s="23">
        <f t="shared" si="25"/>
        <v>0</v>
      </c>
      <c r="S254" s="27" t="s">
        <v>19</v>
      </c>
      <c r="T254" s="19" t="s">
        <v>280</v>
      </c>
    </row>
    <row r="255" spans="1:20" ht="37.5" customHeight="1" x14ac:dyDescent="0.25">
      <c r="A255" s="19" t="s">
        <v>281</v>
      </c>
      <c r="B255">
        <f t="shared" si="26"/>
        <v>32516</v>
      </c>
      <c r="C255">
        <v>4720</v>
      </c>
      <c r="D255">
        <v>27796</v>
      </c>
      <c r="F255">
        <f t="shared" si="27"/>
        <v>335</v>
      </c>
      <c r="G255" s="20">
        <f t="shared" si="28"/>
        <v>250</v>
      </c>
      <c r="H255" s="21">
        <v>23014040202</v>
      </c>
      <c r="I255" s="22">
        <v>291</v>
      </c>
      <c r="J255" s="23"/>
      <c r="K255" s="24">
        <v>32181</v>
      </c>
      <c r="L255" s="23">
        <f t="shared" si="22"/>
        <v>335</v>
      </c>
      <c r="M255" s="24">
        <v>4656</v>
      </c>
      <c r="N255" s="25">
        <f t="shared" si="23"/>
        <v>64</v>
      </c>
      <c r="O255" s="24">
        <v>27525</v>
      </c>
      <c r="P255" s="23">
        <f t="shared" si="24"/>
        <v>271</v>
      </c>
      <c r="Q255" s="26"/>
      <c r="R255" s="23">
        <f t="shared" si="25"/>
        <v>0</v>
      </c>
      <c r="S255" s="27" t="s">
        <v>19</v>
      </c>
      <c r="T255" s="19" t="s">
        <v>281</v>
      </c>
    </row>
    <row r="256" spans="1:20" ht="37.5" customHeight="1" x14ac:dyDescent="0.25">
      <c r="A256" s="19" t="s">
        <v>282</v>
      </c>
      <c r="B256">
        <f t="shared" si="26"/>
        <v>13614</v>
      </c>
      <c r="C256">
        <v>2463</v>
      </c>
      <c r="D256">
        <v>11151</v>
      </c>
      <c r="F256">
        <f t="shared" si="27"/>
        <v>199</v>
      </c>
      <c r="G256" s="20">
        <f t="shared" si="28"/>
        <v>251</v>
      </c>
      <c r="H256" s="21">
        <v>88819030277</v>
      </c>
      <c r="I256" s="22">
        <v>292</v>
      </c>
      <c r="J256" s="23"/>
      <c r="K256" s="24">
        <v>13415</v>
      </c>
      <c r="L256" s="23">
        <f t="shared" si="22"/>
        <v>199</v>
      </c>
      <c r="M256" s="24">
        <v>2425</v>
      </c>
      <c r="N256" s="25">
        <f t="shared" si="23"/>
        <v>38</v>
      </c>
      <c r="O256" s="24">
        <v>10990</v>
      </c>
      <c r="P256" s="23">
        <f t="shared" si="24"/>
        <v>161</v>
      </c>
      <c r="Q256" s="26"/>
      <c r="R256" s="23">
        <f t="shared" si="25"/>
        <v>0</v>
      </c>
      <c r="S256" s="27" t="s">
        <v>19</v>
      </c>
      <c r="T256" s="19" t="s">
        <v>282</v>
      </c>
    </row>
    <row r="257" spans="1:20" ht="37.5" customHeight="1" x14ac:dyDescent="0.25">
      <c r="A257" s="19" t="s">
        <v>283</v>
      </c>
      <c r="B257">
        <f t="shared" si="26"/>
        <v>30523</v>
      </c>
      <c r="C257">
        <v>5314</v>
      </c>
      <c r="D257">
        <v>25209</v>
      </c>
      <c r="F257">
        <f t="shared" si="27"/>
        <v>907</v>
      </c>
      <c r="G257" s="20">
        <f t="shared" si="28"/>
        <v>252</v>
      </c>
      <c r="H257" s="21">
        <v>88820060131</v>
      </c>
      <c r="I257" s="22">
        <v>295</v>
      </c>
      <c r="J257" s="23"/>
      <c r="K257" s="24">
        <v>29616</v>
      </c>
      <c r="L257" s="23">
        <f t="shared" si="22"/>
        <v>907</v>
      </c>
      <c r="M257" s="24">
        <v>5149</v>
      </c>
      <c r="N257" s="25">
        <f t="shared" si="23"/>
        <v>165</v>
      </c>
      <c r="O257" s="24">
        <v>24467</v>
      </c>
      <c r="P257" s="23">
        <f t="shared" si="24"/>
        <v>742</v>
      </c>
      <c r="Q257" s="26"/>
      <c r="R257" s="23">
        <f t="shared" si="25"/>
        <v>0</v>
      </c>
      <c r="S257" s="27" t="s">
        <v>19</v>
      </c>
      <c r="T257" s="19" t="s">
        <v>283</v>
      </c>
    </row>
    <row r="258" spans="1:20" ht="37.5" customHeight="1" x14ac:dyDescent="0.25">
      <c r="A258" s="19" t="s">
        <v>284</v>
      </c>
      <c r="B258">
        <f t="shared" si="26"/>
        <v>7588</v>
      </c>
      <c r="C258">
        <v>1676</v>
      </c>
      <c r="D258">
        <v>5912</v>
      </c>
      <c r="E258">
        <v>8562</v>
      </c>
      <c r="F258">
        <f t="shared" si="27"/>
        <v>457</v>
      </c>
      <c r="G258" s="20">
        <f t="shared" si="28"/>
        <v>253</v>
      </c>
      <c r="H258" s="21">
        <v>99623080595</v>
      </c>
      <c r="I258" s="22">
        <v>296</v>
      </c>
      <c r="J258" s="23"/>
      <c r="K258" s="24">
        <f>M258+O258</f>
        <v>7131</v>
      </c>
      <c r="L258" s="23">
        <f t="shared" si="22"/>
        <v>457</v>
      </c>
      <c r="M258" s="24">
        <v>1560</v>
      </c>
      <c r="N258" s="25">
        <f t="shared" si="23"/>
        <v>116</v>
      </c>
      <c r="O258" s="24">
        <v>5571</v>
      </c>
      <c r="P258" s="23">
        <f t="shared" si="24"/>
        <v>341</v>
      </c>
      <c r="Q258" s="26">
        <v>7664</v>
      </c>
      <c r="R258" s="23">
        <f t="shared" si="25"/>
        <v>898</v>
      </c>
      <c r="S258" s="27" t="s">
        <v>19</v>
      </c>
      <c r="T258" s="19" t="s">
        <v>284</v>
      </c>
    </row>
    <row r="259" spans="1:20" ht="37.5" customHeight="1" x14ac:dyDescent="0.25">
      <c r="A259" s="19" t="s">
        <v>285</v>
      </c>
      <c r="B259">
        <f t="shared" si="26"/>
        <v>23150</v>
      </c>
      <c r="C259">
        <v>6121</v>
      </c>
      <c r="D259">
        <v>17029</v>
      </c>
      <c r="E259">
        <v>27867</v>
      </c>
      <c r="F259">
        <f t="shared" si="27"/>
        <v>618</v>
      </c>
      <c r="G259" s="20">
        <f t="shared" si="28"/>
        <v>254</v>
      </c>
      <c r="H259" s="21">
        <v>99622050011</v>
      </c>
      <c r="I259" s="22">
        <v>297</v>
      </c>
      <c r="J259" s="23"/>
      <c r="K259" s="24">
        <f>M259+O259</f>
        <v>22532</v>
      </c>
      <c r="L259" s="23">
        <f t="shared" si="22"/>
        <v>618</v>
      </c>
      <c r="M259" s="24">
        <v>5955</v>
      </c>
      <c r="N259" s="25">
        <f t="shared" si="23"/>
        <v>166</v>
      </c>
      <c r="O259" s="24">
        <v>16577</v>
      </c>
      <c r="P259" s="23">
        <f t="shared" si="24"/>
        <v>452</v>
      </c>
      <c r="Q259" s="26">
        <v>26381</v>
      </c>
      <c r="R259" s="23">
        <f t="shared" si="25"/>
        <v>1486</v>
      </c>
      <c r="S259" s="27" t="s">
        <v>19</v>
      </c>
      <c r="T259" s="19" t="s">
        <v>285</v>
      </c>
    </row>
    <row r="260" spans="1:20" ht="37.5" customHeight="1" x14ac:dyDescent="0.25">
      <c r="A260" s="19" t="s">
        <v>286</v>
      </c>
      <c r="B260">
        <f t="shared" si="26"/>
        <v>65357</v>
      </c>
      <c r="C260">
        <v>9624</v>
      </c>
      <c r="D260">
        <v>55733</v>
      </c>
      <c r="F260">
        <f t="shared" si="27"/>
        <v>586</v>
      </c>
      <c r="G260" s="20">
        <f t="shared" si="28"/>
        <v>255</v>
      </c>
      <c r="H260" s="21">
        <v>23014040189</v>
      </c>
      <c r="I260" s="22">
        <v>299</v>
      </c>
      <c r="J260" s="23"/>
      <c r="K260" s="24">
        <v>64771</v>
      </c>
      <c r="L260" s="23">
        <f t="shared" si="22"/>
        <v>586</v>
      </c>
      <c r="M260" s="24">
        <v>9498</v>
      </c>
      <c r="N260" s="25">
        <f t="shared" si="23"/>
        <v>126</v>
      </c>
      <c r="O260" s="24">
        <v>55273</v>
      </c>
      <c r="P260" s="23">
        <f t="shared" si="24"/>
        <v>460</v>
      </c>
      <c r="Q260" s="26"/>
      <c r="R260" s="23">
        <f t="shared" si="25"/>
        <v>0</v>
      </c>
      <c r="S260" s="27" t="s">
        <v>19</v>
      </c>
      <c r="T260" s="19" t="s">
        <v>286</v>
      </c>
    </row>
    <row r="261" spans="1:20" ht="37.5" customHeight="1" x14ac:dyDescent="0.25">
      <c r="A261" s="19" t="s">
        <v>287</v>
      </c>
      <c r="B261">
        <f t="shared" si="26"/>
        <v>433</v>
      </c>
      <c r="C261">
        <v>84</v>
      </c>
      <c r="D261">
        <v>349</v>
      </c>
      <c r="F261">
        <f t="shared" si="27"/>
        <v>14</v>
      </c>
      <c r="G261" s="20">
        <f t="shared" si="28"/>
        <v>256</v>
      </c>
      <c r="H261" s="21">
        <v>88820020013</v>
      </c>
      <c r="I261" s="22">
        <v>300</v>
      </c>
      <c r="J261" s="23"/>
      <c r="K261" s="24">
        <v>419</v>
      </c>
      <c r="L261" s="23">
        <f t="shared" si="22"/>
        <v>14</v>
      </c>
      <c r="M261" s="24">
        <v>82</v>
      </c>
      <c r="N261" s="25">
        <f t="shared" si="23"/>
        <v>2</v>
      </c>
      <c r="O261" s="24">
        <v>337</v>
      </c>
      <c r="P261" s="23">
        <f t="shared" si="24"/>
        <v>12</v>
      </c>
      <c r="Q261" s="26"/>
      <c r="R261" s="23">
        <f t="shared" si="25"/>
        <v>0</v>
      </c>
      <c r="S261" s="27" t="s">
        <v>19</v>
      </c>
      <c r="T261" s="19" t="s">
        <v>287</v>
      </c>
    </row>
    <row r="262" spans="1:20" ht="37.5" customHeight="1" x14ac:dyDescent="0.25">
      <c r="A262" s="19" t="s">
        <v>288</v>
      </c>
      <c r="B262">
        <f t="shared" si="26"/>
        <v>28493</v>
      </c>
      <c r="C262">
        <v>4607</v>
      </c>
      <c r="D262">
        <v>23886</v>
      </c>
      <c r="F262">
        <f t="shared" si="27"/>
        <v>904</v>
      </c>
      <c r="G262" s="20">
        <f t="shared" si="28"/>
        <v>257</v>
      </c>
      <c r="H262" s="21">
        <v>66621070427</v>
      </c>
      <c r="I262" s="22">
        <v>306</v>
      </c>
      <c r="J262" s="23"/>
      <c r="K262" s="24">
        <v>27589</v>
      </c>
      <c r="L262" s="23">
        <f t="shared" ref="L262:L325" si="29">B262-K262</f>
        <v>904</v>
      </c>
      <c r="M262" s="24">
        <v>4462</v>
      </c>
      <c r="N262" s="25">
        <f t="shared" ref="N262:N325" si="30">C262-M262</f>
        <v>145</v>
      </c>
      <c r="O262" s="24">
        <v>23127</v>
      </c>
      <c r="P262" s="23">
        <f t="shared" ref="P262:P325" si="31">D262-O262</f>
        <v>759</v>
      </c>
      <c r="Q262" s="26"/>
      <c r="R262" s="23">
        <f t="shared" ref="R262:R325" si="32">E262-Q262</f>
        <v>0</v>
      </c>
      <c r="S262" s="27" t="s">
        <v>19</v>
      </c>
      <c r="T262" s="19" t="s">
        <v>288</v>
      </c>
    </row>
    <row r="263" spans="1:20" ht="37.5" customHeight="1" x14ac:dyDescent="0.25">
      <c r="A263" s="19" t="s">
        <v>289</v>
      </c>
      <c r="B263">
        <f t="shared" ref="B263:B326" si="33">C263+D263</f>
        <v>66538</v>
      </c>
      <c r="C263">
        <v>10357</v>
      </c>
      <c r="D263">
        <v>56181</v>
      </c>
      <c r="F263">
        <f t="shared" ref="F263:F326" si="34">L263</f>
        <v>551</v>
      </c>
      <c r="G263" s="20">
        <f t="shared" si="28"/>
        <v>258</v>
      </c>
      <c r="H263" s="21">
        <v>23013040366</v>
      </c>
      <c r="I263" s="22">
        <v>309</v>
      </c>
      <c r="J263" s="23"/>
      <c r="K263" s="24">
        <v>65987</v>
      </c>
      <c r="L263" s="23">
        <f t="shared" si="29"/>
        <v>551</v>
      </c>
      <c r="M263" s="24">
        <v>10247</v>
      </c>
      <c r="N263" s="25">
        <f t="shared" si="30"/>
        <v>110</v>
      </c>
      <c r="O263" s="24">
        <v>55740</v>
      </c>
      <c r="P263" s="23">
        <f t="shared" si="31"/>
        <v>441</v>
      </c>
      <c r="Q263" s="26"/>
      <c r="R263" s="23">
        <f t="shared" si="32"/>
        <v>0</v>
      </c>
      <c r="S263" s="27" t="s">
        <v>19</v>
      </c>
      <c r="T263" s="19" t="s">
        <v>289</v>
      </c>
    </row>
    <row r="264" spans="1:20" ht="37.5" customHeight="1" x14ac:dyDescent="0.25">
      <c r="A264" s="19" t="s">
        <v>290</v>
      </c>
      <c r="B264">
        <f t="shared" si="33"/>
        <v>18569</v>
      </c>
      <c r="C264">
        <v>3068</v>
      </c>
      <c r="D264">
        <v>15501</v>
      </c>
      <c r="F264">
        <f t="shared" si="34"/>
        <v>674</v>
      </c>
      <c r="G264" s="20">
        <f t="shared" ref="G264:G327" si="35">G263+1</f>
        <v>259</v>
      </c>
      <c r="H264" s="21">
        <v>66623011041</v>
      </c>
      <c r="I264" s="22">
        <v>311</v>
      </c>
      <c r="J264" s="23"/>
      <c r="K264" s="24">
        <v>17895</v>
      </c>
      <c r="L264" s="23">
        <f t="shared" si="29"/>
        <v>674</v>
      </c>
      <c r="M264" s="24">
        <v>2955</v>
      </c>
      <c r="N264" s="25">
        <f t="shared" si="30"/>
        <v>113</v>
      </c>
      <c r="O264" s="24">
        <v>14940</v>
      </c>
      <c r="P264" s="23">
        <f t="shared" si="31"/>
        <v>561</v>
      </c>
      <c r="Q264" s="26"/>
      <c r="R264" s="23">
        <f t="shared" si="32"/>
        <v>0</v>
      </c>
      <c r="S264" s="27" t="s">
        <v>19</v>
      </c>
      <c r="T264" s="19" t="s">
        <v>290</v>
      </c>
    </row>
    <row r="265" spans="1:20" ht="37.5" customHeight="1" x14ac:dyDescent="0.25">
      <c r="A265" s="19" t="s">
        <v>291</v>
      </c>
      <c r="B265">
        <f t="shared" si="33"/>
        <v>3722</v>
      </c>
      <c r="C265">
        <v>745</v>
      </c>
      <c r="D265">
        <v>2977</v>
      </c>
      <c r="F265">
        <f t="shared" si="34"/>
        <v>320</v>
      </c>
      <c r="G265" s="20">
        <f t="shared" si="35"/>
        <v>260</v>
      </c>
      <c r="H265" s="21">
        <v>66622050051</v>
      </c>
      <c r="I265" s="22">
        <v>313</v>
      </c>
      <c r="J265" s="23"/>
      <c r="K265" s="24">
        <v>3402</v>
      </c>
      <c r="L265" s="23">
        <f t="shared" si="29"/>
        <v>320</v>
      </c>
      <c r="M265" s="24">
        <v>694</v>
      </c>
      <c r="N265" s="25">
        <f t="shared" si="30"/>
        <v>51</v>
      </c>
      <c r="O265" s="24">
        <v>2708</v>
      </c>
      <c r="P265" s="23">
        <f t="shared" si="31"/>
        <v>269</v>
      </c>
      <c r="Q265" s="26"/>
      <c r="R265" s="23">
        <f t="shared" si="32"/>
        <v>0</v>
      </c>
      <c r="S265" s="27" t="s">
        <v>19</v>
      </c>
      <c r="T265" s="19" t="s">
        <v>291</v>
      </c>
    </row>
    <row r="266" spans="1:20" ht="37.5" customHeight="1" x14ac:dyDescent="0.25">
      <c r="A266" s="19" t="s">
        <v>292</v>
      </c>
      <c r="B266">
        <f t="shared" si="33"/>
        <v>8910</v>
      </c>
      <c r="C266">
        <v>1466</v>
      </c>
      <c r="D266">
        <v>7444</v>
      </c>
      <c r="F266">
        <f t="shared" si="34"/>
        <v>286</v>
      </c>
      <c r="G266" s="20">
        <f t="shared" si="35"/>
        <v>261</v>
      </c>
      <c r="H266" s="21">
        <v>66621100448</v>
      </c>
      <c r="I266" s="22">
        <v>314</v>
      </c>
      <c r="J266" s="23"/>
      <c r="K266" s="24">
        <v>8624</v>
      </c>
      <c r="L266" s="23">
        <f t="shared" si="29"/>
        <v>286</v>
      </c>
      <c r="M266" s="24">
        <v>1410</v>
      </c>
      <c r="N266" s="25">
        <f t="shared" si="30"/>
        <v>56</v>
      </c>
      <c r="O266" s="24">
        <v>7214</v>
      </c>
      <c r="P266" s="23">
        <f t="shared" si="31"/>
        <v>230</v>
      </c>
      <c r="Q266" s="26"/>
      <c r="R266" s="23">
        <f t="shared" si="32"/>
        <v>0</v>
      </c>
      <c r="S266" s="27" t="s">
        <v>19</v>
      </c>
      <c r="T266" s="19" t="s">
        <v>292</v>
      </c>
    </row>
    <row r="267" spans="1:20" ht="37.5" customHeight="1" x14ac:dyDescent="0.25">
      <c r="A267" s="19" t="s">
        <v>293</v>
      </c>
      <c r="B267">
        <f t="shared" si="33"/>
        <v>6120</v>
      </c>
      <c r="C267">
        <v>1502</v>
      </c>
      <c r="D267">
        <v>4618</v>
      </c>
      <c r="E267">
        <v>4151</v>
      </c>
      <c r="F267">
        <f t="shared" si="34"/>
        <v>766</v>
      </c>
      <c r="G267" s="20">
        <f t="shared" si="35"/>
        <v>262</v>
      </c>
      <c r="H267" s="21">
        <v>99624040186</v>
      </c>
      <c r="I267" s="22">
        <v>315</v>
      </c>
      <c r="J267" s="23"/>
      <c r="K267" s="24">
        <f>M267+O267</f>
        <v>5354</v>
      </c>
      <c r="L267" s="23">
        <f t="shared" si="29"/>
        <v>766</v>
      </c>
      <c r="M267" s="24">
        <v>1336</v>
      </c>
      <c r="N267" s="25">
        <f t="shared" si="30"/>
        <v>166</v>
      </c>
      <c r="O267" s="24">
        <v>4018</v>
      </c>
      <c r="P267" s="23">
        <f t="shared" si="31"/>
        <v>600</v>
      </c>
      <c r="Q267" s="26">
        <v>3385</v>
      </c>
      <c r="R267" s="23">
        <f t="shared" si="32"/>
        <v>766</v>
      </c>
      <c r="S267" s="27" t="s">
        <v>19</v>
      </c>
      <c r="T267" s="19" t="s">
        <v>293</v>
      </c>
    </row>
    <row r="268" spans="1:20" ht="37.5" customHeight="1" x14ac:dyDescent="0.25">
      <c r="A268" s="19" t="s">
        <v>294</v>
      </c>
      <c r="B268">
        <f t="shared" si="33"/>
        <v>30570</v>
      </c>
      <c r="C268">
        <v>6302</v>
      </c>
      <c r="D268">
        <v>24268</v>
      </c>
      <c r="F268">
        <f t="shared" si="34"/>
        <v>404</v>
      </c>
      <c r="G268" s="20">
        <f t="shared" si="35"/>
        <v>263</v>
      </c>
      <c r="H268" s="21">
        <v>66617010460</v>
      </c>
      <c r="I268" s="22">
        <v>316</v>
      </c>
      <c r="J268" s="23"/>
      <c r="K268" s="24">
        <v>30166</v>
      </c>
      <c r="L268" s="23">
        <f t="shared" si="29"/>
        <v>404</v>
      </c>
      <c r="M268" s="24">
        <v>6225</v>
      </c>
      <c r="N268" s="25">
        <f t="shared" si="30"/>
        <v>77</v>
      </c>
      <c r="O268" s="24">
        <v>23941</v>
      </c>
      <c r="P268" s="23">
        <f t="shared" si="31"/>
        <v>327</v>
      </c>
      <c r="Q268" s="26"/>
      <c r="R268" s="23">
        <f t="shared" si="32"/>
        <v>0</v>
      </c>
      <c r="S268" s="27" t="s">
        <v>19</v>
      </c>
      <c r="T268" s="19" t="s">
        <v>294</v>
      </c>
    </row>
    <row r="269" spans="1:20" ht="37.5" customHeight="1" x14ac:dyDescent="0.25">
      <c r="A269" s="19" t="s">
        <v>295</v>
      </c>
      <c r="B269">
        <f t="shared" si="33"/>
        <v>2828</v>
      </c>
      <c r="C269">
        <v>980</v>
      </c>
      <c r="D269">
        <v>1848</v>
      </c>
      <c r="F269">
        <f t="shared" si="34"/>
        <v>41</v>
      </c>
      <c r="G269" s="20">
        <f t="shared" si="35"/>
        <v>264</v>
      </c>
      <c r="H269" s="21">
        <v>88823020126</v>
      </c>
      <c r="I269" s="22">
        <v>317</v>
      </c>
      <c r="J269" s="23"/>
      <c r="K269" s="24">
        <v>2787</v>
      </c>
      <c r="L269" s="23">
        <f t="shared" si="29"/>
        <v>41</v>
      </c>
      <c r="M269" s="24">
        <v>979</v>
      </c>
      <c r="N269" s="25">
        <f t="shared" si="30"/>
        <v>1</v>
      </c>
      <c r="O269" s="24">
        <v>1808</v>
      </c>
      <c r="P269" s="23">
        <f t="shared" si="31"/>
        <v>40</v>
      </c>
      <c r="Q269" s="26"/>
      <c r="R269" s="23">
        <f t="shared" si="32"/>
        <v>0</v>
      </c>
      <c r="S269" s="27" t="s">
        <v>19</v>
      </c>
      <c r="T269" s="19" t="s">
        <v>295</v>
      </c>
    </row>
    <row r="270" spans="1:20" ht="37.5" customHeight="1" x14ac:dyDescent="0.25">
      <c r="A270" s="19" t="s">
        <v>296</v>
      </c>
      <c r="B270">
        <f t="shared" si="33"/>
        <v>21691</v>
      </c>
      <c r="C270">
        <v>3537</v>
      </c>
      <c r="D270">
        <v>18154</v>
      </c>
      <c r="F270">
        <f t="shared" si="34"/>
        <v>16</v>
      </c>
      <c r="G270" s="20">
        <f t="shared" si="35"/>
        <v>265</v>
      </c>
      <c r="H270" s="21">
        <v>23013090148</v>
      </c>
      <c r="I270" s="22">
        <v>318</v>
      </c>
      <c r="J270" s="23"/>
      <c r="K270" s="24">
        <v>21675</v>
      </c>
      <c r="L270" s="23">
        <f t="shared" si="29"/>
        <v>16</v>
      </c>
      <c r="M270" s="24">
        <v>3534</v>
      </c>
      <c r="N270" s="25">
        <f t="shared" si="30"/>
        <v>3</v>
      </c>
      <c r="O270" s="24">
        <v>18141</v>
      </c>
      <c r="P270" s="23">
        <f t="shared" si="31"/>
        <v>13</v>
      </c>
      <c r="Q270" s="26"/>
      <c r="R270" s="23">
        <f t="shared" si="32"/>
        <v>0</v>
      </c>
      <c r="S270" s="27" t="s">
        <v>19</v>
      </c>
      <c r="T270" s="19" t="s">
        <v>296</v>
      </c>
    </row>
    <row r="271" spans="1:20" ht="37.5" customHeight="1" x14ac:dyDescent="0.25">
      <c r="A271" s="19" t="s">
        <v>297</v>
      </c>
      <c r="B271">
        <f t="shared" si="33"/>
        <v>26207</v>
      </c>
      <c r="C271">
        <v>3938</v>
      </c>
      <c r="D271">
        <v>22269</v>
      </c>
      <c r="F271">
        <f t="shared" si="34"/>
        <v>1279</v>
      </c>
      <c r="G271" s="20">
        <f t="shared" si="35"/>
        <v>266</v>
      </c>
      <c r="H271" s="21">
        <v>88818020372</v>
      </c>
      <c r="I271" s="22">
        <v>319</v>
      </c>
      <c r="J271" s="23"/>
      <c r="K271" s="24">
        <v>24928</v>
      </c>
      <c r="L271" s="23">
        <f t="shared" si="29"/>
        <v>1279</v>
      </c>
      <c r="M271" s="24">
        <v>3743</v>
      </c>
      <c r="N271" s="25">
        <f t="shared" si="30"/>
        <v>195</v>
      </c>
      <c r="O271" s="24">
        <v>21185</v>
      </c>
      <c r="P271" s="23">
        <f t="shared" si="31"/>
        <v>1084</v>
      </c>
      <c r="Q271" s="26"/>
      <c r="R271" s="23">
        <f t="shared" si="32"/>
        <v>0</v>
      </c>
      <c r="S271" s="27" t="s">
        <v>19</v>
      </c>
      <c r="T271" s="19" t="s">
        <v>297</v>
      </c>
    </row>
    <row r="272" spans="1:20" ht="37.5" customHeight="1" x14ac:dyDescent="0.25">
      <c r="A272" s="19" t="s">
        <v>298</v>
      </c>
      <c r="B272">
        <f t="shared" si="33"/>
        <v>80911</v>
      </c>
      <c r="C272">
        <v>14859</v>
      </c>
      <c r="D272">
        <v>66052</v>
      </c>
      <c r="F272">
        <f t="shared" si="34"/>
        <v>568</v>
      </c>
      <c r="G272" s="20">
        <f t="shared" si="35"/>
        <v>267</v>
      </c>
      <c r="H272" s="21">
        <v>23013040428</v>
      </c>
      <c r="I272" s="22">
        <v>320</v>
      </c>
      <c r="J272" s="23"/>
      <c r="K272" s="24">
        <v>80343</v>
      </c>
      <c r="L272" s="23">
        <f t="shared" si="29"/>
        <v>568</v>
      </c>
      <c r="M272" s="24">
        <v>14742</v>
      </c>
      <c r="N272" s="25">
        <f t="shared" si="30"/>
        <v>117</v>
      </c>
      <c r="O272" s="24">
        <v>65601</v>
      </c>
      <c r="P272" s="23">
        <f t="shared" si="31"/>
        <v>451</v>
      </c>
      <c r="Q272" s="26"/>
      <c r="R272" s="23">
        <f t="shared" si="32"/>
        <v>0</v>
      </c>
      <c r="S272" s="27" t="s">
        <v>19</v>
      </c>
      <c r="T272" s="19" t="s">
        <v>298</v>
      </c>
    </row>
    <row r="273" spans="1:20" ht="37.5" customHeight="1" x14ac:dyDescent="0.25">
      <c r="A273" s="19" t="s">
        <v>299</v>
      </c>
      <c r="B273">
        <f t="shared" si="33"/>
        <v>9969</v>
      </c>
      <c r="C273">
        <v>2463</v>
      </c>
      <c r="D273">
        <v>7506</v>
      </c>
      <c r="E273">
        <v>6553</v>
      </c>
      <c r="F273">
        <f t="shared" si="34"/>
        <v>532</v>
      </c>
      <c r="G273" s="20">
        <f t="shared" si="35"/>
        <v>268</v>
      </c>
      <c r="H273" s="21">
        <v>99624020173</v>
      </c>
      <c r="I273" s="22">
        <v>321</v>
      </c>
      <c r="J273" s="23"/>
      <c r="K273" s="24">
        <f>M273+O273</f>
        <v>9437</v>
      </c>
      <c r="L273" s="23">
        <f t="shared" si="29"/>
        <v>532</v>
      </c>
      <c r="M273" s="24">
        <v>2335</v>
      </c>
      <c r="N273" s="25">
        <f t="shared" si="30"/>
        <v>128</v>
      </c>
      <c r="O273" s="24">
        <v>7102</v>
      </c>
      <c r="P273" s="23">
        <f t="shared" si="31"/>
        <v>404</v>
      </c>
      <c r="Q273" s="26">
        <v>5613</v>
      </c>
      <c r="R273" s="23">
        <f t="shared" si="32"/>
        <v>940</v>
      </c>
      <c r="S273" s="27" t="s">
        <v>19</v>
      </c>
      <c r="T273" s="19" t="s">
        <v>299</v>
      </c>
    </row>
    <row r="274" spans="1:20" ht="37.5" customHeight="1" x14ac:dyDescent="0.25">
      <c r="A274" s="19" t="s">
        <v>300</v>
      </c>
      <c r="B274">
        <f t="shared" si="33"/>
        <v>45448</v>
      </c>
      <c r="C274">
        <v>8265</v>
      </c>
      <c r="D274">
        <v>37183</v>
      </c>
      <c r="F274">
        <f t="shared" si="34"/>
        <v>237</v>
      </c>
      <c r="G274" s="20">
        <f t="shared" si="35"/>
        <v>269</v>
      </c>
      <c r="H274" s="21">
        <v>66617010090</v>
      </c>
      <c r="I274" s="22">
        <v>324</v>
      </c>
      <c r="J274" s="23"/>
      <c r="K274" s="24">
        <v>45211</v>
      </c>
      <c r="L274" s="23">
        <f t="shared" si="29"/>
        <v>237</v>
      </c>
      <c r="M274" s="24">
        <v>8223</v>
      </c>
      <c r="N274" s="25">
        <f t="shared" si="30"/>
        <v>42</v>
      </c>
      <c r="O274" s="24">
        <v>36988</v>
      </c>
      <c r="P274" s="23">
        <f t="shared" si="31"/>
        <v>195</v>
      </c>
      <c r="Q274" s="26"/>
      <c r="R274" s="23">
        <f t="shared" si="32"/>
        <v>0</v>
      </c>
      <c r="S274" s="27" t="s">
        <v>19</v>
      </c>
      <c r="T274" s="19" t="s">
        <v>300</v>
      </c>
    </row>
    <row r="275" spans="1:20" ht="37.5" customHeight="1" x14ac:dyDescent="0.25">
      <c r="A275" s="19" t="s">
        <v>301</v>
      </c>
      <c r="B275">
        <f t="shared" si="33"/>
        <v>41720</v>
      </c>
      <c r="C275">
        <v>7109</v>
      </c>
      <c r="D275">
        <v>34611</v>
      </c>
      <c r="F275">
        <f t="shared" si="34"/>
        <v>475</v>
      </c>
      <c r="G275" s="20">
        <f t="shared" si="35"/>
        <v>270</v>
      </c>
      <c r="H275" s="21">
        <v>66616031014</v>
      </c>
      <c r="I275" s="22">
        <v>325</v>
      </c>
      <c r="J275" s="23"/>
      <c r="K275" s="24">
        <v>41245</v>
      </c>
      <c r="L275" s="23">
        <f t="shared" si="29"/>
        <v>475</v>
      </c>
      <c r="M275" s="24">
        <v>7046</v>
      </c>
      <c r="N275" s="25">
        <f t="shared" si="30"/>
        <v>63</v>
      </c>
      <c r="O275" s="24">
        <v>34199</v>
      </c>
      <c r="P275" s="23">
        <f t="shared" si="31"/>
        <v>412</v>
      </c>
      <c r="Q275" s="26"/>
      <c r="R275" s="23">
        <f t="shared" si="32"/>
        <v>0</v>
      </c>
      <c r="S275" s="27" t="s">
        <v>19</v>
      </c>
      <c r="T275" s="19" t="s">
        <v>301</v>
      </c>
    </row>
    <row r="276" spans="1:20" ht="37.5" customHeight="1" x14ac:dyDescent="0.25">
      <c r="A276" s="19" t="s">
        <v>302</v>
      </c>
      <c r="B276">
        <f t="shared" si="33"/>
        <v>9625</v>
      </c>
      <c r="C276">
        <v>1564</v>
      </c>
      <c r="D276">
        <v>8061</v>
      </c>
      <c r="F276">
        <f t="shared" si="34"/>
        <v>422</v>
      </c>
      <c r="G276" s="20">
        <f t="shared" si="35"/>
        <v>271</v>
      </c>
      <c r="H276" s="21">
        <v>66621100244</v>
      </c>
      <c r="I276" s="22">
        <v>326</v>
      </c>
      <c r="J276" s="23"/>
      <c r="K276" s="24">
        <v>9203</v>
      </c>
      <c r="L276" s="23">
        <f t="shared" si="29"/>
        <v>422</v>
      </c>
      <c r="M276" s="24">
        <v>1497</v>
      </c>
      <c r="N276" s="25">
        <f t="shared" si="30"/>
        <v>67</v>
      </c>
      <c r="O276" s="24">
        <v>7706</v>
      </c>
      <c r="P276" s="23">
        <f t="shared" si="31"/>
        <v>355</v>
      </c>
      <c r="Q276" s="26"/>
      <c r="R276" s="23">
        <f t="shared" si="32"/>
        <v>0</v>
      </c>
      <c r="S276" s="27" t="s">
        <v>19</v>
      </c>
      <c r="T276" s="19" t="s">
        <v>302</v>
      </c>
    </row>
    <row r="277" spans="1:20" ht="37.5" customHeight="1" x14ac:dyDescent="0.25">
      <c r="A277" s="19" t="s">
        <v>303</v>
      </c>
      <c r="B277">
        <f t="shared" si="33"/>
        <v>12034</v>
      </c>
      <c r="C277">
        <v>1921</v>
      </c>
      <c r="D277">
        <v>10113</v>
      </c>
      <c r="F277">
        <f t="shared" si="34"/>
        <v>247</v>
      </c>
      <c r="G277" s="20">
        <f t="shared" si="35"/>
        <v>272</v>
      </c>
      <c r="H277" s="21">
        <v>88820030061</v>
      </c>
      <c r="I277" s="22">
        <v>327</v>
      </c>
      <c r="J277" s="23"/>
      <c r="K277" s="24">
        <v>11787</v>
      </c>
      <c r="L277" s="23">
        <f t="shared" si="29"/>
        <v>247</v>
      </c>
      <c r="M277" s="24">
        <v>1874</v>
      </c>
      <c r="N277" s="25">
        <f t="shared" si="30"/>
        <v>47</v>
      </c>
      <c r="O277" s="24">
        <v>9913</v>
      </c>
      <c r="P277" s="23">
        <f t="shared" si="31"/>
        <v>200</v>
      </c>
      <c r="Q277" s="26"/>
      <c r="R277" s="23">
        <f t="shared" si="32"/>
        <v>0</v>
      </c>
      <c r="S277" s="27" t="s">
        <v>19</v>
      </c>
      <c r="T277" s="19" t="s">
        <v>303</v>
      </c>
    </row>
    <row r="278" spans="1:20" ht="37.5" customHeight="1" x14ac:dyDescent="0.25">
      <c r="A278" s="19" t="s">
        <v>304</v>
      </c>
      <c r="B278">
        <f t="shared" si="33"/>
        <v>26377</v>
      </c>
      <c r="C278">
        <v>4624</v>
      </c>
      <c r="D278">
        <v>21753</v>
      </c>
      <c r="F278">
        <f t="shared" si="34"/>
        <v>162</v>
      </c>
      <c r="G278" s="20">
        <f t="shared" si="35"/>
        <v>273</v>
      </c>
      <c r="H278" s="21">
        <v>66621090094</v>
      </c>
      <c r="I278" s="22">
        <v>328</v>
      </c>
      <c r="J278" s="23"/>
      <c r="K278" s="24">
        <v>26215</v>
      </c>
      <c r="L278" s="23">
        <f t="shared" si="29"/>
        <v>162</v>
      </c>
      <c r="M278" s="24"/>
      <c r="N278" s="25">
        <f t="shared" si="30"/>
        <v>4624</v>
      </c>
      <c r="O278" s="24"/>
      <c r="P278" s="23">
        <f t="shared" si="31"/>
        <v>21753</v>
      </c>
      <c r="Q278" s="26"/>
      <c r="R278" s="23">
        <f t="shared" si="32"/>
        <v>0</v>
      </c>
      <c r="S278" s="27" t="s">
        <v>19</v>
      </c>
      <c r="T278" s="19" t="s">
        <v>304</v>
      </c>
    </row>
    <row r="279" spans="1:20" ht="37.5" customHeight="1" x14ac:dyDescent="0.25">
      <c r="A279" s="19" t="s">
        <v>305</v>
      </c>
      <c r="B279">
        <f t="shared" si="33"/>
        <v>2068</v>
      </c>
      <c r="C279">
        <v>211</v>
      </c>
      <c r="D279">
        <v>1857</v>
      </c>
      <c r="F279">
        <f t="shared" si="34"/>
        <v>70</v>
      </c>
      <c r="G279" s="20">
        <f t="shared" si="35"/>
        <v>274</v>
      </c>
      <c r="H279" s="21">
        <v>66621100455</v>
      </c>
      <c r="I279" s="22">
        <v>329</v>
      </c>
      <c r="J279" s="23"/>
      <c r="K279" s="24">
        <v>1998</v>
      </c>
      <c r="L279" s="23">
        <f t="shared" si="29"/>
        <v>70</v>
      </c>
      <c r="M279" s="24">
        <v>172</v>
      </c>
      <c r="N279" s="25">
        <f t="shared" si="30"/>
        <v>39</v>
      </c>
      <c r="O279" s="24">
        <v>1826</v>
      </c>
      <c r="P279" s="23">
        <f t="shared" si="31"/>
        <v>31</v>
      </c>
      <c r="Q279" s="26"/>
      <c r="R279" s="23">
        <f t="shared" si="32"/>
        <v>0</v>
      </c>
      <c r="S279" s="27" t="s">
        <v>19</v>
      </c>
      <c r="T279" s="19" t="s">
        <v>305</v>
      </c>
    </row>
    <row r="280" spans="1:20" ht="37.5" customHeight="1" x14ac:dyDescent="0.25">
      <c r="A280" s="19" t="s">
        <v>306</v>
      </c>
      <c r="B280">
        <f t="shared" si="33"/>
        <v>22434</v>
      </c>
      <c r="C280">
        <v>3424</v>
      </c>
      <c r="D280">
        <v>19010</v>
      </c>
      <c r="F280">
        <f t="shared" si="34"/>
        <v>295</v>
      </c>
      <c r="G280" s="20">
        <f t="shared" si="35"/>
        <v>275</v>
      </c>
      <c r="H280" s="21">
        <v>66622010442</v>
      </c>
      <c r="I280" s="22">
        <v>330</v>
      </c>
      <c r="J280" s="23"/>
      <c r="K280" s="24">
        <v>22139</v>
      </c>
      <c r="L280" s="23">
        <f t="shared" si="29"/>
        <v>295</v>
      </c>
      <c r="M280" s="24">
        <v>3371</v>
      </c>
      <c r="N280" s="25">
        <f t="shared" si="30"/>
        <v>53</v>
      </c>
      <c r="O280" s="24">
        <v>18768</v>
      </c>
      <c r="P280" s="23">
        <f t="shared" si="31"/>
        <v>242</v>
      </c>
      <c r="Q280" s="26"/>
      <c r="R280" s="23">
        <f t="shared" si="32"/>
        <v>0</v>
      </c>
      <c r="S280" s="27" t="s">
        <v>19</v>
      </c>
      <c r="T280" s="19" t="s">
        <v>306</v>
      </c>
    </row>
    <row r="281" spans="1:20" ht="37.5" customHeight="1" x14ac:dyDescent="0.25">
      <c r="A281" s="19" t="s">
        <v>307</v>
      </c>
      <c r="B281">
        <f t="shared" si="33"/>
        <v>125410</v>
      </c>
      <c r="C281">
        <v>22078</v>
      </c>
      <c r="D281">
        <v>103332</v>
      </c>
      <c r="F281">
        <f t="shared" si="34"/>
        <v>511</v>
      </c>
      <c r="G281" s="20">
        <f t="shared" si="35"/>
        <v>276</v>
      </c>
      <c r="H281" s="21">
        <v>23008030132</v>
      </c>
      <c r="I281" s="22">
        <v>332</v>
      </c>
      <c r="J281" s="23"/>
      <c r="K281" s="24">
        <v>124899</v>
      </c>
      <c r="L281" s="23">
        <f t="shared" si="29"/>
        <v>511</v>
      </c>
      <c r="M281" s="24">
        <v>21993</v>
      </c>
      <c r="N281" s="25">
        <f t="shared" si="30"/>
        <v>85</v>
      </c>
      <c r="O281" s="24">
        <v>102906</v>
      </c>
      <c r="P281" s="23">
        <f t="shared" si="31"/>
        <v>426</v>
      </c>
      <c r="Q281" s="26"/>
      <c r="R281" s="23">
        <f t="shared" si="32"/>
        <v>0</v>
      </c>
      <c r="S281" s="27" t="s">
        <v>19</v>
      </c>
      <c r="T281" s="19" t="s">
        <v>307</v>
      </c>
    </row>
    <row r="282" spans="1:20" ht="37.5" customHeight="1" x14ac:dyDescent="0.25">
      <c r="A282" s="19" t="s">
        <v>308</v>
      </c>
      <c r="B282">
        <f t="shared" si="33"/>
        <v>225</v>
      </c>
      <c r="C282">
        <v>51</v>
      </c>
      <c r="D282">
        <v>174</v>
      </c>
      <c r="E282">
        <v>690</v>
      </c>
      <c r="F282">
        <f t="shared" si="34"/>
        <v>225</v>
      </c>
      <c r="G282" s="20">
        <f t="shared" si="35"/>
        <v>277</v>
      </c>
      <c r="H282" s="21">
        <v>99625010260</v>
      </c>
      <c r="I282" s="22">
        <v>335</v>
      </c>
      <c r="J282" s="23"/>
      <c r="K282" s="24">
        <v>0</v>
      </c>
      <c r="L282" s="23">
        <f t="shared" si="29"/>
        <v>225</v>
      </c>
      <c r="M282" s="24">
        <v>0</v>
      </c>
      <c r="N282" s="25">
        <f t="shared" si="30"/>
        <v>51</v>
      </c>
      <c r="O282" s="24">
        <v>0</v>
      </c>
      <c r="P282" s="23">
        <f t="shared" si="31"/>
        <v>174</v>
      </c>
      <c r="Q282" s="26">
        <v>0</v>
      </c>
      <c r="R282" s="23">
        <f t="shared" si="32"/>
        <v>690</v>
      </c>
      <c r="S282" s="27" t="s">
        <v>19</v>
      </c>
      <c r="T282" s="19" t="s">
        <v>308</v>
      </c>
    </row>
    <row r="283" spans="1:20" ht="37.5" customHeight="1" x14ac:dyDescent="0.25">
      <c r="A283" s="19" t="s">
        <v>309</v>
      </c>
      <c r="B283">
        <f t="shared" si="33"/>
        <v>3340</v>
      </c>
      <c r="C283">
        <v>755</v>
      </c>
      <c r="D283">
        <v>2585</v>
      </c>
      <c r="E283">
        <v>6596</v>
      </c>
      <c r="F283">
        <f t="shared" si="34"/>
        <v>182</v>
      </c>
      <c r="G283" s="20">
        <f t="shared" si="35"/>
        <v>278</v>
      </c>
      <c r="H283" s="21">
        <v>99624030053</v>
      </c>
      <c r="I283" s="22">
        <v>336</v>
      </c>
      <c r="J283" s="23"/>
      <c r="K283" s="24">
        <f>M283+O283</f>
        <v>3158</v>
      </c>
      <c r="L283" s="23">
        <f t="shared" si="29"/>
        <v>182</v>
      </c>
      <c r="M283" s="24">
        <v>700</v>
      </c>
      <c r="N283" s="25">
        <f t="shared" si="30"/>
        <v>55</v>
      </c>
      <c r="O283" s="24">
        <v>2458</v>
      </c>
      <c r="P283" s="23">
        <f t="shared" si="31"/>
        <v>127</v>
      </c>
      <c r="Q283" s="26">
        <v>5628</v>
      </c>
      <c r="R283" s="23">
        <f t="shared" si="32"/>
        <v>968</v>
      </c>
      <c r="S283" s="27" t="s">
        <v>19</v>
      </c>
      <c r="T283" s="19" t="s">
        <v>309</v>
      </c>
    </row>
    <row r="284" spans="1:20" ht="37.5" customHeight="1" x14ac:dyDescent="0.25">
      <c r="A284" s="19" t="s">
        <v>310</v>
      </c>
      <c r="B284">
        <f t="shared" si="33"/>
        <v>21804</v>
      </c>
      <c r="C284">
        <v>3196</v>
      </c>
      <c r="D284">
        <v>18608</v>
      </c>
      <c r="F284">
        <f t="shared" si="34"/>
        <v>233</v>
      </c>
      <c r="G284" s="20">
        <f t="shared" si="35"/>
        <v>279</v>
      </c>
      <c r="H284" s="21">
        <v>66621060156</v>
      </c>
      <c r="I284" s="22">
        <v>338</v>
      </c>
      <c r="J284" s="23"/>
      <c r="K284" s="24">
        <v>21571</v>
      </c>
      <c r="L284" s="23">
        <f t="shared" si="29"/>
        <v>233</v>
      </c>
      <c r="M284" s="24">
        <v>3152</v>
      </c>
      <c r="N284" s="25">
        <f t="shared" si="30"/>
        <v>44</v>
      </c>
      <c r="O284" s="24">
        <v>18419</v>
      </c>
      <c r="P284" s="23">
        <f t="shared" si="31"/>
        <v>189</v>
      </c>
      <c r="Q284" s="26"/>
      <c r="R284" s="23">
        <f t="shared" si="32"/>
        <v>0</v>
      </c>
      <c r="S284" s="27" t="s">
        <v>19</v>
      </c>
      <c r="T284" s="19" t="s">
        <v>310</v>
      </c>
    </row>
    <row r="285" spans="1:20" ht="37.5" customHeight="1" x14ac:dyDescent="0.25">
      <c r="A285" s="19" t="s">
        <v>311</v>
      </c>
      <c r="B285">
        <f t="shared" si="33"/>
        <v>6097</v>
      </c>
      <c r="C285">
        <v>1785</v>
      </c>
      <c r="D285">
        <v>4312</v>
      </c>
      <c r="E285">
        <v>11862</v>
      </c>
      <c r="F285">
        <f t="shared" si="34"/>
        <v>422</v>
      </c>
      <c r="G285" s="20">
        <f t="shared" si="35"/>
        <v>280</v>
      </c>
      <c r="H285" s="21">
        <v>99623080571</v>
      </c>
      <c r="I285" s="22">
        <v>339</v>
      </c>
      <c r="J285" s="23"/>
      <c r="K285" s="24">
        <f>M285+O285</f>
        <v>5675</v>
      </c>
      <c r="L285" s="23">
        <f t="shared" si="29"/>
        <v>422</v>
      </c>
      <c r="M285" s="24">
        <v>1676</v>
      </c>
      <c r="N285" s="25">
        <f t="shared" si="30"/>
        <v>109</v>
      </c>
      <c r="O285" s="24">
        <v>3999</v>
      </c>
      <c r="P285" s="23">
        <f t="shared" si="31"/>
        <v>313</v>
      </c>
      <c r="Q285" s="26">
        <v>10712</v>
      </c>
      <c r="R285" s="23">
        <f t="shared" si="32"/>
        <v>1150</v>
      </c>
      <c r="S285" s="27" t="s">
        <v>19</v>
      </c>
      <c r="T285" s="19" t="s">
        <v>311</v>
      </c>
    </row>
    <row r="286" spans="1:20" ht="37.5" customHeight="1" x14ac:dyDescent="0.25">
      <c r="A286" s="19" t="s">
        <v>312</v>
      </c>
      <c r="B286">
        <f t="shared" si="33"/>
        <v>40404</v>
      </c>
      <c r="C286">
        <v>7640</v>
      </c>
      <c r="D286">
        <v>32764</v>
      </c>
      <c r="F286">
        <f t="shared" si="34"/>
        <v>362</v>
      </c>
      <c r="G286" s="20">
        <f t="shared" si="35"/>
        <v>281</v>
      </c>
      <c r="H286" s="21">
        <v>88818030308</v>
      </c>
      <c r="I286" s="22">
        <v>340</v>
      </c>
      <c r="J286" s="23"/>
      <c r="K286" s="24">
        <v>40042</v>
      </c>
      <c r="L286" s="23">
        <f t="shared" si="29"/>
        <v>362</v>
      </c>
      <c r="M286" s="24">
        <v>7594</v>
      </c>
      <c r="N286" s="25">
        <f t="shared" si="30"/>
        <v>46</v>
      </c>
      <c r="O286" s="24">
        <v>32448</v>
      </c>
      <c r="P286" s="23">
        <f t="shared" si="31"/>
        <v>316</v>
      </c>
      <c r="Q286" s="26"/>
      <c r="R286" s="23">
        <f t="shared" si="32"/>
        <v>0</v>
      </c>
      <c r="S286" s="27" t="s">
        <v>19</v>
      </c>
      <c r="T286" s="19" t="s">
        <v>312</v>
      </c>
    </row>
    <row r="287" spans="1:20" ht="37.5" customHeight="1" x14ac:dyDescent="0.25">
      <c r="A287" s="19" t="s">
        <v>313</v>
      </c>
      <c r="B287">
        <f t="shared" si="33"/>
        <v>63350</v>
      </c>
      <c r="C287">
        <v>15071</v>
      </c>
      <c r="D287">
        <v>48279</v>
      </c>
      <c r="F287">
        <f t="shared" si="34"/>
        <v>20</v>
      </c>
      <c r="G287" s="20">
        <f t="shared" si="35"/>
        <v>282</v>
      </c>
      <c r="H287" s="21">
        <v>23011090029</v>
      </c>
      <c r="I287" s="22">
        <v>341</v>
      </c>
      <c r="J287" s="23"/>
      <c r="K287" s="24">
        <v>63330</v>
      </c>
      <c r="L287" s="23">
        <f t="shared" si="29"/>
        <v>20</v>
      </c>
      <c r="M287" s="24">
        <v>15067</v>
      </c>
      <c r="N287" s="25">
        <f t="shared" si="30"/>
        <v>4</v>
      </c>
      <c r="O287" s="24">
        <v>48263</v>
      </c>
      <c r="P287" s="23">
        <f t="shared" si="31"/>
        <v>16</v>
      </c>
      <c r="Q287" s="26"/>
      <c r="R287" s="23">
        <f t="shared" si="32"/>
        <v>0</v>
      </c>
      <c r="S287" s="27" t="s">
        <v>19</v>
      </c>
      <c r="T287" s="19" t="s">
        <v>313</v>
      </c>
    </row>
    <row r="288" spans="1:20" ht="37.5" customHeight="1" x14ac:dyDescent="0.25">
      <c r="A288" s="19" t="s">
        <v>314</v>
      </c>
      <c r="B288">
        <f t="shared" si="33"/>
        <v>60982</v>
      </c>
      <c r="C288">
        <v>11042</v>
      </c>
      <c r="D288">
        <v>49940</v>
      </c>
      <c r="F288">
        <f t="shared" si="34"/>
        <v>474</v>
      </c>
      <c r="G288" s="20">
        <f t="shared" si="35"/>
        <v>283</v>
      </c>
      <c r="H288" s="21">
        <v>23013080237</v>
      </c>
      <c r="I288" s="22">
        <v>342</v>
      </c>
      <c r="J288" s="23"/>
      <c r="K288" s="24">
        <v>60508</v>
      </c>
      <c r="L288" s="23">
        <f t="shared" si="29"/>
        <v>474</v>
      </c>
      <c r="M288" s="24">
        <v>10933</v>
      </c>
      <c r="N288" s="25">
        <f t="shared" si="30"/>
        <v>109</v>
      </c>
      <c r="O288" s="24">
        <v>49575</v>
      </c>
      <c r="P288" s="23">
        <f t="shared" si="31"/>
        <v>365</v>
      </c>
      <c r="Q288" s="26"/>
      <c r="R288" s="23">
        <f t="shared" si="32"/>
        <v>0</v>
      </c>
      <c r="S288" s="27" t="s">
        <v>19</v>
      </c>
      <c r="T288" s="19" t="s">
        <v>314</v>
      </c>
    </row>
    <row r="289" spans="1:20" ht="37.5" customHeight="1" x14ac:dyDescent="0.25">
      <c r="A289" s="19" t="s">
        <v>315</v>
      </c>
      <c r="B289">
        <f t="shared" si="33"/>
        <v>46168</v>
      </c>
      <c r="C289">
        <v>7644</v>
      </c>
      <c r="D289">
        <v>38524</v>
      </c>
      <c r="F289">
        <f t="shared" si="34"/>
        <v>333</v>
      </c>
      <c r="G289" s="20">
        <f t="shared" si="35"/>
        <v>284</v>
      </c>
      <c r="H289" s="21">
        <v>888200100356</v>
      </c>
      <c r="I289" s="22">
        <v>343</v>
      </c>
      <c r="J289" s="23"/>
      <c r="K289" s="24">
        <v>45835</v>
      </c>
      <c r="L289" s="23">
        <f t="shared" si="29"/>
        <v>333</v>
      </c>
      <c r="M289" s="24">
        <v>7584</v>
      </c>
      <c r="N289" s="25">
        <f t="shared" si="30"/>
        <v>60</v>
      </c>
      <c r="O289" s="24">
        <v>38251</v>
      </c>
      <c r="P289" s="23">
        <f t="shared" si="31"/>
        <v>273</v>
      </c>
      <c r="Q289" s="26"/>
      <c r="R289" s="23">
        <f t="shared" si="32"/>
        <v>0</v>
      </c>
      <c r="S289" s="27" t="s">
        <v>19</v>
      </c>
      <c r="T289" s="19" t="s">
        <v>315</v>
      </c>
    </row>
    <row r="290" spans="1:20" ht="37.5" customHeight="1" x14ac:dyDescent="0.25">
      <c r="A290" s="19" t="s">
        <v>316</v>
      </c>
      <c r="B290">
        <f t="shared" si="33"/>
        <v>45808</v>
      </c>
      <c r="C290">
        <v>7905</v>
      </c>
      <c r="D290">
        <v>37903</v>
      </c>
      <c r="F290">
        <f t="shared" si="34"/>
        <v>965</v>
      </c>
      <c r="G290" s="20">
        <f t="shared" si="35"/>
        <v>285</v>
      </c>
      <c r="H290" s="21">
        <v>88814020471</v>
      </c>
      <c r="I290" s="22">
        <v>344</v>
      </c>
      <c r="J290" s="23"/>
      <c r="K290" s="24">
        <v>44843</v>
      </c>
      <c r="L290" s="23">
        <f t="shared" si="29"/>
        <v>965</v>
      </c>
      <c r="M290" s="24">
        <v>7733</v>
      </c>
      <c r="N290" s="25">
        <f t="shared" si="30"/>
        <v>172</v>
      </c>
      <c r="O290" s="24">
        <v>37110</v>
      </c>
      <c r="P290" s="23">
        <f t="shared" si="31"/>
        <v>793</v>
      </c>
      <c r="Q290" s="26"/>
      <c r="R290" s="23">
        <f t="shared" si="32"/>
        <v>0</v>
      </c>
      <c r="S290" s="27" t="s">
        <v>19</v>
      </c>
      <c r="T290" s="19" t="s">
        <v>316</v>
      </c>
    </row>
    <row r="291" spans="1:20" ht="37.5" customHeight="1" x14ac:dyDescent="0.25">
      <c r="A291" s="19" t="s">
        <v>317</v>
      </c>
      <c r="B291">
        <f t="shared" si="33"/>
        <v>12411</v>
      </c>
      <c r="C291">
        <v>2930</v>
      </c>
      <c r="D291">
        <v>9481</v>
      </c>
      <c r="E291">
        <v>16761</v>
      </c>
      <c r="F291">
        <f t="shared" si="34"/>
        <v>478</v>
      </c>
      <c r="G291" s="20">
        <f t="shared" si="35"/>
        <v>286</v>
      </c>
      <c r="H291" s="21">
        <v>99723050123</v>
      </c>
      <c r="I291" s="22">
        <v>346</v>
      </c>
      <c r="J291" s="23"/>
      <c r="K291" s="24">
        <f>M291+O291</f>
        <v>11933</v>
      </c>
      <c r="L291" s="23">
        <f t="shared" si="29"/>
        <v>478</v>
      </c>
      <c r="M291" s="24">
        <v>2832</v>
      </c>
      <c r="N291" s="25">
        <f t="shared" si="30"/>
        <v>98</v>
      </c>
      <c r="O291" s="24">
        <v>9101</v>
      </c>
      <c r="P291" s="23">
        <f t="shared" si="31"/>
        <v>380</v>
      </c>
      <c r="Q291" s="26">
        <v>15626</v>
      </c>
      <c r="R291" s="23">
        <f t="shared" si="32"/>
        <v>1135</v>
      </c>
      <c r="S291" s="27" t="s">
        <v>19</v>
      </c>
      <c r="T291" s="19" t="s">
        <v>317</v>
      </c>
    </row>
    <row r="292" spans="1:20" ht="37.5" customHeight="1" x14ac:dyDescent="0.25">
      <c r="A292" s="19" t="s">
        <v>318</v>
      </c>
      <c r="B292">
        <f t="shared" si="33"/>
        <v>69640</v>
      </c>
      <c r="C292">
        <v>11410</v>
      </c>
      <c r="D292">
        <v>58230</v>
      </c>
      <c r="F292">
        <f t="shared" si="34"/>
        <v>559</v>
      </c>
      <c r="G292" s="20">
        <f t="shared" si="35"/>
        <v>287</v>
      </c>
      <c r="H292" s="21">
        <v>23014090782</v>
      </c>
      <c r="I292" s="22">
        <v>347</v>
      </c>
      <c r="J292" s="23"/>
      <c r="K292" s="24">
        <v>69081</v>
      </c>
      <c r="L292" s="23">
        <f t="shared" si="29"/>
        <v>559</v>
      </c>
      <c r="M292" s="24">
        <v>11338</v>
      </c>
      <c r="N292" s="25">
        <f t="shared" si="30"/>
        <v>72</v>
      </c>
      <c r="O292" s="24">
        <v>57743</v>
      </c>
      <c r="P292" s="23">
        <f t="shared" si="31"/>
        <v>487</v>
      </c>
      <c r="Q292" s="26"/>
      <c r="R292" s="23">
        <f t="shared" si="32"/>
        <v>0</v>
      </c>
      <c r="S292" s="27" t="s">
        <v>19</v>
      </c>
      <c r="T292" s="19" t="s">
        <v>318</v>
      </c>
    </row>
    <row r="293" spans="1:20" ht="37.5" customHeight="1" x14ac:dyDescent="0.25">
      <c r="A293" s="19" t="s">
        <v>319</v>
      </c>
      <c r="B293">
        <f t="shared" si="33"/>
        <v>17098</v>
      </c>
      <c r="C293">
        <v>3040</v>
      </c>
      <c r="D293">
        <v>14058</v>
      </c>
      <c r="F293">
        <f t="shared" si="34"/>
        <v>215</v>
      </c>
      <c r="G293" s="20">
        <f t="shared" si="35"/>
        <v>288</v>
      </c>
      <c r="H293" s="21">
        <v>88820040291</v>
      </c>
      <c r="I293" s="22">
        <v>348</v>
      </c>
      <c r="J293" s="23"/>
      <c r="K293" s="24">
        <v>16883</v>
      </c>
      <c r="L293" s="23">
        <f t="shared" si="29"/>
        <v>215</v>
      </c>
      <c r="M293" s="24">
        <v>3001</v>
      </c>
      <c r="N293" s="25">
        <f t="shared" si="30"/>
        <v>39</v>
      </c>
      <c r="O293" s="24">
        <v>13882</v>
      </c>
      <c r="P293" s="23">
        <f t="shared" si="31"/>
        <v>176</v>
      </c>
      <c r="Q293" s="26"/>
      <c r="R293" s="23">
        <f t="shared" si="32"/>
        <v>0</v>
      </c>
      <c r="S293" s="27" t="s">
        <v>19</v>
      </c>
      <c r="T293" s="19" t="s">
        <v>319</v>
      </c>
    </row>
    <row r="294" spans="1:20" ht="37.5" customHeight="1" x14ac:dyDescent="0.25">
      <c r="A294" s="19" t="s">
        <v>320</v>
      </c>
      <c r="B294">
        <f t="shared" si="33"/>
        <v>24229</v>
      </c>
      <c r="C294">
        <v>4079</v>
      </c>
      <c r="D294">
        <v>20150</v>
      </c>
      <c r="F294">
        <f t="shared" si="34"/>
        <v>538</v>
      </c>
      <c r="G294" s="20">
        <f t="shared" si="35"/>
        <v>289</v>
      </c>
      <c r="H294" s="21">
        <v>66621070289</v>
      </c>
      <c r="I294" s="22">
        <v>349</v>
      </c>
      <c r="J294" s="23"/>
      <c r="K294" s="24">
        <v>23691</v>
      </c>
      <c r="L294" s="23">
        <f t="shared" si="29"/>
        <v>538</v>
      </c>
      <c r="M294" s="24">
        <v>3995</v>
      </c>
      <c r="N294" s="25">
        <f t="shared" si="30"/>
        <v>84</v>
      </c>
      <c r="O294" s="24">
        <v>19696</v>
      </c>
      <c r="P294" s="23">
        <f t="shared" si="31"/>
        <v>454</v>
      </c>
      <c r="Q294" s="26"/>
      <c r="R294" s="23">
        <f t="shared" si="32"/>
        <v>0</v>
      </c>
      <c r="S294" s="27" t="s">
        <v>19</v>
      </c>
      <c r="T294" s="19" t="s">
        <v>320</v>
      </c>
    </row>
    <row r="295" spans="1:20" ht="37.5" customHeight="1" x14ac:dyDescent="0.25">
      <c r="A295" s="19" t="s">
        <v>321</v>
      </c>
      <c r="B295">
        <f t="shared" si="33"/>
        <v>194</v>
      </c>
      <c r="C295">
        <v>16</v>
      </c>
      <c r="D295">
        <v>178</v>
      </c>
      <c r="F295">
        <f t="shared" si="34"/>
        <v>194</v>
      </c>
      <c r="G295" s="20">
        <f t="shared" si="35"/>
        <v>290</v>
      </c>
      <c r="H295" s="21">
        <v>66625010151</v>
      </c>
      <c r="I295" s="22">
        <v>350</v>
      </c>
      <c r="J295" s="23"/>
      <c r="K295" s="24"/>
      <c r="L295" s="23">
        <f t="shared" si="29"/>
        <v>194</v>
      </c>
      <c r="M295" s="24"/>
      <c r="N295" s="25">
        <f t="shared" si="30"/>
        <v>16</v>
      </c>
      <c r="O295" s="24"/>
      <c r="P295" s="23">
        <f t="shared" si="31"/>
        <v>178</v>
      </c>
      <c r="Q295" s="26"/>
      <c r="R295" s="23">
        <f t="shared" si="32"/>
        <v>0</v>
      </c>
      <c r="S295" s="27" t="s">
        <v>19</v>
      </c>
      <c r="T295" s="19" t="s">
        <v>321</v>
      </c>
    </row>
    <row r="296" spans="1:20" ht="37.5" customHeight="1" x14ac:dyDescent="0.25">
      <c r="A296" s="19" t="s">
        <v>322</v>
      </c>
      <c r="B296">
        <f t="shared" si="33"/>
        <v>20336</v>
      </c>
      <c r="C296">
        <v>4692</v>
      </c>
      <c r="D296">
        <v>15644</v>
      </c>
      <c r="E296">
        <v>19189</v>
      </c>
      <c r="F296">
        <f t="shared" si="34"/>
        <v>840</v>
      </c>
      <c r="G296" s="20">
        <f t="shared" si="35"/>
        <v>291</v>
      </c>
      <c r="H296" s="21">
        <v>99423020032</v>
      </c>
      <c r="I296" s="22">
        <v>351</v>
      </c>
      <c r="J296" s="23"/>
      <c r="K296" s="24">
        <f>M296+O296</f>
        <v>19496</v>
      </c>
      <c r="L296" s="23">
        <f t="shared" si="29"/>
        <v>840</v>
      </c>
      <c r="M296" s="24">
        <v>4515</v>
      </c>
      <c r="N296" s="25">
        <f t="shared" si="30"/>
        <v>177</v>
      </c>
      <c r="O296" s="24">
        <v>14981</v>
      </c>
      <c r="P296" s="23">
        <f t="shared" si="31"/>
        <v>663</v>
      </c>
      <c r="Q296" s="26">
        <v>18159</v>
      </c>
      <c r="R296" s="23">
        <f t="shared" si="32"/>
        <v>1030</v>
      </c>
      <c r="S296" s="27" t="s">
        <v>19</v>
      </c>
      <c r="T296" s="19" t="s">
        <v>322</v>
      </c>
    </row>
    <row r="297" spans="1:20" ht="37.5" customHeight="1" x14ac:dyDescent="0.25">
      <c r="A297" s="19" t="s">
        <v>323</v>
      </c>
      <c r="B297">
        <f t="shared" si="33"/>
        <v>2535</v>
      </c>
      <c r="C297">
        <v>729</v>
      </c>
      <c r="D297">
        <v>1806</v>
      </c>
      <c r="E297">
        <v>4620</v>
      </c>
      <c r="F297">
        <f t="shared" si="34"/>
        <v>303</v>
      </c>
      <c r="G297" s="20">
        <f t="shared" si="35"/>
        <v>292</v>
      </c>
      <c r="H297" s="21">
        <v>99624040026</v>
      </c>
      <c r="I297" s="22">
        <v>352</v>
      </c>
      <c r="J297" s="23"/>
      <c r="K297" s="24">
        <f>M297+O297</f>
        <v>2232</v>
      </c>
      <c r="L297" s="23">
        <f t="shared" si="29"/>
        <v>303</v>
      </c>
      <c r="M297" s="24">
        <v>632</v>
      </c>
      <c r="N297" s="25">
        <f t="shared" si="30"/>
        <v>97</v>
      </c>
      <c r="O297" s="24">
        <v>1600</v>
      </c>
      <c r="P297" s="23">
        <f t="shared" si="31"/>
        <v>206</v>
      </c>
      <c r="Q297" s="26">
        <v>3776</v>
      </c>
      <c r="R297" s="23">
        <f t="shared" si="32"/>
        <v>844</v>
      </c>
      <c r="S297" s="27" t="s">
        <v>19</v>
      </c>
      <c r="T297" s="19" t="s">
        <v>323</v>
      </c>
    </row>
    <row r="298" spans="1:20" ht="37.5" customHeight="1" x14ac:dyDescent="0.25">
      <c r="A298" s="19" t="s">
        <v>324</v>
      </c>
      <c r="B298">
        <f t="shared" si="33"/>
        <v>118735</v>
      </c>
      <c r="C298">
        <v>22702</v>
      </c>
      <c r="D298">
        <v>96033</v>
      </c>
      <c r="F298">
        <f t="shared" si="34"/>
        <v>981</v>
      </c>
      <c r="G298" s="20">
        <f t="shared" si="35"/>
        <v>293</v>
      </c>
      <c r="H298" s="21">
        <v>23013010331</v>
      </c>
      <c r="I298" s="22">
        <v>353</v>
      </c>
      <c r="J298" s="23"/>
      <c r="K298" s="24">
        <v>117754</v>
      </c>
      <c r="L298" s="23">
        <f t="shared" si="29"/>
        <v>981</v>
      </c>
      <c r="M298" s="24">
        <v>22501</v>
      </c>
      <c r="N298" s="25">
        <f t="shared" si="30"/>
        <v>201</v>
      </c>
      <c r="O298" s="24">
        <v>95253</v>
      </c>
      <c r="P298" s="23">
        <f t="shared" si="31"/>
        <v>780</v>
      </c>
      <c r="Q298" s="26"/>
      <c r="R298" s="23">
        <f t="shared" si="32"/>
        <v>0</v>
      </c>
      <c r="S298" s="27" t="s">
        <v>19</v>
      </c>
      <c r="T298" s="19" t="s">
        <v>324</v>
      </c>
    </row>
    <row r="299" spans="1:20" ht="37.5" customHeight="1" x14ac:dyDescent="0.25">
      <c r="A299" s="19" t="s">
        <v>325</v>
      </c>
      <c r="B299">
        <f t="shared" si="33"/>
        <v>13244</v>
      </c>
      <c r="C299">
        <v>3684</v>
      </c>
      <c r="D299">
        <v>9560</v>
      </c>
      <c r="E299">
        <v>15448</v>
      </c>
      <c r="F299">
        <f t="shared" si="34"/>
        <v>457</v>
      </c>
      <c r="G299" s="20">
        <f t="shared" si="35"/>
        <v>294</v>
      </c>
      <c r="H299" s="21">
        <v>99723070018</v>
      </c>
      <c r="I299" s="22">
        <v>354</v>
      </c>
      <c r="J299" s="23"/>
      <c r="K299" s="24">
        <f>M299+O299</f>
        <v>12787</v>
      </c>
      <c r="L299" s="23">
        <f t="shared" si="29"/>
        <v>457</v>
      </c>
      <c r="M299" s="24">
        <v>3565</v>
      </c>
      <c r="N299" s="25">
        <f t="shared" si="30"/>
        <v>119</v>
      </c>
      <c r="O299" s="24">
        <v>9222</v>
      </c>
      <c r="P299" s="23">
        <f t="shared" si="31"/>
        <v>338</v>
      </c>
      <c r="Q299" s="26">
        <v>14254</v>
      </c>
      <c r="R299" s="23">
        <f t="shared" si="32"/>
        <v>1194</v>
      </c>
      <c r="S299" s="27" t="s">
        <v>19</v>
      </c>
      <c r="T299" s="19" t="s">
        <v>325</v>
      </c>
    </row>
    <row r="300" spans="1:20" ht="37.5" customHeight="1" x14ac:dyDescent="0.25">
      <c r="A300" s="19" t="s">
        <v>326</v>
      </c>
      <c r="B300">
        <f t="shared" si="33"/>
        <v>6091</v>
      </c>
      <c r="C300">
        <v>1626</v>
      </c>
      <c r="D300">
        <v>4465</v>
      </c>
      <c r="E300">
        <v>11791</v>
      </c>
      <c r="F300">
        <f t="shared" si="34"/>
        <v>342</v>
      </c>
      <c r="G300" s="20">
        <f t="shared" si="35"/>
        <v>295</v>
      </c>
      <c r="H300" s="21">
        <v>99623080538</v>
      </c>
      <c r="I300" s="22">
        <v>355</v>
      </c>
      <c r="J300" s="23"/>
      <c r="K300" s="24">
        <f>M300+O300</f>
        <v>5749</v>
      </c>
      <c r="L300" s="23">
        <f t="shared" si="29"/>
        <v>342</v>
      </c>
      <c r="M300" s="24">
        <v>1516</v>
      </c>
      <c r="N300" s="25">
        <f t="shared" si="30"/>
        <v>110</v>
      </c>
      <c r="O300" s="24">
        <v>4233</v>
      </c>
      <c r="P300" s="23">
        <f t="shared" si="31"/>
        <v>232</v>
      </c>
      <c r="Q300" s="26">
        <v>10697</v>
      </c>
      <c r="R300" s="23">
        <f t="shared" si="32"/>
        <v>1094</v>
      </c>
      <c r="S300" s="27" t="s">
        <v>19</v>
      </c>
      <c r="T300" s="19" t="s">
        <v>326</v>
      </c>
    </row>
    <row r="301" spans="1:20" ht="37.5" customHeight="1" x14ac:dyDescent="0.25">
      <c r="A301" s="19" t="s">
        <v>327</v>
      </c>
      <c r="B301">
        <f t="shared" si="33"/>
        <v>41734</v>
      </c>
      <c r="C301">
        <v>7645</v>
      </c>
      <c r="D301">
        <v>34089</v>
      </c>
      <c r="F301">
        <f t="shared" si="34"/>
        <v>265</v>
      </c>
      <c r="G301" s="20">
        <f t="shared" si="35"/>
        <v>296</v>
      </c>
      <c r="H301" s="21">
        <v>66617020304</v>
      </c>
      <c r="I301" s="22">
        <v>356</v>
      </c>
      <c r="J301" s="23"/>
      <c r="K301" s="24">
        <v>41469</v>
      </c>
      <c r="L301" s="23">
        <f t="shared" si="29"/>
        <v>265</v>
      </c>
      <c r="M301" s="24">
        <v>7593</v>
      </c>
      <c r="N301" s="25">
        <f t="shared" si="30"/>
        <v>52</v>
      </c>
      <c r="O301" s="24">
        <v>33876</v>
      </c>
      <c r="P301" s="23">
        <f t="shared" si="31"/>
        <v>213</v>
      </c>
      <c r="Q301" s="26"/>
      <c r="R301" s="23">
        <f t="shared" si="32"/>
        <v>0</v>
      </c>
      <c r="S301" s="27" t="s">
        <v>19</v>
      </c>
      <c r="T301" s="19" t="s">
        <v>327</v>
      </c>
    </row>
    <row r="302" spans="1:20" ht="37.5" customHeight="1" x14ac:dyDescent="0.25">
      <c r="A302" s="19" t="s">
        <v>328</v>
      </c>
      <c r="B302">
        <f t="shared" si="33"/>
        <v>23050</v>
      </c>
      <c r="C302">
        <v>4432</v>
      </c>
      <c r="D302">
        <v>18618</v>
      </c>
      <c r="F302">
        <f t="shared" si="34"/>
        <v>647</v>
      </c>
      <c r="G302" s="20">
        <f t="shared" si="35"/>
        <v>297</v>
      </c>
      <c r="H302" s="21">
        <v>66621040453</v>
      </c>
      <c r="I302" s="22">
        <v>357</v>
      </c>
      <c r="J302" s="23"/>
      <c r="K302" s="24">
        <v>22403</v>
      </c>
      <c r="L302" s="23">
        <f t="shared" si="29"/>
        <v>647</v>
      </c>
      <c r="M302" s="24">
        <v>4320</v>
      </c>
      <c r="N302" s="25">
        <f t="shared" si="30"/>
        <v>112</v>
      </c>
      <c r="O302" s="24">
        <v>18083</v>
      </c>
      <c r="P302" s="23">
        <f t="shared" si="31"/>
        <v>535</v>
      </c>
      <c r="Q302" s="26"/>
      <c r="R302" s="23">
        <f t="shared" si="32"/>
        <v>0</v>
      </c>
      <c r="S302" s="27" t="s">
        <v>19</v>
      </c>
      <c r="T302" s="19" t="s">
        <v>328</v>
      </c>
    </row>
    <row r="303" spans="1:20" ht="37.5" customHeight="1" x14ac:dyDescent="0.25">
      <c r="A303" s="19" t="s">
        <v>329</v>
      </c>
      <c r="B303">
        <f t="shared" si="33"/>
        <v>104606</v>
      </c>
      <c r="C303">
        <v>19562</v>
      </c>
      <c r="D303">
        <v>85044</v>
      </c>
      <c r="F303">
        <f t="shared" si="34"/>
        <v>439</v>
      </c>
      <c r="G303" s="20">
        <f t="shared" si="35"/>
        <v>298</v>
      </c>
      <c r="H303" s="21">
        <v>23012010110</v>
      </c>
      <c r="I303" s="22">
        <v>358</v>
      </c>
      <c r="J303" s="23"/>
      <c r="K303" s="24">
        <v>104167</v>
      </c>
      <c r="L303" s="23">
        <f t="shared" si="29"/>
        <v>439</v>
      </c>
      <c r="M303" s="24">
        <v>19488</v>
      </c>
      <c r="N303" s="25">
        <f t="shared" si="30"/>
        <v>74</v>
      </c>
      <c r="O303" s="24">
        <v>84679</v>
      </c>
      <c r="P303" s="23">
        <f t="shared" si="31"/>
        <v>365</v>
      </c>
      <c r="Q303" s="26"/>
      <c r="R303" s="23">
        <f t="shared" si="32"/>
        <v>0</v>
      </c>
      <c r="S303" s="27" t="s">
        <v>19</v>
      </c>
      <c r="T303" s="19" t="s">
        <v>329</v>
      </c>
    </row>
    <row r="304" spans="1:20" ht="37.5" customHeight="1" x14ac:dyDescent="0.25">
      <c r="A304" s="19" t="s">
        <v>330</v>
      </c>
      <c r="B304">
        <f t="shared" si="33"/>
        <v>23475</v>
      </c>
      <c r="C304">
        <v>3592</v>
      </c>
      <c r="D304">
        <v>19883</v>
      </c>
      <c r="F304">
        <f t="shared" si="34"/>
        <v>457</v>
      </c>
      <c r="G304" s="20">
        <f t="shared" si="35"/>
        <v>299</v>
      </c>
      <c r="H304" s="21">
        <v>66621100088</v>
      </c>
      <c r="I304" s="22">
        <v>359</v>
      </c>
      <c r="J304" s="23"/>
      <c r="K304" s="24">
        <v>23018</v>
      </c>
      <c r="L304" s="23">
        <f t="shared" si="29"/>
        <v>457</v>
      </c>
      <c r="M304" s="24">
        <v>3519</v>
      </c>
      <c r="N304" s="25">
        <f t="shared" si="30"/>
        <v>73</v>
      </c>
      <c r="O304" s="24">
        <v>19499</v>
      </c>
      <c r="P304" s="23">
        <f t="shared" si="31"/>
        <v>384</v>
      </c>
      <c r="Q304" s="26"/>
      <c r="R304" s="23">
        <f t="shared" si="32"/>
        <v>0</v>
      </c>
      <c r="S304" s="27" t="s">
        <v>19</v>
      </c>
      <c r="T304" s="19" t="s">
        <v>330</v>
      </c>
    </row>
    <row r="305" spans="1:20" ht="37.5" customHeight="1" x14ac:dyDescent="0.25">
      <c r="A305" s="19" t="s">
        <v>331</v>
      </c>
      <c r="B305">
        <f t="shared" si="33"/>
        <v>3219</v>
      </c>
      <c r="C305">
        <v>790</v>
      </c>
      <c r="D305">
        <v>2429</v>
      </c>
      <c r="E305">
        <v>6618</v>
      </c>
      <c r="F305">
        <f t="shared" si="34"/>
        <v>231</v>
      </c>
      <c r="G305" s="20">
        <f t="shared" si="35"/>
        <v>300</v>
      </c>
      <c r="H305" s="21">
        <v>99624030065</v>
      </c>
      <c r="I305" s="22">
        <v>361</v>
      </c>
      <c r="J305" s="23"/>
      <c r="K305" s="24">
        <f>M305+O305</f>
        <v>2988</v>
      </c>
      <c r="L305" s="23">
        <f t="shared" si="29"/>
        <v>231</v>
      </c>
      <c r="M305" s="24">
        <v>725</v>
      </c>
      <c r="N305" s="25">
        <f t="shared" si="30"/>
        <v>65</v>
      </c>
      <c r="O305" s="24">
        <v>2263</v>
      </c>
      <c r="P305" s="23">
        <f t="shared" si="31"/>
        <v>166</v>
      </c>
      <c r="Q305" s="26">
        <v>5690</v>
      </c>
      <c r="R305" s="23">
        <f t="shared" si="32"/>
        <v>928</v>
      </c>
      <c r="S305" s="27" t="s">
        <v>19</v>
      </c>
      <c r="T305" s="19" t="s">
        <v>331</v>
      </c>
    </row>
    <row r="306" spans="1:20" ht="37.5" customHeight="1" x14ac:dyDescent="0.25">
      <c r="A306" s="19" t="s">
        <v>332</v>
      </c>
      <c r="B306">
        <f t="shared" si="33"/>
        <v>80025</v>
      </c>
      <c r="C306">
        <v>14744</v>
      </c>
      <c r="D306">
        <v>65281</v>
      </c>
      <c r="F306">
        <f t="shared" si="34"/>
        <v>582</v>
      </c>
      <c r="G306" s="20">
        <f t="shared" si="35"/>
        <v>301</v>
      </c>
      <c r="H306" s="21">
        <v>23013010096</v>
      </c>
      <c r="I306" s="22">
        <v>362</v>
      </c>
      <c r="J306" s="23"/>
      <c r="K306" s="24">
        <v>79443</v>
      </c>
      <c r="L306" s="23">
        <f t="shared" si="29"/>
        <v>582</v>
      </c>
      <c r="M306" s="24">
        <v>14650</v>
      </c>
      <c r="N306" s="25">
        <f t="shared" si="30"/>
        <v>94</v>
      </c>
      <c r="O306" s="24">
        <v>64793</v>
      </c>
      <c r="P306" s="23">
        <f t="shared" si="31"/>
        <v>488</v>
      </c>
      <c r="Q306" s="26"/>
      <c r="R306" s="23">
        <f t="shared" si="32"/>
        <v>0</v>
      </c>
      <c r="S306" s="27" t="s">
        <v>19</v>
      </c>
      <c r="T306" s="19" t="s">
        <v>332</v>
      </c>
    </row>
    <row r="307" spans="1:20" ht="37.5" customHeight="1" x14ac:dyDescent="0.25">
      <c r="A307" s="19" t="s">
        <v>333</v>
      </c>
      <c r="B307">
        <f t="shared" si="33"/>
        <v>55133</v>
      </c>
      <c r="C307">
        <v>9742</v>
      </c>
      <c r="D307">
        <v>45391</v>
      </c>
      <c r="F307">
        <f t="shared" si="34"/>
        <v>711</v>
      </c>
      <c r="G307" s="20">
        <f t="shared" si="35"/>
        <v>302</v>
      </c>
      <c r="H307" s="21">
        <v>88820030026</v>
      </c>
      <c r="I307" s="22">
        <v>363</v>
      </c>
      <c r="J307" s="23"/>
      <c r="K307" s="24">
        <v>54422</v>
      </c>
      <c r="L307" s="23">
        <f t="shared" si="29"/>
        <v>711</v>
      </c>
      <c r="M307" s="24">
        <v>9631</v>
      </c>
      <c r="N307" s="25">
        <f t="shared" si="30"/>
        <v>111</v>
      </c>
      <c r="O307" s="24">
        <v>44791</v>
      </c>
      <c r="P307" s="23">
        <f t="shared" si="31"/>
        <v>600</v>
      </c>
      <c r="Q307" s="26"/>
      <c r="R307" s="23">
        <f t="shared" si="32"/>
        <v>0</v>
      </c>
      <c r="S307" s="27" t="s">
        <v>19</v>
      </c>
      <c r="T307" s="19" t="s">
        <v>333</v>
      </c>
    </row>
    <row r="308" spans="1:20" ht="37.5" customHeight="1" x14ac:dyDescent="0.25">
      <c r="A308" s="19" t="s">
        <v>334</v>
      </c>
      <c r="B308">
        <f t="shared" si="33"/>
        <v>10430</v>
      </c>
      <c r="C308">
        <v>1714</v>
      </c>
      <c r="D308">
        <v>8716</v>
      </c>
      <c r="F308">
        <f t="shared" si="34"/>
        <v>236</v>
      </c>
      <c r="G308" s="20">
        <f t="shared" si="35"/>
        <v>303</v>
      </c>
      <c r="H308" s="21">
        <v>66617020169</v>
      </c>
      <c r="I308" s="22">
        <v>364</v>
      </c>
      <c r="J308" s="23"/>
      <c r="K308" s="24">
        <v>10194</v>
      </c>
      <c r="L308" s="23">
        <f t="shared" si="29"/>
        <v>236</v>
      </c>
      <c r="M308" s="24">
        <v>1683</v>
      </c>
      <c r="N308" s="25">
        <f t="shared" si="30"/>
        <v>31</v>
      </c>
      <c r="O308" s="24">
        <v>8511</v>
      </c>
      <c r="P308" s="23">
        <f t="shared" si="31"/>
        <v>205</v>
      </c>
      <c r="Q308" s="26"/>
      <c r="R308" s="23">
        <f t="shared" si="32"/>
        <v>0</v>
      </c>
      <c r="S308" s="27" t="s">
        <v>19</v>
      </c>
      <c r="T308" s="19" t="s">
        <v>334</v>
      </c>
    </row>
    <row r="309" spans="1:20" ht="37.5" customHeight="1" x14ac:dyDescent="0.25">
      <c r="A309" s="19" t="s">
        <v>335</v>
      </c>
      <c r="B309">
        <f t="shared" si="33"/>
        <v>74830</v>
      </c>
      <c r="C309">
        <v>13477</v>
      </c>
      <c r="D309">
        <v>61353</v>
      </c>
      <c r="F309">
        <f t="shared" si="34"/>
        <v>583</v>
      </c>
      <c r="G309" s="20">
        <f t="shared" si="35"/>
        <v>304</v>
      </c>
      <c r="H309" s="21">
        <v>88818020155</v>
      </c>
      <c r="I309" s="22">
        <v>365</v>
      </c>
      <c r="J309" s="23"/>
      <c r="K309" s="24">
        <v>74247</v>
      </c>
      <c r="L309" s="23">
        <f t="shared" si="29"/>
        <v>583</v>
      </c>
      <c r="M309" s="24">
        <v>13310</v>
      </c>
      <c r="N309" s="25">
        <f t="shared" si="30"/>
        <v>167</v>
      </c>
      <c r="O309" s="24">
        <v>60937</v>
      </c>
      <c r="P309" s="23">
        <f t="shared" si="31"/>
        <v>416</v>
      </c>
      <c r="Q309" s="26"/>
      <c r="R309" s="23">
        <f t="shared" si="32"/>
        <v>0</v>
      </c>
      <c r="S309" s="27" t="s">
        <v>19</v>
      </c>
      <c r="T309" s="19" t="s">
        <v>335</v>
      </c>
    </row>
    <row r="310" spans="1:20" ht="37.5" customHeight="1" x14ac:dyDescent="0.25">
      <c r="A310" s="19" t="s">
        <v>336</v>
      </c>
      <c r="B310">
        <f t="shared" si="33"/>
        <v>9838</v>
      </c>
      <c r="C310">
        <v>3060</v>
      </c>
      <c r="D310">
        <v>6778</v>
      </c>
      <c r="E310">
        <v>9260</v>
      </c>
      <c r="F310">
        <f t="shared" si="34"/>
        <v>826</v>
      </c>
      <c r="G310" s="20">
        <f t="shared" si="35"/>
        <v>305</v>
      </c>
      <c r="H310" s="21">
        <v>99624010141</v>
      </c>
      <c r="I310" s="22">
        <v>412</v>
      </c>
      <c r="J310" s="23"/>
      <c r="K310" s="24">
        <f>M310+O310</f>
        <v>9012</v>
      </c>
      <c r="L310" s="23">
        <f t="shared" si="29"/>
        <v>826</v>
      </c>
      <c r="M310" s="24">
        <v>2784</v>
      </c>
      <c r="N310" s="25">
        <f t="shared" si="30"/>
        <v>276</v>
      </c>
      <c r="O310" s="24">
        <v>6228</v>
      </c>
      <c r="P310" s="23">
        <f t="shared" si="31"/>
        <v>550</v>
      </c>
      <c r="Q310" s="26">
        <v>8264</v>
      </c>
      <c r="R310" s="23">
        <f t="shared" si="32"/>
        <v>996</v>
      </c>
      <c r="S310" s="27" t="s">
        <v>19</v>
      </c>
      <c r="T310" s="19" t="s">
        <v>336</v>
      </c>
    </row>
    <row r="311" spans="1:20" ht="37.5" customHeight="1" x14ac:dyDescent="0.25">
      <c r="A311" s="19" t="s">
        <v>337</v>
      </c>
      <c r="B311">
        <v>12821</v>
      </c>
      <c r="C311" s="36"/>
      <c r="D311" s="36"/>
      <c r="F311">
        <f t="shared" si="34"/>
        <v>0</v>
      </c>
      <c r="G311" s="20">
        <f t="shared" si="35"/>
        <v>306</v>
      </c>
      <c r="H311" s="21">
        <v>23015100479</v>
      </c>
      <c r="I311" s="22">
        <v>413</v>
      </c>
      <c r="J311" s="23"/>
      <c r="K311" s="24">
        <v>12821</v>
      </c>
      <c r="L311" s="23">
        <f t="shared" si="29"/>
        <v>0</v>
      </c>
      <c r="M311" s="24">
        <v>1611</v>
      </c>
      <c r="N311" s="25">
        <f t="shared" si="30"/>
        <v>-1611</v>
      </c>
      <c r="O311" s="24">
        <v>11205</v>
      </c>
      <c r="P311" s="23">
        <f t="shared" si="31"/>
        <v>-11205</v>
      </c>
      <c r="Q311" s="26"/>
      <c r="R311" s="23">
        <f t="shared" si="32"/>
        <v>0</v>
      </c>
      <c r="S311" s="27" t="s">
        <v>19</v>
      </c>
      <c r="T311" s="19" t="s">
        <v>337</v>
      </c>
    </row>
    <row r="312" spans="1:20" ht="37.5" customHeight="1" x14ac:dyDescent="0.25">
      <c r="A312" s="19" t="s">
        <v>338</v>
      </c>
      <c r="B312">
        <f t="shared" si="33"/>
        <v>14766</v>
      </c>
      <c r="C312">
        <v>3955</v>
      </c>
      <c r="D312">
        <v>10811</v>
      </c>
      <c r="E312">
        <v>9120</v>
      </c>
      <c r="F312">
        <f t="shared" si="34"/>
        <v>721</v>
      </c>
      <c r="G312" s="20">
        <f t="shared" si="35"/>
        <v>307</v>
      </c>
      <c r="H312" s="21">
        <v>99624010140</v>
      </c>
      <c r="I312" s="22">
        <v>414</v>
      </c>
      <c r="J312" s="23"/>
      <c r="K312" s="24">
        <f>M312+O312</f>
        <v>14045</v>
      </c>
      <c r="L312" s="23">
        <f t="shared" si="29"/>
        <v>721</v>
      </c>
      <c r="M312" s="24">
        <v>3719</v>
      </c>
      <c r="N312" s="25">
        <f t="shared" si="30"/>
        <v>236</v>
      </c>
      <c r="O312" s="24">
        <v>10326</v>
      </c>
      <c r="P312" s="23">
        <f t="shared" si="31"/>
        <v>485</v>
      </c>
      <c r="Q312" s="26">
        <v>8056</v>
      </c>
      <c r="R312" s="23">
        <f t="shared" si="32"/>
        <v>1064</v>
      </c>
      <c r="S312" s="27" t="s">
        <v>19</v>
      </c>
      <c r="T312" s="19" t="s">
        <v>338</v>
      </c>
    </row>
    <row r="313" spans="1:20" ht="37.5" customHeight="1" x14ac:dyDescent="0.25">
      <c r="A313" s="19" t="s">
        <v>339</v>
      </c>
      <c r="B313">
        <f t="shared" si="33"/>
        <v>10785</v>
      </c>
      <c r="C313">
        <v>2956</v>
      </c>
      <c r="D313">
        <v>7829</v>
      </c>
      <c r="E313">
        <v>10281</v>
      </c>
      <c r="F313">
        <f t="shared" si="34"/>
        <v>597</v>
      </c>
      <c r="G313" s="20">
        <f t="shared" si="35"/>
        <v>308</v>
      </c>
      <c r="H313" s="21">
        <v>99624010139</v>
      </c>
      <c r="I313" s="22">
        <v>415</v>
      </c>
      <c r="J313" s="23"/>
      <c r="K313" s="24">
        <f>M313+O313</f>
        <v>10188</v>
      </c>
      <c r="L313" s="23">
        <f t="shared" si="29"/>
        <v>597</v>
      </c>
      <c r="M313" s="24">
        <v>2784</v>
      </c>
      <c r="N313" s="25">
        <f t="shared" si="30"/>
        <v>172</v>
      </c>
      <c r="O313" s="24">
        <v>7404</v>
      </c>
      <c r="P313" s="23">
        <f t="shared" si="31"/>
        <v>425</v>
      </c>
      <c r="Q313" s="26">
        <v>9113</v>
      </c>
      <c r="R313" s="23">
        <f t="shared" si="32"/>
        <v>1168</v>
      </c>
      <c r="S313" s="27" t="s">
        <v>19</v>
      </c>
      <c r="T313" s="19" t="s">
        <v>339</v>
      </c>
    </row>
    <row r="314" spans="1:20" ht="37.5" customHeight="1" x14ac:dyDescent="0.25">
      <c r="A314" s="19" t="s">
        <v>340</v>
      </c>
      <c r="B314">
        <f t="shared" si="33"/>
        <v>57388</v>
      </c>
      <c r="C314">
        <v>16616</v>
      </c>
      <c r="D314">
        <v>40772</v>
      </c>
      <c r="F314">
        <f t="shared" si="34"/>
        <v>0</v>
      </c>
      <c r="G314" s="20">
        <f t="shared" si="35"/>
        <v>309</v>
      </c>
      <c r="H314" s="21">
        <v>230100900051</v>
      </c>
      <c r="I314" s="22">
        <v>416</v>
      </c>
      <c r="J314" s="23"/>
      <c r="K314" s="24">
        <v>57388</v>
      </c>
      <c r="L314" s="23">
        <f t="shared" si="29"/>
        <v>0</v>
      </c>
      <c r="M314" s="24">
        <v>16616</v>
      </c>
      <c r="N314" s="25">
        <f t="shared" si="30"/>
        <v>0</v>
      </c>
      <c r="O314" s="24">
        <v>40772</v>
      </c>
      <c r="P314" s="23">
        <f t="shared" si="31"/>
        <v>0</v>
      </c>
      <c r="Q314" s="26"/>
      <c r="R314" s="23">
        <f t="shared" si="32"/>
        <v>0</v>
      </c>
      <c r="S314" s="27" t="s">
        <v>19</v>
      </c>
      <c r="T314" s="19" t="s">
        <v>340</v>
      </c>
    </row>
    <row r="315" spans="1:20" ht="37.5" customHeight="1" x14ac:dyDescent="0.25">
      <c r="A315" s="19" t="s">
        <v>341</v>
      </c>
      <c r="B315">
        <f t="shared" si="33"/>
        <v>11690</v>
      </c>
      <c r="C315">
        <v>3625</v>
      </c>
      <c r="D315">
        <v>8065</v>
      </c>
      <c r="E315">
        <v>10130</v>
      </c>
      <c r="F315">
        <f t="shared" si="34"/>
        <v>822</v>
      </c>
      <c r="G315" s="20">
        <f t="shared" si="35"/>
        <v>310</v>
      </c>
      <c r="H315" s="21">
        <v>99624010053</v>
      </c>
      <c r="I315" s="22">
        <v>417</v>
      </c>
      <c r="J315" s="23"/>
      <c r="K315" s="24">
        <f>M315+O315</f>
        <v>10868</v>
      </c>
      <c r="L315" s="23">
        <f t="shared" si="29"/>
        <v>822</v>
      </c>
      <c r="M315" s="24">
        <v>3368</v>
      </c>
      <c r="N315" s="25">
        <f t="shared" si="30"/>
        <v>257</v>
      </c>
      <c r="O315" s="24">
        <v>7500</v>
      </c>
      <c r="P315" s="23">
        <f t="shared" si="31"/>
        <v>565</v>
      </c>
      <c r="Q315" s="26">
        <v>9118</v>
      </c>
      <c r="R315" s="23">
        <f t="shared" si="32"/>
        <v>1012</v>
      </c>
      <c r="S315" s="27" t="s">
        <v>19</v>
      </c>
      <c r="T315" s="19" t="s">
        <v>341</v>
      </c>
    </row>
    <row r="316" spans="1:20" ht="37.5" customHeight="1" x14ac:dyDescent="0.25">
      <c r="A316" s="19" t="s">
        <v>342</v>
      </c>
      <c r="B316">
        <f t="shared" si="33"/>
        <v>43761</v>
      </c>
      <c r="C316">
        <v>8520</v>
      </c>
      <c r="D316">
        <v>35241</v>
      </c>
      <c r="F316">
        <f t="shared" si="34"/>
        <v>0</v>
      </c>
      <c r="G316" s="20">
        <f t="shared" si="35"/>
        <v>311</v>
      </c>
      <c r="H316" s="21">
        <v>23011120088</v>
      </c>
      <c r="I316" s="22">
        <v>418</v>
      </c>
      <c r="J316" s="23"/>
      <c r="K316" s="24">
        <v>43761</v>
      </c>
      <c r="L316" s="23">
        <f t="shared" si="29"/>
        <v>0</v>
      </c>
      <c r="M316" s="24">
        <v>8520</v>
      </c>
      <c r="N316" s="25">
        <f t="shared" si="30"/>
        <v>0</v>
      </c>
      <c r="O316" s="24">
        <v>35241</v>
      </c>
      <c r="P316" s="23">
        <f t="shared" si="31"/>
        <v>0</v>
      </c>
      <c r="Q316" s="26"/>
      <c r="R316" s="23">
        <f t="shared" si="32"/>
        <v>0</v>
      </c>
      <c r="S316" s="27" t="s">
        <v>19</v>
      </c>
      <c r="T316" s="19" t="s">
        <v>342</v>
      </c>
    </row>
    <row r="317" spans="1:20" ht="37.5" customHeight="1" x14ac:dyDescent="0.25">
      <c r="A317" s="19" t="s">
        <v>343</v>
      </c>
      <c r="B317">
        <f t="shared" si="33"/>
        <v>87423</v>
      </c>
      <c r="C317">
        <v>16411</v>
      </c>
      <c r="D317">
        <v>71012</v>
      </c>
      <c r="F317">
        <f t="shared" si="34"/>
        <v>452</v>
      </c>
      <c r="G317" s="20">
        <f t="shared" si="35"/>
        <v>312</v>
      </c>
      <c r="H317" s="21">
        <v>23014090101</v>
      </c>
      <c r="I317" s="22">
        <v>419</v>
      </c>
      <c r="J317" s="23"/>
      <c r="K317" s="24">
        <v>86971</v>
      </c>
      <c r="L317" s="23">
        <f t="shared" si="29"/>
        <v>452</v>
      </c>
      <c r="M317" s="24">
        <v>16339</v>
      </c>
      <c r="N317" s="25">
        <f t="shared" si="30"/>
        <v>72</v>
      </c>
      <c r="O317" s="24">
        <v>70632</v>
      </c>
      <c r="P317" s="23">
        <f t="shared" si="31"/>
        <v>380</v>
      </c>
      <c r="Q317" s="26"/>
      <c r="R317" s="23">
        <f t="shared" si="32"/>
        <v>0</v>
      </c>
      <c r="S317" s="27" t="s">
        <v>19</v>
      </c>
      <c r="T317" s="19" t="s">
        <v>343</v>
      </c>
    </row>
    <row r="318" spans="1:20" ht="37.5" customHeight="1" x14ac:dyDescent="0.25">
      <c r="A318" s="19" t="s">
        <v>344</v>
      </c>
      <c r="B318">
        <f t="shared" si="33"/>
        <v>16073</v>
      </c>
      <c r="C318">
        <v>2683</v>
      </c>
      <c r="D318">
        <v>13390</v>
      </c>
      <c r="F318">
        <f t="shared" si="34"/>
        <v>141</v>
      </c>
      <c r="G318" s="20">
        <f t="shared" si="35"/>
        <v>313</v>
      </c>
      <c r="H318" s="21">
        <v>66621050219</v>
      </c>
      <c r="I318" s="22">
        <v>421</v>
      </c>
      <c r="J318" s="23"/>
      <c r="K318" s="24">
        <v>15932</v>
      </c>
      <c r="L318" s="23">
        <f t="shared" si="29"/>
        <v>141</v>
      </c>
      <c r="M318" s="24">
        <v>2655</v>
      </c>
      <c r="N318" s="25">
        <f t="shared" si="30"/>
        <v>28</v>
      </c>
      <c r="O318" s="24">
        <v>13277</v>
      </c>
      <c r="P318" s="23">
        <f t="shared" si="31"/>
        <v>113</v>
      </c>
      <c r="Q318" s="26"/>
      <c r="R318" s="23">
        <f t="shared" si="32"/>
        <v>0</v>
      </c>
      <c r="S318" s="27" t="s">
        <v>19</v>
      </c>
      <c r="T318" s="19" t="s">
        <v>344</v>
      </c>
    </row>
    <row r="319" spans="1:20" ht="37.5" customHeight="1" x14ac:dyDescent="0.25">
      <c r="A319" s="19" t="s">
        <v>345</v>
      </c>
      <c r="B319">
        <f t="shared" si="33"/>
        <v>8016</v>
      </c>
      <c r="C319">
        <v>1715</v>
      </c>
      <c r="D319">
        <v>6301</v>
      </c>
      <c r="F319">
        <f t="shared" si="34"/>
        <v>15</v>
      </c>
      <c r="G319" s="20">
        <f t="shared" si="35"/>
        <v>314</v>
      </c>
      <c r="H319" s="21">
        <v>66618010475</v>
      </c>
      <c r="I319" s="22" t="s">
        <v>346</v>
      </c>
      <c r="J319" s="23"/>
      <c r="K319" s="24">
        <v>8001</v>
      </c>
      <c r="L319" s="23">
        <f t="shared" si="29"/>
        <v>15</v>
      </c>
      <c r="M319" s="24">
        <v>1706</v>
      </c>
      <c r="N319" s="25">
        <f t="shared" si="30"/>
        <v>9</v>
      </c>
      <c r="O319" s="24">
        <v>6295</v>
      </c>
      <c r="P319" s="23">
        <f t="shared" si="31"/>
        <v>6</v>
      </c>
      <c r="Q319" s="26"/>
      <c r="R319" s="23">
        <f t="shared" si="32"/>
        <v>0</v>
      </c>
      <c r="S319" s="27" t="s">
        <v>19</v>
      </c>
      <c r="T319" s="19" t="s">
        <v>345</v>
      </c>
    </row>
    <row r="320" spans="1:20" ht="37.5" customHeight="1" x14ac:dyDescent="0.25">
      <c r="A320" s="19" t="s">
        <v>347</v>
      </c>
      <c r="B320">
        <f t="shared" si="33"/>
        <v>6263</v>
      </c>
      <c r="C320">
        <v>1581</v>
      </c>
      <c r="D320">
        <v>4682</v>
      </c>
      <c r="E320">
        <v>4113</v>
      </c>
      <c r="F320">
        <f t="shared" si="34"/>
        <v>630</v>
      </c>
      <c r="G320" s="20">
        <f t="shared" si="35"/>
        <v>315</v>
      </c>
      <c r="H320" s="21">
        <v>99624030363</v>
      </c>
      <c r="I320" s="22">
        <v>422</v>
      </c>
      <c r="J320" s="23"/>
      <c r="K320" s="24">
        <f>M320+O320</f>
        <v>5633</v>
      </c>
      <c r="L320" s="23">
        <f t="shared" si="29"/>
        <v>630</v>
      </c>
      <c r="M320" s="24">
        <v>1410</v>
      </c>
      <c r="N320" s="25">
        <f t="shared" si="30"/>
        <v>171</v>
      </c>
      <c r="O320" s="24">
        <v>4223</v>
      </c>
      <c r="P320" s="23">
        <f t="shared" si="31"/>
        <v>459</v>
      </c>
      <c r="Q320" s="26">
        <v>3359</v>
      </c>
      <c r="R320" s="23">
        <f t="shared" si="32"/>
        <v>754</v>
      </c>
      <c r="S320" s="27" t="s">
        <v>19</v>
      </c>
      <c r="T320" s="19" t="s">
        <v>347</v>
      </c>
    </row>
    <row r="321" spans="1:20" ht="37.5" customHeight="1" x14ac:dyDescent="0.25">
      <c r="A321" s="19" t="s">
        <v>348</v>
      </c>
      <c r="B321">
        <f t="shared" si="33"/>
        <v>1803</v>
      </c>
      <c r="C321">
        <v>482</v>
      </c>
      <c r="D321">
        <v>1321</v>
      </c>
      <c r="E321">
        <v>5380</v>
      </c>
      <c r="F321">
        <f t="shared" si="34"/>
        <v>231</v>
      </c>
      <c r="G321" s="20">
        <f t="shared" si="35"/>
        <v>316</v>
      </c>
      <c r="H321" s="21">
        <v>99624040117</v>
      </c>
      <c r="I321" s="22">
        <v>423</v>
      </c>
      <c r="J321" s="23"/>
      <c r="K321" s="24">
        <f>M321+O321</f>
        <v>1572</v>
      </c>
      <c r="L321" s="23">
        <f t="shared" si="29"/>
        <v>231</v>
      </c>
      <c r="M321" s="24">
        <v>431</v>
      </c>
      <c r="N321" s="25">
        <f t="shared" si="30"/>
        <v>51</v>
      </c>
      <c r="O321" s="24">
        <v>1141</v>
      </c>
      <c r="P321" s="23">
        <f t="shared" si="31"/>
        <v>180</v>
      </c>
      <c r="Q321" s="26">
        <v>4474</v>
      </c>
      <c r="R321" s="23">
        <f t="shared" si="32"/>
        <v>906</v>
      </c>
      <c r="S321" s="27" t="s">
        <v>19</v>
      </c>
      <c r="T321" s="19" t="s">
        <v>348</v>
      </c>
    </row>
    <row r="322" spans="1:20" ht="37.5" customHeight="1" x14ac:dyDescent="0.25">
      <c r="A322" s="19" t="s">
        <v>349</v>
      </c>
      <c r="B322">
        <f t="shared" si="33"/>
        <v>2653</v>
      </c>
      <c r="C322">
        <v>255</v>
      </c>
      <c r="D322">
        <v>2398</v>
      </c>
      <c r="E322">
        <v>3486</v>
      </c>
      <c r="F322">
        <f t="shared" si="34"/>
        <v>148</v>
      </c>
      <c r="G322" s="20">
        <f t="shared" si="35"/>
        <v>317</v>
      </c>
      <c r="H322" s="21">
        <v>99624020041</v>
      </c>
      <c r="I322" s="22">
        <v>424</v>
      </c>
      <c r="J322" s="23"/>
      <c r="K322" s="24">
        <f>M322+O322</f>
        <v>2505</v>
      </c>
      <c r="L322" s="23">
        <f t="shared" si="29"/>
        <v>148</v>
      </c>
      <c r="M322" s="24">
        <v>245</v>
      </c>
      <c r="N322" s="25">
        <f t="shared" si="30"/>
        <v>10</v>
      </c>
      <c r="O322" s="24">
        <v>2260</v>
      </c>
      <c r="P322" s="23">
        <f t="shared" si="31"/>
        <v>138</v>
      </c>
      <c r="Q322" s="26">
        <v>3063</v>
      </c>
      <c r="R322" s="23">
        <f t="shared" si="32"/>
        <v>423</v>
      </c>
      <c r="S322" s="27" t="s">
        <v>19</v>
      </c>
      <c r="T322" s="19" t="s">
        <v>349</v>
      </c>
    </row>
    <row r="323" spans="1:20" ht="37.5" customHeight="1" x14ac:dyDescent="0.25">
      <c r="A323" s="19" t="s">
        <v>350</v>
      </c>
      <c r="B323">
        <f t="shared" si="33"/>
        <v>24376</v>
      </c>
      <c r="C323">
        <v>4546</v>
      </c>
      <c r="D323">
        <v>19830</v>
      </c>
      <c r="F323">
        <f t="shared" si="34"/>
        <v>355</v>
      </c>
      <c r="G323" s="20">
        <f t="shared" si="35"/>
        <v>318</v>
      </c>
      <c r="H323" s="21">
        <v>23014090964</v>
      </c>
      <c r="I323" s="22">
        <v>425</v>
      </c>
      <c r="J323" s="23"/>
      <c r="K323" s="24">
        <v>24021</v>
      </c>
      <c r="L323" s="23">
        <f t="shared" si="29"/>
        <v>355</v>
      </c>
      <c r="M323" s="24">
        <v>4483</v>
      </c>
      <c r="N323" s="25">
        <f t="shared" si="30"/>
        <v>63</v>
      </c>
      <c r="O323" s="24">
        <v>19538</v>
      </c>
      <c r="P323" s="23">
        <f t="shared" si="31"/>
        <v>292</v>
      </c>
      <c r="Q323" s="26"/>
      <c r="R323" s="23">
        <f t="shared" si="32"/>
        <v>0</v>
      </c>
      <c r="S323" s="27" t="s">
        <v>19</v>
      </c>
      <c r="T323" s="19" t="s">
        <v>350</v>
      </c>
    </row>
    <row r="324" spans="1:20" ht="37.5" customHeight="1" x14ac:dyDescent="0.25">
      <c r="A324" s="19" t="s">
        <v>351</v>
      </c>
      <c r="B324">
        <f t="shared" si="33"/>
        <v>46082</v>
      </c>
      <c r="C324">
        <v>9186</v>
      </c>
      <c r="D324">
        <v>36896</v>
      </c>
      <c r="F324">
        <f t="shared" si="34"/>
        <v>2</v>
      </c>
      <c r="G324" s="20">
        <f t="shared" si="35"/>
        <v>319</v>
      </c>
      <c r="H324" s="21">
        <v>66616020090</v>
      </c>
      <c r="I324" s="22">
        <v>426</v>
      </c>
      <c r="J324" s="23"/>
      <c r="K324" s="24">
        <v>46080</v>
      </c>
      <c r="L324" s="23">
        <f t="shared" si="29"/>
        <v>2</v>
      </c>
      <c r="M324" s="24">
        <v>9185</v>
      </c>
      <c r="N324" s="25">
        <f t="shared" si="30"/>
        <v>1</v>
      </c>
      <c r="O324" s="24">
        <v>36895</v>
      </c>
      <c r="P324" s="23">
        <f t="shared" si="31"/>
        <v>1</v>
      </c>
      <c r="Q324" s="26"/>
      <c r="R324" s="23">
        <f t="shared" si="32"/>
        <v>0</v>
      </c>
      <c r="S324" s="27" t="s">
        <v>19</v>
      </c>
      <c r="T324" s="19" t="s">
        <v>351</v>
      </c>
    </row>
    <row r="325" spans="1:20" ht="37.5" customHeight="1" x14ac:dyDescent="0.25">
      <c r="A325" s="19" t="s">
        <v>352</v>
      </c>
      <c r="B325">
        <f t="shared" si="33"/>
        <v>113635</v>
      </c>
      <c r="C325">
        <v>39396</v>
      </c>
      <c r="D325">
        <v>74239</v>
      </c>
      <c r="F325">
        <f t="shared" si="34"/>
        <v>388</v>
      </c>
      <c r="G325" s="20">
        <f t="shared" si="35"/>
        <v>320</v>
      </c>
      <c r="H325" s="21">
        <v>23009070054</v>
      </c>
      <c r="I325" s="22">
        <v>427</v>
      </c>
      <c r="J325" s="23"/>
      <c r="K325" s="24">
        <v>113247</v>
      </c>
      <c r="L325" s="23">
        <f t="shared" si="29"/>
        <v>388</v>
      </c>
      <c r="M325" s="24">
        <v>39316</v>
      </c>
      <c r="N325" s="25">
        <f t="shared" si="30"/>
        <v>80</v>
      </c>
      <c r="O325" s="24">
        <v>73931</v>
      </c>
      <c r="P325" s="23">
        <f t="shared" si="31"/>
        <v>308</v>
      </c>
      <c r="Q325" s="26"/>
      <c r="R325" s="23">
        <f t="shared" si="32"/>
        <v>0</v>
      </c>
      <c r="S325" s="27" t="s">
        <v>19</v>
      </c>
      <c r="T325" s="19" t="s">
        <v>352</v>
      </c>
    </row>
    <row r="326" spans="1:20" ht="37.5" customHeight="1" x14ac:dyDescent="0.25">
      <c r="A326" s="19" t="s">
        <v>353</v>
      </c>
      <c r="B326">
        <f t="shared" si="33"/>
        <v>4335</v>
      </c>
      <c r="C326">
        <v>663</v>
      </c>
      <c r="D326">
        <v>3672</v>
      </c>
      <c r="F326">
        <f t="shared" si="34"/>
        <v>14</v>
      </c>
      <c r="G326" s="20">
        <f t="shared" si="35"/>
        <v>321</v>
      </c>
      <c r="H326" s="21">
        <v>66621070420</v>
      </c>
      <c r="I326" s="22">
        <v>428</v>
      </c>
      <c r="J326" s="23"/>
      <c r="K326" s="24">
        <v>4321</v>
      </c>
      <c r="L326" s="23">
        <f t="shared" ref="L326:L389" si="36">B326-K326</f>
        <v>14</v>
      </c>
      <c r="M326" s="24">
        <v>661</v>
      </c>
      <c r="N326" s="25">
        <f t="shared" ref="N326:N389" si="37">C326-M326</f>
        <v>2</v>
      </c>
      <c r="O326" s="24">
        <v>3660</v>
      </c>
      <c r="P326" s="23">
        <f t="shared" ref="P326:P389" si="38">D326-O326</f>
        <v>12</v>
      </c>
      <c r="Q326" s="26"/>
      <c r="R326" s="23">
        <f t="shared" ref="R326:R389" si="39">E326-Q326</f>
        <v>0</v>
      </c>
      <c r="S326" s="27" t="s">
        <v>19</v>
      </c>
      <c r="T326" s="19" t="s">
        <v>353</v>
      </c>
    </row>
    <row r="327" spans="1:20" ht="37.5" customHeight="1" x14ac:dyDescent="0.25">
      <c r="A327" s="19" t="s">
        <v>354</v>
      </c>
      <c r="B327">
        <f t="shared" ref="B327:B390" si="40">C327+D327</f>
        <v>34805</v>
      </c>
      <c r="C327">
        <v>5802</v>
      </c>
      <c r="D327">
        <v>29003</v>
      </c>
      <c r="F327">
        <f t="shared" ref="F327:F390" si="41">L327</f>
        <v>318</v>
      </c>
      <c r="G327" s="20">
        <f t="shared" si="35"/>
        <v>322</v>
      </c>
      <c r="H327" s="21">
        <v>88818030018</v>
      </c>
      <c r="I327" s="22">
        <v>429</v>
      </c>
      <c r="J327" s="23"/>
      <c r="K327" s="24">
        <v>34487</v>
      </c>
      <c r="L327" s="23">
        <f t="shared" si="36"/>
        <v>318</v>
      </c>
      <c r="M327" s="24">
        <v>5744</v>
      </c>
      <c r="N327" s="25">
        <f t="shared" si="37"/>
        <v>58</v>
      </c>
      <c r="O327" s="24">
        <v>28743</v>
      </c>
      <c r="P327" s="23">
        <f t="shared" si="38"/>
        <v>260</v>
      </c>
      <c r="Q327" s="26"/>
      <c r="R327" s="23">
        <f t="shared" si="39"/>
        <v>0</v>
      </c>
      <c r="S327" s="27" t="s">
        <v>19</v>
      </c>
      <c r="T327" s="19" t="s">
        <v>354</v>
      </c>
    </row>
    <row r="328" spans="1:20" ht="37.5" customHeight="1" x14ac:dyDescent="0.25">
      <c r="A328" s="19" t="s">
        <v>355</v>
      </c>
      <c r="B328">
        <f t="shared" si="40"/>
        <v>31667</v>
      </c>
      <c r="C328">
        <v>4339</v>
      </c>
      <c r="D328">
        <v>27328</v>
      </c>
      <c r="F328">
        <f t="shared" si="41"/>
        <v>568</v>
      </c>
      <c r="G328" s="20">
        <f t="shared" ref="G328:G391" si="42">G327+1</f>
        <v>323</v>
      </c>
      <c r="H328" s="21">
        <v>88820010452</v>
      </c>
      <c r="I328" s="22">
        <v>430</v>
      </c>
      <c r="J328" s="23"/>
      <c r="K328" s="24">
        <v>31099</v>
      </c>
      <c r="L328" s="23">
        <f t="shared" si="36"/>
        <v>568</v>
      </c>
      <c r="M328" s="24">
        <v>4263</v>
      </c>
      <c r="N328" s="25">
        <f t="shared" si="37"/>
        <v>76</v>
      </c>
      <c r="O328" s="24">
        <v>26836</v>
      </c>
      <c r="P328" s="23">
        <f t="shared" si="38"/>
        <v>492</v>
      </c>
      <c r="Q328" s="26"/>
      <c r="R328" s="23">
        <f t="shared" si="39"/>
        <v>0</v>
      </c>
      <c r="S328" s="27" t="s">
        <v>19</v>
      </c>
      <c r="T328" s="19" t="s">
        <v>355</v>
      </c>
    </row>
    <row r="329" spans="1:20" ht="37.5" customHeight="1" x14ac:dyDescent="0.25">
      <c r="A329" s="19" t="s">
        <v>356</v>
      </c>
      <c r="B329">
        <f t="shared" si="40"/>
        <v>1558</v>
      </c>
      <c r="C329">
        <v>179</v>
      </c>
      <c r="D329">
        <v>1379</v>
      </c>
      <c r="F329">
        <f t="shared" si="41"/>
        <v>14</v>
      </c>
      <c r="G329" s="20">
        <f t="shared" si="42"/>
        <v>324</v>
      </c>
      <c r="H329" s="21">
        <v>66616031423</v>
      </c>
      <c r="I329" s="22">
        <v>431</v>
      </c>
      <c r="J329" s="23"/>
      <c r="K329" s="24">
        <v>1544</v>
      </c>
      <c r="L329" s="23">
        <f t="shared" si="36"/>
        <v>14</v>
      </c>
      <c r="M329" s="24">
        <v>178</v>
      </c>
      <c r="N329" s="25">
        <f t="shared" si="37"/>
        <v>1</v>
      </c>
      <c r="O329" s="24">
        <v>1366</v>
      </c>
      <c r="P329" s="23">
        <f t="shared" si="38"/>
        <v>13</v>
      </c>
      <c r="Q329" s="26"/>
      <c r="R329" s="23">
        <f t="shared" si="39"/>
        <v>0</v>
      </c>
      <c r="S329" s="27" t="s">
        <v>19</v>
      </c>
      <c r="T329" s="19" t="s">
        <v>356</v>
      </c>
    </row>
    <row r="330" spans="1:20" ht="37.5" customHeight="1" x14ac:dyDescent="0.25">
      <c r="A330" s="19" t="s">
        <v>357</v>
      </c>
      <c r="B330">
        <f t="shared" si="40"/>
        <v>97542</v>
      </c>
      <c r="C330">
        <v>19956</v>
      </c>
      <c r="D330">
        <v>77586</v>
      </c>
      <c r="F330">
        <f t="shared" si="41"/>
        <v>36</v>
      </c>
      <c r="G330" s="20">
        <f t="shared" si="42"/>
        <v>325</v>
      </c>
      <c r="H330" s="21">
        <v>23010090240</v>
      </c>
      <c r="I330" s="22">
        <v>432</v>
      </c>
      <c r="J330" s="23"/>
      <c r="K330" s="24">
        <v>97506</v>
      </c>
      <c r="L330" s="23">
        <f t="shared" si="36"/>
        <v>36</v>
      </c>
      <c r="M330" s="24">
        <v>19952</v>
      </c>
      <c r="N330" s="25">
        <f t="shared" si="37"/>
        <v>4</v>
      </c>
      <c r="O330" s="24">
        <v>77554</v>
      </c>
      <c r="P330" s="23">
        <f t="shared" si="38"/>
        <v>32</v>
      </c>
      <c r="Q330" s="26"/>
      <c r="R330" s="23">
        <f t="shared" si="39"/>
        <v>0</v>
      </c>
      <c r="S330" s="27" t="s">
        <v>19</v>
      </c>
      <c r="T330" s="19" t="s">
        <v>357</v>
      </c>
    </row>
    <row r="331" spans="1:20" ht="37.5" customHeight="1" x14ac:dyDescent="0.25">
      <c r="A331" s="19" t="s">
        <v>358</v>
      </c>
      <c r="B331">
        <f t="shared" si="40"/>
        <v>16903</v>
      </c>
      <c r="C331">
        <v>2934</v>
      </c>
      <c r="D331">
        <v>13969</v>
      </c>
      <c r="F331">
        <f t="shared" si="41"/>
        <v>192</v>
      </c>
      <c r="G331" s="20">
        <f t="shared" si="42"/>
        <v>326</v>
      </c>
      <c r="H331" s="21">
        <v>88820010050</v>
      </c>
      <c r="I331" s="22">
        <v>433</v>
      </c>
      <c r="J331" s="23"/>
      <c r="K331" s="24">
        <v>16711</v>
      </c>
      <c r="L331" s="23">
        <f t="shared" si="36"/>
        <v>192</v>
      </c>
      <c r="M331" s="24">
        <v>2898</v>
      </c>
      <c r="N331" s="25">
        <f t="shared" si="37"/>
        <v>36</v>
      </c>
      <c r="O331" s="24">
        <v>13813</v>
      </c>
      <c r="P331" s="23">
        <f t="shared" si="38"/>
        <v>156</v>
      </c>
      <c r="Q331" s="26"/>
      <c r="R331" s="23">
        <f t="shared" si="39"/>
        <v>0</v>
      </c>
      <c r="S331" s="27" t="s">
        <v>19</v>
      </c>
      <c r="T331" s="19" t="s">
        <v>358</v>
      </c>
    </row>
    <row r="332" spans="1:20" ht="37.5" customHeight="1" x14ac:dyDescent="0.25">
      <c r="A332" s="19" t="s">
        <v>359</v>
      </c>
      <c r="B332">
        <f t="shared" si="40"/>
        <v>99362</v>
      </c>
      <c r="C332">
        <v>22987</v>
      </c>
      <c r="D332">
        <v>76375</v>
      </c>
      <c r="F332">
        <f t="shared" si="41"/>
        <v>660</v>
      </c>
      <c r="G332" s="20">
        <f t="shared" si="42"/>
        <v>327</v>
      </c>
      <c r="H332" s="21">
        <v>2301020085</v>
      </c>
      <c r="I332" s="22">
        <v>434</v>
      </c>
      <c r="J332" s="23"/>
      <c r="K332" s="24">
        <v>98702</v>
      </c>
      <c r="L332" s="23">
        <f t="shared" si="36"/>
        <v>660</v>
      </c>
      <c r="M332" s="24">
        <v>22889</v>
      </c>
      <c r="N332" s="25">
        <f t="shared" si="37"/>
        <v>98</v>
      </c>
      <c r="O332" s="24">
        <v>75813</v>
      </c>
      <c r="P332" s="23">
        <f t="shared" si="38"/>
        <v>562</v>
      </c>
      <c r="Q332" s="26"/>
      <c r="R332" s="23">
        <f t="shared" si="39"/>
        <v>0</v>
      </c>
      <c r="S332" s="27" t="s">
        <v>19</v>
      </c>
      <c r="T332" s="19" t="s">
        <v>359</v>
      </c>
    </row>
    <row r="333" spans="1:20" ht="37.5" customHeight="1" x14ac:dyDescent="0.25">
      <c r="A333" s="19" t="s">
        <v>360</v>
      </c>
      <c r="B333">
        <f t="shared" si="40"/>
        <v>13655</v>
      </c>
      <c r="C333">
        <v>2265</v>
      </c>
      <c r="D333">
        <v>11390</v>
      </c>
      <c r="F333">
        <f t="shared" si="41"/>
        <v>421</v>
      </c>
      <c r="G333" s="20">
        <f t="shared" si="42"/>
        <v>328</v>
      </c>
      <c r="H333" s="21">
        <v>66621040318</v>
      </c>
      <c r="I333" s="22">
        <v>435</v>
      </c>
      <c r="J333" s="23"/>
      <c r="K333" s="24">
        <v>13234</v>
      </c>
      <c r="L333" s="23">
        <f t="shared" si="36"/>
        <v>421</v>
      </c>
      <c r="M333" s="24">
        <v>2189</v>
      </c>
      <c r="N333" s="25">
        <f t="shared" si="37"/>
        <v>76</v>
      </c>
      <c r="O333" s="24">
        <v>11045</v>
      </c>
      <c r="P333" s="23">
        <f t="shared" si="38"/>
        <v>345</v>
      </c>
      <c r="Q333" s="26"/>
      <c r="R333" s="23">
        <f t="shared" si="39"/>
        <v>0</v>
      </c>
      <c r="S333" s="27" t="s">
        <v>19</v>
      </c>
      <c r="T333" s="19" t="s">
        <v>360</v>
      </c>
    </row>
    <row r="334" spans="1:20" ht="37.5" customHeight="1" x14ac:dyDescent="0.25">
      <c r="A334" s="19" t="s">
        <v>361</v>
      </c>
      <c r="B334">
        <f t="shared" si="40"/>
        <v>34622</v>
      </c>
      <c r="C334">
        <v>5587</v>
      </c>
      <c r="D334">
        <v>29035</v>
      </c>
      <c r="F334">
        <f t="shared" si="41"/>
        <v>246</v>
      </c>
      <c r="G334" s="20">
        <f t="shared" si="42"/>
        <v>329</v>
      </c>
      <c r="H334" s="21">
        <v>88819010175</v>
      </c>
      <c r="I334" s="22">
        <v>436</v>
      </c>
      <c r="J334" s="23"/>
      <c r="K334" s="24">
        <v>34376</v>
      </c>
      <c r="L334" s="23">
        <f t="shared" si="36"/>
        <v>246</v>
      </c>
      <c r="M334" s="24">
        <v>5548</v>
      </c>
      <c r="N334" s="25">
        <f t="shared" si="37"/>
        <v>39</v>
      </c>
      <c r="O334" s="24">
        <v>28828</v>
      </c>
      <c r="P334" s="23">
        <f t="shared" si="38"/>
        <v>207</v>
      </c>
      <c r="Q334" s="26"/>
      <c r="R334" s="23">
        <f t="shared" si="39"/>
        <v>0</v>
      </c>
      <c r="S334" s="27" t="s">
        <v>19</v>
      </c>
      <c r="T334" s="19" t="s">
        <v>361</v>
      </c>
    </row>
    <row r="335" spans="1:20" ht="37.5" customHeight="1" x14ac:dyDescent="0.25">
      <c r="A335" s="19" t="s">
        <v>362</v>
      </c>
      <c r="B335">
        <f t="shared" si="40"/>
        <v>10234</v>
      </c>
      <c r="C335">
        <v>1488</v>
      </c>
      <c r="D335">
        <v>8746</v>
      </c>
      <c r="F335">
        <f t="shared" si="41"/>
        <v>0</v>
      </c>
      <c r="G335" s="20">
        <f t="shared" si="42"/>
        <v>330</v>
      </c>
      <c r="H335" s="21">
        <v>66621060462</v>
      </c>
      <c r="I335" s="22">
        <v>437</v>
      </c>
      <c r="J335" s="23"/>
      <c r="K335" s="24">
        <v>10234</v>
      </c>
      <c r="L335" s="23">
        <f t="shared" si="36"/>
        <v>0</v>
      </c>
      <c r="M335" s="24">
        <v>1488</v>
      </c>
      <c r="N335" s="25">
        <f t="shared" si="37"/>
        <v>0</v>
      </c>
      <c r="O335" s="24">
        <v>8746</v>
      </c>
      <c r="P335" s="23">
        <f t="shared" si="38"/>
        <v>0</v>
      </c>
      <c r="Q335" s="26"/>
      <c r="R335" s="23">
        <f t="shared" si="39"/>
        <v>0</v>
      </c>
      <c r="S335" s="27" t="s">
        <v>19</v>
      </c>
      <c r="T335" s="19" t="s">
        <v>362</v>
      </c>
    </row>
    <row r="336" spans="1:20" ht="37.5" customHeight="1" x14ac:dyDescent="0.25">
      <c r="A336" s="19" t="s">
        <v>363</v>
      </c>
      <c r="B336">
        <f t="shared" si="40"/>
        <v>111479</v>
      </c>
      <c r="C336">
        <v>20648</v>
      </c>
      <c r="D336">
        <v>90831</v>
      </c>
      <c r="F336">
        <f t="shared" si="41"/>
        <v>141</v>
      </c>
      <c r="G336" s="20">
        <f t="shared" si="42"/>
        <v>331</v>
      </c>
      <c r="H336" s="21">
        <v>23015100375</v>
      </c>
      <c r="I336" s="22">
        <v>438</v>
      </c>
      <c r="J336" s="23"/>
      <c r="K336" s="24">
        <v>111338</v>
      </c>
      <c r="L336" s="23">
        <f t="shared" si="36"/>
        <v>141</v>
      </c>
      <c r="M336" s="24">
        <v>20628</v>
      </c>
      <c r="N336" s="25">
        <f t="shared" si="37"/>
        <v>20</v>
      </c>
      <c r="O336" s="24">
        <v>90710</v>
      </c>
      <c r="P336" s="23">
        <f t="shared" si="38"/>
        <v>121</v>
      </c>
      <c r="Q336" s="26"/>
      <c r="R336" s="23">
        <f t="shared" si="39"/>
        <v>0</v>
      </c>
      <c r="S336" s="27" t="s">
        <v>19</v>
      </c>
      <c r="T336" s="19" t="s">
        <v>363</v>
      </c>
    </row>
    <row r="337" spans="1:20" ht="37.5" customHeight="1" x14ac:dyDescent="0.25">
      <c r="A337" s="19" t="s">
        <v>364</v>
      </c>
      <c r="B337">
        <f t="shared" si="40"/>
        <v>66650</v>
      </c>
      <c r="C337">
        <v>9938</v>
      </c>
      <c r="D337">
        <v>56712</v>
      </c>
      <c r="F337">
        <f t="shared" si="41"/>
        <v>547</v>
      </c>
      <c r="G337" s="20">
        <f t="shared" si="42"/>
        <v>332</v>
      </c>
      <c r="H337" s="21">
        <v>23013010480</v>
      </c>
      <c r="I337" s="22">
        <v>439</v>
      </c>
      <c r="J337" s="23"/>
      <c r="K337" s="24">
        <v>66103</v>
      </c>
      <c r="L337" s="23">
        <f t="shared" si="36"/>
        <v>547</v>
      </c>
      <c r="M337" s="24">
        <v>9841</v>
      </c>
      <c r="N337" s="25">
        <f t="shared" si="37"/>
        <v>97</v>
      </c>
      <c r="O337" s="24">
        <v>56262</v>
      </c>
      <c r="P337" s="23">
        <f t="shared" si="38"/>
        <v>450</v>
      </c>
      <c r="Q337" s="26"/>
      <c r="R337" s="23">
        <f t="shared" si="39"/>
        <v>0</v>
      </c>
      <c r="S337" s="27" t="s">
        <v>19</v>
      </c>
      <c r="T337" s="19" t="s">
        <v>364</v>
      </c>
    </row>
    <row r="338" spans="1:20" ht="37.5" customHeight="1" x14ac:dyDescent="0.25">
      <c r="A338" s="19" t="s">
        <v>365</v>
      </c>
      <c r="B338">
        <f t="shared" si="40"/>
        <v>7201</v>
      </c>
      <c r="C338">
        <v>1556</v>
      </c>
      <c r="D338">
        <v>5645</v>
      </c>
      <c r="E338">
        <v>9443</v>
      </c>
      <c r="F338">
        <f t="shared" si="41"/>
        <v>320</v>
      </c>
      <c r="G338" s="20">
        <f t="shared" si="42"/>
        <v>333</v>
      </c>
      <c r="H338" s="21">
        <v>99723060145</v>
      </c>
      <c r="I338" s="22">
        <v>440</v>
      </c>
      <c r="J338" s="23"/>
      <c r="K338" s="24">
        <f>M338+O338</f>
        <v>6881</v>
      </c>
      <c r="L338" s="23">
        <f t="shared" si="36"/>
        <v>320</v>
      </c>
      <c r="M338" s="24">
        <v>1475</v>
      </c>
      <c r="N338" s="25">
        <f t="shared" si="37"/>
        <v>81</v>
      </c>
      <c r="O338" s="24">
        <v>5406</v>
      </c>
      <c r="P338" s="23">
        <f t="shared" si="38"/>
        <v>239</v>
      </c>
      <c r="Q338" s="26">
        <v>8754</v>
      </c>
      <c r="R338" s="23">
        <f t="shared" si="39"/>
        <v>689</v>
      </c>
      <c r="S338" s="27" t="s">
        <v>19</v>
      </c>
      <c r="T338" s="19" t="s">
        <v>365</v>
      </c>
    </row>
    <row r="339" spans="1:20" ht="37.5" customHeight="1" x14ac:dyDescent="0.25">
      <c r="A339" s="19" t="s">
        <v>366</v>
      </c>
      <c r="B339">
        <f t="shared" si="40"/>
        <v>33067</v>
      </c>
      <c r="C339">
        <v>5891</v>
      </c>
      <c r="D339">
        <v>27176</v>
      </c>
      <c r="F339">
        <f t="shared" si="41"/>
        <v>711</v>
      </c>
      <c r="G339" s="20">
        <f t="shared" si="42"/>
        <v>334</v>
      </c>
      <c r="H339" s="21">
        <v>66617020257</v>
      </c>
      <c r="I339" s="22">
        <v>441</v>
      </c>
      <c r="J339" s="23"/>
      <c r="K339" s="24">
        <v>32356</v>
      </c>
      <c r="L339" s="23">
        <f t="shared" si="36"/>
        <v>711</v>
      </c>
      <c r="M339" s="24">
        <v>5750</v>
      </c>
      <c r="N339" s="25">
        <f t="shared" si="37"/>
        <v>141</v>
      </c>
      <c r="O339" s="24">
        <v>26606</v>
      </c>
      <c r="P339" s="23">
        <f t="shared" si="38"/>
        <v>570</v>
      </c>
      <c r="Q339" s="26"/>
      <c r="R339" s="23">
        <f t="shared" si="39"/>
        <v>0</v>
      </c>
      <c r="S339" s="27" t="s">
        <v>19</v>
      </c>
      <c r="T339" s="19" t="s">
        <v>366</v>
      </c>
    </row>
    <row r="340" spans="1:20" ht="37.5" customHeight="1" x14ac:dyDescent="0.25">
      <c r="A340" s="19" t="s">
        <v>367</v>
      </c>
      <c r="B340">
        <f t="shared" si="40"/>
        <v>52886</v>
      </c>
      <c r="C340">
        <v>10503</v>
      </c>
      <c r="D340">
        <v>42383</v>
      </c>
      <c r="F340">
        <f t="shared" si="41"/>
        <v>20</v>
      </c>
      <c r="G340" s="20">
        <f t="shared" si="42"/>
        <v>335</v>
      </c>
      <c r="H340" s="21">
        <v>23011050154</v>
      </c>
      <c r="I340" s="22">
        <v>442</v>
      </c>
      <c r="J340" s="23"/>
      <c r="K340" s="24">
        <v>52866</v>
      </c>
      <c r="L340" s="23">
        <f t="shared" si="36"/>
        <v>20</v>
      </c>
      <c r="M340" s="24">
        <v>10503</v>
      </c>
      <c r="N340" s="25">
        <f t="shared" si="37"/>
        <v>0</v>
      </c>
      <c r="O340" s="24">
        <v>42363</v>
      </c>
      <c r="P340" s="23">
        <f t="shared" si="38"/>
        <v>20</v>
      </c>
      <c r="Q340" s="26"/>
      <c r="R340" s="23">
        <f t="shared" si="39"/>
        <v>0</v>
      </c>
      <c r="S340" s="27" t="s">
        <v>19</v>
      </c>
      <c r="T340" s="19" t="s">
        <v>367</v>
      </c>
    </row>
    <row r="341" spans="1:20" ht="37.5" customHeight="1" x14ac:dyDescent="0.25">
      <c r="A341" s="19" t="s">
        <v>368</v>
      </c>
      <c r="B341">
        <f t="shared" si="40"/>
        <v>100396</v>
      </c>
      <c r="C341">
        <v>17956</v>
      </c>
      <c r="D341">
        <v>82440</v>
      </c>
      <c r="F341">
        <f t="shared" si="41"/>
        <v>608</v>
      </c>
      <c r="G341" s="20">
        <f t="shared" si="42"/>
        <v>336</v>
      </c>
      <c r="H341" s="21">
        <v>23011050022</v>
      </c>
      <c r="I341" s="22">
        <v>443</v>
      </c>
      <c r="J341" s="23"/>
      <c r="K341" s="24">
        <v>99788</v>
      </c>
      <c r="L341" s="23">
        <f t="shared" si="36"/>
        <v>608</v>
      </c>
      <c r="M341" s="24">
        <v>17825</v>
      </c>
      <c r="N341" s="25">
        <f t="shared" si="37"/>
        <v>131</v>
      </c>
      <c r="O341" s="24">
        <v>81963</v>
      </c>
      <c r="P341" s="23">
        <f t="shared" si="38"/>
        <v>477</v>
      </c>
      <c r="Q341" s="26"/>
      <c r="R341" s="23">
        <f t="shared" si="39"/>
        <v>0</v>
      </c>
      <c r="S341" s="27" t="s">
        <v>19</v>
      </c>
      <c r="T341" s="19" t="s">
        <v>368</v>
      </c>
    </row>
    <row r="342" spans="1:20" ht="37.5" customHeight="1" x14ac:dyDescent="0.25">
      <c r="A342" s="19" t="s">
        <v>369</v>
      </c>
      <c r="B342">
        <f t="shared" si="40"/>
        <v>52047</v>
      </c>
      <c r="C342">
        <v>8332</v>
      </c>
      <c r="D342">
        <v>43715</v>
      </c>
      <c r="F342">
        <f t="shared" si="41"/>
        <v>430</v>
      </c>
      <c r="G342" s="20">
        <f t="shared" si="42"/>
        <v>337</v>
      </c>
      <c r="H342" s="21">
        <v>23014090728</v>
      </c>
      <c r="I342" s="22">
        <v>444</v>
      </c>
      <c r="J342" s="23"/>
      <c r="K342" s="24">
        <v>51617</v>
      </c>
      <c r="L342" s="23">
        <f t="shared" si="36"/>
        <v>430</v>
      </c>
      <c r="M342" s="24">
        <v>8265</v>
      </c>
      <c r="N342" s="25">
        <f t="shared" si="37"/>
        <v>67</v>
      </c>
      <c r="O342" s="24">
        <v>43352</v>
      </c>
      <c r="P342" s="23">
        <f t="shared" si="38"/>
        <v>363</v>
      </c>
      <c r="Q342" s="26"/>
      <c r="R342" s="23">
        <f t="shared" si="39"/>
        <v>0</v>
      </c>
      <c r="S342" s="27" t="s">
        <v>19</v>
      </c>
      <c r="T342" s="19" t="s">
        <v>369</v>
      </c>
    </row>
    <row r="343" spans="1:20" ht="37.5" customHeight="1" x14ac:dyDescent="0.25">
      <c r="A343" s="19" t="s">
        <v>370</v>
      </c>
      <c r="B343">
        <f t="shared" si="40"/>
        <v>82948</v>
      </c>
      <c r="C343">
        <v>15566</v>
      </c>
      <c r="D343">
        <v>67382</v>
      </c>
      <c r="F343">
        <f t="shared" si="41"/>
        <v>561</v>
      </c>
      <c r="G343" s="20">
        <f t="shared" si="42"/>
        <v>338</v>
      </c>
      <c r="H343" s="21">
        <v>23015010374</v>
      </c>
      <c r="I343" s="22">
        <v>445</v>
      </c>
      <c r="J343" s="23"/>
      <c r="K343" s="24">
        <v>82387</v>
      </c>
      <c r="L343" s="23">
        <f t="shared" si="36"/>
        <v>561</v>
      </c>
      <c r="M343" s="24">
        <v>15468</v>
      </c>
      <c r="N343" s="25">
        <f t="shared" si="37"/>
        <v>98</v>
      </c>
      <c r="O343" s="24">
        <v>66919</v>
      </c>
      <c r="P343" s="23">
        <f t="shared" si="38"/>
        <v>463</v>
      </c>
      <c r="Q343" s="26"/>
      <c r="R343" s="23">
        <f t="shared" si="39"/>
        <v>0</v>
      </c>
      <c r="S343" s="27" t="s">
        <v>19</v>
      </c>
      <c r="T343" s="19" t="s">
        <v>370</v>
      </c>
    </row>
    <row r="344" spans="1:20" ht="37.5" customHeight="1" x14ac:dyDescent="0.25">
      <c r="A344" s="19" t="s">
        <v>371</v>
      </c>
      <c r="B344">
        <f t="shared" si="40"/>
        <v>12104</v>
      </c>
      <c r="C344">
        <v>2773</v>
      </c>
      <c r="D344">
        <v>9331</v>
      </c>
      <c r="E344">
        <v>28228</v>
      </c>
      <c r="F344">
        <f t="shared" si="41"/>
        <v>568</v>
      </c>
      <c r="G344" s="20">
        <f t="shared" si="42"/>
        <v>339</v>
      </c>
      <c r="H344" s="21">
        <v>99622010046</v>
      </c>
      <c r="I344" s="22">
        <v>448</v>
      </c>
      <c r="J344" s="23"/>
      <c r="K344" s="24">
        <f>M344+O344</f>
        <v>11536</v>
      </c>
      <c r="L344" s="23">
        <f t="shared" si="36"/>
        <v>568</v>
      </c>
      <c r="M344" s="24">
        <v>2616</v>
      </c>
      <c r="N344" s="25">
        <f t="shared" si="37"/>
        <v>157</v>
      </c>
      <c r="O344" s="24">
        <v>8920</v>
      </c>
      <c r="P344" s="23">
        <f t="shared" si="38"/>
        <v>411</v>
      </c>
      <c r="Q344" s="26">
        <v>26970</v>
      </c>
      <c r="R344" s="23">
        <f t="shared" si="39"/>
        <v>1258</v>
      </c>
      <c r="S344" s="27" t="s">
        <v>19</v>
      </c>
      <c r="T344" s="19" t="s">
        <v>371</v>
      </c>
    </row>
    <row r="345" spans="1:20" ht="37.5" customHeight="1" x14ac:dyDescent="0.25">
      <c r="A345" s="19" t="s">
        <v>372</v>
      </c>
      <c r="B345">
        <f t="shared" si="40"/>
        <v>51636</v>
      </c>
      <c r="C345">
        <v>8147</v>
      </c>
      <c r="D345">
        <v>43489</v>
      </c>
      <c r="F345">
        <f t="shared" si="41"/>
        <v>781</v>
      </c>
      <c r="G345" s="20">
        <f t="shared" si="42"/>
        <v>340</v>
      </c>
      <c r="H345" s="21">
        <v>66617010290</v>
      </c>
      <c r="I345" s="22">
        <v>449</v>
      </c>
      <c r="J345" s="23"/>
      <c r="K345" s="24">
        <v>50855</v>
      </c>
      <c r="L345" s="23">
        <f t="shared" si="36"/>
        <v>781</v>
      </c>
      <c r="M345" s="24">
        <v>8017</v>
      </c>
      <c r="N345" s="25">
        <f t="shared" si="37"/>
        <v>130</v>
      </c>
      <c r="O345" s="24">
        <v>42838</v>
      </c>
      <c r="P345" s="23">
        <f t="shared" si="38"/>
        <v>651</v>
      </c>
      <c r="Q345" s="26"/>
      <c r="R345" s="23">
        <f t="shared" si="39"/>
        <v>0</v>
      </c>
      <c r="S345" s="27" t="s">
        <v>19</v>
      </c>
      <c r="T345" s="19" t="s">
        <v>372</v>
      </c>
    </row>
    <row r="346" spans="1:20" ht="37.5" customHeight="1" x14ac:dyDescent="0.25">
      <c r="A346" s="19" t="s">
        <v>373</v>
      </c>
      <c r="B346">
        <f t="shared" si="40"/>
        <v>3240</v>
      </c>
      <c r="C346">
        <v>843</v>
      </c>
      <c r="D346">
        <v>2397</v>
      </c>
      <c r="E346">
        <v>5450</v>
      </c>
      <c r="F346">
        <f t="shared" si="41"/>
        <v>206</v>
      </c>
      <c r="G346" s="20">
        <f t="shared" si="42"/>
        <v>341</v>
      </c>
      <c r="H346" s="21">
        <v>99624010179</v>
      </c>
      <c r="I346" s="22">
        <v>450</v>
      </c>
      <c r="J346" s="23"/>
      <c r="K346" s="24">
        <f>M346+O346</f>
        <v>3034</v>
      </c>
      <c r="L346" s="23">
        <f t="shared" si="36"/>
        <v>206</v>
      </c>
      <c r="M346" s="24">
        <v>790</v>
      </c>
      <c r="N346" s="25">
        <f t="shared" si="37"/>
        <v>53</v>
      </c>
      <c r="O346" s="24">
        <v>2244</v>
      </c>
      <c r="P346" s="23">
        <f t="shared" si="38"/>
        <v>153</v>
      </c>
      <c r="Q346" s="26">
        <v>4748</v>
      </c>
      <c r="R346" s="23">
        <f t="shared" si="39"/>
        <v>702</v>
      </c>
      <c r="S346" s="27" t="s">
        <v>19</v>
      </c>
      <c r="T346" s="19" t="s">
        <v>373</v>
      </c>
    </row>
    <row r="347" spans="1:20" ht="37.5" customHeight="1" x14ac:dyDescent="0.25">
      <c r="A347" s="19" t="s">
        <v>374</v>
      </c>
      <c r="B347">
        <f t="shared" si="40"/>
        <v>81057</v>
      </c>
      <c r="C347">
        <v>13610</v>
      </c>
      <c r="D347">
        <v>67447</v>
      </c>
      <c r="F347">
        <f t="shared" si="41"/>
        <v>1046</v>
      </c>
      <c r="G347" s="20">
        <f t="shared" si="42"/>
        <v>342</v>
      </c>
      <c r="H347" s="21">
        <v>23015100080</v>
      </c>
      <c r="I347" s="22">
        <v>451</v>
      </c>
      <c r="J347" s="23"/>
      <c r="K347" s="24">
        <v>80011</v>
      </c>
      <c r="L347" s="23">
        <f t="shared" si="36"/>
        <v>1046</v>
      </c>
      <c r="M347" s="24">
        <v>13473</v>
      </c>
      <c r="N347" s="25">
        <f t="shared" si="37"/>
        <v>137</v>
      </c>
      <c r="O347" s="24">
        <v>66538</v>
      </c>
      <c r="P347" s="23">
        <f t="shared" si="38"/>
        <v>909</v>
      </c>
      <c r="Q347" s="26"/>
      <c r="R347" s="23">
        <f t="shared" si="39"/>
        <v>0</v>
      </c>
      <c r="S347" s="27" t="s">
        <v>19</v>
      </c>
      <c r="T347" s="19" t="s">
        <v>374</v>
      </c>
    </row>
    <row r="348" spans="1:20" ht="37.5" customHeight="1" x14ac:dyDescent="0.25">
      <c r="A348" s="19" t="s">
        <v>375</v>
      </c>
      <c r="B348">
        <f t="shared" si="40"/>
        <v>8516</v>
      </c>
      <c r="C348">
        <v>1341</v>
      </c>
      <c r="D348">
        <v>7175</v>
      </c>
      <c r="E348">
        <v>10043</v>
      </c>
      <c r="F348">
        <f t="shared" si="41"/>
        <v>360</v>
      </c>
      <c r="G348" s="20">
        <f t="shared" si="42"/>
        <v>343</v>
      </c>
      <c r="H348" s="21">
        <v>99623080587</v>
      </c>
      <c r="I348" s="22">
        <v>452</v>
      </c>
      <c r="J348" s="23"/>
      <c r="K348" s="24">
        <f>M348+O348</f>
        <v>8156</v>
      </c>
      <c r="L348" s="23">
        <f t="shared" si="36"/>
        <v>360</v>
      </c>
      <c r="M348" s="24">
        <v>1262</v>
      </c>
      <c r="N348" s="25">
        <f t="shared" si="37"/>
        <v>79</v>
      </c>
      <c r="O348" s="24">
        <v>6894</v>
      </c>
      <c r="P348" s="23">
        <f t="shared" si="38"/>
        <v>281</v>
      </c>
      <c r="Q348" s="26">
        <v>9047</v>
      </c>
      <c r="R348" s="23">
        <f t="shared" si="39"/>
        <v>996</v>
      </c>
      <c r="S348" s="27" t="s">
        <v>19</v>
      </c>
      <c r="T348" s="19" t="s">
        <v>375</v>
      </c>
    </row>
    <row r="349" spans="1:20" ht="37.5" customHeight="1" x14ac:dyDescent="0.25">
      <c r="A349" s="19" t="s">
        <v>376</v>
      </c>
      <c r="B349">
        <f t="shared" si="40"/>
        <v>48093</v>
      </c>
      <c r="C349">
        <v>8744</v>
      </c>
      <c r="D349">
        <v>39349</v>
      </c>
      <c r="F349">
        <f t="shared" si="41"/>
        <v>512</v>
      </c>
      <c r="G349" s="20">
        <f t="shared" si="42"/>
        <v>344</v>
      </c>
      <c r="H349" s="21">
        <v>66617020432</v>
      </c>
      <c r="I349" s="22">
        <v>454</v>
      </c>
      <c r="J349" s="23"/>
      <c r="K349" s="24">
        <v>47581</v>
      </c>
      <c r="L349" s="23">
        <f t="shared" si="36"/>
        <v>512</v>
      </c>
      <c r="M349" s="24">
        <v>8645</v>
      </c>
      <c r="N349" s="25">
        <f t="shared" si="37"/>
        <v>99</v>
      </c>
      <c r="O349" s="24">
        <v>38936</v>
      </c>
      <c r="P349" s="23">
        <f t="shared" si="38"/>
        <v>413</v>
      </c>
      <c r="Q349" s="26"/>
      <c r="R349" s="23">
        <f t="shared" si="39"/>
        <v>0</v>
      </c>
      <c r="S349" s="27" t="s">
        <v>19</v>
      </c>
      <c r="T349" s="19" t="s">
        <v>376</v>
      </c>
    </row>
    <row r="350" spans="1:20" ht="37.5" customHeight="1" x14ac:dyDescent="0.25">
      <c r="A350" s="19" t="s">
        <v>377</v>
      </c>
      <c r="B350">
        <f t="shared" si="40"/>
        <v>59876</v>
      </c>
      <c r="C350">
        <v>11505</v>
      </c>
      <c r="D350">
        <v>48371</v>
      </c>
      <c r="F350">
        <f t="shared" si="41"/>
        <v>1242</v>
      </c>
      <c r="G350" s="20">
        <f t="shared" si="42"/>
        <v>345</v>
      </c>
      <c r="H350" s="21">
        <v>88820010010</v>
      </c>
      <c r="I350" s="22" t="s">
        <v>378</v>
      </c>
      <c r="J350" s="23"/>
      <c r="K350" s="24">
        <v>58634</v>
      </c>
      <c r="L350" s="23">
        <f t="shared" si="36"/>
        <v>1242</v>
      </c>
      <c r="M350" s="24">
        <v>11281</v>
      </c>
      <c r="N350" s="25">
        <f t="shared" si="37"/>
        <v>224</v>
      </c>
      <c r="O350" s="24">
        <v>47353</v>
      </c>
      <c r="P350" s="23">
        <f t="shared" si="38"/>
        <v>1018</v>
      </c>
      <c r="Q350" s="26"/>
      <c r="R350" s="23">
        <f t="shared" si="39"/>
        <v>0</v>
      </c>
      <c r="S350" s="27" t="s">
        <v>19</v>
      </c>
      <c r="T350" s="19" t="s">
        <v>377</v>
      </c>
    </row>
    <row r="351" spans="1:20" ht="37.5" customHeight="1" x14ac:dyDescent="0.25">
      <c r="A351" s="19" t="s">
        <v>379</v>
      </c>
      <c r="B351">
        <f t="shared" si="40"/>
        <v>175102</v>
      </c>
      <c r="C351">
        <v>30486</v>
      </c>
      <c r="D351">
        <v>144616</v>
      </c>
      <c r="F351">
        <f t="shared" si="41"/>
        <v>846</v>
      </c>
      <c r="G351" s="20">
        <f t="shared" si="42"/>
        <v>346</v>
      </c>
      <c r="H351" s="21">
        <v>23013090147</v>
      </c>
      <c r="I351" s="22">
        <v>455</v>
      </c>
      <c r="J351" s="23"/>
      <c r="K351" s="24">
        <v>174256</v>
      </c>
      <c r="L351" s="23">
        <f t="shared" si="36"/>
        <v>846</v>
      </c>
      <c r="M351" s="24">
        <v>30346</v>
      </c>
      <c r="N351" s="25">
        <f t="shared" si="37"/>
        <v>140</v>
      </c>
      <c r="O351" s="24">
        <v>143910</v>
      </c>
      <c r="P351" s="23">
        <f t="shared" si="38"/>
        <v>706</v>
      </c>
      <c r="Q351" s="26"/>
      <c r="R351" s="23">
        <f t="shared" si="39"/>
        <v>0</v>
      </c>
      <c r="S351" s="27" t="s">
        <v>19</v>
      </c>
      <c r="T351" s="19" t="s">
        <v>379</v>
      </c>
    </row>
    <row r="352" spans="1:20" ht="37.5" customHeight="1" x14ac:dyDescent="0.25">
      <c r="A352" s="19" t="s">
        <v>380</v>
      </c>
      <c r="B352">
        <f t="shared" si="40"/>
        <v>12168</v>
      </c>
      <c r="C352">
        <v>2220</v>
      </c>
      <c r="D352">
        <v>9948</v>
      </c>
      <c r="F352">
        <f t="shared" si="41"/>
        <v>551</v>
      </c>
      <c r="G352" s="20">
        <f t="shared" si="42"/>
        <v>347</v>
      </c>
      <c r="H352" s="21">
        <v>66621100358</v>
      </c>
      <c r="I352" s="22">
        <v>458</v>
      </c>
      <c r="J352" s="23"/>
      <c r="K352" s="24">
        <v>11617</v>
      </c>
      <c r="L352" s="23">
        <f t="shared" si="36"/>
        <v>551</v>
      </c>
      <c r="M352" s="24">
        <v>2120</v>
      </c>
      <c r="N352" s="25">
        <f t="shared" si="37"/>
        <v>100</v>
      </c>
      <c r="O352" s="24">
        <v>9497</v>
      </c>
      <c r="P352" s="23">
        <f t="shared" si="38"/>
        <v>451</v>
      </c>
      <c r="Q352" s="26"/>
      <c r="R352" s="23">
        <f t="shared" si="39"/>
        <v>0</v>
      </c>
      <c r="S352" s="27" t="s">
        <v>19</v>
      </c>
      <c r="T352" s="19" t="s">
        <v>380</v>
      </c>
    </row>
    <row r="353" spans="1:20" ht="37.5" customHeight="1" x14ac:dyDescent="0.25">
      <c r="A353" s="19" t="s">
        <v>381</v>
      </c>
      <c r="B353">
        <f t="shared" si="40"/>
        <v>91768</v>
      </c>
      <c r="C353">
        <v>15429</v>
      </c>
      <c r="D353">
        <v>76339</v>
      </c>
      <c r="F353">
        <f t="shared" si="41"/>
        <v>868</v>
      </c>
      <c r="G353" s="20">
        <f t="shared" si="42"/>
        <v>348</v>
      </c>
      <c r="H353" s="21">
        <v>66617020296</v>
      </c>
      <c r="I353" s="22">
        <v>460</v>
      </c>
      <c r="J353" s="23"/>
      <c r="K353" s="24">
        <v>90900</v>
      </c>
      <c r="L353" s="23">
        <f t="shared" si="36"/>
        <v>868</v>
      </c>
      <c r="M353" s="24">
        <v>15294</v>
      </c>
      <c r="N353" s="25">
        <f t="shared" si="37"/>
        <v>135</v>
      </c>
      <c r="O353" s="24">
        <v>75606</v>
      </c>
      <c r="P353" s="23">
        <f t="shared" si="38"/>
        <v>733</v>
      </c>
      <c r="Q353" s="26"/>
      <c r="R353" s="23">
        <f t="shared" si="39"/>
        <v>0</v>
      </c>
      <c r="S353" s="27" t="s">
        <v>19</v>
      </c>
      <c r="T353" s="19" t="s">
        <v>381</v>
      </c>
    </row>
    <row r="354" spans="1:20" ht="37.5" customHeight="1" x14ac:dyDescent="0.25">
      <c r="A354" s="19" t="s">
        <v>382</v>
      </c>
      <c r="B354">
        <f t="shared" si="40"/>
        <v>66220</v>
      </c>
      <c r="C354">
        <v>10391</v>
      </c>
      <c r="D354">
        <v>55829</v>
      </c>
      <c r="F354">
        <f t="shared" si="41"/>
        <v>299</v>
      </c>
      <c r="G354" s="20">
        <f t="shared" si="42"/>
        <v>349</v>
      </c>
      <c r="H354" s="21">
        <v>23012070172</v>
      </c>
      <c r="I354" s="22">
        <v>461</v>
      </c>
      <c r="J354" s="23"/>
      <c r="K354" s="24">
        <v>65921</v>
      </c>
      <c r="L354" s="23">
        <f t="shared" si="36"/>
        <v>299</v>
      </c>
      <c r="M354" s="24">
        <v>10341</v>
      </c>
      <c r="N354" s="25">
        <f t="shared" si="37"/>
        <v>50</v>
      </c>
      <c r="O354" s="24">
        <v>55580</v>
      </c>
      <c r="P354" s="23">
        <f t="shared" si="38"/>
        <v>249</v>
      </c>
      <c r="Q354" s="26"/>
      <c r="R354" s="23">
        <f t="shared" si="39"/>
        <v>0</v>
      </c>
      <c r="S354" s="27" t="s">
        <v>19</v>
      </c>
      <c r="T354" s="19" t="s">
        <v>382</v>
      </c>
    </row>
    <row r="355" spans="1:20" ht="37.5" customHeight="1" x14ac:dyDescent="0.25">
      <c r="A355" s="19" t="s">
        <v>383</v>
      </c>
      <c r="B355">
        <f t="shared" si="40"/>
        <v>1915</v>
      </c>
      <c r="C355">
        <v>441</v>
      </c>
      <c r="D355">
        <v>1474</v>
      </c>
      <c r="E355">
        <v>5523</v>
      </c>
      <c r="F355">
        <f t="shared" si="41"/>
        <v>149</v>
      </c>
      <c r="G355" s="20">
        <f t="shared" si="42"/>
        <v>350</v>
      </c>
      <c r="H355" s="21">
        <v>99624030395</v>
      </c>
      <c r="I355" s="22" t="s">
        <v>384</v>
      </c>
      <c r="J355" s="23"/>
      <c r="K355" s="24">
        <f>M355+O355</f>
        <v>1766</v>
      </c>
      <c r="L355" s="23">
        <f t="shared" si="36"/>
        <v>149</v>
      </c>
      <c r="M355" s="24">
        <v>394</v>
      </c>
      <c r="N355" s="25">
        <f t="shared" si="37"/>
        <v>47</v>
      </c>
      <c r="O355" s="24">
        <v>1372</v>
      </c>
      <c r="P355" s="23">
        <f t="shared" si="38"/>
        <v>102</v>
      </c>
      <c r="Q355" s="26">
        <v>4514</v>
      </c>
      <c r="R355" s="23">
        <f t="shared" si="39"/>
        <v>1009</v>
      </c>
      <c r="S355" s="27" t="s">
        <v>19</v>
      </c>
      <c r="T355" s="19" t="s">
        <v>383</v>
      </c>
    </row>
    <row r="356" spans="1:20" ht="37.5" customHeight="1" x14ac:dyDescent="0.25">
      <c r="A356" s="19" t="s">
        <v>385</v>
      </c>
      <c r="B356">
        <f t="shared" si="40"/>
        <v>63498</v>
      </c>
      <c r="C356">
        <v>10154</v>
      </c>
      <c r="D356">
        <v>53344</v>
      </c>
      <c r="F356">
        <f t="shared" si="41"/>
        <v>63</v>
      </c>
      <c r="G356" s="20">
        <f t="shared" si="42"/>
        <v>351</v>
      </c>
      <c r="H356" s="21">
        <v>23012110116</v>
      </c>
      <c r="I356" s="22">
        <v>462</v>
      </c>
      <c r="J356" s="23"/>
      <c r="K356" s="24">
        <v>63435</v>
      </c>
      <c r="L356" s="23">
        <f t="shared" si="36"/>
        <v>63</v>
      </c>
      <c r="M356" s="24">
        <v>10109</v>
      </c>
      <c r="N356" s="25">
        <f t="shared" si="37"/>
        <v>45</v>
      </c>
      <c r="O356" s="24">
        <v>53109</v>
      </c>
      <c r="P356" s="23">
        <f t="shared" si="38"/>
        <v>235</v>
      </c>
      <c r="Q356" s="26"/>
      <c r="R356" s="23">
        <f t="shared" si="39"/>
        <v>0</v>
      </c>
      <c r="S356" s="27" t="s">
        <v>19</v>
      </c>
      <c r="T356" s="19" t="s">
        <v>385</v>
      </c>
    </row>
    <row r="357" spans="1:20" ht="37.5" customHeight="1" x14ac:dyDescent="0.25">
      <c r="A357" s="19" t="s">
        <v>386</v>
      </c>
      <c r="B357">
        <f t="shared" si="40"/>
        <v>12742</v>
      </c>
      <c r="C357">
        <v>3827</v>
      </c>
      <c r="D357">
        <v>8915</v>
      </c>
      <c r="E357">
        <v>14866</v>
      </c>
      <c r="F357">
        <f t="shared" si="41"/>
        <v>170</v>
      </c>
      <c r="G357" s="20">
        <f t="shared" si="42"/>
        <v>352</v>
      </c>
      <c r="H357" s="21">
        <v>99622050098</v>
      </c>
      <c r="I357" s="22">
        <v>462</v>
      </c>
      <c r="J357" s="23"/>
      <c r="K357" s="24">
        <f>M357+O357</f>
        <v>12572</v>
      </c>
      <c r="L357" s="23">
        <f t="shared" si="36"/>
        <v>170</v>
      </c>
      <c r="M357" s="24">
        <v>3740</v>
      </c>
      <c r="N357" s="25">
        <f t="shared" si="37"/>
        <v>87</v>
      </c>
      <c r="O357" s="24">
        <v>8832</v>
      </c>
      <c r="P357" s="23">
        <f t="shared" si="38"/>
        <v>83</v>
      </c>
      <c r="Q357" s="26">
        <v>14666</v>
      </c>
      <c r="R357" s="23">
        <f t="shared" si="39"/>
        <v>200</v>
      </c>
      <c r="S357" s="27" t="s">
        <v>19</v>
      </c>
      <c r="T357" s="19" t="s">
        <v>386</v>
      </c>
    </row>
    <row r="358" spans="1:20" ht="37.5" customHeight="1" x14ac:dyDescent="0.25">
      <c r="A358" s="19" t="s">
        <v>387</v>
      </c>
      <c r="B358">
        <f t="shared" si="40"/>
        <v>23256</v>
      </c>
      <c r="C358">
        <v>6579</v>
      </c>
      <c r="D358">
        <v>16677</v>
      </c>
      <c r="E358">
        <v>22516</v>
      </c>
      <c r="F358">
        <f t="shared" si="41"/>
        <v>944</v>
      </c>
      <c r="G358" s="20">
        <f t="shared" si="42"/>
        <v>353</v>
      </c>
      <c r="H358" s="21">
        <v>99722020001</v>
      </c>
      <c r="I358" s="22">
        <v>463</v>
      </c>
      <c r="J358" s="23"/>
      <c r="K358" s="24">
        <f>M358+O358</f>
        <v>22312</v>
      </c>
      <c r="L358" s="23">
        <f t="shared" si="36"/>
        <v>944</v>
      </c>
      <c r="M358" s="24">
        <v>6274</v>
      </c>
      <c r="N358" s="25">
        <f t="shared" si="37"/>
        <v>305</v>
      </c>
      <c r="O358" s="24">
        <v>16038</v>
      </c>
      <c r="P358" s="23">
        <f t="shared" si="38"/>
        <v>639</v>
      </c>
      <c r="Q358" s="26">
        <v>21570</v>
      </c>
      <c r="R358" s="23">
        <f t="shared" si="39"/>
        <v>946</v>
      </c>
      <c r="S358" s="27" t="s">
        <v>19</v>
      </c>
      <c r="T358" s="19" t="s">
        <v>387</v>
      </c>
    </row>
    <row r="359" spans="1:20" ht="37.5" customHeight="1" x14ac:dyDescent="0.25">
      <c r="A359" s="19" t="s">
        <v>388</v>
      </c>
      <c r="B359">
        <f t="shared" si="40"/>
        <v>11729</v>
      </c>
      <c r="C359">
        <v>3083</v>
      </c>
      <c r="D359">
        <v>8646</v>
      </c>
      <c r="E359">
        <v>20092</v>
      </c>
      <c r="F359">
        <f t="shared" si="41"/>
        <v>293</v>
      </c>
      <c r="G359" s="20">
        <f t="shared" si="42"/>
        <v>354</v>
      </c>
      <c r="H359" s="21">
        <v>99723010071</v>
      </c>
      <c r="I359" s="22">
        <v>464</v>
      </c>
      <c r="J359" s="23"/>
      <c r="K359" s="24">
        <f>M359+O359</f>
        <v>11436</v>
      </c>
      <c r="L359" s="23">
        <f t="shared" si="36"/>
        <v>293</v>
      </c>
      <c r="M359" s="24">
        <v>3002</v>
      </c>
      <c r="N359" s="25">
        <f t="shared" si="37"/>
        <v>81</v>
      </c>
      <c r="O359" s="24">
        <v>8434</v>
      </c>
      <c r="P359" s="23">
        <f t="shared" si="38"/>
        <v>212</v>
      </c>
      <c r="Q359" s="26">
        <v>18901</v>
      </c>
      <c r="R359" s="23">
        <f t="shared" si="39"/>
        <v>1191</v>
      </c>
      <c r="S359" s="27" t="s">
        <v>19</v>
      </c>
      <c r="T359" s="19" t="s">
        <v>388</v>
      </c>
    </row>
    <row r="360" spans="1:20" ht="37.5" customHeight="1" x14ac:dyDescent="0.25">
      <c r="A360" s="19" t="s">
        <v>389</v>
      </c>
      <c r="B360">
        <f t="shared" si="40"/>
        <v>98553</v>
      </c>
      <c r="C360">
        <v>23363</v>
      </c>
      <c r="D360">
        <v>75190</v>
      </c>
      <c r="F360">
        <f t="shared" si="41"/>
        <v>753</v>
      </c>
      <c r="G360" s="20">
        <f t="shared" si="42"/>
        <v>355</v>
      </c>
      <c r="H360" s="21">
        <v>23011010064</v>
      </c>
      <c r="I360" s="22">
        <v>466</v>
      </c>
      <c r="J360" s="23"/>
      <c r="K360" s="24">
        <v>97800</v>
      </c>
      <c r="L360" s="23">
        <f t="shared" si="36"/>
        <v>753</v>
      </c>
      <c r="M360" s="24">
        <v>23220</v>
      </c>
      <c r="N360" s="25">
        <f t="shared" si="37"/>
        <v>143</v>
      </c>
      <c r="O360" s="24">
        <v>74580</v>
      </c>
      <c r="P360" s="23">
        <f t="shared" si="38"/>
        <v>610</v>
      </c>
      <c r="Q360" s="26"/>
      <c r="R360" s="23">
        <f t="shared" si="39"/>
        <v>0</v>
      </c>
      <c r="S360" s="27" t="s">
        <v>19</v>
      </c>
      <c r="T360" s="19" t="s">
        <v>389</v>
      </c>
    </row>
    <row r="361" spans="1:20" ht="37.5" customHeight="1" x14ac:dyDescent="0.25">
      <c r="A361" s="19" t="s">
        <v>390</v>
      </c>
      <c r="B361">
        <f t="shared" si="40"/>
        <v>69625</v>
      </c>
      <c r="C361">
        <v>11839</v>
      </c>
      <c r="D361">
        <v>57786</v>
      </c>
      <c r="F361">
        <f t="shared" si="41"/>
        <v>712</v>
      </c>
      <c r="G361" s="20">
        <f t="shared" si="42"/>
        <v>356</v>
      </c>
      <c r="H361" s="21">
        <v>23014060510</v>
      </c>
      <c r="I361" s="22">
        <v>467</v>
      </c>
      <c r="J361" s="23"/>
      <c r="K361" s="24">
        <v>68913</v>
      </c>
      <c r="L361" s="23">
        <f t="shared" si="36"/>
        <v>712</v>
      </c>
      <c r="M361" s="24">
        <v>11702</v>
      </c>
      <c r="N361" s="25">
        <f t="shared" si="37"/>
        <v>137</v>
      </c>
      <c r="O361" s="24">
        <v>57211</v>
      </c>
      <c r="P361" s="23">
        <f t="shared" si="38"/>
        <v>575</v>
      </c>
      <c r="Q361" s="26"/>
      <c r="R361" s="23">
        <f t="shared" si="39"/>
        <v>0</v>
      </c>
      <c r="S361" s="27" t="s">
        <v>19</v>
      </c>
      <c r="T361" s="19" t="s">
        <v>390</v>
      </c>
    </row>
    <row r="362" spans="1:20" ht="37.5" customHeight="1" x14ac:dyDescent="0.25">
      <c r="A362" s="19" t="s">
        <v>391</v>
      </c>
      <c r="B362">
        <f>47+K362</f>
        <v>36581</v>
      </c>
      <c r="F362">
        <f t="shared" si="41"/>
        <v>47</v>
      </c>
      <c r="G362" s="20">
        <f t="shared" si="42"/>
        <v>357</v>
      </c>
      <c r="H362" s="21">
        <v>23013010195</v>
      </c>
      <c r="I362" s="22">
        <v>468</v>
      </c>
      <c r="J362" s="23"/>
      <c r="K362" s="24">
        <v>36534</v>
      </c>
      <c r="L362" s="23">
        <f t="shared" si="36"/>
        <v>47</v>
      </c>
      <c r="M362" s="24">
        <v>5407</v>
      </c>
      <c r="N362" s="25">
        <f t="shared" si="37"/>
        <v>-5407</v>
      </c>
      <c r="O362" s="24">
        <v>31127</v>
      </c>
      <c r="P362" s="23">
        <f t="shared" si="38"/>
        <v>-31127</v>
      </c>
      <c r="Q362" s="26"/>
      <c r="R362" s="23">
        <f t="shared" si="39"/>
        <v>0</v>
      </c>
      <c r="S362" s="27" t="s">
        <v>19</v>
      </c>
      <c r="T362" s="19" t="s">
        <v>391</v>
      </c>
    </row>
    <row r="363" spans="1:20" ht="37.5" customHeight="1" x14ac:dyDescent="0.25">
      <c r="A363" s="19" t="s">
        <v>392</v>
      </c>
      <c r="B363">
        <f t="shared" si="40"/>
        <v>73444</v>
      </c>
      <c r="C363">
        <v>16003</v>
      </c>
      <c r="D363">
        <v>57441</v>
      </c>
      <c r="F363">
        <f t="shared" si="41"/>
        <v>121</v>
      </c>
      <c r="G363" s="20">
        <f t="shared" si="42"/>
        <v>358</v>
      </c>
      <c r="H363" s="21">
        <v>23012070142</v>
      </c>
      <c r="I363" s="22">
        <v>469</v>
      </c>
      <c r="J363" s="23"/>
      <c r="K363" s="24">
        <v>73323</v>
      </c>
      <c r="L363" s="23">
        <f t="shared" si="36"/>
        <v>121</v>
      </c>
      <c r="M363" s="24">
        <v>15981</v>
      </c>
      <c r="N363" s="25">
        <f t="shared" si="37"/>
        <v>22</v>
      </c>
      <c r="O363" s="24">
        <v>57342</v>
      </c>
      <c r="P363" s="23">
        <f t="shared" si="38"/>
        <v>99</v>
      </c>
      <c r="Q363" s="26"/>
      <c r="R363" s="23">
        <f t="shared" si="39"/>
        <v>0</v>
      </c>
      <c r="S363" s="27" t="s">
        <v>19</v>
      </c>
      <c r="T363" s="19" t="s">
        <v>392</v>
      </c>
    </row>
    <row r="364" spans="1:20" ht="37.5" customHeight="1" x14ac:dyDescent="0.25">
      <c r="A364" s="19" t="s">
        <v>393</v>
      </c>
      <c r="B364">
        <f t="shared" si="40"/>
        <v>17020</v>
      </c>
      <c r="C364">
        <v>3586</v>
      </c>
      <c r="D364">
        <v>13434</v>
      </c>
      <c r="F364">
        <f t="shared" si="41"/>
        <v>471</v>
      </c>
      <c r="G364" s="20">
        <f t="shared" si="42"/>
        <v>359</v>
      </c>
      <c r="H364" s="21">
        <v>23014010002</v>
      </c>
      <c r="I364" s="22">
        <v>470</v>
      </c>
      <c r="J364" s="23"/>
      <c r="K364" s="24">
        <v>16549</v>
      </c>
      <c r="L364" s="23">
        <f t="shared" si="36"/>
        <v>471</v>
      </c>
      <c r="M364" s="24">
        <v>3513</v>
      </c>
      <c r="N364" s="25">
        <f t="shared" si="37"/>
        <v>73</v>
      </c>
      <c r="O364" s="24">
        <v>13036</v>
      </c>
      <c r="P364" s="23">
        <f t="shared" si="38"/>
        <v>398</v>
      </c>
      <c r="Q364" s="26"/>
      <c r="R364" s="23">
        <f t="shared" si="39"/>
        <v>0</v>
      </c>
      <c r="S364" s="27" t="s">
        <v>19</v>
      </c>
      <c r="T364" s="19" t="s">
        <v>393</v>
      </c>
    </row>
    <row r="365" spans="1:20" ht="37.5" customHeight="1" x14ac:dyDescent="0.25">
      <c r="A365" s="19" t="s">
        <v>394</v>
      </c>
      <c r="B365">
        <f t="shared" si="40"/>
        <v>58028</v>
      </c>
      <c r="C365">
        <v>11768</v>
      </c>
      <c r="D365">
        <v>46260</v>
      </c>
      <c r="F365">
        <f t="shared" si="41"/>
        <v>362</v>
      </c>
      <c r="G365" s="20">
        <f t="shared" si="42"/>
        <v>360</v>
      </c>
      <c r="H365" s="21">
        <v>23012110049</v>
      </c>
      <c r="I365" s="22">
        <v>471</v>
      </c>
      <c r="J365" s="23"/>
      <c r="K365" s="24">
        <v>57666</v>
      </c>
      <c r="L365" s="23">
        <f t="shared" si="36"/>
        <v>362</v>
      </c>
      <c r="M365" s="24">
        <v>11709</v>
      </c>
      <c r="N365" s="25">
        <f t="shared" si="37"/>
        <v>59</v>
      </c>
      <c r="O365" s="24">
        <v>45957</v>
      </c>
      <c r="P365" s="23">
        <f t="shared" si="38"/>
        <v>303</v>
      </c>
      <c r="Q365" s="26"/>
      <c r="R365" s="23">
        <f t="shared" si="39"/>
        <v>0</v>
      </c>
      <c r="S365" s="27" t="s">
        <v>19</v>
      </c>
      <c r="T365" s="19" t="s">
        <v>394</v>
      </c>
    </row>
    <row r="366" spans="1:20" ht="37.5" customHeight="1" x14ac:dyDescent="0.25">
      <c r="A366" s="19" t="s">
        <v>395</v>
      </c>
      <c r="B366">
        <f t="shared" si="40"/>
        <v>15369</v>
      </c>
      <c r="C366">
        <v>1965</v>
      </c>
      <c r="D366">
        <v>13404</v>
      </c>
      <c r="F366">
        <f t="shared" si="41"/>
        <v>331</v>
      </c>
      <c r="G366" s="20">
        <f t="shared" si="42"/>
        <v>361</v>
      </c>
      <c r="H366" s="21">
        <v>23013040245</v>
      </c>
      <c r="I366" s="22">
        <v>472</v>
      </c>
      <c r="J366" s="23"/>
      <c r="K366" s="24">
        <v>15038</v>
      </c>
      <c r="L366" s="23">
        <f t="shared" si="36"/>
        <v>331</v>
      </c>
      <c r="M366" s="24">
        <v>1922</v>
      </c>
      <c r="N366" s="25">
        <f t="shared" si="37"/>
        <v>43</v>
      </c>
      <c r="O366" s="24">
        <v>13116</v>
      </c>
      <c r="P366" s="23">
        <f t="shared" si="38"/>
        <v>288</v>
      </c>
      <c r="Q366" s="26"/>
      <c r="R366" s="23">
        <f t="shared" si="39"/>
        <v>0</v>
      </c>
      <c r="S366" s="27" t="s">
        <v>19</v>
      </c>
      <c r="T366" s="19" t="s">
        <v>395</v>
      </c>
    </row>
    <row r="367" spans="1:20" ht="37.5" customHeight="1" x14ac:dyDescent="0.25">
      <c r="A367" s="19" t="s">
        <v>396</v>
      </c>
      <c r="B367">
        <f t="shared" si="40"/>
        <v>43191</v>
      </c>
      <c r="C367">
        <v>7629</v>
      </c>
      <c r="D367">
        <v>35562</v>
      </c>
      <c r="F367">
        <f t="shared" si="41"/>
        <v>489</v>
      </c>
      <c r="G367" s="20">
        <f t="shared" si="42"/>
        <v>362</v>
      </c>
      <c r="H367" s="21">
        <v>88818020086</v>
      </c>
      <c r="I367" s="22">
        <v>473</v>
      </c>
      <c r="J367" s="23"/>
      <c r="K367" s="24">
        <v>42702</v>
      </c>
      <c r="L367" s="23">
        <f t="shared" si="36"/>
        <v>489</v>
      </c>
      <c r="M367" s="24">
        <v>7545</v>
      </c>
      <c r="N367" s="25">
        <f t="shared" si="37"/>
        <v>84</v>
      </c>
      <c r="O367" s="24">
        <v>35157</v>
      </c>
      <c r="P367" s="23">
        <f t="shared" si="38"/>
        <v>405</v>
      </c>
      <c r="Q367" s="26"/>
      <c r="R367" s="23">
        <f t="shared" si="39"/>
        <v>0</v>
      </c>
      <c r="S367" s="27" t="s">
        <v>19</v>
      </c>
      <c r="T367" s="19" t="s">
        <v>396</v>
      </c>
    </row>
    <row r="368" spans="1:20" ht="37.5" customHeight="1" x14ac:dyDescent="0.25">
      <c r="A368" s="19" t="s">
        <v>397</v>
      </c>
      <c r="B368">
        <f t="shared" si="40"/>
        <v>35395</v>
      </c>
      <c r="C368">
        <v>5536</v>
      </c>
      <c r="D368">
        <v>29859</v>
      </c>
      <c r="F368">
        <f t="shared" si="41"/>
        <v>154</v>
      </c>
      <c r="G368" s="20">
        <f t="shared" si="42"/>
        <v>363</v>
      </c>
      <c r="H368" s="21">
        <v>66618010359</v>
      </c>
      <c r="I368" s="22">
        <v>474</v>
      </c>
      <c r="J368" s="23"/>
      <c r="K368" s="24">
        <v>35241</v>
      </c>
      <c r="L368" s="23">
        <f t="shared" si="36"/>
        <v>154</v>
      </c>
      <c r="M368" s="24">
        <v>5513</v>
      </c>
      <c r="N368" s="25">
        <f t="shared" si="37"/>
        <v>23</v>
      </c>
      <c r="O368" s="24">
        <v>29728</v>
      </c>
      <c r="P368" s="23">
        <f t="shared" si="38"/>
        <v>131</v>
      </c>
      <c r="Q368" s="26"/>
      <c r="R368" s="23">
        <f t="shared" si="39"/>
        <v>0</v>
      </c>
      <c r="S368" s="27" t="s">
        <v>19</v>
      </c>
      <c r="T368" s="19" t="s">
        <v>397</v>
      </c>
    </row>
    <row r="369" spans="1:20" ht="37.5" customHeight="1" x14ac:dyDescent="0.25">
      <c r="A369" s="19" t="s">
        <v>398</v>
      </c>
      <c r="B369">
        <f t="shared" si="40"/>
        <v>180088</v>
      </c>
      <c r="C369">
        <v>37184</v>
      </c>
      <c r="D369">
        <v>142904</v>
      </c>
      <c r="F369">
        <f t="shared" si="41"/>
        <v>366</v>
      </c>
      <c r="G369" s="20">
        <f t="shared" si="42"/>
        <v>364</v>
      </c>
      <c r="H369" s="21">
        <v>23012010191</v>
      </c>
      <c r="I369" s="22">
        <v>475</v>
      </c>
      <c r="J369" s="23"/>
      <c r="K369" s="24">
        <v>179722</v>
      </c>
      <c r="L369" s="23">
        <f t="shared" si="36"/>
        <v>366</v>
      </c>
      <c r="M369" s="24">
        <v>37111</v>
      </c>
      <c r="N369" s="25">
        <f t="shared" si="37"/>
        <v>73</v>
      </c>
      <c r="O369" s="24">
        <v>142611</v>
      </c>
      <c r="P369" s="23">
        <f t="shared" si="38"/>
        <v>293</v>
      </c>
      <c r="Q369" s="26"/>
      <c r="R369" s="23">
        <f t="shared" si="39"/>
        <v>0</v>
      </c>
      <c r="S369" s="27" t="s">
        <v>19</v>
      </c>
      <c r="T369" s="19" t="s">
        <v>398</v>
      </c>
    </row>
    <row r="370" spans="1:20" ht="37.5" customHeight="1" x14ac:dyDescent="0.25">
      <c r="A370" s="19" t="s">
        <v>399</v>
      </c>
      <c r="B370">
        <f t="shared" si="40"/>
        <v>14084</v>
      </c>
      <c r="C370">
        <v>2124</v>
      </c>
      <c r="D370">
        <v>11960</v>
      </c>
      <c r="F370">
        <f t="shared" si="41"/>
        <v>164</v>
      </c>
      <c r="G370" s="20">
        <f t="shared" si="42"/>
        <v>365</v>
      </c>
      <c r="H370" s="21">
        <v>66621060131</v>
      </c>
      <c r="I370" s="22">
        <v>476</v>
      </c>
      <c r="J370" s="23"/>
      <c r="K370" s="24">
        <v>13920</v>
      </c>
      <c r="L370" s="23">
        <f t="shared" si="36"/>
        <v>164</v>
      </c>
      <c r="M370" s="24">
        <v>2068</v>
      </c>
      <c r="N370" s="25">
        <f t="shared" si="37"/>
        <v>56</v>
      </c>
      <c r="O370" s="24">
        <v>11852</v>
      </c>
      <c r="P370" s="23">
        <f t="shared" si="38"/>
        <v>108</v>
      </c>
      <c r="Q370" s="26"/>
      <c r="R370" s="23">
        <f t="shared" si="39"/>
        <v>0</v>
      </c>
      <c r="S370" s="27" t="s">
        <v>19</v>
      </c>
      <c r="T370" s="19" t="s">
        <v>399</v>
      </c>
    </row>
    <row r="371" spans="1:20" ht="37.5" customHeight="1" x14ac:dyDescent="0.25">
      <c r="A371" s="19" t="s">
        <v>400</v>
      </c>
      <c r="B371">
        <f t="shared" si="40"/>
        <v>3839</v>
      </c>
      <c r="C371">
        <v>934</v>
      </c>
      <c r="D371">
        <v>2905</v>
      </c>
      <c r="E371">
        <v>3743</v>
      </c>
      <c r="F371">
        <f t="shared" si="41"/>
        <v>421</v>
      </c>
      <c r="G371" s="20">
        <f t="shared" si="42"/>
        <v>366</v>
      </c>
      <c r="H371" s="21">
        <v>99624030237</v>
      </c>
      <c r="I371" s="22">
        <v>477</v>
      </c>
      <c r="J371" s="23"/>
      <c r="K371" s="24">
        <f>M371+O371</f>
        <v>3418</v>
      </c>
      <c r="L371" s="23">
        <f t="shared" si="36"/>
        <v>421</v>
      </c>
      <c r="M371" s="24">
        <v>823</v>
      </c>
      <c r="N371" s="25">
        <f t="shared" si="37"/>
        <v>111</v>
      </c>
      <c r="O371" s="24">
        <v>2595</v>
      </c>
      <c r="P371" s="23">
        <f t="shared" si="38"/>
        <v>310</v>
      </c>
      <c r="Q371" s="26">
        <v>3154</v>
      </c>
      <c r="R371" s="23">
        <f t="shared" si="39"/>
        <v>589</v>
      </c>
      <c r="S371" s="27" t="s">
        <v>19</v>
      </c>
      <c r="T371" s="19" t="s">
        <v>400</v>
      </c>
    </row>
    <row r="372" spans="1:20" ht="37.5" customHeight="1" x14ac:dyDescent="0.25">
      <c r="A372" s="19" t="s">
        <v>401</v>
      </c>
      <c r="B372">
        <v>4</v>
      </c>
      <c r="D372">
        <v>1</v>
      </c>
      <c r="F372">
        <f t="shared" si="41"/>
        <v>0</v>
      </c>
      <c r="G372" s="20">
        <f t="shared" si="42"/>
        <v>367</v>
      </c>
      <c r="H372" s="21">
        <v>66621040460</v>
      </c>
      <c r="I372" s="22">
        <v>478</v>
      </c>
      <c r="J372" s="23"/>
      <c r="K372" s="24">
        <v>4</v>
      </c>
      <c r="L372" s="23">
        <f t="shared" si="36"/>
        <v>0</v>
      </c>
      <c r="M372" s="24">
        <v>2</v>
      </c>
      <c r="N372" s="25">
        <f t="shared" si="37"/>
        <v>-2</v>
      </c>
      <c r="O372" s="24">
        <v>2</v>
      </c>
      <c r="P372" s="23">
        <f t="shared" si="38"/>
        <v>-1</v>
      </c>
      <c r="Q372" s="26"/>
      <c r="R372" s="23">
        <f t="shared" si="39"/>
        <v>0</v>
      </c>
      <c r="S372" s="27" t="s">
        <v>19</v>
      </c>
      <c r="T372" s="19" t="s">
        <v>401</v>
      </c>
    </row>
    <row r="373" spans="1:20" ht="37.5" customHeight="1" x14ac:dyDescent="0.25">
      <c r="A373" s="19" t="s">
        <v>402</v>
      </c>
      <c r="B373">
        <f t="shared" si="40"/>
        <v>36464</v>
      </c>
      <c r="C373">
        <v>6594</v>
      </c>
      <c r="D373">
        <v>29870</v>
      </c>
      <c r="F373">
        <f t="shared" si="41"/>
        <v>677</v>
      </c>
      <c r="G373" s="20">
        <f t="shared" si="42"/>
        <v>368</v>
      </c>
      <c r="H373" s="21">
        <v>66622020275</v>
      </c>
      <c r="I373" s="22">
        <v>478</v>
      </c>
      <c r="J373" s="23"/>
      <c r="K373" s="24">
        <v>35787</v>
      </c>
      <c r="L373" s="23">
        <f t="shared" si="36"/>
        <v>677</v>
      </c>
      <c r="M373" s="24">
        <v>6481</v>
      </c>
      <c r="N373" s="25">
        <f t="shared" si="37"/>
        <v>113</v>
      </c>
      <c r="O373" s="24">
        <v>29306</v>
      </c>
      <c r="P373" s="23">
        <f t="shared" si="38"/>
        <v>564</v>
      </c>
      <c r="Q373" s="26"/>
      <c r="R373" s="23">
        <f t="shared" si="39"/>
        <v>0</v>
      </c>
      <c r="S373" s="27" t="s">
        <v>19</v>
      </c>
      <c r="T373" s="19" t="s">
        <v>402</v>
      </c>
    </row>
    <row r="374" spans="1:20" ht="37.5" customHeight="1" x14ac:dyDescent="0.25">
      <c r="A374" s="19" t="s">
        <v>403</v>
      </c>
      <c r="B374">
        <f t="shared" si="40"/>
        <v>30971</v>
      </c>
      <c r="C374">
        <v>4908</v>
      </c>
      <c r="D374">
        <v>26063</v>
      </c>
      <c r="F374">
        <f t="shared" si="41"/>
        <v>545</v>
      </c>
      <c r="G374" s="20">
        <f t="shared" si="42"/>
        <v>369</v>
      </c>
      <c r="H374" s="21">
        <v>23015100527</v>
      </c>
      <c r="I374" s="22">
        <v>479</v>
      </c>
      <c r="J374" s="23"/>
      <c r="K374" s="24">
        <v>30426</v>
      </c>
      <c r="L374" s="23">
        <f t="shared" si="36"/>
        <v>545</v>
      </c>
      <c r="M374" s="24">
        <v>4840</v>
      </c>
      <c r="N374" s="25">
        <f t="shared" si="37"/>
        <v>68</v>
      </c>
      <c r="O374" s="24">
        <v>25586</v>
      </c>
      <c r="P374" s="23">
        <f t="shared" si="38"/>
        <v>477</v>
      </c>
      <c r="Q374" s="26"/>
      <c r="R374" s="23">
        <f t="shared" si="39"/>
        <v>0</v>
      </c>
      <c r="S374" s="27" t="s">
        <v>19</v>
      </c>
      <c r="T374" s="19" t="s">
        <v>403</v>
      </c>
    </row>
    <row r="375" spans="1:20" ht="37.5" customHeight="1" x14ac:dyDescent="0.25">
      <c r="A375" s="19" t="s">
        <v>404</v>
      </c>
      <c r="B375">
        <f t="shared" si="40"/>
        <v>14257</v>
      </c>
      <c r="C375">
        <v>2222</v>
      </c>
      <c r="D375">
        <v>12035</v>
      </c>
      <c r="F375">
        <f t="shared" si="41"/>
        <v>77</v>
      </c>
      <c r="G375" s="20">
        <f t="shared" si="42"/>
        <v>370</v>
      </c>
      <c r="H375" s="21">
        <v>88818030244</v>
      </c>
      <c r="I375" s="22">
        <v>482</v>
      </c>
      <c r="J375" s="23"/>
      <c r="K375" s="24">
        <v>14180</v>
      </c>
      <c r="L375" s="23">
        <f t="shared" si="36"/>
        <v>77</v>
      </c>
      <c r="M375" s="24">
        <v>2212</v>
      </c>
      <c r="N375" s="25">
        <f t="shared" si="37"/>
        <v>10</v>
      </c>
      <c r="O375" s="24">
        <v>11968</v>
      </c>
      <c r="P375" s="23">
        <f t="shared" si="38"/>
        <v>67</v>
      </c>
      <c r="Q375" s="26"/>
      <c r="R375" s="23">
        <f t="shared" si="39"/>
        <v>0</v>
      </c>
      <c r="S375" s="27" t="s">
        <v>19</v>
      </c>
      <c r="T375" s="19" t="s">
        <v>404</v>
      </c>
    </row>
    <row r="376" spans="1:20" ht="37.5" customHeight="1" x14ac:dyDescent="0.25">
      <c r="A376" s="19" t="s">
        <v>405</v>
      </c>
      <c r="B376">
        <f t="shared" si="40"/>
        <v>4794</v>
      </c>
      <c r="C376">
        <v>630</v>
      </c>
      <c r="D376">
        <v>4164</v>
      </c>
      <c r="F376">
        <f t="shared" si="41"/>
        <v>104</v>
      </c>
      <c r="G376" s="20">
        <f t="shared" si="42"/>
        <v>371</v>
      </c>
      <c r="H376" s="21">
        <v>88818020209</v>
      </c>
      <c r="I376" s="22">
        <v>483</v>
      </c>
      <c r="J376" s="23"/>
      <c r="K376" s="24">
        <v>4690</v>
      </c>
      <c r="L376" s="23">
        <f t="shared" si="36"/>
        <v>104</v>
      </c>
      <c r="M376" s="24">
        <v>614</v>
      </c>
      <c r="N376" s="25">
        <f t="shared" si="37"/>
        <v>16</v>
      </c>
      <c r="O376" s="24">
        <v>4076</v>
      </c>
      <c r="P376" s="23">
        <f t="shared" si="38"/>
        <v>88</v>
      </c>
      <c r="Q376" s="26"/>
      <c r="R376" s="23">
        <f t="shared" si="39"/>
        <v>0</v>
      </c>
      <c r="S376" s="27" t="s">
        <v>19</v>
      </c>
      <c r="T376" s="19" t="s">
        <v>405</v>
      </c>
    </row>
    <row r="377" spans="1:20" ht="37.5" customHeight="1" x14ac:dyDescent="0.25">
      <c r="A377" s="19" t="s">
        <v>406</v>
      </c>
      <c r="B377">
        <f t="shared" si="40"/>
        <v>6897</v>
      </c>
      <c r="C377">
        <v>1218</v>
      </c>
      <c r="D377">
        <v>5679</v>
      </c>
      <c r="F377">
        <f t="shared" si="41"/>
        <v>158</v>
      </c>
      <c r="G377" s="20">
        <f t="shared" si="42"/>
        <v>372</v>
      </c>
      <c r="H377" s="21">
        <v>66621040341</v>
      </c>
      <c r="I377" s="22">
        <v>484</v>
      </c>
      <c r="J377" s="23"/>
      <c r="K377" s="24">
        <v>6739</v>
      </c>
      <c r="L377" s="23">
        <f t="shared" si="36"/>
        <v>158</v>
      </c>
      <c r="M377" s="24">
        <v>1186</v>
      </c>
      <c r="N377" s="25">
        <f t="shared" si="37"/>
        <v>32</v>
      </c>
      <c r="O377" s="24">
        <v>5553</v>
      </c>
      <c r="P377" s="23">
        <f t="shared" si="38"/>
        <v>126</v>
      </c>
      <c r="Q377" s="26"/>
      <c r="R377" s="23">
        <f t="shared" si="39"/>
        <v>0</v>
      </c>
      <c r="S377" s="27" t="s">
        <v>19</v>
      </c>
      <c r="T377" s="19" t="s">
        <v>406</v>
      </c>
    </row>
    <row r="378" spans="1:20" ht="37.5" customHeight="1" x14ac:dyDescent="0.25">
      <c r="A378" s="19" t="s">
        <v>407</v>
      </c>
      <c r="B378">
        <f t="shared" si="40"/>
        <v>14268</v>
      </c>
      <c r="C378">
        <v>3676</v>
      </c>
      <c r="D378">
        <v>10592</v>
      </c>
      <c r="E378">
        <v>14273</v>
      </c>
      <c r="F378">
        <f t="shared" si="41"/>
        <v>440</v>
      </c>
      <c r="G378" s="20">
        <f t="shared" si="42"/>
        <v>373</v>
      </c>
      <c r="H378" s="21">
        <v>99723050052</v>
      </c>
      <c r="I378" s="22">
        <v>489</v>
      </c>
      <c r="J378" s="23"/>
      <c r="K378" s="24">
        <f>M378+O378</f>
        <v>13828</v>
      </c>
      <c r="L378" s="23">
        <f t="shared" si="36"/>
        <v>440</v>
      </c>
      <c r="M378" s="24">
        <v>3573</v>
      </c>
      <c r="N378" s="25">
        <f t="shared" si="37"/>
        <v>103</v>
      </c>
      <c r="O378" s="24">
        <v>10255</v>
      </c>
      <c r="P378" s="23">
        <f t="shared" si="38"/>
        <v>337</v>
      </c>
      <c r="Q378" s="26">
        <v>13428</v>
      </c>
      <c r="R378" s="23">
        <f t="shared" si="39"/>
        <v>845</v>
      </c>
      <c r="S378" s="27" t="s">
        <v>19</v>
      </c>
      <c r="T378" s="19" t="s">
        <v>407</v>
      </c>
    </row>
    <row r="379" spans="1:20" ht="37.5" customHeight="1" x14ac:dyDescent="0.25">
      <c r="A379" s="19" t="s">
        <v>408</v>
      </c>
      <c r="B379">
        <f t="shared" si="40"/>
        <v>105147</v>
      </c>
      <c r="C379">
        <v>38507</v>
      </c>
      <c r="D379">
        <v>66640</v>
      </c>
      <c r="F379">
        <f t="shared" si="41"/>
        <v>510</v>
      </c>
      <c r="G379" s="20">
        <f t="shared" si="42"/>
        <v>374</v>
      </c>
      <c r="H379" s="21">
        <v>23010050089</v>
      </c>
      <c r="I379" s="22">
        <v>490</v>
      </c>
      <c r="J379" s="23"/>
      <c r="K379" s="24">
        <v>104637</v>
      </c>
      <c r="L379" s="23">
        <f t="shared" si="36"/>
        <v>510</v>
      </c>
      <c r="M379" s="24">
        <v>38412</v>
      </c>
      <c r="N379" s="25">
        <f t="shared" si="37"/>
        <v>95</v>
      </c>
      <c r="O379" s="24">
        <v>66225</v>
      </c>
      <c r="P379" s="23">
        <f t="shared" si="38"/>
        <v>415</v>
      </c>
      <c r="Q379" s="26"/>
      <c r="R379" s="23">
        <f t="shared" si="39"/>
        <v>0</v>
      </c>
      <c r="S379" s="27" t="s">
        <v>19</v>
      </c>
      <c r="T379" s="19" t="s">
        <v>408</v>
      </c>
    </row>
    <row r="380" spans="1:20" ht="37.5" customHeight="1" x14ac:dyDescent="0.25">
      <c r="A380" s="19" t="s">
        <v>409</v>
      </c>
      <c r="B380">
        <f t="shared" si="40"/>
        <v>50350</v>
      </c>
      <c r="C380">
        <v>17130</v>
      </c>
      <c r="D380">
        <v>33220</v>
      </c>
      <c r="F380">
        <f t="shared" si="41"/>
        <v>187</v>
      </c>
      <c r="G380" s="20">
        <f t="shared" si="42"/>
        <v>375</v>
      </c>
      <c r="H380" s="21">
        <v>23010050054</v>
      </c>
      <c r="I380" s="22">
        <v>491</v>
      </c>
      <c r="J380" s="23"/>
      <c r="K380" s="24">
        <v>50163</v>
      </c>
      <c r="L380" s="23">
        <f t="shared" si="36"/>
        <v>187</v>
      </c>
      <c r="M380" s="24">
        <v>17100</v>
      </c>
      <c r="N380" s="25">
        <f t="shared" si="37"/>
        <v>30</v>
      </c>
      <c r="O380" s="24">
        <v>33063</v>
      </c>
      <c r="P380" s="23">
        <f t="shared" si="38"/>
        <v>157</v>
      </c>
      <c r="Q380" s="26"/>
      <c r="R380" s="23">
        <f t="shared" si="39"/>
        <v>0</v>
      </c>
      <c r="S380" s="27" t="s">
        <v>19</v>
      </c>
      <c r="T380" s="19" t="s">
        <v>409</v>
      </c>
    </row>
    <row r="381" spans="1:20" ht="37.5" customHeight="1" x14ac:dyDescent="0.25">
      <c r="A381" s="19" t="s">
        <v>410</v>
      </c>
      <c r="B381">
        <f t="shared" si="40"/>
        <v>32692</v>
      </c>
      <c r="C381">
        <v>5706</v>
      </c>
      <c r="D381">
        <v>26986</v>
      </c>
      <c r="F381">
        <f t="shared" si="41"/>
        <v>118</v>
      </c>
      <c r="G381" s="20">
        <f t="shared" si="42"/>
        <v>376</v>
      </c>
      <c r="H381" s="21">
        <v>23015101021</v>
      </c>
      <c r="I381" s="22">
        <v>492</v>
      </c>
      <c r="J381" s="23"/>
      <c r="K381" s="24">
        <v>32574</v>
      </c>
      <c r="L381" s="23">
        <f t="shared" si="36"/>
        <v>118</v>
      </c>
      <c r="M381" s="24">
        <v>5686</v>
      </c>
      <c r="N381" s="25">
        <f t="shared" si="37"/>
        <v>20</v>
      </c>
      <c r="O381" s="24">
        <v>26888</v>
      </c>
      <c r="P381" s="23">
        <f t="shared" si="38"/>
        <v>98</v>
      </c>
      <c r="Q381" s="26"/>
      <c r="R381" s="23">
        <f t="shared" si="39"/>
        <v>0</v>
      </c>
      <c r="S381" s="27" t="s">
        <v>19</v>
      </c>
      <c r="T381" s="19" t="s">
        <v>410</v>
      </c>
    </row>
    <row r="382" spans="1:20" ht="37.5" customHeight="1" x14ac:dyDescent="0.25">
      <c r="A382" s="19" t="s">
        <v>411</v>
      </c>
      <c r="B382">
        <v>89865</v>
      </c>
      <c r="C382" s="36">
        <v>13821</v>
      </c>
      <c r="D382" s="36">
        <f>B382-C382</f>
        <v>76044</v>
      </c>
      <c r="F382">
        <f t="shared" si="41"/>
        <v>856</v>
      </c>
      <c r="G382" s="20">
        <f t="shared" si="42"/>
        <v>377</v>
      </c>
      <c r="H382" s="21">
        <v>23015100250</v>
      </c>
      <c r="I382" s="22">
        <v>493</v>
      </c>
      <c r="J382" s="23"/>
      <c r="K382" s="24">
        <v>89009</v>
      </c>
      <c r="L382" s="23">
        <f t="shared" si="36"/>
        <v>856</v>
      </c>
      <c r="M382" s="24">
        <v>13685</v>
      </c>
      <c r="N382" s="25">
        <f t="shared" si="37"/>
        <v>136</v>
      </c>
      <c r="O382" s="24">
        <v>75324</v>
      </c>
      <c r="P382" s="23">
        <f t="shared" si="38"/>
        <v>720</v>
      </c>
      <c r="Q382" s="26"/>
      <c r="R382" s="23">
        <f t="shared" si="39"/>
        <v>0</v>
      </c>
      <c r="S382" s="27" t="s">
        <v>19</v>
      </c>
      <c r="T382" s="19" t="s">
        <v>411</v>
      </c>
    </row>
    <row r="383" spans="1:20" ht="37.5" customHeight="1" x14ac:dyDescent="0.25">
      <c r="A383" s="19" t="s">
        <v>412</v>
      </c>
      <c r="B383">
        <f t="shared" si="40"/>
        <v>89499</v>
      </c>
      <c r="C383">
        <v>18493</v>
      </c>
      <c r="D383">
        <v>71006</v>
      </c>
      <c r="F383">
        <f t="shared" si="41"/>
        <v>406</v>
      </c>
      <c r="G383" s="20">
        <f t="shared" si="42"/>
        <v>378</v>
      </c>
      <c r="H383" s="21">
        <v>23012010092</v>
      </c>
      <c r="I383" s="22">
        <v>494</v>
      </c>
      <c r="J383" s="23"/>
      <c r="K383" s="24">
        <v>89093</v>
      </c>
      <c r="L383" s="23">
        <f t="shared" si="36"/>
        <v>406</v>
      </c>
      <c r="M383" s="24">
        <v>18410</v>
      </c>
      <c r="N383" s="25">
        <f t="shared" si="37"/>
        <v>83</v>
      </c>
      <c r="O383" s="24">
        <v>70683</v>
      </c>
      <c r="P383" s="23">
        <f t="shared" si="38"/>
        <v>323</v>
      </c>
      <c r="Q383" s="26"/>
      <c r="R383" s="23">
        <f t="shared" si="39"/>
        <v>0</v>
      </c>
      <c r="S383" s="27" t="s">
        <v>19</v>
      </c>
      <c r="T383" s="19" t="s">
        <v>412</v>
      </c>
    </row>
    <row r="384" spans="1:20" ht="37.5" customHeight="1" x14ac:dyDescent="0.25">
      <c r="A384" s="19" t="s">
        <v>413</v>
      </c>
      <c r="B384">
        <f t="shared" si="40"/>
        <v>42574</v>
      </c>
      <c r="C384">
        <v>7334</v>
      </c>
      <c r="D384">
        <v>35240</v>
      </c>
      <c r="F384">
        <f t="shared" si="41"/>
        <v>1106</v>
      </c>
      <c r="G384" s="20">
        <f t="shared" si="42"/>
        <v>379</v>
      </c>
      <c r="H384" s="21">
        <v>88820030330</v>
      </c>
      <c r="I384" s="22">
        <v>495</v>
      </c>
      <c r="J384" s="23"/>
      <c r="K384" s="24">
        <v>41468</v>
      </c>
      <c r="L384" s="23">
        <f t="shared" si="36"/>
        <v>1106</v>
      </c>
      <c r="M384" s="24">
        <v>7136</v>
      </c>
      <c r="N384" s="25">
        <f t="shared" si="37"/>
        <v>198</v>
      </c>
      <c r="O384" s="24">
        <v>34332</v>
      </c>
      <c r="P384" s="23">
        <f t="shared" si="38"/>
        <v>908</v>
      </c>
      <c r="Q384" s="26"/>
      <c r="R384" s="23">
        <f t="shared" si="39"/>
        <v>0</v>
      </c>
      <c r="S384" s="27" t="s">
        <v>19</v>
      </c>
      <c r="T384" s="19" t="s">
        <v>413</v>
      </c>
    </row>
    <row r="385" spans="1:20" ht="37.5" customHeight="1" x14ac:dyDescent="0.25">
      <c r="A385" s="19" t="s">
        <v>414</v>
      </c>
      <c r="B385">
        <f t="shared" si="40"/>
        <v>84783</v>
      </c>
      <c r="C385">
        <v>16799</v>
      </c>
      <c r="D385">
        <v>67984</v>
      </c>
      <c r="F385">
        <f t="shared" si="41"/>
        <v>790</v>
      </c>
      <c r="G385" s="20">
        <f t="shared" si="42"/>
        <v>380</v>
      </c>
      <c r="H385" s="21">
        <v>88819050381</v>
      </c>
      <c r="I385" s="22">
        <v>496</v>
      </c>
      <c r="J385" s="23"/>
      <c r="K385" s="24">
        <v>83993</v>
      </c>
      <c r="L385" s="23">
        <f t="shared" si="36"/>
        <v>790</v>
      </c>
      <c r="M385" s="24">
        <v>16656</v>
      </c>
      <c r="N385" s="25">
        <f t="shared" si="37"/>
        <v>143</v>
      </c>
      <c r="O385" s="24">
        <v>67337</v>
      </c>
      <c r="P385" s="23">
        <f t="shared" si="38"/>
        <v>647</v>
      </c>
      <c r="Q385" s="26"/>
      <c r="R385" s="23">
        <f t="shared" si="39"/>
        <v>0</v>
      </c>
      <c r="S385" s="27" t="s">
        <v>19</v>
      </c>
      <c r="T385" s="19" t="s">
        <v>414</v>
      </c>
    </row>
    <row r="386" spans="1:20" ht="37.5" customHeight="1" x14ac:dyDescent="0.25">
      <c r="A386" s="19" t="s">
        <v>415</v>
      </c>
      <c r="B386">
        <f t="shared" si="40"/>
        <v>1086</v>
      </c>
      <c r="C386">
        <v>299</v>
      </c>
      <c r="D386">
        <v>787</v>
      </c>
      <c r="E386">
        <v>1782</v>
      </c>
      <c r="F386">
        <f t="shared" si="41"/>
        <v>1086</v>
      </c>
      <c r="G386" s="20">
        <f t="shared" si="42"/>
        <v>381</v>
      </c>
      <c r="H386" s="21">
        <v>99625010206</v>
      </c>
      <c r="I386" s="22">
        <v>497</v>
      </c>
      <c r="J386" s="23"/>
      <c r="K386" s="24">
        <f>M386+O386</f>
        <v>0</v>
      </c>
      <c r="L386" s="23">
        <f t="shared" si="36"/>
        <v>1086</v>
      </c>
      <c r="M386" s="24"/>
      <c r="N386" s="25">
        <f t="shared" si="37"/>
        <v>299</v>
      </c>
      <c r="O386" s="24"/>
      <c r="P386" s="23">
        <f t="shared" si="38"/>
        <v>787</v>
      </c>
      <c r="Q386" s="26"/>
      <c r="R386" s="23">
        <f t="shared" si="39"/>
        <v>1782</v>
      </c>
      <c r="S386" s="27" t="s">
        <v>19</v>
      </c>
      <c r="T386" s="19" t="s">
        <v>415</v>
      </c>
    </row>
    <row r="387" spans="1:20" ht="37.5" customHeight="1" x14ac:dyDescent="0.25">
      <c r="A387" s="19" t="s">
        <v>416</v>
      </c>
      <c r="B387">
        <f t="shared" si="40"/>
        <v>54009</v>
      </c>
      <c r="C387">
        <v>10220</v>
      </c>
      <c r="D387">
        <v>43789</v>
      </c>
      <c r="F387">
        <f t="shared" si="41"/>
        <v>815</v>
      </c>
      <c r="G387" s="20">
        <f t="shared" si="42"/>
        <v>382</v>
      </c>
      <c r="H387" s="21">
        <v>88818030301</v>
      </c>
      <c r="I387" s="22">
        <v>498</v>
      </c>
      <c r="J387" s="23"/>
      <c r="K387" s="24">
        <v>53194</v>
      </c>
      <c r="L387" s="23">
        <f t="shared" si="36"/>
        <v>815</v>
      </c>
      <c r="M387" s="24">
        <v>10086</v>
      </c>
      <c r="N387" s="25">
        <f t="shared" si="37"/>
        <v>134</v>
      </c>
      <c r="O387" s="24">
        <v>43108</v>
      </c>
      <c r="P387" s="23">
        <f t="shared" si="38"/>
        <v>681</v>
      </c>
      <c r="Q387" s="26"/>
      <c r="R387" s="23">
        <f t="shared" si="39"/>
        <v>0</v>
      </c>
      <c r="S387" s="27" t="s">
        <v>19</v>
      </c>
      <c r="T387" s="19" t="s">
        <v>416</v>
      </c>
    </row>
    <row r="388" spans="1:20" ht="37.5" customHeight="1" x14ac:dyDescent="0.25">
      <c r="A388" s="19" t="s">
        <v>417</v>
      </c>
      <c r="B388">
        <f t="shared" si="40"/>
        <v>10867</v>
      </c>
      <c r="C388">
        <v>1829</v>
      </c>
      <c r="D388">
        <v>9038</v>
      </c>
      <c r="F388">
        <f t="shared" si="41"/>
        <v>153</v>
      </c>
      <c r="G388" s="20">
        <f t="shared" si="42"/>
        <v>383</v>
      </c>
      <c r="H388" s="21">
        <v>88820030451</v>
      </c>
      <c r="I388" s="22">
        <v>499</v>
      </c>
      <c r="J388" s="23"/>
      <c r="K388" s="24">
        <v>10714</v>
      </c>
      <c r="L388" s="23">
        <f t="shared" si="36"/>
        <v>153</v>
      </c>
      <c r="M388" s="24">
        <v>1804</v>
      </c>
      <c r="N388" s="25">
        <f t="shared" si="37"/>
        <v>25</v>
      </c>
      <c r="O388" s="24">
        <v>8910</v>
      </c>
      <c r="P388" s="23">
        <f t="shared" si="38"/>
        <v>128</v>
      </c>
      <c r="Q388" s="26"/>
      <c r="R388" s="23">
        <f t="shared" si="39"/>
        <v>0</v>
      </c>
      <c r="S388" s="27" t="s">
        <v>19</v>
      </c>
      <c r="T388" s="19" t="s">
        <v>417</v>
      </c>
    </row>
    <row r="389" spans="1:20" ht="37.5" customHeight="1" x14ac:dyDescent="0.25">
      <c r="A389" s="19" t="s">
        <v>418</v>
      </c>
      <c r="B389">
        <f t="shared" si="40"/>
        <v>6602</v>
      </c>
      <c r="C389">
        <v>1525</v>
      </c>
      <c r="D389">
        <v>5077</v>
      </c>
      <c r="E389">
        <v>10144</v>
      </c>
      <c r="F389">
        <f t="shared" si="41"/>
        <v>745</v>
      </c>
      <c r="G389" s="20">
        <f t="shared" si="42"/>
        <v>384</v>
      </c>
      <c r="H389" s="21">
        <v>99624030318</v>
      </c>
      <c r="I389" s="22">
        <v>500</v>
      </c>
      <c r="J389" s="23"/>
      <c r="K389" s="24">
        <f>M389+O389</f>
        <v>5857</v>
      </c>
      <c r="L389" s="23">
        <f t="shared" si="36"/>
        <v>745</v>
      </c>
      <c r="M389" s="24">
        <v>1349</v>
      </c>
      <c r="N389" s="25">
        <f t="shared" si="37"/>
        <v>176</v>
      </c>
      <c r="O389" s="24">
        <v>4508</v>
      </c>
      <c r="P389" s="23">
        <f t="shared" si="38"/>
        <v>569</v>
      </c>
      <c r="Q389" s="26">
        <v>8553</v>
      </c>
      <c r="R389" s="23">
        <f t="shared" si="39"/>
        <v>1591</v>
      </c>
      <c r="S389" s="27" t="s">
        <v>19</v>
      </c>
      <c r="T389" s="19" t="s">
        <v>418</v>
      </c>
    </row>
    <row r="390" spans="1:20" ht="37.5" customHeight="1" x14ac:dyDescent="0.25">
      <c r="A390" s="19" t="s">
        <v>419</v>
      </c>
      <c r="B390">
        <f t="shared" si="40"/>
        <v>2615</v>
      </c>
      <c r="C390">
        <v>710</v>
      </c>
      <c r="D390">
        <v>1905</v>
      </c>
      <c r="E390">
        <v>4565</v>
      </c>
      <c r="F390">
        <f t="shared" si="41"/>
        <v>458</v>
      </c>
      <c r="G390" s="20">
        <f t="shared" si="42"/>
        <v>385</v>
      </c>
      <c r="H390" s="21">
        <v>99624040248</v>
      </c>
      <c r="I390" s="22">
        <v>501</v>
      </c>
      <c r="J390" s="23"/>
      <c r="K390" s="24">
        <f>M390+O390</f>
        <v>2157</v>
      </c>
      <c r="L390" s="23">
        <f t="shared" ref="L390:L453" si="43">B390-K390</f>
        <v>458</v>
      </c>
      <c r="M390" s="24">
        <v>591</v>
      </c>
      <c r="N390" s="25">
        <f t="shared" ref="N390:N453" si="44">C390-M390</f>
        <v>119</v>
      </c>
      <c r="O390" s="24">
        <v>1566</v>
      </c>
      <c r="P390" s="23">
        <f t="shared" ref="P390:P453" si="45">D390-O390</f>
        <v>339</v>
      </c>
      <c r="Q390" s="26">
        <v>3367</v>
      </c>
      <c r="R390" s="23">
        <f t="shared" ref="R390:R453" si="46">E390-Q390</f>
        <v>1198</v>
      </c>
      <c r="S390" s="27" t="s">
        <v>19</v>
      </c>
      <c r="T390" s="19" t="s">
        <v>419</v>
      </c>
    </row>
    <row r="391" spans="1:20" ht="37.5" customHeight="1" x14ac:dyDescent="0.25">
      <c r="A391" s="19" t="s">
        <v>420</v>
      </c>
      <c r="B391">
        <f>5+K391</f>
        <v>108663</v>
      </c>
      <c r="F391">
        <f t="shared" ref="F391:F454" si="47">L391</f>
        <v>5</v>
      </c>
      <c r="G391" s="20">
        <f t="shared" si="42"/>
        <v>386</v>
      </c>
      <c r="H391" s="21">
        <v>23014060126</v>
      </c>
      <c r="I391" s="22">
        <v>503</v>
      </c>
      <c r="J391" s="23"/>
      <c r="K391" s="24">
        <v>108658</v>
      </c>
      <c r="L391" s="23">
        <f t="shared" si="43"/>
        <v>5</v>
      </c>
      <c r="M391" s="24">
        <v>22454</v>
      </c>
      <c r="N391" s="25">
        <f t="shared" si="44"/>
        <v>-22454</v>
      </c>
      <c r="O391" s="24">
        <v>86204</v>
      </c>
      <c r="P391" s="23">
        <f t="shared" si="45"/>
        <v>-86204</v>
      </c>
      <c r="Q391" s="26"/>
      <c r="R391" s="23">
        <f t="shared" si="46"/>
        <v>0</v>
      </c>
      <c r="S391" s="27" t="s">
        <v>19</v>
      </c>
      <c r="T391" s="19" t="s">
        <v>420</v>
      </c>
    </row>
    <row r="392" spans="1:20" ht="37.5" customHeight="1" x14ac:dyDescent="0.25">
      <c r="A392" s="19" t="s">
        <v>421</v>
      </c>
      <c r="B392">
        <f t="shared" ref="B391:B454" si="48">C392+D392</f>
        <v>17467</v>
      </c>
      <c r="C392">
        <v>3430</v>
      </c>
      <c r="D392">
        <v>14037</v>
      </c>
      <c r="F392">
        <f t="shared" si="47"/>
        <v>561</v>
      </c>
      <c r="G392" s="20">
        <f t="shared" ref="G392:G455" si="49">G391+1</f>
        <v>387</v>
      </c>
      <c r="H392" s="21">
        <v>66621060241</v>
      </c>
      <c r="I392" s="22">
        <v>504</v>
      </c>
      <c r="J392" s="23"/>
      <c r="K392" s="24">
        <v>16906</v>
      </c>
      <c r="L392" s="23">
        <f t="shared" si="43"/>
        <v>561</v>
      </c>
      <c r="M392" s="24">
        <v>3332</v>
      </c>
      <c r="N392" s="25">
        <f t="shared" si="44"/>
        <v>98</v>
      </c>
      <c r="O392" s="24">
        <v>13574</v>
      </c>
      <c r="P392" s="23">
        <f t="shared" si="45"/>
        <v>463</v>
      </c>
      <c r="Q392" s="26"/>
      <c r="R392" s="23">
        <f t="shared" si="46"/>
        <v>0</v>
      </c>
      <c r="S392" s="27" t="s">
        <v>19</v>
      </c>
      <c r="T392" s="19" t="s">
        <v>421</v>
      </c>
    </row>
    <row r="393" spans="1:20" ht="37.5" customHeight="1" x14ac:dyDescent="0.25">
      <c r="A393" s="19" t="s">
        <v>422</v>
      </c>
      <c r="B393">
        <f t="shared" si="48"/>
        <v>28007</v>
      </c>
      <c r="C393">
        <v>4028</v>
      </c>
      <c r="D393">
        <v>23979</v>
      </c>
      <c r="F393">
        <f t="shared" si="47"/>
        <v>183</v>
      </c>
      <c r="G393" s="20">
        <f t="shared" si="49"/>
        <v>388</v>
      </c>
      <c r="H393" s="21">
        <v>88820020416</v>
      </c>
      <c r="I393" s="22">
        <v>505</v>
      </c>
      <c r="J393" s="23"/>
      <c r="K393" s="24">
        <v>27824</v>
      </c>
      <c r="L393" s="23">
        <f t="shared" si="43"/>
        <v>183</v>
      </c>
      <c r="M393" s="24">
        <v>3983</v>
      </c>
      <c r="N393" s="25">
        <f t="shared" si="44"/>
        <v>45</v>
      </c>
      <c r="O393" s="24">
        <v>23841</v>
      </c>
      <c r="P393" s="23">
        <f t="shared" si="45"/>
        <v>138</v>
      </c>
      <c r="Q393" s="26"/>
      <c r="R393" s="23">
        <f t="shared" si="46"/>
        <v>0</v>
      </c>
      <c r="S393" s="27" t="s">
        <v>19</v>
      </c>
      <c r="T393" s="19" t="s">
        <v>422</v>
      </c>
    </row>
    <row r="394" spans="1:20" ht="37.5" customHeight="1" x14ac:dyDescent="0.25">
      <c r="A394" s="19" t="s">
        <v>423</v>
      </c>
      <c r="B394">
        <f t="shared" si="48"/>
        <v>42284</v>
      </c>
      <c r="C394">
        <v>6730</v>
      </c>
      <c r="D394">
        <v>35554</v>
      </c>
      <c r="F394">
        <f t="shared" si="47"/>
        <v>703</v>
      </c>
      <c r="G394" s="20">
        <f t="shared" si="49"/>
        <v>389</v>
      </c>
      <c r="H394" s="21">
        <v>66618010368</v>
      </c>
      <c r="I394" s="22">
        <v>505</v>
      </c>
      <c r="J394" s="23"/>
      <c r="K394" s="24">
        <v>41581</v>
      </c>
      <c r="L394" s="23">
        <f t="shared" si="43"/>
        <v>703</v>
      </c>
      <c r="M394" s="24">
        <v>6623</v>
      </c>
      <c r="N394" s="25">
        <f t="shared" si="44"/>
        <v>107</v>
      </c>
      <c r="O394" s="24">
        <v>34958</v>
      </c>
      <c r="P394" s="23">
        <f t="shared" si="45"/>
        <v>596</v>
      </c>
      <c r="Q394" s="26"/>
      <c r="R394" s="23">
        <f t="shared" si="46"/>
        <v>0</v>
      </c>
      <c r="S394" s="27" t="s">
        <v>19</v>
      </c>
      <c r="T394" s="19" t="s">
        <v>423</v>
      </c>
    </row>
    <row r="395" spans="1:20" ht="37.5" customHeight="1" x14ac:dyDescent="0.25">
      <c r="A395" s="19" t="s">
        <v>424</v>
      </c>
      <c r="B395">
        <f t="shared" si="48"/>
        <v>2665</v>
      </c>
      <c r="C395">
        <v>407</v>
      </c>
      <c r="D395">
        <v>2258</v>
      </c>
      <c r="F395">
        <f t="shared" si="47"/>
        <v>84</v>
      </c>
      <c r="G395" s="20">
        <f t="shared" si="49"/>
        <v>390</v>
      </c>
      <c r="H395" s="21">
        <v>66622060070</v>
      </c>
      <c r="I395" s="22">
        <v>506</v>
      </c>
      <c r="J395" s="23"/>
      <c r="K395" s="24">
        <v>2581</v>
      </c>
      <c r="L395" s="23">
        <f t="shared" si="43"/>
        <v>84</v>
      </c>
      <c r="M395" s="24">
        <v>376</v>
      </c>
      <c r="N395" s="25">
        <f t="shared" si="44"/>
        <v>31</v>
      </c>
      <c r="O395" s="24">
        <v>2205</v>
      </c>
      <c r="P395" s="23">
        <f t="shared" si="45"/>
        <v>53</v>
      </c>
      <c r="Q395" s="26"/>
      <c r="R395" s="23">
        <f t="shared" si="46"/>
        <v>0</v>
      </c>
      <c r="S395" s="27" t="s">
        <v>19</v>
      </c>
      <c r="T395" s="19" t="s">
        <v>424</v>
      </c>
    </row>
    <row r="396" spans="1:20" ht="37.5" customHeight="1" x14ac:dyDescent="0.25">
      <c r="A396" s="19" t="s">
        <v>425</v>
      </c>
      <c r="B396">
        <f t="shared" si="48"/>
        <v>38675</v>
      </c>
      <c r="C396">
        <v>7017</v>
      </c>
      <c r="D396">
        <v>31658</v>
      </c>
      <c r="F396">
        <f t="shared" si="47"/>
        <v>743</v>
      </c>
      <c r="G396" s="20">
        <f t="shared" si="49"/>
        <v>391</v>
      </c>
      <c r="H396" s="21">
        <v>88819030351</v>
      </c>
      <c r="I396" s="22">
        <v>507</v>
      </c>
      <c r="J396" s="23"/>
      <c r="K396" s="24">
        <v>37932</v>
      </c>
      <c r="L396" s="23">
        <f t="shared" si="43"/>
        <v>743</v>
      </c>
      <c r="M396" s="24">
        <v>6898</v>
      </c>
      <c r="N396" s="25">
        <f t="shared" si="44"/>
        <v>119</v>
      </c>
      <c r="O396" s="24">
        <v>31034</v>
      </c>
      <c r="P396" s="23">
        <f t="shared" si="45"/>
        <v>624</v>
      </c>
      <c r="Q396" s="26"/>
      <c r="R396" s="23">
        <f t="shared" si="46"/>
        <v>0</v>
      </c>
      <c r="S396" s="27" t="s">
        <v>19</v>
      </c>
      <c r="T396" s="19" t="s">
        <v>425</v>
      </c>
    </row>
    <row r="397" spans="1:20" ht="37.5" customHeight="1" x14ac:dyDescent="0.25">
      <c r="A397" s="19" t="s">
        <v>426</v>
      </c>
      <c r="B397">
        <f t="shared" si="48"/>
        <v>4645</v>
      </c>
      <c r="C397">
        <v>1417</v>
      </c>
      <c r="D397">
        <v>3228</v>
      </c>
      <c r="E397">
        <v>6029</v>
      </c>
      <c r="F397">
        <f t="shared" si="47"/>
        <v>459</v>
      </c>
      <c r="G397" s="20">
        <f t="shared" si="49"/>
        <v>392</v>
      </c>
      <c r="H397" s="21">
        <v>99624030316</v>
      </c>
      <c r="I397" s="22">
        <v>510</v>
      </c>
      <c r="J397" s="23"/>
      <c r="K397" s="24">
        <f>M397+O397</f>
        <v>4186</v>
      </c>
      <c r="L397" s="23">
        <f t="shared" si="43"/>
        <v>459</v>
      </c>
      <c r="M397" s="24">
        <v>1276</v>
      </c>
      <c r="N397" s="25">
        <f t="shared" si="44"/>
        <v>141</v>
      </c>
      <c r="O397" s="24">
        <v>2910</v>
      </c>
      <c r="P397" s="23">
        <f t="shared" si="45"/>
        <v>318</v>
      </c>
      <c r="Q397" s="26">
        <v>4962</v>
      </c>
      <c r="R397" s="23">
        <f t="shared" si="46"/>
        <v>1067</v>
      </c>
      <c r="S397" s="27" t="s">
        <v>19</v>
      </c>
      <c r="T397" s="19" t="s">
        <v>426</v>
      </c>
    </row>
    <row r="398" spans="1:20" ht="37.5" customHeight="1" x14ac:dyDescent="0.25">
      <c r="A398" s="19" t="s">
        <v>427</v>
      </c>
      <c r="B398">
        <f t="shared" si="48"/>
        <v>9517</v>
      </c>
      <c r="C398">
        <v>2039</v>
      </c>
      <c r="D398">
        <v>7478</v>
      </c>
      <c r="F398">
        <f t="shared" si="47"/>
        <v>350</v>
      </c>
      <c r="G398" s="20">
        <f t="shared" si="49"/>
        <v>393</v>
      </c>
      <c r="H398" s="21">
        <v>66623011338</v>
      </c>
      <c r="I398" s="22">
        <v>511</v>
      </c>
      <c r="J398" s="23"/>
      <c r="K398" s="24">
        <v>9167</v>
      </c>
      <c r="L398" s="23">
        <f t="shared" si="43"/>
        <v>350</v>
      </c>
      <c r="M398" s="24">
        <v>1945</v>
      </c>
      <c r="N398" s="25">
        <f t="shared" si="44"/>
        <v>94</v>
      </c>
      <c r="O398" s="24">
        <v>7222</v>
      </c>
      <c r="P398" s="23">
        <f t="shared" si="45"/>
        <v>256</v>
      </c>
      <c r="Q398" s="26"/>
      <c r="R398" s="23">
        <f t="shared" si="46"/>
        <v>0</v>
      </c>
      <c r="S398" s="27" t="s">
        <v>19</v>
      </c>
      <c r="T398" s="19" t="s">
        <v>427</v>
      </c>
    </row>
    <row r="399" spans="1:20" ht="37.5" customHeight="1" x14ac:dyDescent="0.25">
      <c r="A399" s="19" t="s">
        <v>428</v>
      </c>
      <c r="B399">
        <f t="shared" si="48"/>
        <v>9413</v>
      </c>
      <c r="C399">
        <v>1807</v>
      </c>
      <c r="D399">
        <v>7606</v>
      </c>
      <c r="E399">
        <v>12971</v>
      </c>
      <c r="F399">
        <f t="shared" si="47"/>
        <v>259</v>
      </c>
      <c r="G399" s="20">
        <f t="shared" si="49"/>
        <v>394</v>
      </c>
      <c r="H399" s="21">
        <v>99723040018</v>
      </c>
      <c r="I399" s="22">
        <v>512</v>
      </c>
      <c r="J399" s="23"/>
      <c r="K399" s="24">
        <f>M399+O399</f>
        <v>9154</v>
      </c>
      <c r="L399" s="23">
        <f t="shared" si="43"/>
        <v>259</v>
      </c>
      <c r="M399" s="24">
        <v>1749</v>
      </c>
      <c r="N399" s="25">
        <f t="shared" si="44"/>
        <v>58</v>
      </c>
      <c r="O399" s="24">
        <v>7405</v>
      </c>
      <c r="P399" s="23">
        <f t="shared" si="45"/>
        <v>201</v>
      </c>
      <c r="Q399" s="26">
        <v>12221</v>
      </c>
      <c r="R399" s="23">
        <f t="shared" si="46"/>
        <v>750</v>
      </c>
      <c r="S399" s="27" t="s">
        <v>19</v>
      </c>
      <c r="T399" s="19" t="s">
        <v>428</v>
      </c>
    </row>
    <row r="400" spans="1:20" ht="37.5" customHeight="1" x14ac:dyDescent="0.25">
      <c r="A400" s="19" t="s">
        <v>429</v>
      </c>
      <c r="B400">
        <f t="shared" si="48"/>
        <v>35767</v>
      </c>
      <c r="C400">
        <v>5882</v>
      </c>
      <c r="D400">
        <v>29885</v>
      </c>
      <c r="F400">
        <f t="shared" si="47"/>
        <v>13</v>
      </c>
      <c r="G400" s="20">
        <f t="shared" si="49"/>
        <v>395</v>
      </c>
      <c r="H400" s="21">
        <v>88820010157</v>
      </c>
      <c r="I400" s="22">
        <v>513</v>
      </c>
      <c r="J400" s="23"/>
      <c r="K400" s="24">
        <v>35754</v>
      </c>
      <c r="L400" s="23">
        <f t="shared" si="43"/>
        <v>13</v>
      </c>
      <c r="M400" s="24">
        <v>5874</v>
      </c>
      <c r="N400" s="25">
        <f t="shared" si="44"/>
        <v>8</v>
      </c>
      <c r="O400" s="24">
        <v>29846</v>
      </c>
      <c r="P400" s="23">
        <f t="shared" si="45"/>
        <v>39</v>
      </c>
      <c r="Q400" s="26"/>
      <c r="R400" s="23">
        <f t="shared" si="46"/>
        <v>0</v>
      </c>
      <c r="S400" s="27" t="s">
        <v>19</v>
      </c>
      <c r="T400" s="19" t="s">
        <v>429</v>
      </c>
    </row>
    <row r="401" spans="1:20" ht="37.5" customHeight="1" x14ac:dyDescent="0.25">
      <c r="A401" s="19" t="s">
        <v>430</v>
      </c>
      <c r="B401">
        <f t="shared" si="48"/>
        <v>109093</v>
      </c>
      <c r="C401">
        <v>19200</v>
      </c>
      <c r="D401">
        <v>89893</v>
      </c>
      <c r="F401">
        <f t="shared" si="47"/>
        <v>167</v>
      </c>
      <c r="G401" s="20">
        <f t="shared" si="49"/>
        <v>396</v>
      </c>
      <c r="H401" s="21">
        <v>23013010176</v>
      </c>
      <c r="I401" s="22">
        <v>514</v>
      </c>
      <c r="J401" s="23"/>
      <c r="K401" s="24">
        <v>108926</v>
      </c>
      <c r="L401" s="23">
        <f t="shared" si="43"/>
        <v>167</v>
      </c>
      <c r="M401" s="24">
        <v>19143</v>
      </c>
      <c r="N401" s="25">
        <f t="shared" si="44"/>
        <v>57</v>
      </c>
      <c r="O401" s="24">
        <v>89783</v>
      </c>
      <c r="P401" s="23">
        <f t="shared" si="45"/>
        <v>110</v>
      </c>
      <c r="Q401" s="26"/>
      <c r="R401" s="23">
        <f t="shared" si="46"/>
        <v>0</v>
      </c>
      <c r="S401" s="27" t="s">
        <v>19</v>
      </c>
      <c r="T401" s="19" t="s">
        <v>430</v>
      </c>
    </row>
    <row r="402" spans="1:20" ht="37.5" customHeight="1" x14ac:dyDescent="0.25">
      <c r="A402" s="19" t="s">
        <v>431</v>
      </c>
      <c r="B402">
        <f t="shared" si="48"/>
        <v>66328</v>
      </c>
      <c r="C402">
        <v>8774</v>
      </c>
      <c r="D402">
        <v>57554</v>
      </c>
      <c r="F402">
        <f t="shared" si="47"/>
        <v>275</v>
      </c>
      <c r="G402" s="20">
        <f t="shared" si="49"/>
        <v>397</v>
      </c>
      <c r="H402" s="21">
        <v>23015100272</v>
      </c>
      <c r="I402" s="22">
        <v>514</v>
      </c>
      <c r="J402" s="23"/>
      <c r="K402" s="24">
        <v>66053</v>
      </c>
      <c r="L402" s="23">
        <f t="shared" si="43"/>
        <v>275</v>
      </c>
      <c r="M402" s="24">
        <v>8725</v>
      </c>
      <c r="N402" s="25">
        <f t="shared" si="44"/>
        <v>49</v>
      </c>
      <c r="O402" s="24">
        <v>57328</v>
      </c>
      <c r="P402" s="23">
        <f t="shared" si="45"/>
        <v>226</v>
      </c>
      <c r="Q402" s="26"/>
      <c r="R402" s="23">
        <f t="shared" si="46"/>
        <v>0</v>
      </c>
      <c r="S402" s="27" t="s">
        <v>19</v>
      </c>
      <c r="T402" s="19" t="s">
        <v>431</v>
      </c>
    </row>
    <row r="403" spans="1:20" ht="37.5" customHeight="1" x14ac:dyDescent="0.25">
      <c r="A403" s="19" t="s">
        <v>432</v>
      </c>
      <c r="B403">
        <f t="shared" si="48"/>
        <v>165382</v>
      </c>
      <c r="C403">
        <v>28719</v>
      </c>
      <c r="D403">
        <v>136663</v>
      </c>
      <c r="F403">
        <f t="shared" si="47"/>
        <v>443</v>
      </c>
      <c r="G403" s="20">
        <f t="shared" si="49"/>
        <v>398</v>
      </c>
      <c r="H403" s="21">
        <v>23012060169</v>
      </c>
      <c r="I403" s="22">
        <v>515</v>
      </c>
      <c r="J403" s="23"/>
      <c r="K403" s="24">
        <v>164939</v>
      </c>
      <c r="L403" s="23">
        <f t="shared" si="43"/>
        <v>443</v>
      </c>
      <c r="M403" s="24">
        <v>28641</v>
      </c>
      <c r="N403" s="25">
        <f t="shared" si="44"/>
        <v>78</v>
      </c>
      <c r="O403" s="24">
        <v>136298</v>
      </c>
      <c r="P403" s="23">
        <f t="shared" si="45"/>
        <v>365</v>
      </c>
      <c r="Q403" s="26"/>
      <c r="R403" s="23">
        <f t="shared" si="46"/>
        <v>0</v>
      </c>
      <c r="S403" s="27" t="s">
        <v>19</v>
      </c>
      <c r="T403" s="19" t="s">
        <v>432</v>
      </c>
    </row>
    <row r="404" spans="1:20" ht="37.5" customHeight="1" x14ac:dyDescent="0.25">
      <c r="A404" s="19" t="s">
        <v>433</v>
      </c>
      <c r="B404">
        <f t="shared" si="48"/>
        <v>10452</v>
      </c>
      <c r="C404">
        <v>2386</v>
      </c>
      <c r="D404">
        <v>8066</v>
      </c>
      <c r="E404">
        <v>14039</v>
      </c>
      <c r="F404">
        <f t="shared" si="47"/>
        <v>489</v>
      </c>
      <c r="G404" s="20">
        <f t="shared" si="49"/>
        <v>399</v>
      </c>
      <c r="H404" s="21">
        <v>99723050064</v>
      </c>
      <c r="I404" s="22">
        <v>516</v>
      </c>
      <c r="J404" s="23"/>
      <c r="K404" s="24">
        <f>M404+O404</f>
        <v>9963</v>
      </c>
      <c r="L404" s="23">
        <f t="shared" si="43"/>
        <v>489</v>
      </c>
      <c r="M404" s="24">
        <v>2264</v>
      </c>
      <c r="N404" s="25">
        <f t="shared" si="44"/>
        <v>122</v>
      </c>
      <c r="O404" s="24">
        <v>7699</v>
      </c>
      <c r="P404" s="23">
        <f t="shared" si="45"/>
        <v>367</v>
      </c>
      <c r="Q404" s="26">
        <v>13132</v>
      </c>
      <c r="R404" s="23">
        <f t="shared" si="46"/>
        <v>907</v>
      </c>
      <c r="S404" s="27" t="s">
        <v>19</v>
      </c>
      <c r="T404" s="19" t="s">
        <v>433</v>
      </c>
    </row>
    <row r="405" spans="1:20" ht="37.5" customHeight="1" x14ac:dyDescent="0.25">
      <c r="A405" s="19" t="s">
        <v>434</v>
      </c>
      <c r="B405">
        <f t="shared" si="48"/>
        <v>334</v>
      </c>
      <c r="C405">
        <v>98</v>
      </c>
      <c r="D405">
        <v>236</v>
      </c>
      <c r="E405">
        <v>2213</v>
      </c>
      <c r="F405">
        <f t="shared" si="47"/>
        <v>223</v>
      </c>
      <c r="G405" s="20">
        <f t="shared" si="49"/>
        <v>400</v>
      </c>
      <c r="H405" s="21">
        <v>99625010074</v>
      </c>
      <c r="I405" s="22">
        <v>517</v>
      </c>
      <c r="J405" s="23"/>
      <c r="K405" s="24">
        <f>M405+O405</f>
        <v>111</v>
      </c>
      <c r="L405" s="23">
        <f t="shared" si="43"/>
        <v>223</v>
      </c>
      <c r="M405" s="24">
        <v>37</v>
      </c>
      <c r="N405" s="25">
        <f t="shared" si="44"/>
        <v>61</v>
      </c>
      <c r="O405" s="24">
        <v>74</v>
      </c>
      <c r="P405" s="23">
        <f t="shared" si="45"/>
        <v>162</v>
      </c>
      <c r="Q405" s="26">
        <v>1014</v>
      </c>
      <c r="R405" s="23">
        <f t="shared" si="46"/>
        <v>1199</v>
      </c>
      <c r="S405" s="27" t="s">
        <v>19</v>
      </c>
      <c r="T405" s="19" t="s">
        <v>434</v>
      </c>
    </row>
    <row r="406" spans="1:20" ht="37.5" customHeight="1" x14ac:dyDescent="0.25">
      <c r="A406" s="19" t="s">
        <v>435</v>
      </c>
      <c r="B406">
        <f t="shared" si="48"/>
        <v>14487</v>
      </c>
      <c r="C406">
        <v>3491</v>
      </c>
      <c r="D406">
        <v>10996</v>
      </c>
      <c r="E406">
        <v>9605</v>
      </c>
      <c r="F406">
        <f t="shared" si="47"/>
        <v>1008</v>
      </c>
      <c r="G406" s="20">
        <f t="shared" si="49"/>
        <v>401</v>
      </c>
      <c r="H406" s="21">
        <v>99624010020</v>
      </c>
      <c r="I406" s="22">
        <v>518</v>
      </c>
      <c r="J406" s="23"/>
      <c r="K406" s="24">
        <f>M406+O406</f>
        <v>13479</v>
      </c>
      <c r="L406" s="23">
        <f t="shared" si="43"/>
        <v>1008</v>
      </c>
      <c r="M406" s="24">
        <v>3217</v>
      </c>
      <c r="N406" s="25">
        <f t="shared" si="44"/>
        <v>274</v>
      </c>
      <c r="O406" s="24">
        <v>10262</v>
      </c>
      <c r="P406" s="23">
        <f t="shared" si="45"/>
        <v>734</v>
      </c>
      <c r="Q406" s="26">
        <v>8731</v>
      </c>
      <c r="R406" s="23">
        <f t="shared" si="46"/>
        <v>874</v>
      </c>
      <c r="S406" s="27" t="s">
        <v>19</v>
      </c>
      <c r="T406" s="19" t="s">
        <v>435</v>
      </c>
    </row>
    <row r="407" spans="1:20" ht="37.5" customHeight="1" x14ac:dyDescent="0.25">
      <c r="A407" s="19" t="s">
        <v>436</v>
      </c>
      <c r="B407">
        <f t="shared" si="48"/>
        <v>232581</v>
      </c>
      <c r="C407">
        <v>40235</v>
      </c>
      <c r="D407">
        <v>192346</v>
      </c>
      <c r="F407">
        <f t="shared" si="47"/>
        <v>24</v>
      </c>
      <c r="G407" s="20">
        <f t="shared" si="49"/>
        <v>402</v>
      </c>
      <c r="H407" s="21">
        <v>23015100770</v>
      </c>
      <c r="I407" s="22">
        <v>521</v>
      </c>
      <c r="J407" s="23"/>
      <c r="K407" s="24">
        <v>232557</v>
      </c>
      <c r="L407" s="23">
        <f t="shared" si="43"/>
        <v>24</v>
      </c>
      <c r="M407" s="24">
        <v>40231</v>
      </c>
      <c r="N407" s="25">
        <f t="shared" si="44"/>
        <v>4</v>
      </c>
      <c r="O407" s="24">
        <v>192326</v>
      </c>
      <c r="P407" s="23">
        <f t="shared" si="45"/>
        <v>20</v>
      </c>
      <c r="Q407" s="26"/>
      <c r="R407" s="23">
        <f t="shared" si="46"/>
        <v>0</v>
      </c>
      <c r="S407" s="27" t="s">
        <v>19</v>
      </c>
      <c r="T407" s="19" t="s">
        <v>436</v>
      </c>
    </row>
    <row r="408" spans="1:20" ht="37.5" customHeight="1" x14ac:dyDescent="0.25">
      <c r="A408" s="19" t="s">
        <v>437</v>
      </c>
      <c r="B408">
        <f t="shared" si="48"/>
        <v>20340</v>
      </c>
      <c r="C408">
        <v>5214</v>
      </c>
      <c r="D408">
        <v>15126</v>
      </c>
      <c r="E408">
        <v>15923</v>
      </c>
      <c r="F408">
        <f t="shared" si="47"/>
        <v>1041</v>
      </c>
      <c r="G408" s="20">
        <f t="shared" si="49"/>
        <v>403</v>
      </c>
      <c r="H408" s="21">
        <v>99722020014</v>
      </c>
      <c r="I408" s="22">
        <v>522</v>
      </c>
      <c r="J408" s="23"/>
      <c r="K408" s="24">
        <f>M408+O408</f>
        <v>19299</v>
      </c>
      <c r="L408" s="23">
        <f t="shared" si="43"/>
        <v>1041</v>
      </c>
      <c r="M408" s="24">
        <v>4996</v>
      </c>
      <c r="N408" s="25">
        <f t="shared" si="44"/>
        <v>218</v>
      </c>
      <c r="O408" s="24">
        <v>14303</v>
      </c>
      <c r="P408" s="23">
        <f t="shared" si="45"/>
        <v>823</v>
      </c>
      <c r="Q408" s="26">
        <v>15315</v>
      </c>
      <c r="R408" s="23">
        <f t="shared" si="46"/>
        <v>608</v>
      </c>
      <c r="S408" s="27" t="s">
        <v>19</v>
      </c>
      <c r="T408" s="19" t="s">
        <v>437</v>
      </c>
    </row>
    <row r="409" spans="1:20" ht="37.5" customHeight="1" x14ac:dyDescent="0.25">
      <c r="A409" s="19" t="s">
        <v>438</v>
      </c>
      <c r="B409">
        <f t="shared" si="48"/>
        <v>7454</v>
      </c>
      <c r="C409">
        <v>1141</v>
      </c>
      <c r="D409">
        <v>6313</v>
      </c>
      <c r="F409">
        <f t="shared" si="47"/>
        <v>1</v>
      </c>
      <c r="G409" s="20">
        <f t="shared" si="49"/>
        <v>404</v>
      </c>
      <c r="H409" s="21">
        <v>88819030297</v>
      </c>
      <c r="I409" s="22">
        <v>523</v>
      </c>
      <c r="J409" s="23"/>
      <c r="K409" s="24">
        <v>7453</v>
      </c>
      <c r="L409" s="23">
        <f t="shared" si="43"/>
        <v>1</v>
      </c>
      <c r="M409" s="24">
        <v>1141</v>
      </c>
      <c r="N409" s="25">
        <f t="shared" si="44"/>
        <v>0</v>
      </c>
      <c r="O409" s="24">
        <v>6312</v>
      </c>
      <c r="P409" s="23">
        <f t="shared" si="45"/>
        <v>1</v>
      </c>
      <c r="Q409" s="26"/>
      <c r="R409" s="23">
        <f t="shared" si="46"/>
        <v>0</v>
      </c>
      <c r="S409" s="27" t="s">
        <v>19</v>
      </c>
      <c r="T409" s="19" t="s">
        <v>438</v>
      </c>
    </row>
    <row r="410" spans="1:20" ht="37.5" customHeight="1" x14ac:dyDescent="0.25">
      <c r="A410" s="19" t="s">
        <v>439</v>
      </c>
      <c r="B410">
        <f t="shared" si="48"/>
        <v>10780</v>
      </c>
      <c r="C410">
        <v>3075</v>
      </c>
      <c r="D410">
        <v>7705</v>
      </c>
      <c r="E410">
        <v>6240</v>
      </c>
      <c r="F410">
        <f t="shared" si="47"/>
        <v>742</v>
      </c>
      <c r="G410" s="20">
        <f t="shared" si="49"/>
        <v>405</v>
      </c>
      <c r="H410" s="21">
        <v>99624010255</v>
      </c>
      <c r="I410" s="22">
        <v>524</v>
      </c>
      <c r="J410" s="23"/>
      <c r="K410" s="24">
        <f>M410+O410</f>
        <v>10038</v>
      </c>
      <c r="L410" s="23">
        <f t="shared" si="43"/>
        <v>742</v>
      </c>
      <c r="M410" s="24">
        <v>2873</v>
      </c>
      <c r="N410" s="25">
        <f t="shared" si="44"/>
        <v>202</v>
      </c>
      <c r="O410" s="24">
        <v>7165</v>
      </c>
      <c r="P410" s="23">
        <f t="shared" si="45"/>
        <v>540</v>
      </c>
      <c r="Q410" s="26">
        <v>5353</v>
      </c>
      <c r="R410" s="23">
        <f t="shared" si="46"/>
        <v>887</v>
      </c>
      <c r="S410" s="27" t="s">
        <v>19</v>
      </c>
      <c r="T410" s="19" t="s">
        <v>439</v>
      </c>
    </row>
    <row r="411" spans="1:20" ht="37.5" customHeight="1" x14ac:dyDescent="0.25">
      <c r="A411" s="19" t="s">
        <v>440</v>
      </c>
      <c r="B411">
        <f t="shared" si="48"/>
        <v>5241</v>
      </c>
      <c r="C411">
        <v>840</v>
      </c>
      <c r="D411">
        <v>4401</v>
      </c>
      <c r="E411">
        <v>5304</v>
      </c>
      <c r="F411">
        <f t="shared" si="47"/>
        <v>302</v>
      </c>
      <c r="G411" s="20">
        <f t="shared" si="49"/>
        <v>406</v>
      </c>
      <c r="H411" s="21">
        <v>99623080594</v>
      </c>
      <c r="I411" s="22">
        <v>525</v>
      </c>
      <c r="J411" s="23"/>
      <c r="K411" s="24">
        <f>M411+O411</f>
        <v>4939</v>
      </c>
      <c r="L411" s="23">
        <f t="shared" si="43"/>
        <v>302</v>
      </c>
      <c r="M411" s="24">
        <v>772</v>
      </c>
      <c r="N411" s="25">
        <f t="shared" si="44"/>
        <v>68</v>
      </c>
      <c r="O411" s="24">
        <v>4167</v>
      </c>
      <c r="P411" s="23">
        <f t="shared" si="45"/>
        <v>234</v>
      </c>
      <c r="Q411" s="26">
        <v>4745</v>
      </c>
      <c r="R411" s="23">
        <f t="shared" si="46"/>
        <v>559</v>
      </c>
      <c r="S411" s="27" t="s">
        <v>19</v>
      </c>
      <c r="T411" s="19" t="s">
        <v>440</v>
      </c>
    </row>
    <row r="412" spans="1:20" ht="37.5" customHeight="1" x14ac:dyDescent="0.25">
      <c r="A412" s="19" t="s">
        <v>441</v>
      </c>
      <c r="B412">
        <f t="shared" si="48"/>
        <v>12236</v>
      </c>
      <c r="C412">
        <v>2507</v>
      </c>
      <c r="D412">
        <v>9729</v>
      </c>
      <c r="E412">
        <v>17599</v>
      </c>
      <c r="F412">
        <f t="shared" si="47"/>
        <v>414</v>
      </c>
      <c r="G412" s="20">
        <f t="shared" si="49"/>
        <v>407</v>
      </c>
      <c r="H412" s="21">
        <v>99723050187</v>
      </c>
      <c r="I412" s="22">
        <v>526</v>
      </c>
      <c r="J412" s="23"/>
      <c r="K412" s="24">
        <f>M412+O412</f>
        <v>11822</v>
      </c>
      <c r="L412" s="23">
        <f t="shared" si="43"/>
        <v>414</v>
      </c>
      <c r="M412" s="24">
        <v>2414</v>
      </c>
      <c r="N412" s="25">
        <f t="shared" si="44"/>
        <v>93</v>
      </c>
      <c r="O412" s="24">
        <v>9408</v>
      </c>
      <c r="P412" s="23">
        <f t="shared" si="45"/>
        <v>321</v>
      </c>
      <c r="Q412" s="26">
        <v>16413</v>
      </c>
      <c r="R412" s="23">
        <f t="shared" si="46"/>
        <v>1186</v>
      </c>
      <c r="S412" s="27" t="s">
        <v>19</v>
      </c>
      <c r="T412" s="19" t="s">
        <v>441</v>
      </c>
    </row>
    <row r="413" spans="1:20" ht="37.5" customHeight="1" x14ac:dyDescent="0.25">
      <c r="A413" s="19" t="s">
        <v>442</v>
      </c>
      <c r="B413">
        <f t="shared" si="48"/>
        <v>18336</v>
      </c>
      <c r="C413">
        <v>2094</v>
      </c>
      <c r="D413">
        <v>16242</v>
      </c>
      <c r="F413">
        <f t="shared" si="47"/>
        <v>118</v>
      </c>
      <c r="G413" s="20">
        <f t="shared" si="49"/>
        <v>408</v>
      </c>
      <c r="H413" s="21">
        <v>66619040491</v>
      </c>
      <c r="I413" s="22">
        <v>527</v>
      </c>
      <c r="J413" s="23"/>
      <c r="K413" s="24">
        <v>18218</v>
      </c>
      <c r="L413" s="23">
        <f t="shared" si="43"/>
        <v>118</v>
      </c>
      <c r="M413" s="24">
        <v>2084</v>
      </c>
      <c r="N413" s="25">
        <f t="shared" si="44"/>
        <v>10</v>
      </c>
      <c r="O413" s="24">
        <v>16134</v>
      </c>
      <c r="P413" s="23">
        <f t="shared" si="45"/>
        <v>108</v>
      </c>
      <c r="Q413" s="26"/>
      <c r="R413" s="23">
        <f t="shared" si="46"/>
        <v>0</v>
      </c>
      <c r="S413" s="27" t="s">
        <v>19</v>
      </c>
      <c r="T413" s="19" t="s">
        <v>442</v>
      </c>
    </row>
    <row r="414" spans="1:20" ht="37.5" customHeight="1" x14ac:dyDescent="0.25">
      <c r="A414" s="19" t="s">
        <v>443</v>
      </c>
      <c r="B414">
        <f t="shared" si="48"/>
        <v>4827</v>
      </c>
      <c r="C414">
        <v>1176</v>
      </c>
      <c r="D414">
        <v>3651</v>
      </c>
      <c r="E414">
        <v>6010</v>
      </c>
      <c r="F414">
        <f t="shared" si="47"/>
        <v>458</v>
      </c>
      <c r="G414" s="20">
        <f t="shared" si="49"/>
        <v>409</v>
      </c>
      <c r="H414" s="21">
        <v>99624030364</v>
      </c>
      <c r="I414" s="22">
        <v>529</v>
      </c>
      <c r="J414" s="23"/>
      <c r="K414" s="24">
        <f>M414+O414</f>
        <v>4369</v>
      </c>
      <c r="L414" s="23">
        <f t="shared" si="43"/>
        <v>458</v>
      </c>
      <c r="M414" s="24">
        <v>1053</v>
      </c>
      <c r="N414" s="25">
        <f t="shared" si="44"/>
        <v>123</v>
      </c>
      <c r="O414" s="24">
        <v>3316</v>
      </c>
      <c r="P414" s="23">
        <f t="shared" si="45"/>
        <v>335</v>
      </c>
      <c r="Q414" s="26">
        <v>4752</v>
      </c>
      <c r="R414" s="23">
        <f t="shared" si="46"/>
        <v>1258</v>
      </c>
      <c r="S414" s="27" t="s">
        <v>19</v>
      </c>
      <c r="T414" s="19" t="s">
        <v>443</v>
      </c>
    </row>
    <row r="415" spans="1:20" ht="37.5" customHeight="1" x14ac:dyDescent="0.25">
      <c r="A415" s="19" t="s">
        <v>444</v>
      </c>
      <c r="B415">
        <f t="shared" si="48"/>
        <v>107507</v>
      </c>
      <c r="C415">
        <v>34495</v>
      </c>
      <c r="D415">
        <v>73012</v>
      </c>
      <c r="F415">
        <f t="shared" si="47"/>
        <v>475</v>
      </c>
      <c r="G415" s="20">
        <f t="shared" si="49"/>
        <v>410</v>
      </c>
      <c r="H415" s="21">
        <v>9070127</v>
      </c>
      <c r="I415" s="22">
        <v>530</v>
      </c>
      <c r="J415" s="23"/>
      <c r="K415" s="24">
        <v>107032</v>
      </c>
      <c r="L415" s="23">
        <f t="shared" si="43"/>
        <v>475</v>
      </c>
      <c r="M415" s="24">
        <v>34435</v>
      </c>
      <c r="N415" s="25">
        <f t="shared" si="44"/>
        <v>60</v>
      </c>
      <c r="O415" s="24">
        <v>72597</v>
      </c>
      <c r="P415" s="23">
        <f t="shared" si="45"/>
        <v>415</v>
      </c>
      <c r="Q415" s="26"/>
      <c r="R415" s="23">
        <f t="shared" si="46"/>
        <v>0</v>
      </c>
      <c r="S415" s="27" t="s">
        <v>19</v>
      </c>
      <c r="T415" s="19" t="s">
        <v>444</v>
      </c>
    </row>
    <row r="416" spans="1:20" ht="37.5" customHeight="1" x14ac:dyDescent="0.25">
      <c r="A416" s="19" t="s">
        <v>445</v>
      </c>
      <c r="B416">
        <f t="shared" si="48"/>
        <v>139480</v>
      </c>
      <c r="C416">
        <v>23332</v>
      </c>
      <c r="D416">
        <v>116148</v>
      </c>
      <c r="F416">
        <f t="shared" si="47"/>
        <v>1021</v>
      </c>
      <c r="G416" s="20">
        <f t="shared" si="49"/>
        <v>411</v>
      </c>
      <c r="H416" s="21">
        <v>23014010478</v>
      </c>
      <c r="I416" s="22">
        <v>531</v>
      </c>
      <c r="J416" s="23"/>
      <c r="K416" s="24">
        <v>138459</v>
      </c>
      <c r="L416" s="23">
        <f t="shared" si="43"/>
        <v>1021</v>
      </c>
      <c r="M416" s="24">
        <v>23162</v>
      </c>
      <c r="N416" s="25">
        <f t="shared" si="44"/>
        <v>170</v>
      </c>
      <c r="O416" s="24">
        <v>115297</v>
      </c>
      <c r="P416" s="23">
        <f t="shared" si="45"/>
        <v>851</v>
      </c>
      <c r="Q416" s="26"/>
      <c r="R416" s="23">
        <f t="shared" si="46"/>
        <v>0</v>
      </c>
      <c r="S416" s="27" t="s">
        <v>19</v>
      </c>
      <c r="T416" s="19" t="s">
        <v>445</v>
      </c>
    </row>
    <row r="417" spans="1:20" ht="37.5" customHeight="1" x14ac:dyDescent="0.25">
      <c r="A417" s="19" t="s">
        <v>446</v>
      </c>
      <c r="B417">
        <f t="shared" si="48"/>
        <v>13796</v>
      </c>
      <c r="C417">
        <v>1902</v>
      </c>
      <c r="D417">
        <v>11894</v>
      </c>
      <c r="F417">
        <f t="shared" si="47"/>
        <v>557</v>
      </c>
      <c r="G417" s="20">
        <f t="shared" si="49"/>
        <v>412</v>
      </c>
      <c r="H417" s="21">
        <v>66622010377</v>
      </c>
      <c r="I417" s="22">
        <v>532</v>
      </c>
      <c r="J417" s="23"/>
      <c r="K417" s="24">
        <v>13239</v>
      </c>
      <c r="L417" s="23">
        <f t="shared" si="43"/>
        <v>557</v>
      </c>
      <c r="M417" s="24">
        <v>1807</v>
      </c>
      <c r="N417" s="25">
        <f t="shared" si="44"/>
        <v>95</v>
      </c>
      <c r="O417" s="24">
        <v>11432</v>
      </c>
      <c r="P417" s="23">
        <f t="shared" si="45"/>
        <v>462</v>
      </c>
      <c r="Q417" s="26"/>
      <c r="R417" s="23">
        <f t="shared" si="46"/>
        <v>0</v>
      </c>
      <c r="S417" s="27" t="s">
        <v>19</v>
      </c>
      <c r="T417" s="19" t="s">
        <v>446</v>
      </c>
    </row>
    <row r="418" spans="1:20" ht="37.5" customHeight="1" x14ac:dyDescent="0.25">
      <c r="A418" s="19" t="s">
        <v>447</v>
      </c>
      <c r="B418">
        <f t="shared" si="48"/>
        <v>178558</v>
      </c>
      <c r="C418">
        <v>40761</v>
      </c>
      <c r="D418">
        <v>137797</v>
      </c>
      <c r="F418">
        <f t="shared" si="47"/>
        <v>1551</v>
      </c>
      <c r="G418" s="20">
        <f t="shared" si="49"/>
        <v>413</v>
      </c>
      <c r="H418" s="21">
        <v>23010090028</v>
      </c>
      <c r="I418" s="22">
        <v>533</v>
      </c>
      <c r="J418" s="23"/>
      <c r="K418" s="24">
        <v>177007</v>
      </c>
      <c r="L418" s="23">
        <f t="shared" si="43"/>
        <v>1551</v>
      </c>
      <c r="M418" s="24">
        <v>40452</v>
      </c>
      <c r="N418" s="25">
        <f t="shared" si="44"/>
        <v>309</v>
      </c>
      <c r="O418" s="24">
        <v>136555</v>
      </c>
      <c r="P418" s="23">
        <f t="shared" si="45"/>
        <v>1242</v>
      </c>
      <c r="Q418" s="26"/>
      <c r="R418" s="23">
        <f t="shared" si="46"/>
        <v>0</v>
      </c>
      <c r="S418" s="27" t="s">
        <v>19</v>
      </c>
      <c r="T418" s="19" t="s">
        <v>447</v>
      </c>
    </row>
    <row r="419" spans="1:20" ht="37.5" customHeight="1" x14ac:dyDescent="0.25">
      <c r="A419" s="19" t="s">
        <v>448</v>
      </c>
      <c r="B419">
        <f t="shared" si="48"/>
        <v>3250</v>
      </c>
      <c r="C419">
        <v>860</v>
      </c>
      <c r="D419">
        <v>2390</v>
      </c>
      <c r="F419">
        <f t="shared" si="47"/>
        <v>10</v>
      </c>
      <c r="G419" s="20">
        <f t="shared" si="49"/>
        <v>414</v>
      </c>
      <c r="H419" s="21">
        <v>66622010657</v>
      </c>
      <c r="I419" s="22">
        <v>534</v>
      </c>
      <c r="J419" s="23"/>
      <c r="K419" s="24">
        <v>3240</v>
      </c>
      <c r="L419" s="23">
        <f t="shared" si="43"/>
        <v>10</v>
      </c>
      <c r="M419" s="24">
        <v>858</v>
      </c>
      <c r="N419" s="25">
        <f t="shared" si="44"/>
        <v>2</v>
      </c>
      <c r="O419" s="24">
        <v>2382</v>
      </c>
      <c r="P419" s="23">
        <f t="shared" si="45"/>
        <v>8</v>
      </c>
      <c r="Q419" s="26"/>
      <c r="R419" s="23">
        <f t="shared" si="46"/>
        <v>0</v>
      </c>
      <c r="S419" s="27" t="s">
        <v>19</v>
      </c>
      <c r="T419" s="19" t="s">
        <v>448</v>
      </c>
    </row>
    <row r="420" spans="1:20" ht="37.5" customHeight="1" x14ac:dyDescent="0.25">
      <c r="A420" s="19" t="s">
        <v>449</v>
      </c>
      <c r="B420">
        <f t="shared" si="48"/>
        <v>77745</v>
      </c>
      <c r="C420">
        <v>16322</v>
      </c>
      <c r="D420">
        <v>61423</v>
      </c>
      <c r="F420">
        <f t="shared" si="47"/>
        <v>633</v>
      </c>
      <c r="G420" s="20">
        <f t="shared" si="49"/>
        <v>415</v>
      </c>
      <c r="H420" s="21">
        <v>23010050105</v>
      </c>
      <c r="I420" s="22">
        <v>535</v>
      </c>
      <c r="J420" s="23"/>
      <c r="K420" s="24">
        <v>77112</v>
      </c>
      <c r="L420" s="23">
        <f t="shared" si="43"/>
        <v>633</v>
      </c>
      <c r="M420" s="24">
        <v>16208</v>
      </c>
      <c r="N420" s="25">
        <f t="shared" si="44"/>
        <v>114</v>
      </c>
      <c r="O420" s="24">
        <v>60904</v>
      </c>
      <c r="P420" s="23">
        <f t="shared" si="45"/>
        <v>519</v>
      </c>
      <c r="Q420" s="26"/>
      <c r="R420" s="23">
        <f t="shared" si="46"/>
        <v>0</v>
      </c>
      <c r="S420" s="27" t="s">
        <v>19</v>
      </c>
      <c r="T420" s="19" t="s">
        <v>449</v>
      </c>
    </row>
    <row r="421" spans="1:20" ht="37.5" customHeight="1" x14ac:dyDescent="0.25">
      <c r="A421" s="19" t="s">
        <v>450</v>
      </c>
      <c r="B421">
        <f t="shared" si="48"/>
        <v>89903</v>
      </c>
      <c r="C421">
        <v>15925</v>
      </c>
      <c r="D421">
        <v>73978</v>
      </c>
      <c r="F421">
        <f t="shared" si="47"/>
        <v>591</v>
      </c>
      <c r="G421" s="20">
        <f t="shared" si="49"/>
        <v>416</v>
      </c>
      <c r="H421" s="21">
        <v>23012070040</v>
      </c>
      <c r="I421" s="22">
        <v>536</v>
      </c>
      <c r="J421" s="23"/>
      <c r="K421" s="24">
        <v>89312</v>
      </c>
      <c r="L421" s="23">
        <f t="shared" si="43"/>
        <v>591</v>
      </c>
      <c r="M421" s="24">
        <v>15780</v>
      </c>
      <c r="N421" s="25">
        <f t="shared" si="44"/>
        <v>145</v>
      </c>
      <c r="O421" s="24">
        <v>73532</v>
      </c>
      <c r="P421" s="23">
        <f t="shared" si="45"/>
        <v>446</v>
      </c>
      <c r="Q421" s="26"/>
      <c r="R421" s="23">
        <f t="shared" si="46"/>
        <v>0</v>
      </c>
      <c r="S421" s="27" t="s">
        <v>19</v>
      </c>
      <c r="T421" s="19" t="s">
        <v>450</v>
      </c>
    </row>
    <row r="422" spans="1:20" ht="37.5" customHeight="1" x14ac:dyDescent="0.25">
      <c r="A422" s="19" t="s">
        <v>451</v>
      </c>
      <c r="B422">
        <f t="shared" si="48"/>
        <v>81470</v>
      </c>
      <c r="C422">
        <v>16224</v>
      </c>
      <c r="D422">
        <v>65246</v>
      </c>
      <c r="F422">
        <f t="shared" si="47"/>
        <v>815</v>
      </c>
      <c r="G422" s="20">
        <f t="shared" si="49"/>
        <v>417</v>
      </c>
      <c r="H422" s="21">
        <v>23014090970</v>
      </c>
      <c r="I422" s="22">
        <v>537</v>
      </c>
      <c r="J422" s="23"/>
      <c r="K422" s="24">
        <v>80655</v>
      </c>
      <c r="L422" s="23">
        <f t="shared" si="43"/>
        <v>815</v>
      </c>
      <c r="M422" s="24">
        <v>16088</v>
      </c>
      <c r="N422" s="25">
        <f t="shared" si="44"/>
        <v>136</v>
      </c>
      <c r="O422" s="24">
        <v>64567</v>
      </c>
      <c r="P422" s="23">
        <f t="shared" si="45"/>
        <v>679</v>
      </c>
      <c r="Q422" s="26"/>
      <c r="R422" s="23">
        <f t="shared" si="46"/>
        <v>0</v>
      </c>
      <c r="S422" s="27" t="s">
        <v>19</v>
      </c>
      <c r="T422" s="19" t="s">
        <v>451</v>
      </c>
    </row>
    <row r="423" spans="1:20" ht="37.5" customHeight="1" x14ac:dyDescent="0.25">
      <c r="A423" s="19" t="s">
        <v>452</v>
      </c>
      <c r="B423">
        <f t="shared" si="48"/>
        <v>7298</v>
      </c>
      <c r="C423">
        <v>1456</v>
      </c>
      <c r="D423">
        <v>5842</v>
      </c>
      <c r="E423">
        <v>10980</v>
      </c>
      <c r="F423">
        <f t="shared" si="47"/>
        <v>410</v>
      </c>
      <c r="G423" s="20">
        <f t="shared" si="49"/>
        <v>418</v>
      </c>
      <c r="H423" s="21">
        <v>99623080077</v>
      </c>
      <c r="I423" s="22">
        <v>538</v>
      </c>
      <c r="J423" s="23"/>
      <c r="K423" s="24">
        <f>M423+O423</f>
        <v>6888</v>
      </c>
      <c r="L423" s="23">
        <f t="shared" si="43"/>
        <v>410</v>
      </c>
      <c r="M423" s="24">
        <v>1371</v>
      </c>
      <c r="N423" s="25">
        <f t="shared" si="44"/>
        <v>85</v>
      </c>
      <c r="O423" s="24">
        <v>5517</v>
      </c>
      <c r="P423" s="23">
        <f t="shared" si="45"/>
        <v>325</v>
      </c>
      <c r="Q423" s="26">
        <v>10036</v>
      </c>
      <c r="R423" s="23">
        <f t="shared" si="46"/>
        <v>944</v>
      </c>
      <c r="S423" s="27" t="s">
        <v>19</v>
      </c>
      <c r="T423" s="19" t="s">
        <v>452</v>
      </c>
    </row>
    <row r="424" spans="1:20" ht="37.5" customHeight="1" x14ac:dyDescent="0.25">
      <c r="A424" s="19" t="s">
        <v>453</v>
      </c>
      <c r="B424">
        <f t="shared" si="48"/>
        <v>12531</v>
      </c>
      <c r="C424">
        <v>1969</v>
      </c>
      <c r="D424">
        <v>10562</v>
      </c>
      <c r="F424">
        <f t="shared" si="47"/>
        <v>233</v>
      </c>
      <c r="G424" s="20">
        <f t="shared" si="49"/>
        <v>419</v>
      </c>
      <c r="H424" s="21">
        <v>66621100203</v>
      </c>
      <c r="I424" s="22">
        <v>539</v>
      </c>
      <c r="J424" s="23"/>
      <c r="K424" s="24">
        <v>12298</v>
      </c>
      <c r="L424" s="23">
        <f t="shared" si="43"/>
        <v>233</v>
      </c>
      <c r="M424" s="24">
        <v>1940</v>
      </c>
      <c r="N424" s="25">
        <f t="shared" si="44"/>
        <v>29</v>
      </c>
      <c r="O424" s="24">
        <v>10358</v>
      </c>
      <c r="P424" s="23">
        <f t="shared" si="45"/>
        <v>204</v>
      </c>
      <c r="Q424" s="26"/>
      <c r="R424" s="23">
        <f t="shared" si="46"/>
        <v>0</v>
      </c>
      <c r="S424" s="27" t="s">
        <v>19</v>
      </c>
      <c r="T424" s="19" t="s">
        <v>453</v>
      </c>
    </row>
    <row r="425" spans="1:20" ht="37.5" customHeight="1" x14ac:dyDescent="0.25">
      <c r="A425" s="19" t="s">
        <v>454</v>
      </c>
      <c r="B425">
        <f t="shared" si="48"/>
        <v>80966</v>
      </c>
      <c r="C425">
        <v>12678</v>
      </c>
      <c r="D425">
        <v>68288</v>
      </c>
      <c r="F425">
        <f t="shared" si="47"/>
        <v>318</v>
      </c>
      <c r="G425" s="20">
        <f t="shared" si="49"/>
        <v>420</v>
      </c>
      <c r="H425" s="21">
        <v>23014010279</v>
      </c>
      <c r="I425" s="22">
        <v>540</v>
      </c>
      <c r="J425" s="23"/>
      <c r="K425" s="24">
        <v>80648</v>
      </c>
      <c r="L425" s="23">
        <f t="shared" si="43"/>
        <v>318</v>
      </c>
      <c r="M425" s="24">
        <v>12614</v>
      </c>
      <c r="N425" s="25">
        <f t="shared" si="44"/>
        <v>64</v>
      </c>
      <c r="O425" s="24">
        <v>68034</v>
      </c>
      <c r="P425" s="23">
        <f t="shared" si="45"/>
        <v>254</v>
      </c>
      <c r="Q425" s="26"/>
      <c r="R425" s="23">
        <f t="shared" si="46"/>
        <v>0</v>
      </c>
      <c r="S425" s="27" t="s">
        <v>19</v>
      </c>
      <c r="T425" s="19" t="s">
        <v>454</v>
      </c>
    </row>
    <row r="426" spans="1:20" ht="37.5" customHeight="1" x14ac:dyDescent="0.25">
      <c r="A426" s="19" t="s">
        <v>455</v>
      </c>
      <c r="B426">
        <f t="shared" si="48"/>
        <v>60131</v>
      </c>
      <c r="C426">
        <v>10148</v>
      </c>
      <c r="D426">
        <v>49983</v>
      </c>
      <c r="F426">
        <f t="shared" si="47"/>
        <v>351</v>
      </c>
      <c r="G426" s="20">
        <f t="shared" si="49"/>
        <v>421</v>
      </c>
      <c r="H426" s="21">
        <v>10020114</v>
      </c>
      <c r="I426" s="22">
        <v>541</v>
      </c>
      <c r="J426" s="23"/>
      <c r="K426" s="24">
        <v>59780</v>
      </c>
      <c r="L426" s="23">
        <f t="shared" si="43"/>
        <v>351</v>
      </c>
      <c r="M426" s="24">
        <v>10098</v>
      </c>
      <c r="N426" s="25">
        <f t="shared" si="44"/>
        <v>50</v>
      </c>
      <c r="O426" s="24">
        <v>49682</v>
      </c>
      <c r="P426" s="23">
        <f t="shared" si="45"/>
        <v>301</v>
      </c>
      <c r="Q426" s="26"/>
      <c r="R426" s="23">
        <f t="shared" si="46"/>
        <v>0</v>
      </c>
      <c r="S426" s="27" t="s">
        <v>19</v>
      </c>
      <c r="T426" s="19" t="s">
        <v>455</v>
      </c>
    </row>
    <row r="427" spans="1:20" ht="37.5" customHeight="1" x14ac:dyDescent="0.25">
      <c r="A427" s="19" t="s">
        <v>456</v>
      </c>
      <c r="B427">
        <f t="shared" si="48"/>
        <v>87122</v>
      </c>
      <c r="C427">
        <v>17691</v>
      </c>
      <c r="D427">
        <v>69431</v>
      </c>
      <c r="F427">
        <f t="shared" si="47"/>
        <v>272</v>
      </c>
      <c r="G427" s="20">
        <f t="shared" si="49"/>
        <v>422</v>
      </c>
      <c r="H427" s="21">
        <v>10020056</v>
      </c>
      <c r="I427" s="22">
        <v>542</v>
      </c>
      <c r="J427" s="23"/>
      <c r="K427" s="24">
        <v>86850</v>
      </c>
      <c r="L427" s="23">
        <f t="shared" si="43"/>
        <v>272</v>
      </c>
      <c r="M427" s="24">
        <v>17655</v>
      </c>
      <c r="N427" s="25">
        <f t="shared" si="44"/>
        <v>36</v>
      </c>
      <c r="O427" s="24">
        <v>69195</v>
      </c>
      <c r="P427" s="23">
        <f t="shared" si="45"/>
        <v>236</v>
      </c>
      <c r="Q427" s="26"/>
      <c r="R427" s="23">
        <f t="shared" si="46"/>
        <v>0</v>
      </c>
      <c r="S427" s="27" t="s">
        <v>19</v>
      </c>
      <c r="T427" s="19" t="s">
        <v>456</v>
      </c>
    </row>
    <row r="428" spans="1:20" ht="37.5" customHeight="1" x14ac:dyDescent="0.25">
      <c r="A428" s="19" t="s">
        <v>457</v>
      </c>
      <c r="B428">
        <f t="shared" si="48"/>
        <v>10217</v>
      </c>
      <c r="C428">
        <v>2265</v>
      </c>
      <c r="D428">
        <v>7952</v>
      </c>
      <c r="E428">
        <v>17110</v>
      </c>
      <c r="F428">
        <f t="shared" si="47"/>
        <v>363</v>
      </c>
      <c r="G428" s="20">
        <f t="shared" si="49"/>
        <v>423</v>
      </c>
      <c r="H428" s="21">
        <v>99723060076</v>
      </c>
      <c r="I428" s="22">
        <v>543</v>
      </c>
      <c r="J428" s="23"/>
      <c r="K428" s="24">
        <f>M428+O428</f>
        <v>9854</v>
      </c>
      <c r="L428" s="23">
        <f t="shared" si="43"/>
        <v>363</v>
      </c>
      <c r="M428" s="24">
        <v>2172</v>
      </c>
      <c r="N428" s="25">
        <f t="shared" si="44"/>
        <v>93</v>
      </c>
      <c r="O428" s="24">
        <v>7682</v>
      </c>
      <c r="P428" s="23">
        <f t="shared" si="45"/>
        <v>270</v>
      </c>
      <c r="Q428" s="26">
        <v>15813</v>
      </c>
      <c r="R428" s="23">
        <f t="shared" si="46"/>
        <v>1297</v>
      </c>
      <c r="S428" s="27" t="s">
        <v>19</v>
      </c>
      <c r="T428" s="19" t="s">
        <v>457</v>
      </c>
    </row>
    <row r="429" spans="1:20" ht="37.5" customHeight="1" x14ac:dyDescent="0.25">
      <c r="A429" s="19" t="s">
        <v>458</v>
      </c>
      <c r="B429">
        <f t="shared" si="48"/>
        <v>30678</v>
      </c>
      <c r="C429">
        <v>5170</v>
      </c>
      <c r="D429">
        <v>25508</v>
      </c>
      <c r="F429">
        <f t="shared" si="47"/>
        <v>192</v>
      </c>
      <c r="G429" s="20">
        <f t="shared" si="49"/>
        <v>424</v>
      </c>
      <c r="H429" s="21">
        <v>23014060145</v>
      </c>
      <c r="I429" s="22">
        <v>544</v>
      </c>
      <c r="J429" s="23"/>
      <c r="K429" s="24">
        <v>30486</v>
      </c>
      <c r="L429" s="23">
        <f t="shared" si="43"/>
        <v>192</v>
      </c>
      <c r="M429" s="24">
        <v>5140</v>
      </c>
      <c r="N429" s="25">
        <f t="shared" si="44"/>
        <v>30</v>
      </c>
      <c r="O429" s="24">
        <v>25346</v>
      </c>
      <c r="P429" s="23">
        <f t="shared" si="45"/>
        <v>162</v>
      </c>
      <c r="Q429" s="26"/>
      <c r="R429" s="23">
        <f t="shared" si="46"/>
        <v>0</v>
      </c>
      <c r="S429" s="27" t="s">
        <v>19</v>
      </c>
      <c r="T429" s="19" t="s">
        <v>458</v>
      </c>
    </row>
    <row r="430" spans="1:20" ht="37.5" customHeight="1" x14ac:dyDescent="0.25">
      <c r="A430" s="19" t="s">
        <v>459</v>
      </c>
      <c r="B430">
        <f t="shared" si="48"/>
        <v>63157</v>
      </c>
      <c r="C430">
        <v>10273</v>
      </c>
      <c r="D430">
        <v>52884</v>
      </c>
      <c r="F430">
        <f t="shared" si="47"/>
        <v>409</v>
      </c>
      <c r="G430" s="20">
        <f t="shared" si="49"/>
        <v>425</v>
      </c>
      <c r="H430" s="21">
        <v>23014090144</v>
      </c>
      <c r="I430" s="22">
        <v>545</v>
      </c>
      <c r="J430" s="23"/>
      <c r="K430" s="24">
        <v>62748</v>
      </c>
      <c r="L430" s="23">
        <f t="shared" si="43"/>
        <v>409</v>
      </c>
      <c r="M430" s="24">
        <v>10221</v>
      </c>
      <c r="N430" s="25">
        <f t="shared" si="44"/>
        <v>52</v>
      </c>
      <c r="O430" s="24">
        <v>52527</v>
      </c>
      <c r="P430" s="23">
        <f t="shared" si="45"/>
        <v>357</v>
      </c>
      <c r="Q430" s="26"/>
      <c r="R430" s="23">
        <f t="shared" si="46"/>
        <v>0</v>
      </c>
      <c r="S430" s="27" t="s">
        <v>19</v>
      </c>
      <c r="T430" s="19" t="s">
        <v>459</v>
      </c>
    </row>
    <row r="431" spans="1:20" ht="37.5" customHeight="1" x14ac:dyDescent="0.25">
      <c r="A431" s="19" t="s">
        <v>460</v>
      </c>
      <c r="B431">
        <f t="shared" si="48"/>
        <v>3841</v>
      </c>
      <c r="C431">
        <v>1062</v>
      </c>
      <c r="D431">
        <v>2779</v>
      </c>
      <c r="E431">
        <v>7594</v>
      </c>
      <c r="F431">
        <f t="shared" si="47"/>
        <v>247</v>
      </c>
      <c r="G431" s="20">
        <f t="shared" si="49"/>
        <v>426</v>
      </c>
      <c r="H431" s="21">
        <v>99623080395</v>
      </c>
      <c r="I431" s="22">
        <v>546</v>
      </c>
      <c r="J431" s="23"/>
      <c r="K431" s="24">
        <f>M431+O431</f>
        <v>3594</v>
      </c>
      <c r="L431" s="23">
        <f t="shared" si="43"/>
        <v>247</v>
      </c>
      <c r="M431" s="24">
        <v>993</v>
      </c>
      <c r="N431" s="25">
        <f t="shared" si="44"/>
        <v>69</v>
      </c>
      <c r="O431" s="24">
        <v>2601</v>
      </c>
      <c r="P431" s="23">
        <f t="shared" si="45"/>
        <v>178</v>
      </c>
      <c r="Q431" s="26">
        <v>6978</v>
      </c>
      <c r="R431" s="23">
        <f t="shared" si="46"/>
        <v>616</v>
      </c>
      <c r="S431" s="27" t="s">
        <v>19</v>
      </c>
      <c r="T431" s="19" t="s">
        <v>460</v>
      </c>
    </row>
    <row r="432" spans="1:20" ht="37.5" customHeight="1" x14ac:dyDescent="0.25">
      <c r="A432" s="19" t="s">
        <v>461</v>
      </c>
      <c r="B432">
        <f t="shared" si="48"/>
        <v>8598</v>
      </c>
      <c r="C432">
        <v>1914</v>
      </c>
      <c r="D432">
        <v>6684</v>
      </c>
      <c r="E432">
        <v>9246</v>
      </c>
      <c r="F432">
        <f t="shared" si="47"/>
        <v>787</v>
      </c>
      <c r="G432" s="20">
        <f t="shared" si="49"/>
        <v>427</v>
      </c>
      <c r="H432" s="21">
        <v>99623080479</v>
      </c>
      <c r="I432" s="22">
        <v>547</v>
      </c>
      <c r="J432" s="23"/>
      <c r="K432" s="24">
        <f>M432+O432</f>
        <v>7811</v>
      </c>
      <c r="L432" s="23">
        <f t="shared" si="43"/>
        <v>787</v>
      </c>
      <c r="M432" s="24">
        <v>1743</v>
      </c>
      <c r="N432" s="25">
        <f t="shared" si="44"/>
        <v>171</v>
      </c>
      <c r="O432" s="24">
        <v>6068</v>
      </c>
      <c r="P432" s="23">
        <f t="shared" si="45"/>
        <v>616</v>
      </c>
      <c r="Q432" s="26">
        <v>8514</v>
      </c>
      <c r="R432" s="23">
        <f t="shared" si="46"/>
        <v>732</v>
      </c>
      <c r="S432" s="27" t="s">
        <v>19</v>
      </c>
      <c r="T432" s="19" t="s">
        <v>461</v>
      </c>
    </row>
    <row r="433" spans="1:20" ht="37.5" customHeight="1" x14ac:dyDescent="0.25">
      <c r="A433" s="19" t="s">
        <v>462</v>
      </c>
      <c r="B433">
        <f t="shared" si="48"/>
        <v>61775</v>
      </c>
      <c r="C433">
        <v>14219</v>
      </c>
      <c r="D433">
        <v>47556</v>
      </c>
      <c r="F433">
        <f t="shared" si="47"/>
        <v>522</v>
      </c>
      <c r="G433" s="20">
        <f t="shared" si="49"/>
        <v>428</v>
      </c>
      <c r="H433" s="21">
        <v>23014060661</v>
      </c>
      <c r="I433" s="22">
        <v>548</v>
      </c>
      <c r="J433" s="23"/>
      <c r="K433" s="24">
        <v>61253</v>
      </c>
      <c r="L433" s="23">
        <f t="shared" si="43"/>
        <v>522</v>
      </c>
      <c r="M433" s="24">
        <v>14119</v>
      </c>
      <c r="N433" s="25">
        <f t="shared" si="44"/>
        <v>100</v>
      </c>
      <c r="O433" s="24">
        <v>47134</v>
      </c>
      <c r="P433" s="23">
        <f t="shared" si="45"/>
        <v>422</v>
      </c>
      <c r="Q433" s="26"/>
      <c r="R433" s="23">
        <f t="shared" si="46"/>
        <v>0</v>
      </c>
      <c r="S433" s="27" t="s">
        <v>19</v>
      </c>
      <c r="T433" s="19" t="s">
        <v>462</v>
      </c>
    </row>
    <row r="434" spans="1:20" ht="37.5" customHeight="1" x14ac:dyDescent="0.25">
      <c r="A434" s="19" t="s">
        <v>463</v>
      </c>
      <c r="B434">
        <f t="shared" si="48"/>
        <v>18528</v>
      </c>
      <c r="C434">
        <v>2933</v>
      </c>
      <c r="D434">
        <v>15595</v>
      </c>
      <c r="F434">
        <f t="shared" si="47"/>
        <v>170</v>
      </c>
      <c r="G434" s="20">
        <f t="shared" si="49"/>
        <v>429</v>
      </c>
      <c r="H434" s="21">
        <v>88820040310</v>
      </c>
      <c r="I434" s="22">
        <v>549</v>
      </c>
      <c r="J434" s="23"/>
      <c r="K434" s="24">
        <v>18358</v>
      </c>
      <c r="L434" s="23">
        <f t="shared" si="43"/>
        <v>170</v>
      </c>
      <c r="M434" s="24">
        <v>2904</v>
      </c>
      <c r="N434" s="25">
        <f t="shared" si="44"/>
        <v>29</v>
      </c>
      <c r="O434" s="24">
        <v>15454</v>
      </c>
      <c r="P434" s="23">
        <f t="shared" si="45"/>
        <v>141</v>
      </c>
      <c r="Q434" s="26"/>
      <c r="R434" s="23">
        <f t="shared" si="46"/>
        <v>0</v>
      </c>
      <c r="S434" s="27" t="s">
        <v>19</v>
      </c>
      <c r="T434" s="19" t="s">
        <v>463</v>
      </c>
    </row>
    <row r="435" spans="1:20" ht="37.5" customHeight="1" x14ac:dyDescent="0.25">
      <c r="A435" s="19" t="s">
        <v>464</v>
      </c>
      <c r="B435">
        <f t="shared" si="48"/>
        <v>74681</v>
      </c>
      <c r="C435">
        <v>12962</v>
      </c>
      <c r="D435">
        <v>61719</v>
      </c>
      <c r="F435">
        <f t="shared" si="47"/>
        <v>198</v>
      </c>
      <c r="G435" s="20">
        <f t="shared" si="49"/>
        <v>430</v>
      </c>
      <c r="H435" s="21">
        <v>23014060041</v>
      </c>
      <c r="I435" s="22">
        <v>550</v>
      </c>
      <c r="J435" s="23"/>
      <c r="K435" s="24">
        <v>74483</v>
      </c>
      <c r="L435" s="23">
        <f t="shared" si="43"/>
        <v>198</v>
      </c>
      <c r="M435" s="24">
        <v>12944</v>
      </c>
      <c r="N435" s="25">
        <f t="shared" si="44"/>
        <v>18</v>
      </c>
      <c r="O435" s="24">
        <v>61539</v>
      </c>
      <c r="P435" s="23">
        <f t="shared" si="45"/>
        <v>180</v>
      </c>
      <c r="Q435" s="26"/>
      <c r="R435" s="23">
        <f t="shared" si="46"/>
        <v>0</v>
      </c>
      <c r="S435" s="27" t="s">
        <v>19</v>
      </c>
      <c r="T435" s="19" t="s">
        <v>464</v>
      </c>
    </row>
    <row r="436" spans="1:20" ht="37.5" customHeight="1" x14ac:dyDescent="0.25">
      <c r="A436" s="19" t="s">
        <v>465</v>
      </c>
      <c r="B436">
        <f t="shared" si="48"/>
        <v>1228</v>
      </c>
      <c r="C436">
        <v>387</v>
      </c>
      <c r="D436">
        <v>841</v>
      </c>
      <c r="E436">
        <v>3164</v>
      </c>
      <c r="F436">
        <f t="shared" si="47"/>
        <v>292</v>
      </c>
      <c r="G436" s="20">
        <f t="shared" si="49"/>
        <v>431</v>
      </c>
      <c r="H436" s="21">
        <v>99624050074</v>
      </c>
      <c r="I436" s="22">
        <v>552</v>
      </c>
      <c r="J436" s="23"/>
      <c r="K436" s="24">
        <f>M436+O436</f>
        <v>936</v>
      </c>
      <c r="L436" s="23">
        <f t="shared" si="43"/>
        <v>292</v>
      </c>
      <c r="M436" s="24">
        <v>306</v>
      </c>
      <c r="N436" s="25">
        <f t="shared" si="44"/>
        <v>81</v>
      </c>
      <c r="O436" s="24">
        <v>630</v>
      </c>
      <c r="P436" s="23">
        <f t="shared" si="45"/>
        <v>211</v>
      </c>
      <c r="Q436" s="26">
        <v>2128</v>
      </c>
      <c r="R436" s="23">
        <f t="shared" si="46"/>
        <v>1036</v>
      </c>
      <c r="S436" s="27" t="s">
        <v>19</v>
      </c>
      <c r="T436" s="19" t="s">
        <v>465</v>
      </c>
    </row>
    <row r="437" spans="1:20" ht="37.5" customHeight="1" x14ac:dyDescent="0.25">
      <c r="A437" s="19" t="s">
        <v>466</v>
      </c>
      <c r="B437">
        <f t="shared" si="48"/>
        <v>97114</v>
      </c>
      <c r="C437">
        <v>15958</v>
      </c>
      <c r="D437">
        <v>81156</v>
      </c>
      <c r="F437">
        <f t="shared" si="47"/>
        <v>141</v>
      </c>
      <c r="G437" s="20">
        <f t="shared" si="49"/>
        <v>432</v>
      </c>
      <c r="H437" s="21">
        <v>23014010003</v>
      </c>
      <c r="I437" s="22">
        <v>553</v>
      </c>
      <c r="J437" s="23"/>
      <c r="K437" s="24">
        <v>96973</v>
      </c>
      <c r="L437" s="23">
        <f t="shared" si="43"/>
        <v>141</v>
      </c>
      <c r="M437" s="24">
        <v>15936</v>
      </c>
      <c r="N437" s="25">
        <f t="shared" si="44"/>
        <v>22</v>
      </c>
      <c r="O437" s="24">
        <v>81037</v>
      </c>
      <c r="P437" s="23">
        <f t="shared" si="45"/>
        <v>119</v>
      </c>
      <c r="Q437" s="26"/>
      <c r="R437" s="23">
        <f t="shared" si="46"/>
        <v>0</v>
      </c>
      <c r="S437" s="27" t="s">
        <v>19</v>
      </c>
      <c r="T437" s="19" t="s">
        <v>466</v>
      </c>
    </row>
    <row r="438" spans="1:20" ht="37.5" customHeight="1" x14ac:dyDescent="0.25">
      <c r="A438" s="19" t="s">
        <v>467</v>
      </c>
      <c r="B438">
        <f t="shared" si="48"/>
        <v>4540</v>
      </c>
      <c r="C438">
        <v>762</v>
      </c>
      <c r="D438">
        <v>3778</v>
      </c>
      <c r="F438">
        <f t="shared" si="47"/>
        <v>52</v>
      </c>
      <c r="G438" s="20">
        <f t="shared" si="49"/>
        <v>433</v>
      </c>
      <c r="H438" s="21">
        <v>66621090085</v>
      </c>
      <c r="I438" s="22">
        <v>554</v>
      </c>
      <c r="J438" s="23"/>
      <c r="K438" s="24">
        <v>4488</v>
      </c>
      <c r="L438" s="23">
        <f t="shared" si="43"/>
        <v>52</v>
      </c>
      <c r="M438" s="24">
        <v>751</v>
      </c>
      <c r="N438" s="25">
        <f t="shared" si="44"/>
        <v>11</v>
      </c>
      <c r="O438" s="24">
        <v>3737</v>
      </c>
      <c r="P438" s="23">
        <f t="shared" si="45"/>
        <v>41</v>
      </c>
      <c r="Q438" s="26"/>
      <c r="R438" s="23">
        <f t="shared" si="46"/>
        <v>0</v>
      </c>
      <c r="S438" s="27" t="s">
        <v>19</v>
      </c>
      <c r="T438" s="19" t="s">
        <v>467</v>
      </c>
    </row>
    <row r="439" spans="1:20" ht="37.5" customHeight="1" x14ac:dyDescent="0.25">
      <c r="A439" s="19" t="s">
        <v>468</v>
      </c>
      <c r="B439">
        <f t="shared" si="48"/>
        <v>67355</v>
      </c>
      <c r="C439">
        <v>13089</v>
      </c>
      <c r="D439">
        <v>54266</v>
      </c>
      <c r="F439">
        <f t="shared" si="47"/>
        <v>908</v>
      </c>
      <c r="G439" s="20">
        <f t="shared" si="49"/>
        <v>434</v>
      </c>
      <c r="H439" s="21">
        <v>66618010342</v>
      </c>
      <c r="I439" s="22">
        <v>555</v>
      </c>
      <c r="J439" s="23"/>
      <c r="K439" s="24">
        <v>66447</v>
      </c>
      <c r="L439" s="23">
        <f t="shared" si="43"/>
        <v>908</v>
      </c>
      <c r="M439" s="24">
        <v>12907</v>
      </c>
      <c r="N439" s="25">
        <f t="shared" si="44"/>
        <v>182</v>
      </c>
      <c r="O439" s="24">
        <v>53540</v>
      </c>
      <c r="P439" s="23">
        <f t="shared" si="45"/>
        <v>726</v>
      </c>
      <c r="Q439" s="26"/>
      <c r="R439" s="23">
        <f t="shared" si="46"/>
        <v>0</v>
      </c>
      <c r="S439" s="27" t="s">
        <v>19</v>
      </c>
      <c r="T439" s="19" t="s">
        <v>468</v>
      </c>
    </row>
    <row r="440" spans="1:20" ht="37.5" customHeight="1" x14ac:dyDescent="0.25">
      <c r="A440" s="19" t="s">
        <v>469</v>
      </c>
      <c r="B440">
        <f t="shared" si="48"/>
        <v>19377</v>
      </c>
      <c r="C440">
        <v>3179</v>
      </c>
      <c r="D440">
        <v>16198</v>
      </c>
      <c r="F440">
        <f t="shared" si="47"/>
        <v>521</v>
      </c>
      <c r="G440" s="20">
        <f t="shared" si="49"/>
        <v>435</v>
      </c>
      <c r="H440" s="21">
        <v>66622030298</v>
      </c>
      <c r="I440" s="22">
        <v>556</v>
      </c>
      <c r="J440" s="23"/>
      <c r="K440" s="24">
        <v>18856</v>
      </c>
      <c r="L440" s="23">
        <f t="shared" si="43"/>
        <v>521</v>
      </c>
      <c r="M440" s="24">
        <v>3079</v>
      </c>
      <c r="N440" s="25">
        <f t="shared" si="44"/>
        <v>100</v>
      </c>
      <c r="O440" s="24">
        <v>15777</v>
      </c>
      <c r="P440" s="23">
        <f t="shared" si="45"/>
        <v>421</v>
      </c>
      <c r="Q440" s="26"/>
      <c r="R440" s="23">
        <f t="shared" si="46"/>
        <v>0</v>
      </c>
      <c r="S440" s="27" t="s">
        <v>19</v>
      </c>
      <c r="T440" s="19" t="s">
        <v>469</v>
      </c>
    </row>
    <row r="441" spans="1:20" ht="37.5" customHeight="1" x14ac:dyDescent="0.25">
      <c r="A441" s="19" t="s">
        <v>470</v>
      </c>
      <c r="B441">
        <f t="shared" si="48"/>
        <v>19571</v>
      </c>
      <c r="C441">
        <v>4034</v>
      </c>
      <c r="D441">
        <v>15537</v>
      </c>
      <c r="F441">
        <f t="shared" si="47"/>
        <v>614</v>
      </c>
      <c r="G441" s="20">
        <f t="shared" si="49"/>
        <v>436</v>
      </c>
      <c r="H441" s="21">
        <v>66622020376</v>
      </c>
      <c r="I441" s="22">
        <v>557</v>
      </c>
      <c r="J441" s="23"/>
      <c r="K441" s="24">
        <v>18957</v>
      </c>
      <c r="L441" s="23">
        <f t="shared" si="43"/>
        <v>614</v>
      </c>
      <c r="M441" s="24">
        <v>3912</v>
      </c>
      <c r="N441" s="25">
        <f t="shared" si="44"/>
        <v>122</v>
      </c>
      <c r="O441" s="24">
        <v>15045</v>
      </c>
      <c r="P441" s="23">
        <f t="shared" si="45"/>
        <v>492</v>
      </c>
      <c r="Q441" s="26"/>
      <c r="R441" s="23">
        <f t="shared" si="46"/>
        <v>0</v>
      </c>
      <c r="S441" s="27" t="s">
        <v>19</v>
      </c>
      <c r="T441" s="19" t="s">
        <v>470</v>
      </c>
    </row>
    <row r="442" spans="1:20" ht="37.5" customHeight="1" x14ac:dyDescent="0.25">
      <c r="A442" s="19" t="s">
        <v>471</v>
      </c>
      <c r="B442">
        <f t="shared" si="48"/>
        <v>72052</v>
      </c>
      <c r="C442">
        <v>17199</v>
      </c>
      <c r="D442">
        <v>54853</v>
      </c>
      <c r="F442">
        <f t="shared" si="47"/>
        <v>445</v>
      </c>
      <c r="G442" s="20">
        <f t="shared" si="49"/>
        <v>437</v>
      </c>
      <c r="H442" s="21">
        <v>23010090079</v>
      </c>
      <c r="I442" s="22">
        <v>558</v>
      </c>
      <c r="J442" s="23"/>
      <c r="K442" s="24">
        <v>71607</v>
      </c>
      <c r="L442" s="23">
        <f t="shared" si="43"/>
        <v>445</v>
      </c>
      <c r="M442" s="24">
        <v>17187</v>
      </c>
      <c r="N442" s="25">
        <f t="shared" si="44"/>
        <v>12</v>
      </c>
      <c r="O442" s="24">
        <v>54420</v>
      </c>
      <c r="P442" s="23">
        <f t="shared" si="45"/>
        <v>433</v>
      </c>
      <c r="Q442" s="26"/>
      <c r="R442" s="23">
        <f t="shared" si="46"/>
        <v>0</v>
      </c>
      <c r="S442" s="27" t="s">
        <v>19</v>
      </c>
      <c r="T442" s="19" t="s">
        <v>471</v>
      </c>
    </row>
    <row r="443" spans="1:20" ht="37.5" customHeight="1" x14ac:dyDescent="0.25">
      <c r="A443" s="19" t="s">
        <v>472</v>
      </c>
      <c r="B443">
        <f t="shared" si="48"/>
        <v>165322</v>
      </c>
      <c r="C443">
        <v>25795</v>
      </c>
      <c r="D443">
        <v>139527</v>
      </c>
      <c r="F443">
        <f t="shared" si="47"/>
        <v>729</v>
      </c>
      <c r="G443" s="20">
        <f t="shared" si="49"/>
        <v>438</v>
      </c>
      <c r="H443" s="21">
        <v>23010030045</v>
      </c>
      <c r="I443" s="22">
        <v>559</v>
      </c>
      <c r="J443" s="23"/>
      <c r="K443" s="24">
        <v>164593</v>
      </c>
      <c r="L443" s="23">
        <f t="shared" si="43"/>
        <v>729</v>
      </c>
      <c r="M443" s="24">
        <v>25698</v>
      </c>
      <c r="N443" s="25">
        <f t="shared" si="44"/>
        <v>97</v>
      </c>
      <c r="O443" s="24">
        <v>138895</v>
      </c>
      <c r="P443" s="23">
        <f t="shared" si="45"/>
        <v>632</v>
      </c>
      <c r="Q443" s="26"/>
      <c r="R443" s="23">
        <f t="shared" si="46"/>
        <v>0</v>
      </c>
      <c r="S443" s="27" t="s">
        <v>19</v>
      </c>
      <c r="T443" s="19" t="s">
        <v>472</v>
      </c>
    </row>
    <row r="444" spans="1:20" ht="37.5" customHeight="1" x14ac:dyDescent="0.25">
      <c r="A444" s="19" t="s">
        <v>473</v>
      </c>
      <c r="B444">
        <f t="shared" si="48"/>
        <v>63948</v>
      </c>
      <c r="C444">
        <v>16275</v>
      </c>
      <c r="D444">
        <v>47673</v>
      </c>
      <c r="F444">
        <f t="shared" si="47"/>
        <v>253</v>
      </c>
      <c r="G444" s="20">
        <f t="shared" si="49"/>
        <v>439</v>
      </c>
      <c r="H444" s="21">
        <v>10020057</v>
      </c>
      <c r="I444" s="22">
        <v>560</v>
      </c>
      <c r="J444" s="23"/>
      <c r="K444" s="24">
        <v>63695</v>
      </c>
      <c r="L444" s="23">
        <f t="shared" si="43"/>
        <v>253</v>
      </c>
      <c r="M444" s="24">
        <v>16198</v>
      </c>
      <c r="N444" s="25">
        <f t="shared" si="44"/>
        <v>77</v>
      </c>
      <c r="O444" s="24">
        <v>47497</v>
      </c>
      <c r="P444" s="23">
        <f t="shared" si="45"/>
        <v>176</v>
      </c>
      <c r="Q444" s="26"/>
      <c r="R444" s="23">
        <f t="shared" si="46"/>
        <v>0</v>
      </c>
      <c r="S444" s="27" t="s">
        <v>19</v>
      </c>
      <c r="T444" s="19" t="s">
        <v>473</v>
      </c>
    </row>
    <row r="445" spans="1:20" ht="37.5" customHeight="1" x14ac:dyDescent="0.25">
      <c r="A445" s="19" t="s">
        <v>474</v>
      </c>
      <c r="B445">
        <f t="shared" si="48"/>
        <v>12158</v>
      </c>
      <c r="C445">
        <v>2085</v>
      </c>
      <c r="D445">
        <v>10073</v>
      </c>
      <c r="F445">
        <f t="shared" si="47"/>
        <v>972</v>
      </c>
      <c r="G445" s="20">
        <f t="shared" si="49"/>
        <v>440</v>
      </c>
      <c r="H445" s="21">
        <v>66621070196</v>
      </c>
      <c r="I445" s="22">
        <v>561</v>
      </c>
      <c r="J445" s="23"/>
      <c r="K445" s="24">
        <v>11186</v>
      </c>
      <c r="L445" s="23">
        <f t="shared" si="43"/>
        <v>972</v>
      </c>
      <c r="M445" s="24">
        <v>1907</v>
      </c>
      <c r="N445" s="25">
        <f t="shared" si="44"/>
        <v>178</v>
      </c>
      <c r="O445" s="24">
        <v>9279</v>
      </c>
      <c r="P445" s="23">
        <f t="shared" si="45"/>
        <v>794</v>
      </c>
      <c r="Q445" s="26"/>
      <c r="R445" s="23">
        <f t="shared" si="46"/>
        <v>0</v>
      </c>
      <c r="S445" s="27" t="s">
        <v>19</v>
      </c>
      <c r="T445" s="19" t="s">
        <v>474</v>
      </c>
    </row>
    <row r="446" spans="1:20" ht="37.5" customHeight="1" x14ac:dyDescent="0.25">
      <c r="A446" s="19" t="s">
        <v>475</v>
      </c>
      <c r="B446">
        <f t="shared" si="48"/>
        <v>278</v>
      </c>
      <c r="C446">
        <v>50</v>
      </c>
      <c r="D446">
        <v>228</v>
      </c>
      <c r="E446">
        <v>1402</v>
      </c>
      <c r="F446">
        <f t="shared" si="47"/>
        <v>278</v>
      </c>
      <c r="G446" s="20">
        <f t="shared" si="49"/>
        <v>441</v>
      </c>
      <c r="H446" s="21">
        <v>99625010161</v>
      </c>
      <c r="I446" s="22">
        <v>562</v>
      </c>
      <c r="J446" s="23"/>
      <c r="K446" s="24">
        <v>0</v>
      </c>
      <c r="L446" s="23">
        <f t="shared" si="43"/>
        <v>278</v>
      </c>
      <c r="M446" s="24">
        <v>0</v>
      </c>
      <c r="N446" s="25">
        <f t="shared" si="44"/>
        <v>50</v>
      </c>
      <c r="O446" s="24">
        <v>0</v>
      </c>
      <c r="P446" s="23">
        <f t="shared" si="45"/>
        <v>228</v>
      </c>
      <c r="Q446" s="26">
        <v>0</v>
      </c>
      <c r="R446" s="23">
        <f t="shared" si="46"/>
        <v>1402</v>
      </c>
      <c r="S446" s="27" t="s">
        <v>19</v>
      </c>
      <c r="T446" s="19" t="s">
        <v>475</v>
      </c>
    </row>
    <row r="447" spans="1:20" ht="37.5" customHeight="1" x14ac:dyDescent="0.25">
      <c r="A447" s="19" t="s">
        <v>476</v>
      </c>
      <c r="B447">
        <f t="shared" si="48"/>
        <v>14337</v>
      </c>
      <c r="C447">
        <v>2706</v>
      </c>
      <c r="D447">
        <v>11631</v>
      </c>
      <c r="F447">
        <f t="shared" si="47"/>
        <v>28</v>
      </c>
      <c r="G447" s="20">
        <f t="shared" si="49"/>
        <v>442</v>
      </c>
      <c r="H447" s="21">
        <v>23012110067</v>
      </c>
      <c r="I447" s="22">
        <v>563</v>
      </c>
      <c r="J447" s="23"/>
      <c r="K447" s="24">
        <v>14309</v>
      </c>
      <c r="L447" s="23">
        <f t="shared" si="43"/>
        <v>28</v>
      </c>
      <c r="M447" s="24">
        <v>2701</v>
      </c>
      <c r="N447" s="25">
        <f t="shared" si="44"/>
        <v>5</v>
      </c>
      <c r="O447" s="24">
        <v>11608</v>
      </c>
      <c r="P447" s="23">
        <f t="shared" si="45"/>
        <v>23</v>
      </c>
      <c r="Q447" s="26"/>
      <c r="R447" s="23">
        <f t="shared" si="46"/>
        <v>0</v>
      </c>
      <c r="S447" s="27" t="s">
        <v>19</v>
      </c>
      <c r="T447" s="19" t="s">
        <v>476</v>
      </c>
    </row>
    <row r="448" spans="1:20" ht="37.5" customHeight="1" x14ac:dyDescent="0.25">
      <c r="A448" s="19" t="s">
        <v>477</v>
      </c>
      <c r="B448">
        <f t="shared" si="48"/>
        <v>79274</v>
      </c>
      <c r="C448">
        <v>13562</v>
      </c>
      <c r="D448">
        <v>65712</v>
      </c>
      <c r="F448">
        <f t="shared" si="47"/>
        <v>490</v>
      </c>
      <c r="G448" s="20">
        <f t="shared" si="49"/>
        <v>443</v>
      </c>
      <c r="H448" s="21">
        <v>23014040011</v>
      </c>
      <c r="I448" s="22">
        <v>564</v>
      </c>
      <c r="J448" s="23"/>
      <c r="K448" s="24">
        <v>78784</v>
      </c>
      <c r="L448" s="23">
        <f t="shared" si="43"/>
        <v>490</v>
      </c>
      <c r="M448" s="24">
        <v>13471</v>
      </c>
      <c r="N448" s="25">
        <f t="shared" si="44"/>
        <v>91</v>
      </c>
      <c r="O448" s="24">
        <v>65313</v>
      </c>
      <c r="P448" s="23">
        <f t="shared" si="45"/>
        <v>399</v>
      </c>
      <c r="Q448" s="26"/>
      <c r="R448" s="23">
        <f t="shared" si="46"/>
        <v>0</v>
      </c>
      <c r="S448" s="27" t="s">
        <v>19</v>
      </c>
      <c r="T448" s="19" t="s">
        <v>477</v>
      </c>
    </row>
    <row r="449" spans="1:20" ht="37.5" customHeight="1" x14ac:dyDescent="0.25">
      <c r="A449" s="19" t="s">
        <v>478</v>
      </c>
      <c r="B449">
        <f t="shared" si="48"/>
        <v>44922</v>
      </c>
      <c r="C449">
        <v>6791</v>
      </c>
      <c r="D449">
        <v>38131</v>
      </c>
      <c r="F449">
        <f t="shared" si="47"/>
        <v>487</v>
      </c>
      <c r="G449" s="20">
        <f t="shared" si="49"/>
        <v>444</v>
      </c>
      <c r="H449" s="21">
        <v>66617010347</v>
      </c>
      <c r="I449" s="22">
        <v>565</v>
      </c>
      <c r="J449" s="23"/>
      <c r="K449" s="24">
        <v>44435</v>
      </c>
      <c r="L449" s="23">
        <f t="shared" si="43"/>
        <v>487</v>
      </c>
      <c r="M449" s="24">
        <v>6704</v>
      </c>
      <c r="N449" s="25">
        <f t="shared" si="44"/>
        <v>87</v>
      </c>
      <c r="O449" s="24">
        <v>37731</v>
      </c>
      <c r="P449" s="23">
        <f t="shared" si="45"/>
        <v>400</v>
      </c>
      <c r="Q449" s="26"/>
      <c r="R449" s="23">
        <f t="shared" si="46"/>
        <v>0</v>
      </c>
      <c r="S449" s="27" t="s">
        <v>19</v>
      </c>
      <c r="T449" s="19" t="s">
        <v>478</v>
      </c>
    </row>
    <row r="450" spans="1:20" ht="37.5" customHeight="1" x14ac:dyDescent="0.25">
      <c r="A450" s="19" t="s">
        <v>479</v>
      </c>
      <c r="B450">
        <f t="shared" si="48"/>
        <v>142046</v>
      </c>
      <c r="C450">
        <v>26027</v>
      </c>
      <c r="D450">
        <v>116019</v>
      </c>
      <c r="F450">
        <f t="shared" si="47"/>
        <v>736</v>
      </c>
      <c r="G450" s="20">
        <f t="shared" si="49"/>
        <v>445</v>
      </c>
      <c r="H450" s="21">
        <v>23013010019</v>
      </c>
      <c r="I450" s="22">
        <v>566</v>
      </c>
      <c r="J450" s="23"/>
      <c r="K450" s="24">
        <v>141310</v>
      </c>
      <c r="L450" s="23">
        <f t="shared" si="43"/>
        <v>736</v>
      </c>
      <c r="M450" s="24">
        <v>25905</v>
      </c>
      <c r="N450" s="25">
        <f t="shared" si="44"/>
        <v>122</v>
      </c>
      <c r="O450" s="24">
        <v>115405</v>
      </c>
      <c r="P450" s="23">
        <f t="shared" si="45"/>
        <v>614</v>
      </c>
      <c r="Q450" s="26"/>
      <c r="R450" s="23">
        <f t="shared" si="46"/>
        <v>0</v>
      </c>
      <c r="S450" s="27" t="s">
        <v>19</v>
      </c>
      <c r="T450" s="19" t="s">
        <v>479</v>
      </c>
    </row>
    <row r="451" spans="1:20" ht="37.5" customHeight="1" x14ac:dyDescent="0.25">
      <c r="A451" s="19" t="s">
        <v>480</v>
      </c>
      <c r="B451">
        <f t="shared" si="48"/>
        <v>32863</v>
      </c>
      <c r="C451">
        <v>5461</v>
      </c>
      <c r="D451">
        <v>27402</v>
      </c>
      <c r="F451">
        <f t="shared" si="47"/>
        <v>305</v>
      </c>
      <c r="G451" s="20">
        <f t="shared" si="49"/>
        <v>446</v>
      </c>
      <c r="H451" s="21">
        <v>88820030214</v>
      </c>
      <c r="I451" s="22">
        <v>567</v>
      </c>
      <c r="J451" s="23"/>
      <c r="K451" s="24">
        <v>32558</v>
      </c>
      <c r="L451" s="23">
        <f t="shared" si="43"/>
        <v>305</v>
      </c>
      <c r="M451" s="24">
        <v>5401</v>
      </c>
      <c r="N451" s="25">
        <f t="shared" si="44"/>
        <v>60</v>
      </c>
      <c r="O451" s="24">
        <v>27157</v>
      </c>
      <c r="P451" s="23">
        <f t="shared" si="45"/>
        <v>245</v>
      </c>
      <c r="Q451" s="26"/>
      <c r="R451" s="23">
        <f t="shared" si="46"/>
        <v>0</v>
      </c>
      <c r="S451" s="27" t="s">
        <v>19</v>
      </c>
      <c r="T451" s="19" t="s">
        <v>480</v>
      </c>
    </row>
    <row r="452" spans="1:20" ht="37.5" customHeight="1" x14ac:dyDescent="0.25">
      <c r="A452" s="19" t="s">
        <v>481</v>
      </c>
      <c r="B452">
        <f t="shared" si="48"/>
        <v>49524</v>
      </c>
      <c r="C452">
        <v>8700</v>
      </c>
      <c r="D452">
        <v>40824</v>
      </c>
      <c r="F452">
        <f t="shared" si="47"/>
        <v>1189</v>
      </c>
      <c r="G452" s="20">
        <f t="shared" si="49"/>
        <v>447</v>
      </c>
      <c r="H452" s="21">
        <v>66621070375</v>
      </c>
      <c r="I452" s="22">
        <v>568</v>
      </c>
      <c r="J452" s="23"/>
      <c r="K452" s="24">
        <v>48335</v>
      </c>
      <c r="L452" s="23">
        <f t="shared" si="43"/>
        <v>1189</v>
      </c>
      <c r="M452" s="24">
        <v>8486</v>
      </c>
      <c r="N452" s="25">
        <f t="shared" si="44"/>
        <v>214</v>
      </c>
      <c r="O452" s="24">
        <v>39849</v>
      </c>
      <c r="P452" s="23">
        <f t="shared" si="45"/>
        <v>975</v>
      </c>
      <c r="Q452" s="26"/>
      <c r="R452" s="23">
        <f t="shared" si="46"/>
        <v>0</v>
      </c>
      <c r="S452" s="27" t="s">
        <v>19</v>
      </c>
      <c r="T452" s="19" t="s">
        <v>481</v>
      </c>
    </row>
    <row r="453" spans="1:20" ht="37.5" customHeight="1" x14ac:dyDescent="0.25">
      <c r="A453" s="19" t="s">
        <v>482</v>
      </c>
      <c r="B453">
        <f t="shared" si="48"/>
        <v>54898</v>
      </c>
      <c r="C453">
        <v>9724</v>
      </c>
      <c r="D453">
        <v>45174</v>
      </c>
      <c r="F453">
        <f t="shared" si="47"/>
        <v>550</v>
      </c>
      <c r="G453" s="20">
        <f t="shared" si="49"/>
        <v>448</v>
      </c>
      <c r="H453" s="21">
        <v>66617010225</v>
      </c>
      <c r="I453" s="22">
        <v>569</v>
      </c>
      <c r="J453" s="23"/>
      <c r="K453" s="24">
        <v>54348</v>
      </c>
      <c r="L453" s="23">
        <f t="shared" si="43"/>
        <v>550</v>
      </c>
      <c r="M453" s="24">
        <v>9606</v>
      </c>
      <c r="N453" s="25">
        <f t="shared" si="44"/>
        <v>118</v>
      </c>
      <c r="O453" s="24">
        <v>44742</v>
      </c>
      <c r="P453" s="23">
        <f t="shared" si="45"/>
        <v>432</v>
      </c>
      <c r="Q453" s="26"/>
      <c r="R453" s="23">
        <f t="shared" si="46"/>
        <v>0</v>
      </c>
      <c r="S453" s="27" t="s">
        <v>19</v>
      </c>
      <c r="T453" s="19" t="s">
        <v>482</v>
      </c>
    </row>
    <row r="454" spans="1:20" ht="37.5" customHeight="1" x14ac:dyDescent="0.25">
      <c r="A454" s="19" t="s">
        <v>483</v>
      </c>
      <c r="B454">
        <f t="shared" si="48"/>
        <v>91696</v>
      </c>
      <c r="C454">
        <v>16997</v>
      </c>
      <c r="D454">
        <v>74699</v>
      </c>
      <c r="F454">
        <f t="shared" si="47"/>
        <v>285</v>
      </c>
      <c r="G454" s="20">
        <f t="shared" si="49"/>
        <v>449</v>
      </c>
      <c r="H454" s="21">
        <v>23011090084</v>
      </c>
      <c r="I454" s="22">
        <v>571</v>
      </c>
      <c r="J454" s="23"/>
      <c r="K454" s="24">
        <v>91411</v>
      </c>
      <c r="L454" s="23">
        <f t="shared" ref="L454:L517" si="50">B454-K454</f>
        <v>285</v>
      </c>
      <c r="M454" s="24">
        <v>16947</v>
      </c>
      <c r="N454" s="25">
        <f t="shared" ref="N454:N517" si="51">C454-M454</f>
        <v>50</v>
      </c>
      <c r="O454" s="24">
        <v>74464</v>
      </c>
      <c r="P454" s="23">
        <f t="shared" ref="P454:P517" si="52">D454-O454</f>
        <v>235</v>
      </c>
      <c r="Q454" s="26"/>
      <c r="R454" s="23">
        <f t="shared" ref="R454:R517" si="53">E454-Q454</f>
        <v>0</v>
      </c>
      <c r="S454" s="27" t="s">
        <v>19</v>
      </c>
      <c r="T454" s="19" t="s">
        <v>483</v>
      </c>
    </row>
    <row r="455" spans="1:20" ht="37.5" customHeight="1" x14ac:dyDescent="0.25">
      <c r="A455" s="19" t="s">
        <v>484</v>
      </c>
      <c r="B455">
        <f t="shared" ref="B455:B518" si="54">C455+D455</f>
        <v>16792</v>
      </c>
      <c r="C455">
        <v>3395</v>
      </c>
      <c r="D455">
        <v>13397</v>
      </c>
      <c r="F455">
        <f t="shared" ref="F455:F518" si="55">L455</f>
        <v>24</v>
      </c>
      <c r="G455" s="20">
        <f t="shared" si="49"/>
        <v>450</v>
      </c>
      <c r="H455" s="21">
        <v>23012010193</v>
      </c>
      <c r="I455" s="22">
        <v>572</v>
      </c>
      <c r="J455" s="23"/>
      <c r="K455" s="24">
        <v>16768</v>
      </c>
      <c r="L455" s="23">
        <f t="shared" si="50"/>
        <v>24</v>
      </c>
      <c r="M455" s="24">
        <v>3376</v>
      </c>
      <c r="N455" s="25">
        <f t="shared" si="51"/>
        <v>19</v>
      </c>
      <c r="O455" s="24">
        <v>13392</v>
      </c>
      <c r="P455" s="23">
        <f t="shared" si="52"/>
        <v>5</v>
      </c>
      <c r="Q455" s="26"/>
      <c r="R455" s="23">
        <f t="shared" si="53"/>
        <v>0</v>
      </c>
      <c r="S455" s="27" t="s">
        <v>19</v>
      </c>
      <c r="T455" s="19" t="s">
        <v>484</v>
      </c>
    </row>
    <row r="456" spans="1:20" ht="37.5" customHeight="1" x14ac:dyDescent="0.25">
      <c r="A456" s="19" t="s">
        <v>485</v>
      </c>
      <c r="B456">
        <f t="shared" si="54"/>
        <v>95769</v>
      </c>
      <c r="C456">
        <v>19503</v>
      </c>
      <c r="D456">
        <v>76266</v>
      </c>
      <c r="F456">
        <f t="shared" si="55"/>
        <v>461</v>
      </c>
      <c r="G456" s="20">
        <f t="shared" ref="G456:G519" si="56">G455+1</f>
        <v>451</v>
      </c>
      <c r="H456" s="21">
        <v>23013010116</v>
      </c>
      <c r="I456" s="22">
        <v>573</v>
      </c>
      <c r="J456" s="23"/>
      <c r="K456" s="24">
        <v>95308</v>
      </c>
      <c r="L456" s="23">
        <f t="shared" si="50"/>
        <v>461</v>
      </c>
      <c r="M456" s="24">
        <v>19419</v>
      </c>
      <c r="N456" s="25">
        <f t="shared" si="51"/>
        <v>84</v>
      </c>
      <c r="O456" s="24">
        <v>75889</v>
      </c>
      <c r="P456" s="23">
        <f t="shared" si="52"/>
        <v>377</v>
      </c>
      <c r="Q456" s="26"/>
      <c r="R456" s="23">
        <f t="shared" si="53"/>
        <v>0</v>
      </c>
      <c r="S456" s="27" t="s">
        <v>19</v>
      </c>
      <c r="T456" s="19" t="s">
        <v>485</v>
      </c>
    </row>
    <row r="457" spans="1:20" ht="37.5" customHeight="1" x14ac:dyDescent="0.25">
      <c r="A457" s="19" t="s">
        <v>486</v>
      </c>
      <c r="B457">
        <f t="shared" si="54"/>
        <v>26956</v>
      </c>
      <c r="C457">
        <v>4838</v>
      </c>
      <c r="D457">
        <v>22118</v>
      </c>
      <c r="F457">
        <f t="shared" si="55"/>
        <v>0</v>
      </c>
      <c r="G457" s="20">
        <f t="shared" si="56"/>
        <v>452</v>
      </c>
      <c r="H457" s="21">
        <v>23013080173</v>
      </c>
      <c r="I457" s="22">
        <v>574</v>
      </c>
      <c r="J457" s="23"/>
      <c r="K457" s="24">
        <v>26956</v>
      </c>
      <c r="L457" s="23">
        <f t="shared" si="50"/>
        <v>0</v>
      </c>
      <c r="M457" s="24">
        <v>4838</v>
      </c>
      <c r="N457" s="25">
        <f t="shared" si="51"/>
        <v>0</v>
      </c>
      <c r="O457" s="24">
        <v>22118</v>
      </c>
      <c r="P457" s="23">
        <f t="shared" si="52"/>
        <v>0</v>
      </c>
      <c r="Q457" s="26"/>
      <c r="R457" s="23">
        <f t="shared" si="53"/>
        <v>0</v>
      </c>
      <c r="S457" s="27" t="s">
        <v>19</v>
      </c>
      <c r="T457" s="19" t="s">
        <v>486</v>
      </c>
    </row>
    <row r="458" spans="1:20" ht="37.5" customHeight="1" x14ac:dyDescent="0.25">
      <c r="A458" s="19" t="s">
        <v>487</v>
      </c>
      <c r="B458">
        <f t="shared" si="54"/>
        <v>584</v>
      </c>
      <c r="C458">
        <v>180</v>
      </c>
      <c r="D458">
        <v>404</v>
      </c>
      <c r="E458">
        <v>2554</v>
      </c>
      <c r="F458">
        <f t="shared" si="55"/>
        <v>292</v>
      </c>
      <c r="G458" s="20">
        <f t="shared" si="56"/>
        <v>453</v>
      </c>
      <c r="H458" s="21">
        <v>99624050248</v>
      </c>
      <c r="I458" s="22">
        <v>575</v>
      </c>
      <c r="J458" s="23"/>
      <c r="K458" s="24">
        <f>M458+O458</f>
        <v>292</v>
      </c>
      <c r="L458" s="23">
        <f t="shared" si="50"/>
        <v>292</v>
      </c>
      <c r="M458" s="24">
        <v>103</v>
      </c>
      <c r="N458" s="25">
        <f t="shared" si="51"/>
        <v>77</v>
      </c>
      <c r="O458" s="24">
        <v>189</v>
      </c>
      <c r="P458" s="23">
        <f t="shared" si="52"/>
        <v>215</v>
      </c>
      <c r="Q458" s="26">
        <v>1547</v>
      </c>
      <c r="R458" s="23">
        <f t="shared" si="53"/>
        <v>1007</v>
      </c>
      <c r="S458" s="27" t="s">
        <v>19</v>
      </c>
      <c r="T458" s="19" t="s">
        <v>487</v>
      </c>
    </row>
    <row r="459" spans="1:20" ht="37.5" customHeight="1" x14ac:dyDescent="0.25">
      <c r="A459" s="19" t="s">
        <v>488</v>
      </c>
      <c r="B459">
        <f t="shared" si="54"/>
        <v>307</v>
      </c>
      <c r="C459">
        <v>13</v>
      </c>
      <c r="D459">
        <v>294</v>
      </c>
      <c r="F459">
        <f t="shared" si="55"/>
        <v>1</v>
      </c>
      <c r="G459" s="20">
        <f t="shared" si="56"/>
        <v>454</v>
      </c>
      <c r="H459" s="21">
        <v>88820040096</v>
      </c>
      <c r="I459" s="22">
        <v>576</v>
      </c>
      <c r="J459" s="23"/>
      <c r="K459" s="24">
        <v>306</v>
      </c>
      <c r="L459" s="23">
        <f t="shared" si="50"/>
        <v>1</v>
      </c>
      <c r="M459" s="24">
        <v>13</v>
      </c>
      <c r="N459" s="25">
        <f t="shared" si="51"/>
        <v>0</v>
      </c>
      <c r="O459" s="24">
        <v>293</v>
      </c>
      <c r="P459" s="23">
        <f t="shared" si="52"/>
        <v>1</v>
      </c>
      <c r="Q459" s="26"/>
      <c r="R459" s="23">
        <f t="shared" si="53"/>
        <v>0</v>
      </c>
      <c r="S459" s="27" t="s">
        <v>19</v>
      </c>
      <c r="T459" s="19" t="s">
        <v>488</v>
      </c>
    </row>
    <row r="460" spans="1:20" ht="37.5" customHeight="1" x14ac:dyDescent="0.25">
      <c r="A460" s="19" t="s">
        <v>489</v>
      </c>
      <c r="B460">
        <f t="shared" si="54"/>
        <v>7139</v>
      </c>
      <c r="C460">
        <v>1145</v>
      </c>
      <c r="D460">
        <v>5994</v>
      </c>
      <c r="F460">
        <f t="shared" si="55"/>
        <v>7</v>
      </c>
      <c r="G460" s="20">
        <f t="shared" si="56"/>
        <v>455</v>
      </c>
      <c r="H460" s="21">
        <v>66622010239</v>
      </c>
      <c r="I460" s="22">
        <v>577</v>
      </c>
      <c r="J460" s="23"/>
      <c r="K460" s="24">
        <v>7132</v>
      </c>
      <c r="L460" s="23">
        <f t="shared" si="50"/>
        <v>7</v>
      </c>
      <c r="M460" s="24">
        <v>1144</v>
      </c>
      <c r="N460" s="25">
        <f t="shared" si="51"/>
        <v>1</v>
      </c>
      <c r="O460" s="24">
        <v>5988</v>
      </c>
      <c r="P460" s="23">
        <f t="shared" si="52"/>
        <v>6</v>
      </c>
      <c r="Q460" s="26"/>
      <c r="R460" s="23">
        <f t="shared" si="53"/>
        <v>0</v>
      </c>
      <c r="S460" s="27" t="s">
        <v>19</v>
      </c>
      <c r="T460" s="19" t="s">
        <v>489</v>
      </c>
    </row>
    <row r="461" spans="1:20" ht="37.5" customHeight="1" x14ac:dyDescent="0.25">
      <c r="A461" s="19" t="s">
        <v>490</v>
      </c>
      <c r="B461">
        <f t="shared" si="54"/>
        <v>63134</v>
      </c>
      <c r="C461">
        <v>11122</v>
      </c>
      <c r="D461">
        <v>52012</v>
      </c>
      <c r="F461">
        <f t="shared" si="55"/>
        <v>597</v>
      </c>
      <c r="G461" s="20">
        <f t="shared" si="56"/>
        <v>456</v>
      </c>
      <c r="H461" s="21">
        <v>23014090999</v>
      </c>
      <c r="I461" s="22">
        <v>578</v>
      </c>
      <c r="J461" s="23"/>
      <c r="K461" s="24">
        <v>62537</v>
      </c>
      <c r="L461" s="23">
        <f t="shared" si="50"/>
        <v>597</v>
      </c>
      <c r="M461" s="24">
        <v>11015</v>
      </c>
      <c r="N461" s="25">
        <f t="shared" si="51"/>
        <v>107</v>
      </c>
      <c r="O461" s="24">
        <v>51522</v>
      </c>
      <c r="P461" s="23">
        <f t="shared" si="52"/>
        <v>490</v>
      </c>
      <c r="Q461" s="26"/>
      <c r="R461" s="23">
        <f t="shared" si="53"/>
        <v>0</v>
      </c>
      <c r="S461" s="27" t="s">
        <v>19</v>
      </c>
      <c r="T461" s="19" t="s">
        <v>490</v>
      </c>
    </row>
    <row r="462" spans="1:20" ht="37.5" customHeight="1" x14ac:dyDescent="0.25">
      <c r="A462" s="19" t="s">
        <v>491</v>
      </c>
      <c r="B462">
        <f t="shared" si="54"/>
        <v>79222</v>
      </c>
      <c r="C462">
        <v>10003</v>
      </c>
      <c r="D462">
        <v>69219</v>
      </c>
      <c r="F462">
        <f t="shared" si="55"/>
        <v>609</v>
      </c>
      <c r="G462" s="20">
        <f t="shared" si="56"/>
        <v>457</v>
      </c>
      <c r="H462" s="21">
        <v>23015010798</v>
      </c>
      <c r="I462" s="22">
        <v>580</v>
      </c>
      <c r="J462" s="23"/>
      <c r="K462" s="24">
        <v>78613</v>
      </c>
      <c r="L462" s="23">
        <f t="shared" si="50"/>
        <v>609</v>
      </c>
      <c r="M462" s="24">
        <v>9921</v>
      </c>
      <c r="N462" s="25">
        <f t="shared" si="51"/>
        <v>82</v>
      </c>
      <c r="O462" s="24">
        <v>68692</v>
      </c>
      <c r="P462" s="23">
        <f t="shared" si="52"/>
        <v>527</v>
      </c>
      <c r="Q462" s="26"/>
      <c r="R462" s="23">
        <f t="shared" si="53"/>
        <v>0</v>
      </c>
      <c r="S462" s="27" t="s">
        <v>19</v>
      </c>
      <c r="T462" s="19" t="s">
        <v>491</v>
      </c>
    </row>
    <row r="463" spans="1:20" ht="37.5" customHeight="1" x14ac:dyDescent="0.25">
      <c r="A463" s="19" t="s">
        <v>492</v>
      </c>
      <c r="B463">
        <f t="shared" si="54"/>
        <v>269</v>
      </c>
      <c r="C463">
        <v>56</v>
      </c>
      <c r="D463">
        <v>213</v>
      </c>
      <c r="F463">
        <f t="shared" si="55"/>
        <v>119</v>
      </c>
      <c r="G463" s="20">
        <f t="shared" si="56"/>
        <v>458</v>
      </c>
      <c r="H463" s="21">
        <v>66625010199</v>
      </c>
      <c r="I463" s="22">
        <v>581</v>
      </c>
      <c r="J463" s="23"/>
      <c r="K463" s="24">
        <v>150</v>
      </c>
      <c r="L463" s="23">
        <f t="shared" si="50"/>
        <v>119</v>
      </c>
      <c r="M463" s="24"/>
      <c r="N463" s="25">
        <f t="shared" si="51"/>
        <v>56</v>
      </c>
      <c r="O463" s="24"/>
      <c r="P463" s="23">
        <f t="shared" si="52"/>
        <v>213</v>
      </c>
      <c r="Q463" s="26"/>
      <c r="R463" s="23">
        <f t="shared" si="53"/>
        <v>0</v>
      </c>
      <c r="S463" s="27" t="s">
        <v>19</v>
      </c>
      <c r="T463" s="19" t="s">
        <v>492</v>
      </c>
    </row>
    <row r="464" spans="1:20" ht="37.5" customHeight="1" x14ac:dyDescent="0.25">
      <c r="A464" s="19" t="s">
        <v>493</v>
      </c>
      <c r="B464">
        <f t="shared" si="54"/>
        <v>61994</v>
      </c>
      <c r="C464">
        <v>15330</v>
      </c>
      <c r="D464">
        <v>46664</v>
      </c>
      <c r="F464">
        <f t="shared" si="55"/>
        <v>392</v>
      </c>
      <c r="G464" s="20">
        <f t="shared" si="56"/>
        <v>459</v>
      </c>
      <c r="H464" s="21">
        <v>23011070026</v>
      </c>
      <c r="I464" s="22">
        <v>582</v>
      </c>
      <c r="J464" s="23"/>
      <c r="K464" s="24">
        <v>61602</v>
      </c>
      <c r="L464" s="23">
        <f t="shared" si="50"/>
        <v>392</v>
      </c>
      <c r="M464" s="24">
        <v>15231</v>
      </c>
      <c r="N464" s="25">
        <f t="shared" si="51"/>
        <v>99</v>
      </c>
      <c r="O464" s="24">
        <v>46371</v>
      </c>
      <c r="P464" s="23">
        <f t="shared" si="52"/>
        <v>293</v>
      </c>
      <c r="Q464" s="26"/>
      <c r="R464" s="23">
        <f t="shared" si="53"/>
        <v>0</v>
      </c>
      <c r="S464" s="27" t="s">
        <v>19</v>
      </c>
      <c r="T464" s="19" t="s">
        <v>493</v>
      </c>
    </row>
    <row r="465" spans="1:20" ht="37.5" customHeight="1" x14ac:dyDescent="0.25">
      <c r="A465" s="19" t="s">
        <v>494</v>
      </c>
      <c r="B465">
        <f t="shared" si="54"/>
        <v>71033</v>
      </c>
      <c r="C465">
        <v>12368</v>
      </c>
      <c r="D465">
        <v>58665</v>
      </c>
      <c r="F465">
        <f t="shared" si="55"/>
        <v>434</v>
      </c>
      <c r="G465" s="20">
        <f t="shared" si="56"/>
        <v>460</v>
      </c>
      <c r="H465" s="21">
        <v>23014040345</v>
      </c>
      <c r="I465" s="22">
        <v>584</v>
      </c>
      <c r="J465" s="23"/>
      <c r="K465" s="24">
        <v>70599</v>
      </c>
      <c r="L465" s="23">
        <f t="shared" si="50"/>
        <v>434</v>
      </c>
      <c r="M465" s="24">
        <v>12291</v>
      </c>
      <c r="N465" s="25">
        <f t="shared" si="51"/>
        <v>77</v>
      </c>
      <c r="O465" s="24">
        <v>58308</v>
      </c>
      <c r="P465" s="23">
        <f t="shared" si="52"/>
        <v>357</v>
      </c>
      <c r="Q465" s="26"/>
      <c r="R465" s="23">
        <f t="shared" si="53"/>
        <v>0</v>
      </c>
      <c r="S465" s="27" t="s">
        <v>19</v>
      </c>
      <c r="T465" s="19" t="s">
        <v>494</v>
      </c>
    </row>
    <row r="466" spans="1:20" ht="37.5" customHeight="1" x14ac:dyDescent="0.25">
      <c r="A466" s="19" t="s">
        <v>495</v>
      </c>
      <c r="B466">
        <f t="shared" si="54"/>
        <v>7041</v>
      </c>
      <c r="C466">
        <v>1545</v>
      </c>
      <c r="D466">
        <v>5496</v>
      </c>
      <c r="F466">
        <f t="shared" si="55"/>
        <v>0</v>
      </c>
      <c r="G466" s="20">
        <f t="shared" si="56"/>
        <v>461</v>
      </c>
      <c r="H466" s="21">
        <v>66621060457</v>
      </c>
      <c r="I466" s="22">
        <v>585</v>
      </c>
      <c r="J466" s="23"/>
      <c r="K466" s="24">
        <v>7041</v>
      </c>
      <c r="L466" s="23">
        <f t="shared" si="50"/>
        <v>0</v>
      </c>
      <c r="M466" s="24">
        <v>1545</v>
      </c>
      <c r="N466" s="25">
        <f t="shared" si="51"/>
        <v>0</v>
      </c>
      <c r="O466" s="24">
        <v>5496</v>
      </c>
      <c r="P466" s="23">
        <f t="shared" si="52"/>
        <v>0</v>
      </c>
      <c r="Q466" s="26"/>
      <c r="R466" s="23">
        <f t="shared" si="53"/>
        <v>0</v>
      </c>
      <c r="S466" s="27" t="s">
        <v>19</v>
      </c>
      <c r="T466" s="19" t="s">
        <v>495</v>
      </c>
    </row>
    <row r="467" spans="1:20" ht="37.5" customHeight="1" x14ac:dyDescent="0.25">
      <c r="A467" s="19" t="s">
        <v>496</v>
      </c>
      <c r="B467">
        <f t="shared" si="54"/>
        <v>16590</v>
      </c>
      <c r="C467">
        <v>2642</v>
      </c>
      <c r="D467">
        <v>13948</v>
      </c>
      <c r="F467">
        <f t="shared" si="55"/>
        <v>473</v>
      </c>
      <c r="G467" s="20">
        <f t="shared" si="56"/>
        <v>462</v>
      </c>
      <c r="H467" s="21">
        <v>88820030213</v>
      </c>
      <c r="I467" s="22">
        <v>586</v>
      </c>
      <c r="J467" s="23"/>
      <c r="K467" s="24">
        <v>16117</v>
      </c>
      <c r="L467" s="23">
        <f t="shared" si="50"/>
        <v>473</v>
      </c>
      <c r="M467" s="24">
        <v>2562</v>
      </c>
      <c r="N467" s="25">
        <f t="shared" si="51"/>
        <v>80</v>
      </c>
      <c r="O467" s="24">
        <v>13555</v>
      </c>
      <c r="P467" s="23">
        <f t="shared" si="52"/>
        <v>393</v>
      </c>
      <c r="Q467" s="26"/>
      <c r="R467" s="23">
        <f t="shared" si="53"/>
        <v>0</v>
      </c>
      <c r="S467" s="27" t="s">
        <v>19</v>
      </c>
      <c r="T467" s="19" t="s">
        <v>496</v>
      </c>
    </row>
    <row r="468" spans="1:20" ht="37.5" customHeight="1" x14ac:dyDescent="0.25">
      <c r="A468" s="19" t="s">
        <v>497</v>
      </c>
      <c r="B468">
        <f t="shared" si="54"/>
        <v>39482</v>
      </c>
      <c r="C468">
        <v>6577</v>
      </c>
      <c r="D468">
        <v>32905</v>
      </c>
      <c r="F468">
        <f t="shared" si="55"/>
        <v>594</v>
      </c>
      <c r="G468" s="20">
        <f t="shared" si="56"/>
        <v>463</v>
      </c>
      <c r="H468" s="21">
        <v>66621030168</v>
      </c>
      <c r="I468" s="22">
        <v>588</v>
      </c>
      <c r="J468" s="23"/>
      <c r="K468" s="24">
        <v>38888</v>
      </c>
      <c r="L468" s="23">
        <f t="shared" si="50"/>
        <v>594</v>
      </c>
      <c r="M468" s="24">
        <v>6471</v>
      </c>
      <c r="N468" s="25">
        <f t="shared" si="51"/>
        <v>106</v>
      </c>
      <c r="O468" s="24">
        <v>32417</v>
      </c>
      <c r="P468" s="23">
        <f t="shared" si="52"/>
        <v>488</v>
      </c>
      <c r="Q468" s="26"/>
      <c r="R468" s="23">
        <f t="shared" si="53"/>
        <v>0</v>
      </c>
      <c r="S468" s="27" t="s">
        <v>19</v>
      </c>
      <c r="T468" s="19" t="s">
        <v>497</v>
      </c>
    </row>
    <row r="469" spans="1:20" ht="37.5" customHeight="1" x14ac:dyDescent="0.25">
      <c r="A469" s="19" t="s">
        <v>498</v>
      </c>
      <c r="B469">
        <f t="shared" si="54"/>
        <v>95909</v>
      </c>
      <c r="C469">
        <v>21938</v>
      </c>
      <c r="D469">
        <v>73971</v>
      </c>
      <c r="F469">
        <f t="shared" si="55"/>
        <v>410</v>
      </c>
      <c r="G469" s="20">
        <f t="shared" si="56"/>
        <v>464</v>
      </c>
      <c r="H469" s="21">
        <v>2301090078</v>
      </c>
      <c r="I469" s="22">
        <v>589</v>
      </c>
      <c r="J469" s="23"/>
      <c r="K469" s="24">
        <v>95499</v>
      </c>
      <c r="L469" s="23">
        <f t="shared" si="50"/>
        <v>410</v>
      </c>
      <c r="M469" s="24">
        <v>21871</v>
      </c>
      <c r="N469" s="25">
        <f t="shared" si="51"/>
        <v>67</v>
      </c>
      <c r="O469" s="24">
        <v>73628</v>
      </c>
      <c r="P469" s="23">
        <f t="shared" si="52"/>
        <v>343</v>
      </c>
      <c r="Q469" s="26"/>
      <c r="R469" s="23">
        <f t="shared" si="53"/>
        <v>0</v>
      </c>
      <c r="S469" s="27" t="s">
        <v>19</v>
      </c>
      <c r="T469" s="19" t="s">
        <v>498</v>
      </c>
    </row>
    <row r="470" spans="1:20" ht="37.5" customHeight="1" x14ac:dyDescent="0.25">
      <c r="A470" s="19" t="s">
        <v>499</v>
      </c>
      <c r="B470">
        <f t="shared" si="54"/>
        <v>16197</v>
      </c>
      <c r="C470">
        <v>2598</v>
      </c>
      <c r="D470">
        <v>13599</v>
      </c>
      <c r="F470">
        <f t="shared" si="55"/>
        <v>761</v>
      </c>
      <c r="G470" s="20">
        <f t="shared" si="56"/>
        <v>465</v>
      </c>
      <c r="H470" s="21">
        <v>66622060084</v>
      </c>
      <c r="I470" s="22">
        <v>590</v>
      </c>
      <c r="J470" s="23"/>
      <c r="K470" s="24">
        <v>15436</v>
      </c>
      <c r="L470" s="23">
        <f t="shared" si="50"/>
        <v>761</v>
      </c>
      <c r="M470" s="24">
        <v>2478</v>
      </c>
      <c r="N470" s="25">
        <f t="shared" si="51"/>
        <v>120</v>
      </c>
      <c r="O470" s="24">
        <v>12958</v>
      </c>
      <c r="P470" s="23">
        <f t="shared" si="52"/>
        <v>641</v>
      </c>
      <c r="Q470" s="26"/>
      <c r="R470" s="23">
        <f t="shared" si="53"/>
        <v>0</v>
      </c>
      <c r="S470" s="27" t="s">
        <v>19</v>
      </c>
      <c r="T470" s="19" t="s">
        <v>499</v>
      </c>
    </row>
    <row r="471" spans="1:20" ht="37.5" customHeight="1" x14ac:dyDescent="0.25">
      <c r="A471" s="19" t="s">
        <v>500</v>
      </c>
      <c r="B471">
        <f t="shared" si="54"/>
        <v>87386</v>
      </c>
      <c r="C471">
        <v>18141</v>
      </c>
      <c r="D471">
        <v>69245</v>
      </c>
      <c r="F471">
        <f t="shared" si="55"/>
        <v>381</v>
      </c>
      <c r="G471" s="20">
        <f t="shared" si="56"/>
        <v>466</v>
      </c>
      <c r="H471" s="21">
        <v>23011050057</v>
      </c>
      <c r="I471" s="22">
        <v>591</v>
      </c>
      <c r="J471" s="23"/>
      <c r="K471" s="24">
        <v>87005</v>
      </c>
      <c r="L471" s="23">
        <f t="shared" si="50"/>
        <v>381</v>
      </c>
      <c r="M471" s="24">
        <v>18086</v>
      </c>
      <c r="N471" s="25">
        <f t="shared" si="51"/>
        <v>55</v>
      </c>
      <c r="O471" s="24">
        <v>68919</v>
      </c>
      <c r="P471" s="23">
        <f t="shared" si="52"/>
        <v>326</v>
      </c>
      <c r="Q471" s="26"/>
      <c r="R471" s="23">
        <f t="shared" si="53"/>
        <v>0</v>
      </c>
      <c r="S471" s="27" t="s">
        <v>19</v>
      </c>
      <c r="T471" s="19" t="s">
        <v>500</v>
      </c>
    </row>
    <row r="472" spans="1:20" ht="37.5" customHeight="1" x14ac:dyDescent="0.25">
      <c r="A472" s="19" t="s">
        <v>501</v>
      </c>
      <c r="B472">
        <f t="shared" si="54"/>
        <v>6665</v>
      </c>
      <c r="C472">
        <v>1354</v>
      </c>
      <c r="D472">
        <v>5311</v>
      </c>
      <c r="E472">
        <v>14145</v>
      </c>
      <c r="F472">
        <f t="shared" si="55"/>
        <v>394</v>
      </c>
      <c r="G472" s="20">
        <f t="shared" si="56"/>
        <v>467</v>
      </c>
      <c r="H472" s="21">
        <v>99623080510</v>
      </c>
      <c r="I472" s="22">
        <v>592</v>
      </c>
      <c r="J472" s="23"/>
      <c r="K472" s="24">
        <f>M472+O472</f>
        <v>6271</v>
      </c>
      <c r="L472" s="23">
        <f t="shared" si="50"/>
        <v>394</v>
      </c>
      <c r="M472" s="24">
        <v>1248</v>
      </c>
      <c r="N472" s="25">
        <f t="shared" si="51"/>
        <v>106</v>
      </c>
      <c r="O472" s="24">
        <v>5023</v>
      </c>
      <c r="P472" s="23">
        <f t="shared" si="52"/>
        <v>288</v>
      </c>
      <c r="Q472" s="26">
        <v>12745</v>
      </c>
      <c r="R472" s="23">
        <f t="shared" si="53"/>
        <v>1400</v>
      </c>
      <c r="S472" s="27" t="s">
        <v>19</v>
      </c>
      <c r="T472" s="19" t="s">
        <v>501</v>
      </c>
    </row>
    <row r="473" spans="1:20" ht="37.5" customHeight="1" x14ac:dyDescent="0.25">
      <c r="A473" s="19" t="s">
        <v>502</v>
      </c>
      <c r="B473">
        <f t="shared" si="54"/>
        <v>46174</v>
      </c>
      <c r="C473">
        <v>8373</v>
      </c>
      <c r="D473">
        <v>37801</v>
      </c>
      <c r="F473">
        <f t="shared" si="55"/>
        <v>377</v>
      </c>
      <c r="G473" s="20">
        <f t="shared" si="56"/>
        <v>468</v>
      </c>
      <c r="H473" s="21">
        <v>88819030076</v>
      </c>
      <c r="I473" s="22">
        <v>593</v>
      </c>
      <c r="J473" s="23"/>
      <c r="K473" s="24">
        <v>45797</v>
      </c>
      <c r="L473" s="23">
        <f t="shared" si="50"/>
        <v>377</v>
      </c>
      <c r="M473" s="24">
        <v>8313</v>
      </c>
      <c r="N473" s="25">
        <f t="shared" si="51"/>
        <v>60</v>
      </c>
      <c r="O473" s="24">
        <v>37484</v>
      </c>
      <c r="P473" s="23">
        <f t="shared" si="52"/>
        <v>317</v>
      </c>
      <c r="Q473" s="26"/>
      <c r="R473" s="23">
        <f t="shared" si="53"/>
        <v>0</v>
      </c>
      <c r="S473" s="27" t="s">
        <v>19</v>
      </c>
      <c r="T473" s="19" t="s">
        <v>502</v>
      </c>
    </row>
    <row r="474" spans="1:20" ht="37.5" customHeight="1" x14ac:dyDescent="0.25">
      <c r="A474" s="19" t="s">
        <v>503</v>
      </c>
      <c r="B474">
        <f t="shared" si="54"/>
        <v>2805</v>
      </c>
      <c r="C474">
        <v>424</v>
      </c>
      <c r="D474">
        <v>2381</v>
      </c>
      <c r="F474">
        <f t="shared" si="55"/>
        <v>7</v>
      </c>
      <c r="G474" s="20">
        <f t="shared" si="56"/>
        <v>469</v>
      </c>
      <c r="H474" s="21">
        <v>66621070419</v>
      </c>
      <c r="I474" s="22">
        <v>594</v>
      </c>
      <c r="J474" s="23"/>
      <c r="K474" s="24">
        <v>2798</v>
      </c>
      <c r="L474" s="23">
        <f t="shared" si="50"/>
        <v>7</v>
      </c>
      <c r="M474" s="24">
        <v>423</v>
      </c>
      <c r="N474" s="25">
        <f t="shared" si="51"/>
        <v>1</v>
      </c>
      <c r="O474" s="24">
        <v>2375</v>
      </c>
      <c r="P474" s="23">
        <f t="shared" si="52"/>
        <v>6</v>
      </c>
      <c r="Q474" s="26"/>
      <c r="R474" s="23">
        <f t="shared" si="53"/>
        <v>0</v>
      </c>
      <c r="S474" s="27" t="s">
        <v>19</v>
      </c>
      <c r="T474" s="19" t="s">
        <v>503</v>
      </c>
    </row>
    <row r="475" spans="1:20" ht="37.5" customHeight="1" x14ac:dyDescent="0.25">
      <c r="A475" s="19" t="s">
        <v>504</v>
      </c>
      <c r="B475">
        <f t="shared" si="54"/>
        <v>39128</v>
      </c>
      <c r="C475">
        <v>6546</v>
      </c>
      <c r="D475">
        <v>32582</v>
      </c>
      <c r="F475">
        <f t="shared" si="55"/>
        <v>542</v>
      </c>
      <c r="G475" s="20">
        <f t="shared" si="56"/>
        <v>470</v>
      </c>
      <c r="H475" s="21">
        <v>88820040293</v>
      </c>
      <c r="I475" s="22">
        <v>595</v>
      </c>
      <c r="J475" s="23"/>
      <c r="K475" s="24">
        <v>38586</v>
      </c>
      <c r="L475" s="23">
        <f t="shared" si="50"/>
        <v>542</v>
      </c>
      <c r="M475" s="24">
        <v>6446</v>
      </c>
      <c r="N475" s="25">
        <f t="shared" si="51"/>
        <v>100</v>
      </c>
      <c r="O475" s="24">
        <v>32140</v>
      </c>
      <c r="P475" s="23">
        <f t="shared" si="52"/>
        <v>442</v>
      </c>
      <c r="Q475" s="26"/>
      <c r="R475" s="23">
        <f t="shared" si="53"/>
        <v>0</v>
      </c>
      <c r="S475" s="27" t="s">
        <v>19</v>
      </c>
      <c r="T475" s="19" t="s">
        <v>504</v>
      </c>
    </row>
    <row r="476" spans="1:20" ht="37.5" customHeight="1" x14ac:dyDescent="0.25">
      <c r="A476" s="19" t="s">
        <v>505</v>
      </c>
      <c r="B476">
        <f t="shared" si="54"/>
        <v>27177</v>
      </c>
      <c r="C476">
        <v>5841</v>
      </c>
      <c r="D476">
        <v>21336</v>
      </c>
      <c r="F476">
        <f t="shared" si="55"/>
        <v>298</v>
      </c>
      <c r="G476" s="20">
        <f t="shared" si="56"/>
        <v>471</v>
      </c>
      <c r="H476" s="21">
        <v>66621010130</v>
      </c>
      <c r="I476" s="22">
        <v>596</v>
      </c>
      <c r="J476" s="23"/>
      <c r="K476" s="24">
        <v>26879</v>
      </c>
      <c r="L476" s="23">
        <f t="shared" si="50"/>
        <v>298</v>
      </c>
      <c r="M476" s="24">
        <v>5789</v>
      </c>
      <c r="N476" s="25">
        <f t="shared" si="51"/>
        <v>52</v>
      </c>
      <c r="O476" s="24">
        <v>21090</v>
      </c>
      <c r="P476" s="23">
        <f t="shared" si="52"/>
        <v>246</v>
      </c>
      <c r="Q476" s="26"/>
      <c r="R476" s="23">
        <f t="shared" si="53"/>
        <v>0</v>
      </c>
      <c r="S476" s="27" t="s">
        <v>19</v>
      </c>
      <c r="T476" s="19" t="s">
        <v>505</v>
      </c>
    </row>
    <row r="477" spans="1:20" ht="37.5" customHeight="1" x14ac:dyDescent="0.25">
      <c r="A477" s="19" t="s">
        <v>506</v>
      </c>
      <c r="B477">
        <f t="shared" si="54"/>
        <v>8029</v>
      </c>
      <c r="C477">
        <v>2293</v>
      </c>
      <c r="D477">
        <v>5736</v>
      </c>
      <c r="E477">
        <v>16291</v>
      </c>
      <c r="F477">
        <f t="shared" si="55"/>
        <v>257</v>
      </c>
      <c r="G477" s="20">
        <f t="shared" si="56"/>
        <v>472</v>
      </c>
      <c r="H477" s="21">
        <v>99623080098</v>
      </c>
      <c r="I477" s="22">
        <v>597</v>
      </c>
      <c r="J477" s="23"/>
      <c r="K477" s="24">
        <f>M477+O477</f>
        <v>7772</v>
      </c>
      <c r="L477" s="23">
        <f t="shared" si="50"/>
        <v>257</v>
      </c>
      <c r="M477" s="24">
        <v>2213</v>
      </c>
      <c r="N477" s="25">
        <f t="shared" si="51"/>
        <v>80</v>
      </c>
      <c r="O477" s="24">
        <v>5559</v>
      </c>
      <c r="P477" s="23">
        <f t="shared" si="52"/>
        <v>177</v>
      </c>
      <c r="Q477" s="26">
        <v>14986</v>
      </c>
      <c r="R477" s="23">
        <f t="shared" si="53"/>
        <v>1305</v>
      </c>
      <c r="S477" s="27" t="s">
        <v>19</v>
      </c>
      <c r="T477" s="19" t="s">
        <v>506</v>
      </c>
    </row>
    <row r="478" spans="1:20" ht="37.5" customHeight="1" x14ac:dyDescent="0.25">
      <c r="A478" s="19" t="s">
        <v>507</v>
      </c>
      <c r="B478">
        <f t="shared" si="54"/>
        <v>41047</v>
      </c>
      <c r="C478">
        <v>6896</v>
      </c>
      <c r="D478">
        <v>34151</v>
      </c>
      <c r="F478">
        <f t="shared" si="55"/>
        <v>420</v>
      </c>
      <c r="G478" s="20">
        <f t="shared" si="56"/>
        <v>473</v>
      </c>
      <c r="H478" s="21">
        <v>23014090323</v>
      </c>
      <c r="I478" s="22">
        <v>598</v>
      </c>
      <c r="J478" s="23"/>
      <c r="K478" s="24">
        <v>40627</v>
      </c>
      <c r="L478" s="23">
        <f t="shared" si="50"/>
        <v>420</v>
      </c>
      <c r="M478" s="24">
        <v>6826</v>
      </c>
      <c r="N478" s="25">
        <f t="shared" si="51"/>
        <v>70</v>
      </c>
      <c r="O478" s="24">
        <v>33801</v>
      </c>
      <c r="P478" s="23">
        <f t="shared" si="52"/>
        <v>350</v>
      </c>
      <c r="Q478" s="26"/>
      <c r="R478" s="23">
        <f t="shared" si="53"/>
        <v>0</v>
      </c>
      <c r="S478" s="27" t="s">
        <v>19</v>
      </c>
      <c r="T478" s="19" t="s">
        <v>507</v>
      </c>
    </row>
    <row r="479" spans="1:20" ht="37.5" customHeight="1" x14ac:dyDescent="0.25">
      <c r="A479" s="19" t="s">
        <v>508</v>
      </c>
      <c r="B479">
        <f t="shared" si="54"/>
        <v>109879</v>
      </c>
      <c r="C479">
        <v>29000</v>
      </c>
      <c r="D479">
        <v>80879</v>
      </c>
      <c r="F479">
        <f t="shared" si="55"/>
        <v>1006</v>
      </c>
      <c r="G479" s="20">
        <f t="shared" si="56"/>
        <v>474</v>
      </c>
      <c r="H479" s="21">
        <v>10020049</v>
      </c>
      <c r="I479" s="22">
        <v>599</v>
      </c>
      <c r="J479" s="23"/>
      <c r="K479" s="24">
        <v>108873</v>
      </c>
      <c r="L479" s="23">
        <f t="shared" si="50"/>
        <v>1006</v>
      </c>
      <c r="M479" s="24">
        <v>28834</v>
      </c>
      <c r="N479" s="25">
        <f t="shared" si="51"/>
        <v>166</v>
      </c>
      <c r="O479" s="24">
        <v>80039</v>
      </c>
      <c r="P479" s="23">
        <f t="shared" si="52"/>
        <v>840</v>
      </c>
      <c r="Q479" s="26"/>
      <c r="R479" s="23">
        <f t="shared" si="53"/>
        <v>0</v>
      </c>
      <c r="S479" s="27" t="s">
        <v>19</v>
      </c>
      <c r="T479" s="19" t="s">
        <v>508</v>
      </c>
    </row>
    <row r="480" spans="1:20" ht="37.5" customHeight="1" x14ac:dyDescent="0.25">
      <c r="A480" s="19" t="s">
        <v>509</v>
      </c>
      <c r="B480">
        <f t="shared" si="54"/>
        <v>9409</v>
      </c>
      <c r="C480">
        <v>1627</v>
      </c>
      <c r="D480">
        <v>7782</v>
      </c>
      <c r="F480">
        <f t="shared" si="55"/>
        <v>317</v>
      </c>
      <c r="G480" s="20">
        <f t="shared" si="56"/>
        <v>475</v>
      </c>
      <c r="H480" s="21">
        <v>66616020021</v>
      </c>
      <c r="I480" s="22">
        <v>600</v>
      </c>
      <c r="J480" s="23"/>
      <c r="K480" s="24">
        <v>9092</v>
      </c>
      <c r="L480" s="23">
        <f t="shared" si="50"/>
        <v>317</v>
      </c>
      <c r="M480" s="24">
        <v>1571</v>
      </c>
      <c r="N480" s="25">
        <f t="shared" si="51"/>
        <v>56</v>
      </c>
      <c r="O480" s="24">
        <v>7521</v>
      </c>
      <c r="P480" s="23">
        <f t="shared" si="52"/>
        <v>261</v>
      </c>
      <c r="Q480" s="26"/>
      <c r="R480" s="23">
        <f t="shared" si="53"/>
        <v>0</v>
      </c>
      <c r="S480" s="27" t="s">
        <v>19</v>
      </c>
      <c r="T480" s="19" t="s">
        <v>509</v>
      </c>
    </row>
    <row r="481" spans="1:20" ht="37.5" customHeight="1" x14ac:dyDescent="0.25">
      <c r="A481" s="19" t="s">
        <v>510</v>
      </c>
      <c r="B481">
        <f t="shared" si="54"/>
        <v>72680</v>
      </c>
      <c r="C481">
        <v>15301</v>
      </c>
      <c r="D481">
        <v>57379</v>
      </c>
      <c r="F481">
        <f t="shared" si="55"/>
        <v>428</v>
      </c>
      <c r="G481" s="20">
        <f t="shared" si="56"/>
        <v>476</v>
      </c>
      <c r="H481" s="21">
        <v>23012010093</v>
      </c>
      <c r="I481" s="22">
        <v>601</v>
      </c>
      <c r="J481" s="23"/>
      <c r="K481" s="24">
        <v>72252</v>
      </c>
      <c r="L481" s="23">
        <f t="shared" si="50"/>
        <v>428</v>
      </c>
      <c r="M481" s="24">
        <v>15227</v>
      </c>
      <c r="N481" s="25">
        <f t="shared" si="51"/>
        <v>74</v>
      </c>
      <c r="O481" s="24">
        <v>57025</v>
      </c>
      <c r="P481" s="23">
        <f t="shared" si="52"/>
        <v>354</v>
      </c>
      <c r="Q481" s="26"/>
      <c r="R481" s="23">
        <f t="shared" si="53"/>
        <v>0</v>
      </c>
      <c r="S481" s="27" t="s">
        <v>19</v>
      </c>
      <c r="T481" s="19" t="s">
        <v>510</v>
      </c>
    </row>
    <row r="482" spans="1:20" ht="37.5" customHeight="1" x14ac:dyDescent="0.25">
      <c r="A482" s="19" t="s">
        <v>511</v>
      </c>
      <c r="B482">
        <f t="shared" si="54"/>
        <v>68152</v>
      </c>
      <c r="C482">
        <v>13917</v>
      </c>
      <c r="D482">
        <v>54235</v>
      </c>
      <c r="F482">
        <f t="shared" si="55"/>
        <v>647</v>
      </c>
      <c r="G482" s="20">
        <f t="shared" si="56"/>
        <v>477</v>
      </c>
      <c r="H482" s="21">
        <v>23013040065</v>
      </c>
      <c r="I482" s="22">
        <v>602</v>
      </c>
      <c r="J482" s="23"/>
      <c r="K482" s="24">
        <v>67505</v>
      </c>
      <c r="L482" s="23">
        <f t="shared" si="50"/>
        <v>647</v>
      </c>
      <c r="M482" s="24">
        <v>13815</v>
      </c>
      <c r="N482" s="25">
        <f t="shared" si="51"/>
        <v>102</v>
      </c>
      <c r="O482" s="24">
        <v>53690</v>
      </c>
      <c r="P482" s="23">
        <f t="shared" si="52"/>
        <v>545</v>
      </c>
      <c r="Q482" s="26"/>
      <c r="R482" s="23">
        <f t="shared" si="53"/>
        <v>0</v>
      </c>
      <c r="S482" s="27" t="s">
        <v>19</v>
      </c>
      <c r="T482" s="19" t="s">
        <v>511</v>
      </c>
    </row>
    <row r="483" spans="1:20" ht="37.5" customHeight="1" x14ac:dyDescent="0.25">
      <c r="A483" s="19" t="s">
        <v>512</v>
      </c>
      <c r="B483">
        <f t="shared" si="54"/>
        <v>2137</v>
      </c>
      <c r="C483">
        <v>588</v>
      </c>
      <c r="D483">
        <v>1549</v>
      </c>
      <c r="E483">
        <v>6575</v>
      </c>
      <c r="F483">
        <f t="shared" si="55"/>
        <v>782</v>
      </c>
      <c r="G483" s="20">
        <f t="shared" si="56"/>
        <v>478</v>
      </c>
      <c r="H483" s="21">
        <v>99624040379</v>
      </c>
      <c r="I483" s="22">
        <v>603</v>
      </c>
      <c r="J483" s="23"/>
      <c r="K483" s="24">
        <f>M483+O483</f>
        <v>1355</v>
      </c>
      <c r="L483" s="23">
        <f t="shared" si="50"/>
        <v>782</v>
      </c>
      <c r="M483" s="24">
        <v>398</v>
      </c>
      <c r="N483" s="25">
        <f t="shared" si="51"/>
        <v>190</v>
      </c>
      <c r="O483" s="24">
        <v>957</v>
      </c>
      <c r="P483" s="23">
        <f t="shared" si="52"/>
        <v>592</v>
      </c>
      <c r="Q483" s="26">
        <v>5204</v>
      </c>
      <c r="R483" s="23">
        <f t="shared" si="53"/>
        <v>1371</v>
      </c>
      <c r="S483" s="27" t="s">
        <v>19</v>
      </c>
      <c r="T483" s="19" t="s">
        <v>512</v>
      </c>
    </row>
    <row r="484" spans="1:20" ht="37.5" customHeight="1" x14ac:dyDescent="0.25">
      <c r="A484" s="19" t="s">
        <v>513</v>
      </c>
      <c r="B484">
        <f t="shared" si="54"/>
        <v>78546</v>
      </c>
      <c r="C484">
        <v>13788</v>
      </c>
      <c r="D484">
        <v>64758</v>
      </c>
      <c r="F484">
        <f t="shared" si="55"/>
        <v>498</v>
      </c>
      <c r="G484" s="20">
        <f t="shared" si="56"/>
        <v>479</v>
      </c>
      <c r="H484" s="21">
        <v>23014010464</v>
      </c>
      <c r="I484" s="22">
        <v>604</v>
      </c>
      <c r="J484" s="23"/>
      <c r="K484" s="24">
        <v>78048</v>
      </c>
      <c r="L484" s="23">
        <f t="shared" si="50"/>
        <v>498</v>
      </c>
      <c r="M484" s="24">
        <v>13699</v>
      </c>
      <c r="N484" s="25">
        <f t="shared" si="51"/>
        <v>89</v>
      </c>
      <c r="O484" s="24">
        <v>64349</v>
      </c>
      <c r="P484" s="23">
        <f t="shared" si="52"/>
        <v>409</v>
      </c>
      <c r="Q484" s="26"/>
      <c r="R484" s="23">
        <f t="shared" si="53"/>
        <v>0</v>
      </c>
      <c r="S484" s="27" t="s">
        <v>19</v>
      </c>
      <c r="T484" s="19" t="s">
        <v>513</v>
      </c>
    </row>
    <row r="485" spans="1:20" ht="37.5" customHeight="1" x14ac:dyDescent="0.25">
      <c r="A485" s="19" t="s">
        <v>514</v>
      </c>
      <c r="B485">
        <f t="shared" si="54"/>
        <v>116349</v>
      </c>
      <c r="C485">
        <v>38242</v>
      </c>
      <c r="D485">
        <v>78107</v>
      </c>
      <c r="F485">
        <f t="shared" si="55"/>
        <v>218</v>
      </c>
      <c r="G485" s="20">
        <f t="shared" si="56"/>
        <v>480</v>
      </c>
      <c r="H485" s="21">
        <v>10020154</v>
      </c>
      <c r="I485" s="22">
        <v>605</v>
      </c>
      <c r="J485" s="23"/>
      <c r="K485" s="24">
        <v>116131</v>
      </c>
      <c r="L485" s="23">
        <f t="shared" si="50"/>
        <v>218</v>
      </c>
      <c r="M485" s="24">
        <v>38218</v>
      </c>
      <c r="N485" s="25">
        <f t="shared" si="51"/>
        <v>24</v>
      </c>
      <c r="O485" s="24">
        <v>77913</v>
      </c>
      <c r="P485" s="23">
        <f t="shared" si="52"/>
        <v>194</v>
      </c>
      <c r="Q485" s="26"/>
      <c r="R485" s="23">
        <f t="shared" si="53"/>
        <v>0</v>
      </c>
      <c r="S485" s="27" t="s">
        <v>19</v>
      </c>
      <c r="T485" s="19" t="s">
        <v>514</v>
      </c>
    </row>
    <row r="486" spans="1:20" ht="37.5" customHeight="1" x14ac:dyDescent="0.25">
      <c r="A486" s="19" t="s">
        <v>515</v>
      </c>
      <c r="B486">
        <f t="shared" si="54"/>
        <v>61546</v>
      </c>
      <c r="C486">
        <v>10320</v>
      </c>
      <c r="D486">
        <v>51226</v>
      </c>
      <c r="F486">
        <f t="shared" si="55"/>
        <v>377</v>
      </c>
      <c r="G486" s="20">
        <f t="shared" si="56"/>
        <v>481</v>
      </c>
      <c r="H486" s="21">
        <v>66617020496</v>
      </c>
      <c r="I486" s="22">
        <v>606</v>
      </c>
      <c r="J486" s="23"/>
      <c r="K486" s="24">
        <v>61169</v>
      </c>
      <c r="L486" s="23">
        <f t="shared" si="50"/>
        <v>377</v>
      </c>
      <c r="M486" s="24">
        <v>10262</v>
      </c>
      <c r="N486" s="25">
        <f t="shared" si="51"/>
        <v>58</v>
      </c>
      <c r="O486" s="24">
        <v>50907</v>
      </c>
      <c r="P486" s="23">
        <f t="shared" si="52"/>
        <v>319</v>
      </c>
      <c r="Q486" s="26"/>
      <c r="R486" s="23">
        <f t="shared" si="53"/>
        <v>0</v>
      </c>
      <c r="S486" s="27" t="s">
        <v>19</v>
      </c>
      <c r="T486" s="19" t="s">
        <v>515</v>
      </c>
    </row>
    <row r="487" spans="1:20" ht="37.5" customHeight="1" x14ac:dyDescent="0.25">
      <c r="A487" s="19" t="s">
        <v>516</v>
      </c>
      <c r="B487">
        <f t="shared" si="54"/>
        <v>77420</v>
      </c>
      <c r="C487">
        <v>16473</v>
      </c>
      <c r="D487">
        <v>60947</v>
      </c>
      <c r="F487">
        <f t="shared" si="55"/>
        <v>323</v>
      </c>
      <c r="G487" s="20">
        <f t="shared" si="56"/>
        <v>482</v>
      </c>
      <c r="H487" s="21">
        <v>23010090077</v>
      </c>
      <c r="I487" s="22">
        <v>607</v>
      </c>
      <c r="J487" s="23"/>
      <c r="K487" s="24">
        <v>77097</v>
      </c>
      <c r="L487" s="23">
        <f t="shared" si="50"/>
        <v>323</v>
      </c>
      <c r="M487" s="24">
        <v>16430</v>
      </c>
      <c r="N487" s="25">
        <f t="shared" si="51"/>
        <v>43</v>
      </c>
      <c r="O487" s="24">
        <v>60667</v>
      </c>
      <c r="P487" s="23">
        <f t="shared" si="52"/>
        <v>280</v>
      </c>
      <c r="Q487" s="26"/>
      <c r="R487" s="23">
        <f t="shared" si="53"/>
        <v>0</v>
      </c>
      <c r="S487" s="27" t="s">
        <v>19</v>
      </c>
      <c r="T487" s="19" t="s">
        <v>516</v>
      </c>
    </row>
    <row r="488" spans="1:20" ht="37.5" customHeight="1" x14ac:dyDescent="0.25">
      <c r="A488" s="19" t="s">
        <v>517</v>
      </c>
      <c r="B488">
        <f t="shared" si="54"/>
        <v>60436</v>
      </c>
      <c r="C488">
        <v>19188</v>
      </c>
      <c r="D488">
        <v>41248</v>
      </c>
      <c r="F488">
        <f t="shared" si="55"/>
        <v>291</v>
      </c>
      <c r="G488" s="20">
        <f t="shared" si="56"/>
        <v>483</v>
      </c>
      <c r="H488" s="21">
        <v>23011010050</v>
      </c>
      <c r="I488" s="22">
        <v>608</v>
      </c>
      <c r="J488" s="23"/>
      <c r="K488" s="24">
        <v>60145</v>
      </c>
      <c r="L488" s="23">
        <f t="shared" si="50"/>
        <v>291</v>
      </c>
      <c r="M488" s="24">
        <v>19138</v>
      </c>
      <c r="N488" s="25">
        <f t="shared" si="51"/>
        <v>50</v>
      </c>
      <c r="O488" s="24">
        <v>41007</v>
      </c>
      <c r="P488" s="23">
        <f t="shared" si="52"/>
        <v>241</v>
      </c>
      <c r="Q488" s="26"/>
      <c r="R488" s="23">
        <f t="shared" si="53"/>
        <v>0</v>
      </c>
      <c r="S488" s="27" t="s">
        <v>19</v>
      </c>
      <c r="T488" s="19" t="s">
        <v>517</v>
      </c>
    </row>
    <row r="489" spans="1:20" ht="37.5" customHeight="1" x14ac:dyDescent="0.25">
      <c r="A489" s="19" t="s">
        <v>518</v>
      </c>
      <c r="B489">
        <f t="shared" si="54"/>
        <v>4843</v>
      </c>
      <c r="C489">
        <v>959</v>
      </c>
      <c r="D489">
        <v>3884</v>
      </c>
      <c r="E489">
        <v>8962</v>
      </c>
      <c r="F489">
        <f t="shared" si="55"/>
        <v>399</v>
      </c>
      <c r="G489" s="20">
        <f t="shared" si="56"/>
        <v>484</v>
      </c>
      <c r="H489" s="21">
        <v>99624020196</v>
      </c>
      <c r="I489" s="22">
        <v>609</v>
      </c>
      <c r="J489" s="23"/>
      <c r="K489" s="24">
        <f>M489+O489</f>
        <v>4444</v>
      </c>
      <c r="L489" s="23">
        <f t="shared" si="50"/>
        <v>399</v>
      </c>
      <c r="M489" s="24">
        <v>873</v>
      </c>
      <c r="N489" s="25">
        <f t="shared" si="51"/>
        <v>86</v>
      </c>
      <c r="O489" s="24">
        <v>3571</v>
      </c>
      <c r="P489" s="23">
        <f t="shared" si="52"/>
        <v>313</v>
      </c>
      <c r="Q489" s="26">
        <v>7923</v>
      </c>
      <c r="R489" s="23">
        <f t="shared" si="53"/>
        <v>1039</v>
      </c>
      <c r="S489" s="27" t="s">
        <v>19</v>
      </c>
      <c r="T489" s="19" t="s">
        <v>518</v>
      </c>
    </row>
    <row r="490" spans="1:20" ht="37.5" customHeight="1" x14ac:dyDescent="0.25">
      <c r="A490" s="19" t="s">
        <v>519</v>
      </c>
      <c r="B490">
        <f t="shared" si="54"/>
        <v>483</v>
      </c>
      <c r="C490">
        <v>125</v>
      </c>
      <c r="D490">
        <v>358</v>
      </c>
      <c r="E490">
        <v>1277</v>
      </c>
      <c r="F490">
        <f t="shared" si="55"/>
        <v>483</v>
      </c>
      <c r="G490" s="20">
        <f t="shared" si="56"/>
        <v>485</v>
      </c>
      <c r="H490" s="21">
        <v>99625010171</v>
      </c>
      <c r="I490" s="22">
        <v>610</v>
      </c>
      <c r="J490" s="23"/>
      <c r="K490" s="24">
        <v>0</v>
      </c>
      <c r="L490" s="23">
        <f t="shared" si="50"/>
        <v>483</v>
      </c>
      <c r="M490" s="24">
        <v>0</v>
      </c>
      <c r="N490" s="25">
        <f t="shared" si="51"/>
        <v>125</v>
      </c>
      <c r="O490" s="24">
        <v>0</v>
      </c>
      <c r="P490" s="23">
        <f t="shared" si="52"/>
        <v>358</v>
      </c>
      <c r="Q490" s="26">
        <v>0</v>
      </c>
      <c r="R490" s="23">
        <f t="shared" si="53"/>
        <v>1277</v>
      </c>
      <c r="S490" s="27" t="s">
        <v>19</v>
      </c>
      <c r="T490" s="19" t="s">
        <v>519</v>
      </c>
    </row>
    <row r="491" spans="1:20" ht="37.5" customHeight="1" x14ac:dyDescent="0.25">
      <c r="A491" s="19" t="s">
        <v>520</v>
      </c>
      <c r="B491">
        <f t="shared" si="54"/>
        <v>11673</v>
      </c>
      <c r="C491">
        <v>1878</v>
      </c>
      <c r="D491">
        <v>9795</v>
      </c>
      <c r="F491">
        <f t="shared" si="55"/>
        <v>1</v>
      </c>
      <c r="G491" s="20">
        <f t="shared" si="56"/>
        <v>486</v>
      </c>
      <c r="H491" s="21">
        <v>23010090124</v>
      </c>
      <c r="I491" s="22">
        <v>611</v>
      </c>
      <c r="J491" s="23"/>
      <c r="K491" s="24">
        <v>11672</v>
      </c>
      <c r="L491" s="23">
        <f t="shared" si="50"/>
        <v>1</v>
      </c>
      <c r="M491" s="24">
        <v>1878</v>
      </c>
      <c r="N491" s="25">
        <f t="shared" si="51"/>
        <v>0</v>
      </c>
      <c r="O491" s="24">
        <v>9794</v>
      </c>
      <c r="P491" s="23">
        <f t="shared" si="52"/>
        <v>1</v>
      </c>
      <c r="Q491" s="26"/>
      <c r="R491" s="23">
        <f t="shared" si="53"/>
        <v>0</v>
      </c>
      <c r="S491" s="27" t="s">
        <v>19</v>
      </c>
      <c r="T491" s="19" t="s">
        <v>520</v>
      </c>
    </row>
    <row r="492" spans="1:20" ht="37.5" customHeight="1" x14ac:dyDescent="0.25">
      <c r="A492" s="19" t="s">
        <v>521</v>
      </c>
      <c r="B492">
        <f t="shared" si="54"/>
        <v>17224</v>
      </c>
      <c r="C492">
        <v>3038</v>
      </c>
      <c r="D492">
        <v>14186</v>
      </c>
      <c r="F492">
        <f t="shared" si="55"/>
        <v>722</v>
      </c>
      <c r="G492" s="20">
        <f t="shared" si="56"/>
        <v>487</v>
      </c>
      <c r="H492" s="21">
        <v>66621100160</v>
      </c>
      <c r="I492" s="22">
        <v>612</v>
      </c>
      <c r="J492" s="23"/>
      <c r="K492" s="24">
        <v>16502</v>
      </c>
      <c r="L492" s="23">
        <f t="shared" si="50"/>
        <v>722</v>
      </c>
      <c r="M492" s="24">
        <v>2925</v>
      </c>
      <c r="N492" s="25">
        <f t="shared" si="51"/>
        <v>113</v>
      </c>
      <c r="O492" s="24">
        <v>13577</v>
      </c>
      <c r="P492" s="23">
        <f t="shared" si="52"/>
        <v>609</v>
      </c>
      <c r="Q492" s="26"/>
      <c r="R492" s="23">
        <f t="shared" si="53"/>
        <v>0</v>
      </c>
      <c r="S492" s="27" t="s">
        <v>19</v>
      </c>
      <c r="T492" s="19" t="s">
        <v>521</v>
      </c>
    </row>
    <row r="493" spans="1:20" ht="37.5" customHeight="1" x14ac:dyDescent="0.25">
      <c r="A493" s="19" t="s">
        <v>522</v>
      </c>
      <c r="F493">
        <f t="shared" si="55"/>
        <v>-38672</v>
      </c>
      <c r="G493" s="20">
        <f t="shared" si="56"/>
        <v>488</v>
      </c>
      <c r="H493" s="21">
        <v>66621050464</v>
      </c>
      <c r="I493" s="22">
        <v>613</v>
      </c>
      <c r="J493" s="23"/>
      <c r="K493" s="24">
        <v>38672</v>
      </c>
      <c r="L493" s="23">
        <f t="shared" si="50"/>
        <v>-38672</v>
      </c>
      <c r="M493" s="24">
        <v>5678</v>
      </c>
      <c r="N493" s="25">
        <f t="shared" si="51"/>
        <v>-5678</v>
      </c>
      <c r="O493" s="24">
        <v>32994</v>
      </c>
      <c r="P493" s="23">
        <f t="shared" si="52"/>
        <v>-32994</v>
      </c>
      <c r="Q493" s="26"/>
      <c r="R493" s="23">
        <f t="shared" si="53"/>
        <v>0</v>
      </c>
      <c r="S493" s="27" t="s">
        <v>19</v>
      </c>
      <c r="T493" s="19" t="s">
        <v>522</v>
      </c>
    </row>
    <row r="494" spans="1:20" ht="37.5" customHeight="1" x14ac:dyDescent="0.25">
      <c r="A494" s="19" t="s">
        <v>523</v>
      </c>
      <c r="B494">
        <v>2040</v>
      </c>
      <c r="C494">
        <v>433</v>
      </c>
      <c r="D494">
        <v>1602</v>
      </c>
      <c r="F494">
        <f t="shared" si="55"/>
        <v>0</v>
      </c>
      <c r="G494" s="20">
        <f t="shared" si="56"/>
        <v>489</v>
      </c>
      <c r="H494" s="21">
        <v>66619040350</v>
      </c>
      <c r="I494" s="22" t="s">
        <v>524</v>
      </c>
      <c r="J494" s="23"/>
      <c r="K494" s="24">
        <v>2040</v>
      </c>
      <c r="L494" s="23">
        <f t="shared" si="50"/>
        <v>0</v>
      </c>
      <c r="M494" s="24">
        <v>433</v>
      </c>
      <c r="N494" s="25">
        <f t="shared" si="51"/>
        <v>0</v>
      </c>
      <c r="O494" s="24">
        <v>1602</v>
      </c>
      <c r="P494" s="23">
        <f t="shared" si="52"/>
        <v>0</v>
      </c>
      <c r="Q494" s="26"/>
      <c r="R494" s="23">
        <f t="shared" si="53"/>
        <v>0</v>
      </c>
      <c r="S494" s="27" t="s">
        <v>19</v>
      </c>
      <c r="T494" s="19" t="s">
        <v>523</v>
      </c>
    </row>
    <row r="495" spans="1:20" ht="37.5" customHeight="1" x14ac:dyDescent="0.25">
      <c r="A495" s="19" t="s">
        <v>525</v>
      </c>
      <c r="B495">
        <f t="shared" si="54"/>
        <v>12669</v>
      </c>
      <c r="C495">
        <v>3363</v>
      </c>
      <c r="D495">
        <v>9306</v>
      </c>
      <c r="E495">
        <v>21250</v>
      </c>
      <c r="F495">
        <f t="shared" si="55"/>
        <v>401</v>
      </c>
      <c r="G495" s="20">
        <f t="shared" si="56"/>
        <v>490</v>
      </c>
      <c r="H495" s="21">
        <v>99723050067</v>
      </c>
      <c r="I495" s="22">
        <v>614</v>
      </c>
      <c r="J495" s="23"/>
      <c r="K495" s="24">
        <f>M495+O495</f>
        <v>12268</v>
      </c>
      <c r="L495" s="23">
        <f t="shared" si="50"/>
        <v>401</v>
      </c>
      <c r="M495" s="24">
        <v>3266</v>
      </c>
      <c r="N495" s="25">
        <f t="shared" si="51"/>
        <v>97</v>
      </c>
      <c r="O495" s="24">
        <v>9002</v>
      </c>
      <c r="P495" s="23">
        <f t="shared" si="52"/>
        <v>304</v>
      </c>
      <c r="Q495" s="26">
        <v>19836</v>
      </c>
      <c r="R495" s="23">
        <f t="shared" si="53"/>
        <v>1414</v>
      </c>
      <c r="S495" s="27" t="s">
        <v>19</v>
      </c>
      <c r="T495" s="19" t="s">
        <v>525</v>
      </c>
    </row>
    <row r="496" spans="1:20" ht="37.5" customHeight="1" x14ac:dyDescent="0.25">
      <c r="A496" s="19" t="s">
        <v>526</v>
      </c>
      <c r="B496">
        <f t="shared" si="54"/>
        <v>2637</v>
      </c>
      <c r="C496">
        <v>750</v>
      </c>
      <c r="D496">
        <v>1887</v>
      </c>
      <c r="E496">
        <v>5962</v>
      </c>
      <c r="F496">
        <f t="shared" si="55"/>
        <v>388</v>
      </c>
      <c r="G496" s="20">
        <f t="shared" si="56"/>
        <v>491</v>
      </c>
      <c r="H496" s="21">
        <v>99624040294</v>
      </c>
      <c r="I496" s="22">
        <v>615</v>
      </c>
      <c r="J496" s="23"/>
      <c r="K496" s="24">
        <f>M496+O496</f>
        <v>2249</v>
      </c>
      <c r="L496" s="23">
        <f t="shared" si="50"/>
        <v>388</v>
      </c>
      <c r="M496" s="24">
        <v>625</v>
      </c>
      <c r="N496" s="25">
        <f t="shared" si="51"/>
        <v>125</v>
      </c>
      <c r="O496" s="24">
        <v>1624</v>
      </c>
      <c r="P496" s="23">
        <f t="shared" si="52"/>
        <v>263</v>
      </c>
      <c r="Q496" s="26">
        <v>4583</v>
      </c>
      <c r="R496" s="23">
        <f t="shared" si="53"/>
        <v>1379</v>
      </c>
      <c r="S496" s="27" t="s">
        <v>19</v>
      </c>
      <c r="T496" s="19" t="s">
        <v>526</v>
      </c>
    </row>
    <row r="497" spans="1:20" ht="37.5" customHeight="1" x14ac:dyDescent="0.25">
      <c r="A497" s="19" t="s">
        <v>527</v>
      </c>
      <c r="B497">
        <f t="shared" si="54"/>
        <v>353</v>
      </c>
      <c r="C497">
        <v>103</v>
      </c>
      <c r="D497">
        <v>250</v>
      </c>
      <c r="E497">
        <v>1351</v>
      </c>
      <c r="F497">
        <f t="shared" si="55"/>
        <v>353</v>
      </c>
      <c r="G497" s="20">
        <f t="shared" si="56"/>
        <v>492</v>
      </c>
      <c r="H497" s="21">
        <v>99625010257</v>
      </c>
      <c r="I497" s="22">
        <v>616</v>
      </c>
      <c r="J497" s="23"/>
      <c r="K497" s="24">
        <v>0</v>
      </c>
      <c r="L497" s="23">
        <f t="shared" si="50"/>
        <v>353</v>
      </c>
      <c r="M497" s="24">
        <v>0</v>
      </c>
      <c r="N497" s="25">
        <f t="shared" si="51"/>
        <v>103</v>
      </c>
      <c r="O497" s="24">
        <v>0</v>
      </c>
      <c r="P497" s="23">
        <f t="shared" si="52"/>
        <v>250</v>
      </c>
      <c r="Q497" s="26">
        <v>0</v>
      </c>
      <c r="R497" s="23">
        <f t="shared" si="53"/>
        <v>1351</v>
      </c>
      <c r="S497" s="27" t="s">
        <v>19</v>
      </c>
      <c r="T497" s="19" t="s">
        <v>527</v>
      </c>
    </row>
    <row r="498" spans="1:20" ht="37.5" customHeight="1" x14ac:dyDescent="0.25">
      <c r="A498" s="19" t="s">
        <v>528</v>
      </c>
      <c r="B498">
        <f t="shared" si="54"/>
        <v>26470</v>
      </c>
      <c r="C498">
        <v>5039</v>
      </c>
      <c r="D498">
        <v>21431</v>
      </c>
      <c r="F498">
        <f t="shared" si="55"/>
        <v>286</v>
      </c>
      <c r="G498" s="20">
        <f t="shared" si="56"/>
        <v>493</v>
      </c>
      <c r="H498" s="21">
        <v>88820010446</v>
      </c>
      <c r="I498" s="22">
        <v>617</v>
      </c>
      <c r="J498" s="23"/>
      <c r="K498" s="24">
        <v>26184</v>
      </c>
      <c r="L498" s="23">
        <f t="shared" si="50"/>
        <v>286</v>
      </c>
      <c r="M498" s="24">
        <v>4991</v>
      </c>
      <c r="N498" s="25">
        <f t="shared" si="51"/>
        <v>48</v>
      </c>
      <c r="O498" s="24">
        <v>21193</v>
      </c>
      <c r="P498" s="23">
        <f t="shared" si="52"/>
        <v>238</v>
      </c>
      <c r="Q498" s="26"/>
      <c r="R498" s="23">
        <f t="shared" si="53"/>
        <v>0</v>
      </c>
      <c r="S498" s="27" t="s">
        <v>19</v>
      </c>
      <c r="T498" s="19" t="s">
        <v>528</v>
      </c>
    </row>
    <row r="499" spans="1:20" ht="37.5" customHeight="1" x14ac:dyDescent="0.25">
      <c r="A499" s="19" t="s">
        <v>529</v>
      </c>
      <c r="B499">
        <f t="shared" si="54"/>
        <v>57322</v>
      </c>
      <c r="C499">
        <v>8151</v>
      </c>
      <c r="D499">
        <v>49171</v>
      </c>
      <c r="F499">
        <f t="shared" si="55"/>
        <v>192</v>
      </c>
      <c r="G499" s="20">
        <f t="shared" si="56"/>
        <v>494</v>
      </c>
      <c r="H499" s="21">
        <v>23013040403</v>
      </c>
      <c r="I499" s="22">
        <v>618</v>
      </c>
      <c r="J499" s="23"/>
      <c r="K499" s="24">
        <v>57130</v>
      </c>
      <c r="L499" s="23">
        <f t="shared" si="50"/>
        <v>192</v>
      </c>
      <c r="M499" s="24">
        <v>8120</v>
      </c>
      <c r="N499" s="25">
        <f t="shared" si="51"/>
        <v>31</v>
      </c>
      <c r="O499" s="24">
        <v>49010</v>
      </c>
      <c r="P499" s="23">
        <f t="shared" si="52"/>
        <v>161</v>
      </c>
      <c r="Q499" s="26"/>
      <c r="R499" s="23">
        <f t="shared" si="53"/>
        <v>0</v>
      </c>
      <c r="S499" s="27" t="s">
        <v>19</v>
      </c>
      <c r="T499" s="19" t="s">
        <v>529</v>
      </c>
    </row>
    <row r="500" spans="1:20" ht="37.5" customHeight="1" x14ac:dyDescent="0.25">
      <c r="A500" s="19" t="s">
        <v>530</v>
      </c>
      <c r="B500">
        <f t="shared" si="54"/>
        <v>66961</v>
      </c>
      <c r="C500">
        <v>11717</v>
      </c>
      <c r="D500">
        <v>55244</v>
      </c>
      <c r="F500">
        <f t="shared" si="55"/>
        <v>1790</v>
      </c>
      <c r="G500" s="20">
        <f t="shared" si="56"/>
        <v>495</v>
      </c>
      <c r="H500" s="21">
        <v>88820020469</v>
      </c>
      <c r="I500" s="22">
        <v>619</v>
      </c>
      <c r="J500" s="23"/>
      <c r="K500" s="24">
        <v>65171</v>
      </c>
      <c r="L500" s="23">
        <f t="shared" si="50"/>
        <v>1790</v>
      </c>
      <c r="M500" s="24">
        <v>11413</v>
      </c>
      <c r="N500" s="25">
        <f t="shared" si="51"/>
        <v>304</v>
      </c>
      <c r="O500" s="24">
        <v>53758</v>
      </c>
      <c r="P500" s="23">
        <f t="shared" si="52"/>
        <v>1486</v>
      </c>
      <c r="Q500" s="26"/>
      <c r="R500" s="23">
        <f t="shared" si="53"/>
        <v>0</v>
      </c>
      <c r="S500" s="27" t="s">
        <v>19</v>
      </c>
      <c r="T500" s="19" t="s">
        <v>530</v>
      </c>
    </row>
    <row r="501" spans="1:20" ht="37.5" customHeight="1" x14ac:dyDescent="0.25">
      <c r="A501" s="19" t="s">
        <v>531</v>
      </c>
      <c r="B501">
        <f t="shared" si="54"/>
        <v>13399</v>
      </c>
      <c r="C501">
        <v>3608</v>
      </c>
      <c r="D501">
        <v>9791</v>
      </c>
      <c r="E501">
        <v>25400</v>
      </c>
      <c r="F501">
        <f t="shared" si="55"/>
        <v>612</v>
      </c>
      <c r="G501" s="20">
        <f t="shared" si="56"/>
        <v>496</v>
      </c>
      <c r="H501" s="21">
        <v>99723060100</v>
      </c>
      <c r="I501" s="22">
        <v>620</v>
      </c>
      <c r="J501" s="23"/>
      <c r="K501" s="24">
        <f>M501+O501</f>
        <v>12787</v>
      </c>
      <c r="L501" s="23">
        <f t="shared" si="50"/>
        <v>612</v>
      </c>
      <c r="M501" s="24">
        <v>3429</v>
      </c>
      <c r="N501" s="25">
        <f t="shared" si="51"/>
        <v>179</v>
      </c>
      <c r="O501" s="24">
        <v>9358</v>
      </c>
      <c r="P501" s="23">
        <f t="shared" si="52"/>
        <v>433</v>
      </c>
      <c r="Q501" s="26">
        <v>23704</v>
      </c>
      <c r="R501" s="23">
        <f t="shared" si="53"/>
        <v>1696</v>
      </c>
      <c r="S501" s="27" t="s">
        <v>19</v>
      </c>
      <c r="T501" s="19" t="s">
        <v>531</v>
      </c>
    </row>
    <row r="502" spans="1:20" ht="37.5" customHeight="1" x14ac:dyDescent="0.25">
      <c r="A502" s="19" t="s">
        <v>532</v>
      </c>
      <c r="B502">
        <f t="shared" si="54"/>
        <v>19188</v>
      </c>
      <c r="C502">
        <v>5099</v>
      </c>
      <c r="D502">
        <v>14089</v>
      </c>
      <c r="E502">
        <v>22163</v>
      </c>
      <c r="F502">
        <f t="shared" si="55"/>
        <v>845</v>
      </c>
      <c r="G502" s="20">
        <f t="shared" si="56"/>
        <v>497</v>
      </c>
      <c r="H502" s="21">
        <v>99723060101</v>
      </c>
      <c r="I502" s="22">
        <v>621</v>
      </c>
      <c r="J502" s="23"/>
      <c r="K502" s="24">
        <f>M502+O502</f>
        <v>18343</v>
      </c>
      <c r="L502" s="23">
        <f t="shared" si="50"/>
        <v>845</v>
      </c>
      <c r="M502" s="24">
        <v>4870</v>
      </c>
      <c r="N502" s="25">
        <f t="shared" si="51"/>
        <v>229</v>
      </c>
      <c r="O502" s="24">
        <v>13473</v>
      </c>
      <c r="P502" s="23">
        <f t="shared" si="52"/>
        <v>616</v>
      </c>
      <c r="Q502" s="26">
        <v>20523</v>
      </c>
      <c r="R502" s="23">
        <f t="shared" si="53"/>
        <v>1640</v>
      </c>
      <c r="S502" s="27" t="s">
        <v>19</v>
      </c>
      <c r="T502" s="19" t="s">
        <v>532</v>
      </c>
    </row>
    <row r="503" spans="1:20" ht="37.5" customHeight="1" x14ac:dyDescent="0.25">
      <c r="A503" s="19" t="s">
        <v>533</v>
      </c>
      <c r="B503">
        <f t="shared" si="54"/>
        <v>12390</v>
      </c>
      <c r="C503">
        <v>3682</v>
      </c>
      <c r="D503">
        <v>8708</v>
      </c>
      <c r="E503">
        <v>22304</v>
      </c>
      <c r="F503">
        <f t="shared" si="55"/>
        <v>466</v>
      </c>
      <c r="G503" s="20">
        <f t="shared" si="56"/>
        <v>498</v>
      </c>
      <c r="H503" s="21">
        <v>99723070055</v>
      </c>
      <c r="I503" s="22">
        <v>622</v>
      </c>
      <c r="J503" s="23"/>
      <c r="K503" s="24">
        <f>M503+O503</f>
        <v>11924</v>
      </c>
      <c r="L503" s="23">
        <f t="shared" si="50"/>
        <v>466</v>
      </c>
      <c r="M503" s="24">
        <v>3529</v>
      </c>
      <c r="N503" s="25">
        <f t="shared" si="51"/>
        <v>153</v>
      </c>
      <c r="O503" s="24">
        <v>8395</v>
      </c>
      <c r="P503" s="23">
        <f t="shared" si="52"/>
        <v>313</v>
      </c>
      <c r="Q503" s="26">
        <v>20531</v>
      </c>
      <c r="R503" s="23">
        <f t="shared" si="53"/>
        <v>1773</v>
      </c>
      <c r="S503" s="27" t="s">
        <v>19</v>
      </c>
      <c r="T503" s="19" t="s">
        <v>533</v>
      </c>
    </row>
    <row r="504" spans="1:20" ht="37.5" customHeight="1" x14ac:dyDescent="0.25">
      <c r="A504" s="19" t="s">
        <v>534</v>
      </c>
      <c r="B504">
        <f t="shared" si="54"/>
        <v>9267</v>
      </c>
      <c r="C504">
        <v>2164</v>
      </c>
      <c r="D504">
        <v>7103</v>
      </c>
      <c r="E504">
        <v>11111</v>
      </c>
      <c r="F504">
        <f t="shared" si="55"/>
        <v>350</v>
      </c>
      <c r="G504" s="20">
        <f t="shared" si="56"/>
        <v>499</v>
      </c>
      <c r="H504" s="21">
        <v>99624010289</v>
      </c>
      <c r="I504" s="22">
        <v>623</v>
      </c>
      <c r="J504" s="23"/>
      <c r="K504" s="24">
        <f>M504+O504</f>
        <v>8917</v>
      </c>
      <c r="L504" s="23">
        <f t="shared" si="50"/>
        <v>350</v>
      </c>
      <c r="M504" s="24">
        <v>2056</v>
      </c>
      <c r="N504" s="25">
        <f t="shared" si="51"/>
        <v>108</v>
      </c>
      <c r="O504" s="24">
        <v>6861</v>
      </c>
      <c r="P504" s="23">
        <f t="shared" si="52"/>
        <v>242</v>
      </c>
      <c r="Q504" s="26">
        <v>9594</v>
      </c>
      <c r="R504" s="23">
        <f t="shared" si="53"/>
        <v>1517</v>
      </c>
      <c r="S504" s="27" t="s">
        <v>19</v>
      </c>
      <c r="T504" s="19" t="s">
        <v>534</v>
      </c>
    </row>
    <row r="505" spans="1:20" ht="37.5" customHeight="1" x14ac:dyDescent="0.25">
      <c r="A505" s="19" t="s">
        <v>535</v>
      </c>
      <c r="B505">
        <f t="shared" si="54"/>
        <v>296135</v>
      </c>
      <c r="C505">
        <v>57031</v>
      </c>
      <c r="D505">
        <v>239104</v>
      </c>
      <c r="F505">
        <f t="shared" si="55"/>
        <v>3635</v>
      </c>
      <c r="G505" s="20">
        <f t="shared" si="56"/>
        <v>500</v>
      </c>
      <c r="H505" s="21">
        <v>66618010401</v>
      </c>
      <c r="I505" s="22" t="s">
        <v>536</v>
      </c>
      <c r="J505" s="23"/>
      <c r="K505" s="24">
        <v>292500</v>
      </c>
      <c r="L505" s="23">
        <f t="shared" si="50"/>
        <v>3635</v>
      </c>
      <c r="M505" s="24">
        <v>56284</v>
      </c>
      <c r="N505" s="25">
        <f t="shared" si="51"/>
        <v>747</v>
      </c>
      <c r="O505" s="24">
        <v>236216</v>
      </c>
      <c r="P505" s="23">
        <f t="shared" si="52"/>
        <v>2888</v>
      </c>
      <c r="Q505" s="26"/>
      <c r="R505" s="23">
        <f t="shared" si="53"/>
        <v>0</v>
      </c>
      <c r="S505" s="27" t="s">
        <v>537</v>
      </c>
      <c r="T505" s="19" t="s">
        <v>535</v>
      </c>
    </row>
    <row r="506" spans="1:20" ht="37.5" customHeight="1" x14ac:dyDescent="0.25">
      <c r="A506" s="19" t="s">
        <v>538</v>
      </c>
      <c r="B506">
        <f t="shared" si="54"/>
        <v>1138</v>
      </c>
      <c r="C506">
        <v>347</v>
      </c>
      <c r="D506">
        <v>791</v>
      </c>
      <c r="F506">
        <f t="shared" si="55"/>
        <v>249</v>
      </c>
      <c r="G506" s="20">
        <f t="shared" si="56"/>
        <v>501</v>
      </c>
      <c r="H506" s="21">
        <v>66623030657</v>
      </c>
      <c r="I506" s="22" t="s">
        <v>539</v>
      </c>
      <c r="J506" s="23"/>
      <c r="K506" s="24">
        <v>889</v>
      </c>
      <c r="L506" s="23">
        <f t="shared" si="50"/>
        <v>249</v>
      </c>
      <c r="M506" s="24">
        <v>278</v>
      </c>
      <c r="N506" s="25">
        <f t="shared" si="51"/>
        <v>69</v>
      </c>
      <c r="O506" s="24">
        <v>611</v>
      </c>
      <c r="P506" s="23">
        <f t="shared" si="52"/>
        <v>180</v>
      </c>
      <c r="Q506" s="26"/>
      <c r="R506" s="23">
        <f t="shared" si="53"/>
        <v>0</v>
      </c>
      <c r="S506" s="27" t="s">
        <v>537</v>
      </c>
      <c r="T506" s="19" t="s">
        <v>538</v>
      </c>
    </row>
    <row r="507" spans="1:20" ht="37.5" customHeight="1" x14ac:dyDescent="0.25">
      <c r="A507" s="19" t="s">
        <v>540</v>
      </c>
      <c r="B507">
        <f t="shared" si="54"/>
        <v>55852</v>
      </c>
      <c r="C507">
        <v>15696</v>
      </c>
      <c r="D507">
        <v>40156</v>
      </c>
      <c r="F507">
        <f t="shared" si="55"/>
        <v>1376</v>
      </c>
      <c r="G507" s="20">
        <f t="shared" si="56"/>
        <v>502</v>
      </c>
      <c r="H507" s="21">
        <v>66621060293</v>
      </c>
      <c r="I507" s="22" t="s">
        <v>541</v>
      </c>
      <c r="J507" s="23"/>
      <c r="K507" s="24">
        <v>54476</v>
      </c>
      <c r="L507" s="23">
        <f t="shared" si="50"/>
        <v>1376</v>
      </c>
      <c r="M507" s="24">
        <v>15349</v>
      </c>
      <c r="N507" s="25">
        <f t="shared" si="51"/>
        <v>347</v>
      </c>
      <c r="O507" s="24">
        <v>39127</v>
      </c>
      <c r="P507" s="23">
        <f t="shared" si="52"/>
        <v>1029</v>
      </c>
      <c r="Q507" s="26"/>
      <c r="R507" s="23">
        <f t="shared" si="53"/>
        <v>0</v>
      </c>
      <c r="S507" s="27" t="s">
        <v>537</v>
      </c>
      <c r="T507" s="19" t="s">
        <v>540</v>
      </c>
    </row>
    <row r="508" spans="1:20" ht="37.5" customHeight="1" x14ac:dyDescent="0.25">
      <c r="A508" s="19" t="s">
        <v>542</v>
      </c>
      <c r="B508">
        <f t="shared" si="54"/>
        <v>8990</v>
      </c>
      <c r="C508">
        <v>2330</v>
      </c>
      <c r="D508">
        <v>6660</v>
      </c>
      <c r="F508">
        <f t="shared" si="55"/>
        <v>153</v>
      </c>
      <c r="G508" s="20">
        <f t="shared" si="56"/>
        <v>503</v>
      </c>
      <c r="H508" s="21">
        <v>52521703726</v>
      </c>
      <c r="I508" s="22" t="s">
        <v>543</v>
      </c>
      <c r="J508" s="23"/>
      <c r="K508" s="24">
        <v>8837</v>
      </c>
      <c r="L508" s="23">
        <f t="shared" si="50"/>
        <v>153</v>
      </c>
      <c r="M508" s="24">
        <v>2287</v>
      </c>
      <c r="N508" s="25">
        <f t="shared" si="51"/>
        <v>43</v>
      </c>
      <c r="O508" s="24">
        <v>0</v>
      </c>
      <c r="P508" s="23">
        <f t="shared" si="52"/>
        <v>6660</v>
      </c>
      <c r="Q508" s="26"/>
      <c r="R508" s="23">
        <f t="shared" si="53"/>
        <v>0</v>
      </c>
      <c r="S508" s="27" t="s">
        <v>537</v>
      </c>
      <c r="T508" s="19" t="s">
        <v>542</v>
      </c>
    </row>
    <row r="509" spans="1:20" ht="37.5" customHeight="1" x14ac:dyDescent="0.25">
      <c r="A509" s="19" t="s">
        <v>544</v>
      </c>
      <c r="B509">
        <f t="shared" si="54"/>
        <v>83278</v>
      </c>
      <c r="C509">
        <v>27301</v>
      </c>
      <c r="D509">
        <v>55977</v>
      </c>
      <c r="F509">
        <f t="shared" si="55"/>
        <v>799</v>
      </c>
      <c r="G509" s="20">
        <f t="shared" si="56"/>
        <v>504</v>
      </c>
      <c r="H509" s="21">
        <v>66618010173</v>
      </c>
      <c r="I509" s="22" t="s">
        <v>545</v>
      </c>
      <c r="J509" s="23"/>
      <c r="K509" s="24">
        <v>82479</v>
      </c>
      <c r="L509" s="23">
        <f t="shared" si="50"/>
        <v>799</v>
      </c>
      <c r="M509" s="24">
        <v>27047</v>
      </c>
      <c r="N509" s="25">
        <f t="shared" si="51"/>
        <v>254</v>
      </c>
      <c r="O509" s="24">
        <v>55432</v>
      </c>
      <c r="P509" s="23">
        <f t="shared" si="52"/>
        <v>545</v>
      </c>
      <c r="Q509" s="26"/>
      <c r="R509" s="23">
        <f t="shared" si="53"/>
        <v>0</v>
      </c>
      <c r="S509" s="27" t="s">
        <v>537</v>
      </c>
      <c r="T509" s="19" t="s">
        <v>544</v>
      </c>
    </row>
    <row r="510" spans="1:20" ht="37.5" customHeight="1" x14ac:dyDescent="0.25">
      <c r="A510" s="19" t="s">
        <v>546</v>
      </c>
      <c r="B510">
        <f t="shared" si="54"/>
        <v>4005</v>
      </c>
      <c r="C510">
        <v>1855</v>
      </c>
      <c r="D510">
        <v>2150</v>
      </c>
      <c r="F510">
        <f t="shared" si="55"/>
        <v>224</v>
      </c>
      <c r="G510" s="20">
        <f t="shared" si="56"/>
        <v>505</v>
      </c>
      <c r="H510" s="21">
        <v>66622050386</v>
      </c>
      <c r="I510" s="22" t="s">
        <v>547</v>
      </c>
      <c r="J510" s="23"/>
      <c r="K510" s="24">
        <v>3781</v>
      </c>
      <c r="L510" s="23">
        <f t="shared" si="50"/>
        <v>224</v>
      </c>
      <c r="M510" s="24">
        <v>1766</v>
      </c>
      <c r="N510" s="25">
        <f t="shared" si="51"/>
        <v>89</v>
      </c>
      <c r="O510" s="24">
        <v>2015</v>
      </c>
      <c r="P510" s="23">
        <f t="shared" si="52"/>
        <v>135</v>
      </c>
      <c r="Q510" s="26"/>
      <c r="R510" s="23">
        <f t="shared" si="53"/>
        <v>0</v>
      </c>
      <c r="S510" s="27" t="s">
        <v>537</v>
      </c>
      <c r="T510" s="19" t="s">
        <v>546</v>
      </c>
    </row>
    <row r="511" spans="1:20" ht="37.5" customHeight="1" x14ac:dyDescent="0.25">
      <c r="A511" s="19" t="s">
        <v>548</v>
      </c>
      <c r="B511">
        <f t="shared" si="54"/>
        <v>7460</v>
      </c>
      <c r="C511">
        <v>2799</v>
      </c>
      <c r="D511">
        <v>4661</v>
      </c>
      <c r="F511">
        <f t="shared" si="55"/>
        <v>322</v>
      </c>
      <c r="G511" s="20">
        <f t="shared" si="56"/>
        <v>506</v>
      </c>
      <c r="H511" s="21">
        <v>88818030021</v>
      </c>
      <c r="I511" s="22" t="s">
        <v>549</v>
      </c>
      <c r="J511" s="23"/>
      <c r="K511" s="24">
        <v>7138</v>
      </c>
      <c r="L511" s="23">
        <f t="shared" si="50"/>
        <v>322</v>
      </c>
      <c r="M511" s="24">
        <v>2681</v>
      </c>
      <c r="N511" s="25">
        <f t="shared" si="51"/>
        <v>118</v>
      </c>
      <c r="O511" s="24">
        <v>4457</v>
      </c>
      <c r="P511" s="23">
        <f t="shared" si="52"/>
        <v>204</v>
      </c>
      <c r="Q511" s="26"/>
      <c r="R511" s="23">
        <f t="shared" si="53"/>
        <v>0</v>
      </c>
      <c r="S511" s="27" t="s">
        <v>537</v>
      </c>
      <c r="T511" s="19" t="s">
        <v>548</v>
      </c>
    </row>
    <row r="512" spans="1:20" ht="37.5" customHeight="1" x14ac:dyDescent="0.25">
      <c r="A512" s="19" t="s">
        <v>550</v>
      </c>
      <c r="B512">
        <f t="shared" si="54"/>
        <v>392567</v>
      </c>
      <c r="C512">
        <v>93125</v>
      </c>
      <c r="D512">
        <v>299442</v>
      </c>
      <c r="F512">
        <f t="shared" si="55"/>
        <v>2377</v>
      </c>
      <c r="G512" s="20">
        <f t="shared" si="56"/>
        <v>507</v>
      </c>
      <c r="H512" s="21">
        <v>23013010327</v>
      </c>
      <c r="I512" s="22" t="s">
        <v>551</v>
      </c>
      <c r="J512" s="23"/>
      <c r="K512" s="24">
        <v>390190</v>
      </c>
      <c r="L512" s="23">
        <f t="shared" si="50"/>
        <v>2377</v>
      </c>
      <c r="M512" s="24">
        <v>92939</v>
      </c>
      <c r="N512" s="25">
        <f t="shared" si="51"/>
        <v>186</v>
      </c>
      <c r="O512" s="24">
        <v>297251</v>
      </c>
      <c r="P512" s="23">
        <f t="shared" si="52"/>
        <v>2191</v>
      </c>
      <c r="Q512" s="26"/>
      <c r="R512" s="23">
        <f t="shared" si="53"/>
        <v>0</v>
      </c>
      <c r="S512" s="27" t="s">
        <v>537</v>
      </c>
      <c r="T512" s="19" t="s">
        <v>550</v>
      </c>
    </row>
    <row r="513" spans="1:20" ht="37.5" customHeight="1" x14ac:dyDescent="0.25">
      <c r="A513" s="19" t="s">
        <v>552</v>
      </c>
      <c r="B513">
        <f t="shared" si="54"/>
        <v>22381</v>
      </c>
      <c r="C513">
        <v>4192</v>
      </c>
      <c r="D513">
        <v>18189</v>
      </c>
      <c r="F513">
        <f t="shared" si="55"/>
        <v>318</v>
      </c>
      <c r="G513" s="20">
        <f t="shared" si="56"/>
        <v>508</v>
      </c>
      <c r="H513" s="21">
        <v>88818030176</v>
      </c>
      <c r="I513" s="22" t="s">
        <v>553</v>
      </c>
      <c r="J513" s="23"/>
      <c r="K513" s="24">
        <v>22063</v>
      </c>
      <c r="L513" s="23">
        <f t="shared" si="50"/>
        <v>318</v>
      </c>
      <c r="M513" s="24">
        <v>4140</v>
      </c>
      <c r="N513" s="25">
        <f t="shared" si="51"/>
        <v>52</v>
      </c>
      <c r="O513" s="24">
        <v>17923</v>
      </c>
      <c r="P513" s="23">
        <f t="shared" si="52"/>
        <v>266</v>
      </c>
      <c r="Q513" s="26"/>
      <c r="R513" s="23">
        <f t="shared" si="53"/>
        <v>0</v>
      </c>
      <c r="S513" s="27" t="s">
        <v>537</v>
      </c>
      <c r="T513" s="19" t="s">
        <v>552</v>
      </c>
    </row>
    <row r="514" spans="1:20" ht="37.5" customHeight="1" x14ac:dyDescent="0.25">
      <c r="A514" s="19" t="s">
        <v>554</v>
      </c>
      <c r="B514">
        <f t="shared" si="54"/>
        <v>26281</v>
      </c>
      <c r="C514">
        <v>9743</v>
      </c>
      <c r="D514">
        <v>16538</v>
      </c>
      <c r="F514">
        <f t="shared" si="55"/>
        <v>577</v>
      </c>
      <c r="G514" s="20">
        <f t="shared" si="56"/>
        <v>509</v>
      </c>
      <c r="H514" s="21">
        <v>66621070051</v>
      </c>
      <c r="I514" s="22" t="s">
        <v>555</v>
      </c>
      <c r="J514" s="23"/>
      <c r="K514" s="24">
        <v>25704</v>
      </c>
      <c r="L514" s="23">
        <f t="shared" si="50"/>
        <v>577</v>
      </c>
      <c r="M514" s="24">
        <v>9519</v>
      </c>
      <c r="N514" s="25">
        <f t="shared" si="51"/>
        <v>224</v>
      </c>
      <c r="O514" s="24">
        <v>16185</v>
      </c>
      <c r="P514" s="23">
        <f t="shared" si="52"/>
        <v>353</v>
      </c>
      <c r="Q514" s="26"/>
      <c r="R514" s="23">
        <f t="shared" si="53"/>
        <v>0</v>
      </c>
      <c r="S514" s="27" t="s">
        <v>537</v>
      </c>
      <c r="T514" s="19" t="s">
        <v>554</v>
      </c>
    </row>
    <row r="515" spans="1:20" ht="37.5" customHeight="1" x14ac:dyDescent="0.25">
      <c r="A515" s="19" t="s">
        <v>556</v>
      </c>
      <c r="B515">
        <f t="shared" si="54"/>
        <v>17328</v>
      </c>
      <c r="C515">
        <v>2763</v>
      </c>
      <c r="D515">
        <v>14565</v>
      </c>
      <c r="F515">
        <f t="shared" si="55"/>
        <v>10</v>
      </c>
      <c r="G515" s="20">
        <f t="shared" si="56"/>
        <v>510</v>
      </c>
      <c r="H515" s="21">
        <v>88818010051</v>
      </c>
      <c r="I515" s="22" t="s">
        <v>557</v>
      </c>
      <c r="J515" s="23"/>
      <c r="K515" s="24">
        <v>17318</v>
      </c>
      <c r="L515" s="23">
        <f t="shared" si="50"/>
        <v>10</v>
      </c>
      <c r="M515" s="24">
        <v>2761</v>
      </c>
      <c r="N515" s="25">
        <f t="shared" si="51"/>
        <v>2</v>
      </c>
      <c r="O515" s="24">
        <v>14557</v>
      </c>
      <c r="P515" s="23">
        <f t="shared" si="52"/>
        <v>8</v>
      </c>
      <c r="Q515" s="26"/>
      <c r="R515" s="23">
        <f t="shared" si="53"/>
        <v>0</v>
      </c>
      <c r="S515" s="27" t="s">
        <v>19</v>
      </c>
      <c r="T515" s="19" t="s">
        <v>556</v>
      </c>
    </row>
    <row r="516" spans="1:20" ht="37.5" customHeight="1" x14ac:dyDescent="0.25">
      <c r="A516" s="19" t="s">
        <v>558</v>
      </c>
      <c r="B516">
        <f t="shared" si="54"/>
        <v>20255</v>
      </c>
      <c r="C516">
        <v>3174</v>
      </c>
      <c r="D516">
        <v>17081</v>
      </c>
      <c r="F516">
        <f t="shared" si="55"/>
        <v>0</v>
      </c>
      <c r="G516" s="20">
        <f t="shared" si="56"/>
        <v>511</v>
      </c>
      <c r="H516" s="21">
        <v>88818010050</v>
      </c>
      <c r="I516" s="22" t="s">
        <v>559</v>
      </c>
      <c r="J516" s="23"/>
      <c r="K516" s="24">
        <v>20255</v>
      </c>
      <c r="L516" s="23">
        <f t="shared" si="50"/>
        <v>0</v>
      </c>
      <c r="M516" s="24">
        <v>3174</v>
      </c>
      <c r="N516" s="25">
        <f t="shared" si="51"/>
        <v>0</v>
      </c>
      <c r="O516" s="24">
        <v>17081</v>
      </c>
      <c r="P516" s="23">
        <f t="shared" si="52"/>
        <v>0</v>
      </c>
      <c r="Q516" s="26"/>
      <c r="R516" s="23">
        <f t="shared" si="53"/>
        <v>0</v>
      </c>
      <c r="S516" s="27" t="s">
        <v>19</v>
      </c>
      <c r="T516" s="19" t="s">
        <v>558</v>
      </c>
    </row>
    <row r="517" spans="1:20" ht="37.5" customHeight="1" x14ac:dyDescent="0.25">
      <c r="A517" s="19" t="s">
        <v>560</v>
      </c>
      <c r="B517">
        <f t="shared" si="54"/>
        <v>15116</v>
      </c>
      <c r="C517">
        <v>2646</v>
      </c>
      <c r="D517">
        <v>12470</v>
      </c>
      <c r="F517">
        <f t="shared" si="55"/>
        <v>9</v>
      </c>
      <c r="G517" s="20">
        <f t="shared" si="56"/>
        <v>512</v>
      </c>
      <c r="H517" s="21">
        <v>88818010117</v>
      </c>
      <c r="I517" s="22" t="s">
        <v>561</v>
      </c>
      <c r="J517" s="23"/>
      <c r="K517" s="24">
        <v>15107</v>
      </c>
      <c r="L517" s="23">
        <f t="shared" si="50"/>
        <v>9</v>
      </c>
      <c r="M517" s="24">
        <v>2644</v>
      </c>
      <c r="N517" s="25">
        <f t="shared" si="51"/>
        <v>2</v>
      </c>
      <c r="O517" s="24">
        <v>12463</v>
      </c>
      <c r="P517" s="23">
        <f t="shared" si="52"/>
        <v>7</v>
      </c>
      <c r="Q517" s="26"/>
      <c r="R517" s="23">
        <f t="shared" si="53"/>
        <v>0</v>
      </c>
      <c r="S517" s="27" t="s">
        <v>19</v>
      </c>
      <c r="T517" s="19" t="s">
        <v>560</v>
      </c>
    </row>
    <row r="518" spans="1:20" ht="37.5" customHeight="1" x14ac:dyDescent="0.25">
      <c r="A518" s="19" t="s">
        <v>562</v>
      </c>
      <c r="B518">
        <f t="shared" si="54"/>
        <v>25295</v>
      </c>
      <c r="C518">
        <v>5882</v>
      </c>
      <c r="D518">
        <v>19413</v>
      </c>
      <c r="F518">
        <f t="shared" si="55"/>
        <v>2228</v>
      </c>
      <c r="G518" s="20">
        <f t="shared" si="56"/>
        <v>513</v>
      </c>
      <c r="H518" s="21">
        <v>66618010143</v>
      </c>
      <c r="I518" s="22" t="s">
        <v>563</v>
      </c>
      <c r="J518" s="23"/>
      <c r="K518" s="24">
        <v>23067</v>
      </c>
      <c r="L518" s="23">
        <f t="shared" ref="L518:L553" si="57">B518-K518</f>
        <v>2228</v>
      </c>
      <c r="M518" s="24">
        <v>5250</v>
      </c>
      <c r="N518" s="25">
        <f t="shared" ref="N518:N553" si="58">C518-M518</f>
        <v>632</v>
      </c>
      <c r="O518" s="24">
        <v>17817</v>
      </c>
      <c r="P518" s="23">
        <f t="shared" ref="P518:P553" si="59">D518-O518</f>
        <v>1596</v>
      </c>
      <c r="Q518" s="26"/>
      <c r="R518" s="23">
        <f t="shared" ref="R518:R553" si="60">E518-Q518</f>
        <v>0</v>
      </c>
      <c r="S518" s="27" t="s">
        <v>537</v>
      </c>
      <c r="T518" s="19" t="s">
        <v>562</v>
      </c>
    </row>
    <row r="519" spans="1:20" ht="37.5" customHeight="1" x14ac:dyDescent="0.25">
      <c r="A519" s="19" t="s">
        <v>564</v>
      </c>
      <c r="B519">
        <f t="shared" ref="B519:B553" si="61">C519+D519</f>
        <v>44654</v>
      </c>
      <c r="C519">
        <v>12360</v>
      </c>
      <c r="D519">
        <v>32294</v>
      </c>
      <c r="F519">
        <f t="shared" ref="F519:F553" si="62">L519</f>
        <v>196</v>
      </c>
      <c r="G519" s="20">
        <f t="shared" si="56"/>
        <v>514</v>
      </c>
      <c r="H519" s="21">
        <v>88820003187</v>
      </c>
      <c r="I519" s="22" t="s">
        <v>565</v>
      </c>
      <c r="J519" s="23"/>
      <c r="K519" s="24">
        <v>44458</v>
      </c>
      <c r="L519" s="23">
        <f t="shared" si="57"/>
        <v>196</v>
      </c>
      <c r="M519" s="24">
        <v>12313</v>
      </c>
      <c r="N519" s="25">
        <f t="shared" si="58"/>
        <v>47</v>
      </c>
      <c r="O519" s="24">
        <v>32145</v>
      </c>
      <c r="P519" s="23">
        <f t="shared" si="59"/>
        <v>149</v>
      </c>
      <c r="Q519" s="26"/>
      <c r="R519" s="23">
        <f t="shared" si="60"/>
        <v>0</v>
      </c>
      <c r="S519" s="27" t="s">
        <v>537</v>
      </c>
      <c r="T519" s="19" t="s">
        <v>564</v>
      </c>
    </row>
    <row r="520" spans="1:20" ht="37.5" customHeight="1" x14ac:dyDescent="0.25">
      <c r="A520" s="19" t="s">
        <v>566</v>
      </c>
      <c r="B520">
        <f t="shared" si="61"/>
        <v>136108</v>
      </c>
      <c r="C520">
        <v>29895</v>
      </c>
      <c r="D520">
        <v>106213</v>
      </c>
      <c r="F520">
        <f t="shared" si="62"/>
        <v>0</v>
      </c>
      <c r="G520" s="20">
        <f t="shared" ref="G520:G553" si="63">G519+1</f>
        <v>515</v>
      </c>
      <c r="H520" s="21">
        <v>88818010118</v>
      </c>
      <c r="I520" s="22" t="s">
        <v>567</v>
      </c>
      <c r="J520" s="23"/>
      <c r="K520" s="24">
        <v>136108</v>
      </c>
      <c r="L520" s="23">
        <f t="shared" si="57"/>
        <v>0</v>
      </c>
      <c r="M520" s="24">
        <v>29895</v>
      </c>
      <c r="N520" s="25">
        <f t="shared" si="58"/>
        <v>0</v>
      </c>
      <c r="O520" s="24">
        <v>106213</v>
      </c>
      <c r="P520" s="23">
        <f t="shared" si="59"/>
        <v>0</v>
      </c>
      <c r="Q520" s="26"/>
      <c r="R520" s="23">
        <f t="shared" si="60"/>
        <v>0</v>
      </c>
      <c r="S520" s="27" t="s">
        <v>537</v>
      </c>
      <c r="T520" s="19" t="s">
        <v>566</v>
      </c>
    </row>
    <row r="521" spans="1:20" ht="37.5" customHeight="1" x14ac:dyDescent="0.25">
      <c r="A521" s="19" t="s">
        <v>568</v>
      </c>
      <c r="B521">
        <f t="shared" si="61"/>
        <v>151391</v>
      </c>
      <c r="C521">
        <v>45735</v>
      </c>
      <c r="D521">
        <v>105656</v>
      </c>
      <c r="F521">
        <f t="shared" si="62"/>
        <v>1071</v>
      </c>
      <c r="G521" s="20">
        <f t="shared" si="63"/>
        <v>516</v>
      </c>
      <c r="H521" s="21">
        <v>23014060701</v>
      </c>
      <c r="I521" s="22" t="s">
        <v>569</v>
      </c>
      <c r="J521" s="23"/>
      <c r="K521" s="24">
        <v>150320</v>
      </c>
      <c r="L521" s="23">
        <f t="shared" si="57"/>
        <v>1071</v>
      </c>
      <c r="M521" s="24">
        <v>45371</v>
      </c>
      <c r="N521" s="25">
        <f t="shared" si="58"/>
        <v>364</v>
      </c>
      <c r="O521" s="24">
        <v>104949</v>
      </c>
      <c r="P521" s="23">
        <f t="shared" si="59"/>
        <v>707</v>
      </c>
      <c r="Q521" s="26"/>
      <c r="R521" s="23">
        <f t="shared" si="60"/>
        <v>0</v>
      </c>
      <c r="S521" s="27" t="s">
        <v>537</v>
      </c>
      <c r="T521" s="19" t="s">
        <v>568</v>
      </c>
    </row>
    <row r="522" spans="1:20" ht="37.5" customHeight="1" x14ac:dyDescent="0.25">
      <c r="A522" s="19" t="s">
        <v>570</v>
      </c>
      <c r="B522">
        <f t="shared" si="61"/>
        <v>298692</v>
      </c>
      <c r="C522">
        <v>68020</v>
      </c>
      <c r="D522">
        <v>230672</v>
      </c>
      <c r="F522">
        <f t="shared" si="62"/>
        <v>4641</v>
      </c>
      <c r="G522" s="20">
        <f t="shared" si="63"/>
        <v>517</v>
      </c>
      <c r="H522" s="21">
        <v>88818030299</v>
      </c>
      <c r="I522" s="22" t="s">
        <v>571</v>
      </c>
      <c r="J522" s="23"/>
      <c r="K522" s="24">
        <v>294051</v>
      </c>
      <c r="L522" s="23">
        <f t="shared" si="57"/>
        <v>4641</v>
      </c>
      <c r="M522" s="24">
        <v>66993</v>
      </c>
      <c r="N522" s="25">
        <f t="shared" si="58"/>
        <v>1027</v>
      </c>
      <c r="O522" s="24">
        <v>227058</v>
      </c>
      <c r="P522" s="23">
        <f t="shared" si="59"/>
        <v>3614</v>
      </c>
      <c r="Q522" s="26"/>
      <c r="R522" s="23">
        <f t="shared" si="60"/>
        <v>0</v>
      </c>
      <c r="S522" s="27" t="s">
        <v>537</v>
      </c>
      <c r="T522" s="19" t="s">
        <v>570</v>
      </c>
    </row>
    <row r="523" spans="1:20" ht="37.5" customHeight="1" x14ac:dyDescent="0.25">
      <c r="A523" s="19" t="s">
        <v>572</v>
      </c>
      <c r="B523">
        <f t="shared" si="61"/>
        <v>119136</v>
      </c>
      <c r="C523">
        <v>25889</v>
      </c>
      <c r="D523">
        <v>93247</v>
      </c>
      <c r="F523">
        <f t="shared" si="62"/>
        <v>6617</v>
      </c>
      <c r="G523" s="20">
        <f t="shared" si="63"/>
        <v>518</v>
      </c>
      <c r="H523" s="21">
        <v>66619040154</v>
      </c>
      <c r="I523" s="22" t="s">
        <v>573</v>
      </c>
      <c r="J523" s="23"/>
      <c r="K523" s="24">
        <v>112519</v>
      </c>
      <c r="L523" s="23">
        <f t="shared" si="57"/>
        <v>6617</v>
      </c>
      <c r="M523" s="24">
        <v>24350</v>
      </c>
      <c r="N523" s="25">
        <f t="shared" si="58"/>
        <v>1539</v>
      </c>
      <c r="O523" s="24">
        <v>88169</v>
      </c>
      <c r="P523" s="23">
        <f t="shared" si="59"/>
        <v>5078</v>
      </c>
      <c r="Q523" s="26"/>
      <c r="R523" s="23">
        <f t="shared" si="60"/>
        <v>0</v>
      </c>
      <c r="S523" s="27" t="s">
        <v>537</v>
      </c>
      <c r="T523" s="19" t="s">
        <v>572</v>
      </c>
    </row>
    <row r="524" spans="1:20" ht="37.5" customHeight="1" x14ac:dyDescent="0.25">
      <c r="A524" s="19" t="s">
        <v>574</v>
      </c>
      <c r="B524">
        <f t="shared" si="61"/>
        <v>39772</v>
      </c>
      <c r="C524">
        <v>9905</v>
      </c>
      <c r="D524">
        <v>29867</v>
      </c>
      <c r="F524">
        <f t="shared" si="62"/>
        <v>318</v>
      </c>
      <c r="G524" s="20">
        <f t="shared" si="63"/>
        <v>519</v>
      </c>
      <c r="H524" s="21">
        <v>66616031286</v>
      </c>
      <c r="I524" s="22" t="s">
        <v>575</v>
      </c>
      <c r="J524" s="23"/>
      <c r="K524" s="24">
        <v>39454</v>
      </c>
      <c r="L524" s="23">
        <f t="shared" si="57"/>
        <v>318</v>
      </c>
      <c r="M524" s="24">
        <v>9851</v>
      </c>
      <c r="N524" s="25">
        <f t="shared" si="58"/>
        <v>54</v>
      </c>
      <c r="O524" s="24">
        <v>29603</v>
      </c>
      <c r="P524" s="23">
        <f t="shared" si="59"/>
        <v>264</v>
      </c>
      <c r="Q524" s="26"/>
      <c r="R524" s="23">
        <f t="shared" si="60"/>
        <v>0</v>
      </c>
      <c r="S524" s="27" t="s">
        <v>537</v>
      </c>
      <c r="T524" s="19" t="s">
        <v>574</v>
      </c>
    </row>
    <row r="525" spans="1:20" ht="37.5" customHeight="1" x14ac:dyDescent="0.25">
      <c r="A525" s="19" t="s">
        <v>576</v>
      </c>
      <c r="B525">
        <f t="shared" si="61"/>
        <v>114845</v>
      </c>
      <c r="C525">
        <v>22778</v>
      </c>
      <c r="D525">
        <v>92067</v>
      </c>
      <c r="F525">
        <f t="shared" si="62"/>
        <v>66</v>
      </c>
      <c r="G525" s="20">
        <f t="shared" si="63"/>
        <v>520</v>
      </c>
      <c r="H525" s="21">
        <v>88818030273</v>
      </c>
      <c r="I525" s="22" t="s">
        <v>577</v>
      </c>
      <c r="J525" s="23"/>
      <c r="K525" s="24">
        <v>114779</v>
      </c>
      <c r="L525" s="23">
        <f t="shared" si="57"/>
        <v>66</v>
      </c>
      <c r="M525" s="24">
        <v>22765</v>
      </c>
      <c r="N525" s="25">
        <f t="shared" si="58"/>
        <v>13</v>
      </c>
      <c r="O525" s="24">
        <v>92014</v>
      </c>
      <c r="P525" s="23">
        <f t="shared" si="59"/>
        <v>53</v>
      </c>
      <c r="Q525" s="26"/>
      <c r="R525" s="23">
        <f t="shared" si="60"/>
        <v>0</v>
      </c>
      <c r="S525" s="27" t="s">
        <v>537</v>
      </c>
      <c r="T525" s="19" t="s">
        <v>576</v>
      </c>
    </row>
    <row r="526" spans="1:20" ht="37.5" customHeight="1" x14ac:dyDescent="0.25">
      <c r="A526" s="19" t="s">
        <v>578</v>
      </c>
      <c r="B526">
        <f t="shared" si="61"/>
        <v>9168</v>
      </c>
      <c r="C526">
        <v>1474</v>
      </c>
      <c r="D526">
        <v>7694</v>
      </c>
      <c r="F526">
        <f t="shared" si="62"/>
        <v>13</v>
      </c>
      <c r="G526" s="20">
        <f t="shared" si="63"/>
        <v>521</v>
      </c>
      <c r="H526" s="21">
        <v>88819020095</v>
      </c>
      <c r="I526" s="22" t="s">
        <v>579</v>
      </c>
      <c r="J526" s="23"/>
      <c r="K526" s="24">
        <v>9155</v>
      </c>
      <c r="L526" s="23">
        <f t="shared" si="57"/>
        <v>13</v>
      </c>
      <c r="M526" s="24">
        <v>1471</v>
      </c>
      <c r="N526" s="25">
        <f t="shared" si="58"/>
        <v>3</v>
      </c>
      <c r="O526" s="24">
        <v>7684</v>
      </c>
      <c r="P526" s="23">
        <f t="shared" si="59"/>
        <v>10</v>
      </c>
      <c r="Q526" s="26"/>
      <c r="R526" s="23">
        <f t="shared" si="60"/>
        <v>0</v>
      </c>
      <c r="S526" s="27" t="s">
        <v>537</v>
      </c>
      <c r="T526" s="19" t="s">
        <v>578</v>
      </c>
    </row>
    <row r="527" spans="1:20" ht="37.5" customHeight="1" x14ac:dyDescent="0.25">
      <c r="A527" s="19" t="s">
        <v>580</v>
      </c>
      <c r="B527">
        <f t="shared" si="61"/>
        <v>54</v>
      </c>
      <c r="C527">
        <v>10</v>
      </c>
      <c r="D527">
        <v>44</v>
      </c>
      <c r="F527">
        <f t="shared" si="62"/>
        <v>0</v>
      </c>
      <c r="G527" s="20">
        <f t="shared" si="63"/>
        <v>522</v>
      </c>
      <c r="H527" s="21">
        <v>88819020094</v>
      </c>
      <c r="I527" s="22" t="s">
        <v>581</v>
      </c>
      <c r="J527" s="23"/>
      <c r="K527" s="24">
        <v>54</v>
      </c>
      <c r="L527" s="23">
        <f t="shared" si="57"/>
        <v>0</v>
      </c>
      <c r="M527" s="24">
        <v>10</v>
      </c>
      <c r="N527" s="25">
        <f t="shared" si="58"/>
        <v>0</v>
      </c>
      <c r="O527" s="24">
        <v>44</v>
      </c>
      <c r="P527" s="23">
        <f t="shared" si="59"/>
        <v>0</v>
      </c>
      <c r="Q527" s="26"/>
      <c r="R527" s="23">
        <f t="shared" si="60"/>
        <v>0</v>
      </c>
      <c r="S527" s="27" t="s">
        <v>537</v>
      </c>
      <c r="T527" s="19" t="s">
        <v>580</v>
      </c>
    </row>
    <row r="528" spans="1:20" ht="37.5" customHeight="1" x14ac:dyDescent="0.25">
      <c r="A528" s="19" t="s">
        <v>582</v>
      </c>
      <c r="B528">
        <f t="shared" si="61"/>
        <v>3956</v>
      </c>
      <c r="C528">
        <v>662</v>
      </c>
      <c r="D528">
        <v>3294</v>
      </c>
      <c r="F528">
        <f t="shared" si="62"/>
        <v>46</v>
      </c>
      <c r="G528" s="20">
        <f t="shared" si="63"/>
        <v>523</v>
      </c>
      <c r="H528" s="21">
        <v>66622020304</v>
      </c>
      <c r="I528" s="22" t="s">
        <v>583</v>
      </c>
      <c r="J528" s="23"/>
      <c r="K528" s="24">
        <v>3910</v>
      </c>
      <c r="L528" s="23">
        <f t="shared" si="57"/>
        <v>46</v>
      </c>
      <c r="M528" s="24">
        <v>656</v>
      </c>
      <c r="N528" s="25">
        <f t="shared" si="58"/>
        <v>6</v>
      </c>
      <c r="O528" s="24">
        <v>3254</v>
      </c>
      <c r="P528" s="23">
        <f t="shared" si="59"/>
        <v>40</v>
      </c>
      <c r="Q528" s="26"/>
      <c r="R528" s="23">
        <f t="shared" si="60"/>
        <v>0</v>
      </c>
      <c r="S528" s="27" t="s">
        <v>19</v>
      </c>
      <c r="T528" s="19" t="s">
        <v>582</v>
      </c>
    </row>
    <row r="529" spans="1:20" ht="37.5" customHeight="1" x14ac:dyDescent="0.25">
      <c r="A529" s="19" t="s">
        <v>584</v>
      </c>
      <c r="B529">
        <f t="shared" si="61"/>
        <v>11354</v>
      </c>
      <c r="C529">
        <v>1585</v>
      </c>
      <c r="D529">
        <v>9769</v>
      </c>
      <c r="F529">
        <f t="shared" si="62"/>
        <v>157</v>
      </c>
      <c r="G529" s="20">
        <f t="shared" si="63"/>
        <v>524</v>
      </c>
      <c r="H529" s="21">
        <v>66621040402</v>
      </c>
      <c r="I529" s="22" t="s">
        <v>585</v>
      </c>
      <c r="J529" s="23"/>
      <c r="K529" s="24">
        <v>11197</v>
      </c>
      <c r="L529" s="23">
        <f t="shared" si="57"/>
        <v>157</v>
      </c>
      <c r="M529" s="24">
        <v>1558</v>
      </c>
      <c r="N529" s="25">
        <f t="shared" si="58"/>
        <v>27</v>
      </c>
      <c r="O529" s="24">
        <v>9639</v>
      </c>
      <c r="P529" s="23">
        <f t="shared" si="59"/>
        <v>130</v>
      </c>
      <c r="Q529" s="26"/>
      <c r="R529" s="23">
        <f t="shared" si="60"/>
        <v>0</v>
      </c>
      <c r="S529" s="27" t="s">
        <v>19</v>
      </c>
      <c r="T529" s="19" t="s">
        <v>584</v>
      </c>
    </row>
    <row r="530" spans="1:20" ht="37.5" customHeight="1" x14ac:dyDescent="0.25">
      <c r="A530" s="19" t="s">
        <v>586</v>
      </c>
      <c r="B530">
        <f t="shared" si="61"/>
        <v>114252</v>
      </c>
      <c r="C530">
        <v>20490</v>
      </c>
      <c r="D530">
        <v>93762</v>
      </c>
      <c r="F530">
        <f t="shared" si="62"/>
        <v>736</v>
      </c>
      <c r="G530" s="20">
        <f t="shared" si="63"/>
        <v>525</v>
      </c>
      <c r="H530" s="21">
        <v>88820010100</v>
      </c>
      <c r="I530" s="22" t="s">
        <v>587</v>
      </c>
      <c r="J530" s="23"/>
      <c r="K530" s="24">
        <v>113516</v>
      </c>
      <c r="L530" s="23">
        <f t="shared" si="57"/>
        <v>736</v>
      </c>
      <c r="M530" s="24">
        <v>20203</v>
      </c>
      <c r="N530" s="25">
        <f t="shared" si="58"/>
        <v>287</v>
      </c>
      <c r="O530" s="24">
        <v>93313</v>
      </c>
      <c r="P530" s="23">
        <f t="shared" si="59"/>
        <v>449</v>
      </c>
      <c r="Q530" s="26"/>
      <c r="R530" s="23">
        <f t="shared" si="60"/>
        <v>0</v>
      </c>
      <c r="S530" s="27" t="s">
        <v>537</v>
      </c>
      <c r="T530" s="19" t="s">
        <v>586</v>
      </c>
    </row>
    <row r="531" spans="1:20" ht="37.5" customHeight="1" x14ac:dyDescent="0.25">
      <c r="A531" s="19" t="s">
        <v>588</v>
      </c>
      <c r="B531">
        <f t="shared" si="61"/>
        <v>1601</v>
      </c>
      <c r="C531">
        <v>531</v>
      </c>
      <c r="D531">
        <v>1070</v>
      </c>
      <c r="F531">
        <f t="shared" si="62"/>
        <v>292</v>
      </c>
      <c r="G531" s="20">
        <f t="shared" si="63"/>
        <v>526</v>
      </c>
      <c r="H531" s="21">
        <v>66624010215</v>
      </c>
      <c r="I531" s="22" t="s">
        <v>589</v>
      </c>
      <c r="J531" s="23"/>
      <c r="K531" s="24">
        <v>1309</v>
      </c>
      <c r="L531" s="23">
        <f t="shared" si="57"/>
        <v>292</v>
      </c>
      <c r="M531" s="24">
        <v>438</v>
      </c>
      <c r="N531" s="25">
        <f t="shared" si="58"/>
        <v>93</v>
      </c>
      <c r="O531" s="24">
        <v>871</v>
      </c>
      <c r="P531" s="23">
        <f t="shared" si="59"/>
        <v>199</v>
      </c>
      <c r="Q531" s="26"/>
      <c r="R531" s="23">
        <f t="shared" si="60"/>
        <v>0</v>
      </c>
      <c r="S531" s="27" t="s">
        <v>537</v>
      </c>
      <c r="T531" s="19" t="s">
        <v>588</v>
      </c>
    </row>
    <row r="532" spans="1:20" ht="37.5" customHeight="1" x14ac:dyDescent="0.25">
      <c r="A532" s="19" t="s">
        <v>590</v>
      </c>
      <c r="B532">
        <f t="shared" si="61"/>
        <v>5252</v>
      </c>
      <c r="C532">
        <v>645</v>
      </c>
      <c r="D532">
        <v>4607</v>
      </c>
      <c r="F532">
        <f t="shared" si="62"/>
        <v>189</v>
      </c>
      <c r="G532" s="20">
        <f t="shared" si="63"/>
        <v>527</v>
      </c>
      <c r="H532" s="21">
        <v>666210702055</v>
      </c>
      <c r="I532" s="22" t="s">
        <v>591</v>
      </c>
      <c r="J532" s="23"/>
      <c r="K532" s="24">
        <v>5063</v>
      </c>
      <c r="L532" s="23">
        <f t="shared" si="57"/>
        <v>189</v>
      </c>
      <c r="M532" s="24">
        <v>620</v>
      </c>
      <c r="N532" s="25">
        <f t="shared" si="58"/>
        <v>25</v>
      </c>
      <c r="O532" s="24">
        <v>4443</v>
      </c>
      <c r="P532" s="23">
        <f t="shared" si="59"/>
        <v>164</v>
      </c>
      <c r="Q532" s="26"/>
      <c r="R532" s="23">
        <f t="shared" si="60"/>
        <v>0</v>
      </c>
      <c r="S532" s="27" t="s">
        <v>19</v>
      </c>
      <c r="T532" s="19" t="s">
        <v>590</v>
      </c>
    </row>
    <row r="533" spans="1:20" ht="37.5" customHeight="1" x14ac:dyDescent="0.25">
      <c r="A533" s="19" t="s">
        <v>592</v>
      </c>
      <c r="B533">
        <f t="shared" si="61"/>
        <v>34702</v>
      </c>
      <c r="C533">
        <v>7425</v>
      </c>
      <c r="D533">
        <v>27277</v>
      </c>
      <c r="F533">
        <f t="shared" si="62"/>
        <v>299</v>
      </c>
      <c r="G533" s="20">
        <f t="shared" si="63"/>
        <v>528</v>
      </c>
      <c r="H533" s="21">
        <v>88819030259</v>
      </c>
      <c r="I533" s="22" t="s">
        <v>593</v>
      </c>
      <c r="J533" s="23"/>
      <c r="K533" s="24">
        <v>34403</v>
      </c>
      <c r="L533" s="23">
        <f t="shared" si="57"/>
        <v>299</v>
      </c>
      <c r="M533" s="24">
        <v>7360</v>
      </c>
      <c r="N533" s="25">
        <f t="shared" si="58"/>
        <v>65</v>
      </c>
      <c r="O533" s="24">
        <v>27043</v>
      </c>
      <c r="P533" s="23">
        <f t="shared" si="59"/>
        <v>234</v>
      </c>
      <c r="Q533" s="26"/>
      <c r="R533" s="23">
        <f t="shared" si="60"/>
        <v>0</v>
      </c>
      <c r="S533" s="27" t="s">
        <v>537</v>
      </c>
      <c r="T533" s="19" t="s">
        <v>592</v>
      </c>
    </row>
    <row r="534" spans="1:20" ht="37.5" customHeight="1" x14ac:dyDescent="0.25">
      <c r="A534" s="19" t="s">
        <v>594</v>
      </c>
      <c r="B534">
        <f t="shared" si="61"/>
        <v>70847</v>
      </c>
      <c r="C534">
        <v>16351</v>
      </c>
      <c r="D534">
        <v>54496</v>
      </c>
      <c r="F534">
        <f t="shared" si="62"/>
        <v>489</v>
      </c>
      <c r="G534" s="20">
        <f t="shared" si="63"/>
        <v>529</v>
      </c>
      <c r="H534" s="21">
        <v>23012010168</v>
      </c>
      <c r="I534" s="22" t="s">
        <v>595</v>
      </c>
      <c r="J534" s="23"/>
      <c r="K534" s="24">
        <v>70358</v>
      </c>
      <c r="L534" s="23">
        <f t="shared" si="57"/>
        <v>489</v>
      </c>
      <c r="M534" s="24">
        <v>16268</v>
      </c>
      <c r="N534" s="25">
        <f t="shared" si="58"/>
        <v>83</v>
      </c>
      <c r="O534" s="24">
        <v>54090</v>
      </c>
      <c r="P534" s="23">
        <f t="shared" si="59"/>
        <v>406</v>
      </c>
      <c r="Q534" s="26"/>
      <c r="R534" s="23">
        <f t="shared" si="60"/>
        <v>0</v>
      </c>
      <c r="S534" s="27" t="s">
        <v>537</v>
      </c>
      <c r="T534" s="19" t="s">
        <v>594</v>
      </c>
    </row>
    <row r="535" spans="1:20" ht="37.5" customHeight="1" x14ac:dyDescent="0.25">
      <c r="A535" s="19" t="s">
        <v>596</v>
      </c>
      <c r="B535">
        <f t="shared" si="61"/>
        <v>246174</v>
      </c>
      <c r="C535">
        <v>52768</v>
      </c>
      <c r="D535">
        <v>193406</v>
      </c>
      <c r="F535">
        <f t="shared" si="62"/>
        <v>2811</v>
      </c>
      <c r="G535" s="20">
        <f t="shared" si="63"/>
        <v>530</v>
      </c>
      <c r="H535" s="21">
        <v>88819020411</v>
      </c>
      <c r="I535" s="22" t="s">
        <v>597</v>
      </c>
      <c r="J535" s="23"/>
      <c r="K535" s="24">
        <v>243363</v>
      </c>
      <c r="L535" s="23">
        <f t="shared" si="57"/>
        <v>2811</v>
      </c>
      <c r="M535" s="24">
        <v>52140</v>
      </c>
      <c r="N535" s="25">
        <f t="shared" si="58"/>
        <v>628</v>
      </c>
      <c r="O535" s="24">
        <v>191223</v>
      </c>
      <c r="P535" s="23">
        <f t="shared" si="59"/>
        <v>2183</v>
      </c>
      <c r="Q535" s="26"/>
      <c r="R535" s="23">
        <f t="shared" si="60"/>
        <v>0</v>
      </c>
      <c r="S535" s="27" t="s">
        <v>537</v>
      </c>
      <c r="T535" s="19" t="s">
        <v>596</v>
      </c>
    </row>
    <row r="536" spans="1:20" ht="37.5" customHeight="1" x14ac:dyDescent="0.25">
      <c r="A536" s="19" t="s">
        <v>598</v>
      </c>
      <c r="B536">
        <f t="shared" si="61"/>
        <v>39126</v>
      </c>
      <c r="C536">
        <v>8742</v>
      </c>
      <c r="D536">
        <v>30384</v>
      </c>
      <c r="F536">
        <f t="shared" si="62"/>
        <v>549</v>
      </c>
      <c r="G536" s="20">
        <f t="shared" si="63"/>
        <v>531</v>
      </c>
      <c r="H536" s="21">
        <v>88820003221</v>
      </c>
      <c r="I536" s="22" t="s">
        <v>599</v>
      </c>
      <c r="J536" s="23"/>
      <c r="K536" s="24">
        <v>38577</v>
      </c>
      <c r="L536" s="23">
        <f t="shared" si="57"/>
        <v>549</v>
      </c>
      <c r="M536" s="24">
        <v>8496</v>
      </c>
      <c r="N536" s="25">
        <f t="shared" si="58"/>
        <v>246</v>
      </c>
      <c r="O536" s="24">
        <v>30081</v>
      </c>
      <c r="P536" s="23">
        <f t="shared" si="59"/>
        <v>303</v>
      </c>
      <c r="Q536" s="26"/>
      <c r="R536" s="23">
        <f t="shared" si="60"/>
        <v>0</v>
      </c>
      <c r="S536" s="27" t="s">
        <v>537</v>
      </c>
      <c r="T536" s="19" t="s">
        <v>598</v>
      </c>
    </row>
    <row r="537" spans="1:20" ht="37.5" customHeight="1" x14ac:dyDescent="0.25">
      <c r="A537" s="19" t="s">
        <v>600</v>
      </c>
      <c r="B537">
        <f t="shared" si="61"/>
        <v>31801</v>
      </c>
      <c r="C537">
        <v>9630</v>
      </c>
      <c r="D537">
        <v>22171</v>
      </c>
      <c r="F537">
        <f t="shared" si="62"/>
        <v>518</v>
      </c>
      <c r="G537" s="20">
        <f t="shared" si="63"/>
        <v>532</v>
      </c>
      <c r="H537" s="21">
        <v>88819010416</v>
      </c>
      <c r="I537" s="22" t="s">
        <v>601</v>
      </c>
      <c r="J537" s="23"/>
      <c r="K537" s="24">
        <v>31283</v>
      </c>
      <c r="L537" s="23">
        <f t="shared" si="57"/>
        <v>518</v>
      </c>
      <c r="M537" s="24">
        <v>9480</v>
      </c>
      <c r="N537" s="25">
        <f t="shared" si="58"/>
        <v>150</v>
      </c>
      <c r="O537" s="24">
        <v>21803</v>
      </c>
      <c r="P537" s="23">
        <f t="shared" si="59"/>
        <v>368</v>
      </c>
      <c r="Q537" s="26"/>
      <c r="R537" s="23">
        <f t="shared" si="60"/>
        <v>0</v>
      </c>
      <c r="S537" s="27" t="s">
        <v>537</v>
      </c>
      <c r="T537" s="19" t="s">
        <v>600</v>
      </c>
    </row>
    <row r="538" spans="1:20" ht="37.5" customHeight="1" x14ac:dyDescent="0.25">
      <c r="A538" s="19" t="s">
        <v>602</v>
      </c>
      <c r="B538">
        <f t="shared" si="61"/>
        <v>47701</v>
      </c>
      <c r="C538">
        <v>10982</v>
      </c>
      <c r="D538">
        <v>36719</v>
      </c>
      <c r="F538">
        <f t="shared" si="62"/>
        <v>594</v>
      </c>
      <c r="G538" s="20">
        <f t="shared" si="63"/>
        <v>533</v>
      </c>
      <c r="H538" s="21">
        <v>88819010415</v>
      </c>
      <c r="I538" s="22" t="s">
        <v>603</v>
      </c>
      <c r="J538" s="23"/>
      <c r="K538" s="24">
        <v>47107</v>
      </c>
      <c r="L538" s="23">
        <f t="shared" si="57"/>
        <v>594</v>
      </c>
      <c r="M538" s="24">
        <v>10850</v>
      </c>
      <c r="N538" s="25">
        <f t="shared" si="58"/>
        <v>132</v>
      </c>
      <c r="O538" s="24">
        <v>36257</v>
      </c>
      <c r="P538" s="23">
        <f t="shared" si="59"/>
        <v>462</v>
      </c>
      <c r="Q538" s="26"/>
      <c r="R538" s="23">
        <f t="shared" si="60"/>
        <v>0</v>
      </c>
      <c r="S538" s="27" t="s">
        <v>537</v>
      </c>
      <c r="T538" s="19" t="s">
        <v>602</v>
      </c>
    </row>
    <row r="539" spans="1:20" ht="37.5" customHeight="1" x14ac:dyDescent="0.25">
      <c r="A539" s="19" t="s">
        <v>604</v>
      </c>
      <c r="B539">
        <f>772+K539</f>
        <v>117994</v>
      </c>
      <c r="F539">
        <f t="shared" si="62"/>
        <v>772</v>
      </c>
      <c r="G539" s="20">
        <f t="shared" si="63"/>
        <v>534</v>
      </c>
      <c r="H539" s="21">
        <v>23015100053</v>
      </c>
      <c r="I539" s="22" t="s">
        <v>605</v>
      </c>
      <c r="J539" s="23"/>
      <c r="K539" s="24">
        <v>117222</v>
      </c>
      <c r="L539" s="23">
        <f t="shared" si="57"/>
        <v>772</v>
      </c>
      <c r="M539" s="24">
        <v>38330</v>
      </c>
      <c r="N539" s="25">
        <f t="shared" si="58"/>
        <v>-38330</v>
      </c>
      <c r="O539" s="24">
        <v>78892</v>
      </c>
      <c r="P539" s="23">
        <f t="shared" si="59"/>
        <v>-78892</v>
      </c>
      <c r="Q539" s="26"/>
      <c r="R539" s="23">
        <f t="shared" si="60"/>
        <v>0</v>
      </c>
      <c r="S539" s="27" t="s">
        <v>537</v>
      </c>
      <c r="T539" s="19" t="s">
        <v>604</v>
      </c>
    </row>
    <row r="540" spans="1:20" ht="37.5" customHeight="1" x14ac:dyDescent="0.25">
      <c r="A540" s="19" t="s">
        <v>606</v>
      </c>
      <c r="B540">
        <f t="shared" si="61"/>
        <v>53743</v>
      </c>
      <c r="C540">
        <v>15619</v>
      </c>
      <c r="D540">
        <v>38124</v>
      </c>
      <c r="F540">
        <f t="shared" si="62"/>
        <v>1355</v>
      </c>
      <c r="G540" s="20">
        <f t="shared" si="63"/>
        <v>535</v>
      </c>
      <c r="H540" s="21">
        <v>66621100269</v>
      </c>
      <c r="I540" s="22" t="s">
        <v>607</v>
      </c>
      <c r="J540" s="23"/>
      <c r="K540" s="24">
        <v>52388</v>
      </c>
      <c r="L540" s="23">
        <f t="shared" si="57"/>
        <v>1355</v>
      </c>
      <c r="M540" s="24">
        <v>15226</v>
      </c>
      <c r="N540" s="25">
        <f t="shared" si="58"/>
        <v>393</v>
      </c>
      <c r="O540" s="24">
        <v>37162</v>
      </c>
      <c r="P540" s="23">
        <f t="shared" si="59"/>
        <v>962</v>
      </c>
      <c r="Q540" s="26"/>
      <c r="R540" s="23">
        <f t="shared" si="60"/>
        <v>0</v>
      </c>
      <c r="S540" s="27" t="s">
        <v>537</v>
      </c>
      <c r="T540" s="19" t="s">
        <v>606</v>
      </c>
    </row>
    <row r="541" spans="1:20" ht="37.5" customHeight="1" x14ac:dyDescent="0.25">
      <c r="A541" s="19" t="s">
        <v>608</v>
      </c>
      <c r="B541">
        <f t="shared" si="61"/>
        <v>85197</v>
      </c>
      <c r="C541">
        <v>20315</v>
      </c>
      <c r="D541">
        <v>64882</v>
      </c>
      <c r="F541">
        <f t="shared" si="62"/>
        <v>697</v>
      </c>
      <c r="G541" s="20">
        <f t="shared" si="63"/>
        <v>536</v>
      </c>
      <c r="H541" s="21">
        <v>88819010229</v>
      </c>
      <c r="I541" s="22" t="s">
        <v>609</v>
      </c>
      <c r="J541" s="23"/>
      <c r="K541" s="24">
        <v>84500</v>
      </c>
      <c r="L541" s="23">
        <f t="shared" si="57"/>
        <v>697</v>
      </c>
      <c r="M541" s="24">
        <v>20189</v>
      </c>
      <c r="N541" s="25">
        <f t="shared" si="58"/>
        <v>126</v>
      </c>
      <c r="O541" s="24">
        <v>64311</v>
      </c>
      <c r="P541" s="23">
        <f t="shared" si="59"/>
        <v>571</v>
      </c>
      <c r="Q541" s="26"/>
      <c r="R541" s="23">
        <f t="shared" si="60"/>
        <v>0</v>
      </c>
      <c r="S541" s="27" t="s">
        <v>537</v>
      </c>
      <c r="T541" s="19" t="s">
        <v>608</v>
      </c>
    </row>
    <row r="542" spans="1:20" ht="37.5" customHeight="1" x14ac:dyDescent="0.25">
      <c r="A542" s="19" t="s">
        <v>610</v>
      </c>
      <c r="B542">
        <f t="shared" si="61"/>
        <v>82332</v>
      </c>
      <c r="C542">
        <v>19930</v>
      </c>
      <c r="D542">
        <v>62402</v>
      </c>
      <c r="F542">
        <f t="shared" si="62"/>
        <v>1592</v>
      </c>
      <c r="G542" s="20">
        <f t="shared" si="63"/>
        <v>537</v>
      </c>
      <c r="H542" s="21">
        <v>88819010469</v>
      </c>
      <c r="I542" s="22" t="s">
        <v>611</v>
      </c>
      <c r="J542" s="23"/>
      <c r="K542" s="24">
        <v>80740</v>
      </c>
      <c r="L542" s="23">
        <f t="shared" si="57"/>
        <v>1592</v>
      </c>
      <c r="M542" s="24">
        <v>19455</v>
      </c>
      <c r="N542" s="25">
        <f t="shared" si="58"/>
        <v>475</v>
      </c>
      <c r="O542" s="24">
        <v>61285</v>
      </c>
      <c r="P542" s="23">
        <f t="shared" si="59"/>
        <v>1117</v>
      </c>
      <c r="Q542" s="26"/>
      <c r="R542" s="23">
        <f t="shared" si="60"/>
        <v>0</v>
      </c>
      <c r="S542" s="27" t="s">
        <v>537</v>
      </c>
      <c r="T542" s="19" t="s">
        <v>610</v>
      </c>
    </row>
    <row r="543" spans="1:20" ht="37.5" customHeight="1" x14ac:dyDescent="0.25">
      <c r="A543" s="19" t="s">
        <v>612</v>
      </c>
      <c r="B543">
        <f t="shared" si="61"/>
        <v>11163</v>
      </c>
      <c r="C543">
        <v>2253</v>
      </c>
      <c r="D543">
        <v>8910</v>
      </c>
      <c r="F543">
        <f t="shared" si="62"/>
        <v>877</v>
      </c>
      <c r="G543" s="20">
        <f t="shared" si="63"/>
        <v>538</v>
      </c>
      <c r="H543" s="21">
        <v>88821080209</v>
      </c>
      <c r="I543" s="22" t="s">
        <v>613</v>
      </c>
      <c r="J543" s="23"/>
      <c r="K543" s="24">
        <v>10286</v>
      </c>
      <c r="L543" s="23">
        <f t="shared" si="57"/>
        <v>877</v>
      </c>
      <c r="M543" s="24">
        <v>2070</v>
      </c>
      <c r="N543" s="25">
        <f t="shared" si="58"/>
        <v>183</v>
      </c>
      <c r="O543" s="24">
        <v>8216</v>
      </c>
      <c r="P543" s="23">
        <f t="shared" si="59"/>
        <v>694</v>
      </c>
      <c r="Q543" s="26"/>
      <c r="R543" s="23">
        <f t="shared" si="60"/>
        <v>0</v>
      </c>
      <c r="S543" s="27" t="s">
        <v>537</v>
      </c>
      <c r="T543" s="19" t="s">
        <v>612</v>
      </c>
    </row>
    <row r="544" spans="1:20" ht="37.5" customHeight="1" x14ac:dyDescent="0.25">
      <c r="A544" s="19" t="s">
        <v>614</v>
      </c>
      <c r="B544">
        <f t="shared" si="61"/>
        <v>7213</v>
      </c>
      <c r="C544">
        <v>2147</v>
      </c>
      <c r="D544">
        <v>5066</v>
      </c>
      <c r="F544">
        <f t="shared" si="62"/>
        <v>757</v>
      </c>
      <c r="G544" s="20">
        <f t="shared" si="63"/>
        <v>539</v>
      </c>
      <c r="H544" s="21">
        <v>66623030472</v>
      </c>
      <c r="I544" s="22" t="s">
        <v>615</v>
      </c>
      <c r="J544" s="23"/>
      <c r="K544" s="24">
        <v>6456</v>
      </c>
      <c r="L544" s="23">
        <f t="shared" si="57"/>
        <v>757</v>
      </c>
      <c r="M544" s="24">
        <v>1941</v>
      </c>
      <c r="N544" s="25">
        <f t="shared" si="58"/>
        <v>206</v>
      </c>
      <c r="O544" s="24">
        <v>4515</v>
      </c>
      <c r="P544" s="23">
        <f t="shared" si="59"/>
        <v>551</v>
      </c>
      <c r="Q544" s="26"/>
      <c r="R544" s="23">
        <f t="shared" si="60"/>
        <v>0</v>
      </c>
      <c r="S544" s="27" t="s">
        <v>537</v>
      </c>
      <c r="T544" s="19" t="s">
        <v>614</v>
      </c>
    </row>
    <row r="545" spans="1:20" ht="37.5" customHeight="1" x14ac:dyDescent="0.25">
      <c r="A545" s="19" t="s">
        <v>616</v>
      </c>
      <c r="B545">
        <v>16886</v>
      </c>
      <c r="C545" s="36"/>
      <c r="D545" s="36"/>
      <c r="F545">
        <f t="shared" si="62"/>
        <v>184</v>
      </c>
      <c r="G545" s="20">
        <f t="shared" si="63"/>
        <v>540</v>
      </c>
      <c r="H545" s="21">
        <v>88820050256</v>
      </c>
      <c r="I545" s="22" t="s">
        <v>617</v>
      </c>
      <c r="J545" s="23"/>
      <c r="K545" s="24">
        <v>16702</v>
      </c>
      <c r="L545" s="23">
        <f t="shared" si="57"/>
        <v>184</v>
      </c>
      <c r="M545" s="24">
        <v>3108</v>
      </c>
      <c r="N545" s="25">
        <f t="shared" si="58"/>
        <v>-3108</v>
      </c>
      <c r="O545" s="24">
        <v>13594</v>
      </c>
      <c r="P545" s="23">
        <f t="shared" si="59"/>
        <v>-13594</v>
      </c>
      <c r="Q545" s="26"/>
      <c r="R545" s="23">
        <f t="shared" si="60"/>
        <v>0</v>
      </c>
      <c r="S545" s="27" t="s">
        <v>537</v>
      </c>
      <c r="T545" s="19" t="s">
        <v>616</v>
      </c>
    </row>
    <row r="546" spans="1:20" ht="37.5" customHeight="1" x14ac:dyDescent="0.25">
      <c r="A546" s="19" t="s">
        <v>618</v>
      </c>
      <c r="B546">
        <v>6975</v>
      </c>
      <c r="F546">
        <f t="shared" si="62"/>
        <v>150</v>
      </c>
      <c r="G546" s="20">
        <f t="shared" si="63"/>
        <v>541</v>
      </c>
      <c r="H546" s="21">
        <v>11818020157</v>
      </c>
      <c r="I546" s="22" t="s">
        <v>619</v>
      </c>
      <c r="J546" s="23"/>
      <c r="K546" s="24">
        <v>6825</v>
      </c>
      <c r="L546" s="23">
        <f t="shared" si="57"/>
        <v>150</v>
      </c>
      <c r="M546" s="24"/>
      <c r="N546" s="25">
        <f t="shared" si="58"/>
        <v>0</v>
      </c>
      <c r="O546" s="24"/>
      <c r="P546" s="23">
        <f t="shared" si="59"/>
        <v>0</v>
      </c>
      <c r="Q546" s="26"/>
      <c r="R546" s="23">
        <f t="shared" si="60"/>
        <v>0</v>
      </c>
      <c r="S546" s="27" t="s">
        <v>620</v>
      </c>
      <c r="T546" s="19" t="s">
        <v>618</v>
      </c>
    </row>
    <row r="547" spans="1:20" ht="37.5" customHeight="1" x14ac:dyDescent="0.25">
      <c r="A547" s="19" t="s">
        <v>621</v>
      </c>
      <c r="B547">
        <v>5249</v>
      </c>
      <c r="F547">
        <f t="shared" si="62"/>
        <v>97</v>
      </c>
      <c r="G547" s="20">
        <f t="shared" si="63"/>
        <v>542</v>
      </c>
      <c r="H547" s="21">
        <v>23011090087</v>
      </c>
      <c r="I547" s="22" t="s">
        <v>622</v>
      </c>
      <c r="J547" s="23"/>
      <c r="K547" s="24">
        <v>5152</v>
      </c>
      <c r="L547" s="23">
        <f t="shared" si="57"/>
        <v>97</v>
      </c>
      <c r="M547" s="24"/>
      <c r="N547" s="25">
        <f t="shared" si="58"/>
        <v>0</v>
      </c>
      <c r="O547" s="24"/>
      <c r="P547" s="23">
        <f t="shared" si="59"/>
        <v>0</v>
      </c>
      <c r="Q547" s="26"/>
      <c r="R547" s="23">
        <f t="shared" si="60"/>
        <v>0</v>
      </c>
      <c r="S547" s="27" t="s">
        <v>620</v>
      </c>
      <c r="T547" s="19" t="s">
        <v>621</v>
      </c>
    </row>
    <row r="548" spans="1:20" ht="37.5" customHeight="1" x14ac:dyDescent="0.25">
      <c r="A548" s="19" t="s">
        <v>623</v>
      </c>
      <c r="B548">
        <f t="shared" si="61"/>
        <v>133364</v>
      </c>
      <c r="C548">
        <v>23662</v>
      </c>
      <c r="D548">
        <v>109702</v>
      </c>
      <c r="F548">
        <f t="shared" si="62"/>
        <v>215</v>
      </c>
      <c r="G548" s="20">
        <f t="shared" si="63"/>
        <v>543</v>
      </c>
      <c r="H548" s="21">
        <v>23013010103</v>
      </c>
      <c r="I548" s="22" t="s">
        <v>624</v>
      </c>
      <c r="J548" s="23"/>
      <c r="K548" s="24">
        <v>133149</v>
      </c>
      <c r="L548" s="23">
        <f t="shared" si="57"/>
        <v>215</v>
      </c>
      <c r="M548" s="24">
        <v>23655</v>
      </c>
      <c r="N548" s="25">
        <f t="shared" si="58"/>
        <v>7</v>
      </c>
      <c r="O548" s="24">
        <v>109494</v>
      </c>
      <c r="P548" s="23">
        <f t="shared" si="59"/>
        <v>208</v>
      </c>
      <c r="Q548" s="26"/>
      <c r="R548" s="23">
        <f t="shared" si="60"/>
        <v>0</v>
      </c>
      <c r="S548" s="27" t="s">
        <v>620</v>
      </c>
      <c r="T548" s="19" t="s">
        <v>623</v>
      </c>
    </row>
    <row r="549" spans="1:20" ht="37.5" customHeight="1" x14ac:dyDescent="0.25">
      <c r="A549" s="19" t="s">
        <v>625</v>
      </c>
      <c r="B549">
        <f t="shared" si="61"/>
        <v>140089</v>
      </c>
      <c r="C549">
        <v>33322</v>
      </c>
      <c r="D549">
        <v>106767</v>
      </c>
      <c r="F549">
        <f t="shared" si="62"/>
        <v>1527</v>
      </c>
      <c r="G549" s="20">
        <f t="shared" si="63"/>
        <v>544</v>
      </c>
      <c r="H549" s="21">
        <v>23015110410</v>
      </c>
      <c r="I549" s="22" t="s">
        <v>626</v>
      </c>
      <c r="J549" s="23"/>
      <c r="K549" s="24">
        <v>138562</v>
      </c>
      <c r="L549" s="23">
        <f t="shared" si="57"/>
        <v>1527</v>
      </c>
      <c r="M549" s="24">
        <v>32819</v>
      </c>
      <c r="N549" s="25">
        <f t="shared" si="58"/>
        <v>503</v>
      </c>
      <c r="O549" s="24">
        <v>105743</v>
      </c>
      <c r="P549" s="23">
        <f t="shared" si="59"/>
        <v>1024</v>
      </c>
      <c r="Q549" s="26"/>
      <c r="R549" s="23">
        <f t="shared" si="60"/>
        <v>0</v>
      </c>
      <c r="S549" s="27" t="s">
        <v>620</v>
      </c>
      <c r="T549" s="19" t="s">
        <v>625</v>
      </c>
    </row>
    <row r="550" spans="1:20" ht="37.5" customHeight="1" x14ac:dyDescent="0.25">
      <c r="A550" s="19" t="s">
        <v>627</v>
      </c>
      <c r="B550">
        <f t="shared" si="61"/>
        <v>47510</v>
      </c>
      <c r="C550">
        <v>9365</v>
      </c>
      <c r="D550">
        <v>38145</v>
      </c>
      <c r="F550">
        <f t="shared" si="62"/>
        <v>1531</v>
      </c>
      <c r="G550" s="20">
        <f t="shared" si="63"/>
        <v>545</v>
      </c>
      <c r="H550" s="21">
        <v>88818010231</v>
      </c>
      <c r="I550" s="22" t="s">
        <v>628</v>
      </c>
      <c r="J550" s="23"/>
      <c r="K550" s="24">
        <v>45979</v>
      </c>
      <c r="L550" s="23">
        <f t="shared" si="57"/>
        <v>1531</v>
      </c>
      <c r="M550" s="24">
        <v>8913</v>
      </c>
      <c r="N550" s="25">
        <f t="shared" si="58"/>
        <v>452</v>
      </c>
      <c r="O550" s="24">
        <v>37066</v>
      </c>
      <c r="P550" s="23">
        <f t="shared" si="59"/>
        <v>1079</v>
      </c>
      <c r="Q550" s="26"/>
      <c r="R550" s="23">
        <f t="shared" si="60"/>
        <v>0</v>
      </c>
      <c r="S550" s="27" t="s">
        <v>620</v>
      </c>
      <c r="T550" s="19" t="s">
        <v>627</v>
      </c>
    </row>
    <row r="551" spans="1:20" ht="37.5" customHeight="1" x14ac:dyDescent="0.25">
      <c r="A551" s="19" t="s">
        <v>629</v>
      </c>
      <c r="B551">
        <f t="shared" si="61"/>
        <v>74682</v>
      </c>
      <c r="C551">
        <v>20978</v>
      </c>
      <c r="D551">
        <v>53704</v>
      </c>
      <c r="F551">
        <f t="shared" si="62"/>
        <v>1199</v>
      </c>
      <c r="G551" s="20">
        <f t="shared" si="63"/>
        <v>546</v>
      </c>
      <c r="H551" s="21">
        <v>23014060341</v>
      </c>
      <c r="I551" s="22" t="s">
        <v>630</v>
      </c>
      <c r="J551" s="23"/>
      <c r="K551" s="24">
        <v>73483</v>
      </c>
      <c r="L551" s="23">
        <f t="shared" si="57"/>
        <v>1199</v>
      </c>
      <c r="M551" s="24">
        <v>20555</v>
      </c>
      <c r="N551" s="25">
        <f t="shared" si="58"/>
        <v>423</v>
      </c>
      <c r="O551" s="24">
        <v>52928</v>
      </c>
      <c r="P551" s="23">
        <f t="shared" si="59"/>
        <v>776</v>
      </c>
      <c r="Q551" s="26"/>
      <c r="R551" s="23">
        <f t="shared" si="60"/>
        <v>0</v>
      </c>
      <c r="S551" s="27" t="s">
        <v>620</v>
      </c>
      <c r="T551" s="19" t="s">
        <v>629</v>
      </c>
    </row>
    <row r="552" spans="1:20" ht="37.5" customHeight="1" x14ac:dyDescent="0.25">
      <c r="A552" s="19" t="s">
        <v>631</v>
      </c>
      <c r="B552">
        <f t="shared" si="61"/>
        <v>132877</v>
      </c>
      <c r="C552">
        <v>36863</v>
      </c>
      <c r="D552">
        <v>96014</v>
      </c>
      <c r="F552">
        <f t="shared" si="62"/>
        <v>1175</v>
      </c>
      <c r="G552" s="20">
        <f t="shared" si="63"/>
        <v>547</v>
      </c>
      <c r="H552" s="21">
        <v>23011100028</v>
      </c>
      <c r="I552" s="22" t="s">
        <v>632</v>
      </c>
      <c r="J552" s="23"/>
      <c r="K552" s="24">
        <v>131702</v>
      </c>
      <c r="L552" s="23">
        <f t="shared" si="57"/>
        <v>1175</v>
      </c>
      <c r="M552" s="24"/>
      <c r="N552" s="25">
        <f t="shared" si="58"/>
        <v>36863</v>
      </c>
      <c r="O552" s="24"/>
      <c r="P552" s="23">
        <f t="shared" si="59"/>
        <v>96014</v>
      </c>
      <c r="Q552" s="26"/>
      <c r="R552" s="23">
        <f t="shared" si="60"/>
        <v>0</v>
      </c>
      <c r="S552" s="27" t="s">
        <v>620</v>
      </c>
      <c r="T552" s="19" t="s">
        <v>631</v>
      </c>
    </row>
    <row r="553" spans="1:20" ht="37.5" customHeight="1" x14ac:dyDescent="0.25">
      <c r="A553" s="19" t="s">
        <v>633</v>
      </c>
      <c r="B553">
        <f t="shared" si="61"/>
        <v>70250</v>
      </c>
      <c r="C553">
        <v>15683</v>
      </c>
      <c r="D553">
        <v>54567</v>
      </c>
      <c r="F553">
        <f t="shared" si="62"/>
        <v>1029</v>
      </c>
      <c r="G553" s="20">
        <f t="shared" si="63"/>
        <v>548</v>
      </c>
      <c r="H553" s="21">
        <v>23014040093</v>
      </c>
      <c r="I553" s="22" t="s">
        <v>634</v>
      </c>
      <c r="J553" s="23"/>
      <c r="K553" s="24">
        <v>69221</v>
      </c>
      <c r="L553" s="23">
        <f t="shared" si="57"/>
        <v>1029</v>
      </c>
      <c r="M553" s="24">
        <v>15348</v>
      </c>
      <c r="N553" s="25">
        <f t="shared" si="58"/>
        <v>335</v>
      </c>
      <c r="O553" s="24">
        <v>53873</v>
      </c>
      <c r="P553" s="23">
        <f t="shared" si="59"/>
        <v>694</v>
      </c>
      <c r="Q553" s="26"/>
      <c r="R553" s="23">
        <f t="shared" si="60"/>
        <v>0</v>
      </c>
      <c r="S553" s="27" t="s">
        <v>620</v>
      </c>
      <c r="T553" s="19" t="s">
        <v>633</v>
      </c>
    </row>
    <row r="554" spans="1:20" ht="33.75" customHeight="1" x14ac:dyDescent="0.25"/>
    <row r="555" spans="1:20" ht="33.75" customHeight="1" x14ac:dyDescent="0.25"/>
    <row r="556" spans="1:20" ht="33.75" customHeight="1" x14ac:dyDescent="0.25"/>
    <row r="557" spans="1:20" ht="33.75" customHeight="1" x14ac:dyDescent="0.25"/>
    <row r="558" spans="1:20" ht="33.75" customHeight="1" x14ac:dyDescent="0.25"/>
    <row r="559" spans="1:20" ht="33.75" customHeight="1" x14ac:dyDescent="0.25"/>
    <row r="560" spans="1:20" ht="33.75" customHeight="1" x14ac:dyDescent="0.25"/>
    <row r="561" ht="33.75" customHeight="1" x14ac:dyDescent="0.25"/>
    <row r="562" ht="33.75" customHeight="1" x14ac:dyDescent="0.25"/>
    <row r="563" ht="33.75" customHeight="1" x14ac:dyDescent="0.25"/>
    <row r="564" ht="33.75" customHeight="1" x14ac:dyDescent="0.25"/>
    <row r="565" ht="33.75" customHeight="1" x14ac:dyDescent="0.25"/>
    <row r="566" ht="33.75" customHeight="1" x14ac:dyDescent="0.25"/>
    <row r="567" ht="33.75" customHeight="1" x14ac:dyDescent="0.25"/>
    <row r="568" ht="33.75" customHeight="1" x14ac:dyDescent="0.25"/>
    <row r="569" ht="33.75" customHeight="1" x14ac:dyDescent="0.25"/>
    <row r="570" ht="33.75" customHeight="1" x14ac:dyDescent="0.25"/>
    <row r="571" ht="33.75" customHeight="1" x14ac:dyDescent="0.25"/>
    <row r="572" ht="33.75" customHeight="1" x14ac:dyDescent="0.25"/>
    <row r="573" ht="33.75" customHeight="1" x14ac:dyDescent="0.25"/>
    <row r="574" ht="33.75" customHeight="1" x14ac:dyDescent="0.25"/>
    <row r="575" ht="33.75" customHeight="1" x14ac:dyDescent="0.25"/>
    <row r="576" ht="33.75" customHeight="1" x14ac:dyDescent="0.25"/>
    <row r="577" ht="33.75" customHeight="1" x14ac:dyDescent="0.25"/>
    <row r="578" ht="33.75" customHeight="1" x14ac:dyDescent="0.25"/>
    <row r="579" ht="33.75" customHeight="1" x14ac:dyDescent="0.25"/>
    <row r="580" ht="33.75" customHeight="1" x14ac:dyDescent="0.25"/>
    <row r="581" ht="33.75" customHeight="1" x14ac:dyDescent="0.25"/>
    <row r="582" ht="33.75" customHeight="1" x14ac:dyDescent="0.25"/>
    <row r="583" ht="33.75" customHeight="1" x14ac:dyDescent="0.25"/>
    <row r="584" ht="33.75" customHeight="1" x14ac:dyDescent="0.25"/>
    <row r="585" ht="33.75" customHeight="1" x14ac:dyDescent="0.25"/>
    <row r="586" ht="33.75" customHeight="1" x14ac:dyDescent="0.25"/>
    <row r="587" ht="33.75" customHeight="1" x14ac:dyDescent="0.25"/>
    <row r="588" ht="33.75" customHeight="1" x14ac:dyDescent="0.25"/>
    <row r="589" ht="33.75" customHeight="1" x14ac:dyDescent="0.25"/>
    <row r="590" ht="33.75" customHeight="1" x14ac:dyDescent="0.25"/>
    <row r="591" ht="33.75" customHeight="1" x14ac:dyDescent="0.25"/>
    <row r="592" ht="33.75" customHeight="1" x14ac:dyDescent="0.25"/>
    <row r="593" ht="33.75" customHeight="1" x14ac:dyDescent="0.25"/>
    <row r="594" ht="33.75" customHeight="1" x14ac:dyDescent="0.25"/>
    <row r="595" ht="33.75" customHeight="1" x14ac:dyDescent="0.25"/>
    <row r="596" ht="33.75" customHeight="1" x14ac:dyDescent="0.25"/>
    <row r="597" ht="33.75" customHeight="1" x14ac:dyDescent="0.25"/>
    <row r="598" ht="33.75" customHeight="1" x14ac:dyDescent="0.25"/>
    <row r="599" ht="33.75" customHeight="1" x14ac:dyDescent="0.25"/>
    <row r="600" ht="33.75" customHeight="1" x14ac:dyDescent="0.25"/>
    <row r="601" ht="33.75" customHeight="1" x14ac:dyDescent="0.25"/>
    <row r="602" ht="33.75" customHeight="1" x14ac:dyDescent="0.25"/>
    <row r="603" ht="33.75" customHeight="1" x14ac:dyDescent="0.25"/>
    <row r="604" ht="33.75" customHeight="1" x14ac:dyDescent="0.25"/>
    <row r="605" ht="33.75" customHeight="1" x14ac:dyDescent="0.25"/>
    <row r="606" ht="33.75" customHeight="1" x14ac:dyDescent="0.25"/>
    <row r="607" ht="33.75" customHeight="1" x14ac:dyDescent="0.25"/>
    <row r="608" ht="33.75" customHeight="1" x14ac:dyDescent="0.25"/>
    <row r="609" ht="33.75" customHeight="1" x14ac:dyDescent="0.25"/>
    <row r="610" ht="33.75" customHeight="1" x14ac:dyDescent="0.25"/>
    <row r="611" ht="33.75" customHeight="1" x14ac:dyDescent="0.25"/>
    <row r="612" ht="33.75" customHeight="1" x14ac:dyDescent="0.25"/>
    <row r="613" ht="33.75" customHeight="1" x14ac:dyDescent="0.25"/>
    <row r="614" ht="33.75" customHeight="1" x14ac:dyDescent="0.25"/>
    <row r="615" ht="33.75" customHeight="1" x14ac:dyDescent="0.25"/>
    <row r="616" ht="33.75" customHeight="1" x14ac:dyDescent="0.25"/>
    <row r="617" ht="33.75" customHeight="1" x14ac:dyDescent="0.25"/>
    <row r="618" ht="33.75" customHeight="1" x14ac:dyDescent="0.25"/>
    <row r="619" ht="33.75" customHeight="1" x14ac:dyDescent="0.25"/>
    <row r="620" ht="33.75" customHeight="1" x14ac:dyDescent="0.25"/>
    <row r="621" ht="33.75" customHeight="1" x14ac:dyDescent="0.25"/>
    <row r="622" ht="33.75" customHeight="1" x14ac:dyDescent="0.25"/>
    <row r="623" ht="33.75" customHeight="1" x14ac:dyDescent="0.25"/>
    <row r="624" ht="33.75" customHeight="1" x14ac:dyDescent="0.25"/>
    <row r="625" ht="33.75" customHeight="1" x14ac:dyDescent="0.25"/>
    <row r="626" ht="33.75" customHeight="1" x14ac:dyDescent="0.25"/>
    <row r="627" ht="33.75" customHeight="1" x14ac:dyDescent="0.25"/>
    <row r="628" ht="33.75" customHeight="1" x14ac:dyDescent="0.25"/>
    <row r="629" ht="33.75" customHeight="1" x14ac:dyDescent="0.25"/>
    <row r="630" ht="33.75" customHeight="1" x14ac:dyDescent="0.25"/>
    <row r="631" ht="33.75" customHeight="1" x14ac:dyDescent="0.25"/>
    <row r="632" ht="33.75" customHeight="1" x14ac:dyDescent="0.25"/>
    <row r="633" ht="33.75" customHeight="1" x14ac:dyDescent="0.25"/>
    <row r="634" ht="33.75" customHeight="1" x14ac:dyDescent="0.25"/>
    <row r="635" ht="33.75" customHeight="1" x14ac:dyDescent="0.25"/>
    <row r="636" ht="33.75" customHeight="1" x14ac:dyDescent="0.25"/>
    <row r="637" ht="33.75" customHeight="1" x14ac:dyDescent="0.25"/>
    <row r="638" ht="33.75" customHeight="1" x14ac:dyDescent="0.25"/>
    <row r="639" ht="33.75" customHeight="1" x14ac:dyDescent="0.25"/>
    <row r="640" ht="33.75" customHeight="1" x14ac:dyDescent="0.25"/>
    <row r="641" ht="33.75" customHeight="1" x14ac:dyDescent="0.25"/>
    <row r="642" ht="33.75" customHeight="1" x14ac:dyDescent="0.25"/>
    <row r="643" ht="33.75" customHeight="1" x14ac:dyDescent="0.25"/>
    <row r="644" ht="33.75" customHeight="1" x14ac:dyDescent="0.25"/>
    <row r="645" ht="33.75" customHeight="1" x14ac:dyDescent="0.25"/>
    <row r="646" ht="33.75" customHeight="1" x14ac:dyDescent="0.25"/>
    <row r="647" ht="33.75" customHeight="1" x14ac:dyDescent="0.25"/>
    <row r="648" ht="33.75" customHeight="1" x14ac:dyDescent="0.25"/>
    <row r="649" ht="33.75" customHeight="1" x14ac:dyDescent="0.25"/>
    <row r="650" ht="33.75" customHeight="1" x14ac:dyDescent="0.25"/>
    <row r="651" ht="33.75" customHeight="1" x14ac:dyDescent="0.25"/>
    <row r="652" ht="33.75" customHeight="1" x14ac:dyDescent="0.25"/>
    <row r="653" ht="33.75" customHeight="1" x14ac:dyDescent="0.25"/>
    <row r="654" ht="33.75" customHeight="1" x14ac:dyDescent="0.25"/>
    <row r="655" ht="33.75" customHeight="1" x14ac:dyDescent="0.25"/>
    <row r="656" ht="33.75" customHeight="1" x14ac:dyDescent="0.25"/>
    <row r="657" ht="33.75" customHeight="1" x14ac:dyDescent="0.25"/>
    <row r="658" ht="33.75" customHeight="1" x14ac:dyDescent="0.25"/>
    <row r="659" ht="33.75" customHeight="1" x14ac:dyDescent="0.25"/>
    <row r="660" ht="33.75" customHeight="1" x14ac:dyDescent="0.25"/>
    <row r="661" ht="33.75" customHeight="1" x14ac:dyDescent="0.25"/>
    <row r="662" ht="33.75" customHeight="1" x14ac:dyDescent="0.25"/>
    <row r="663" ht="33.75" customHeight="1" x14ac:dyDescent="0.25"/>
    <row r="664" ht="33.75" customHeight="1" x14ac:dyDescent="0.25"/>
    <row r="665" ht="33.75" customHeight="1" x14ac:dyDescent="0.25"/>
    <row r="666" ht="33.75" customHeight="1" x14ac:dyDescent="0.25"/>
    <row r="667" ht="33.75" customHeight="1" x14ac:dyDescent="0.25"/>
    <row r="668" ht="33.75" customHeight="1" x14ac:dyDescent="0.25"/>
    <row r="669" ht="33.75" customHeight="1" x14ac:dyDescent="0.25"/>
    <row r="670" ht="33.75" customHeight="1" x14ac:dyDescent="0.25"/>
    <row r="671" ht="33.75" customHeight="1" x14ac:dyDescent="0.25"/>
    <row r="672" ht="33.75" customHeight="1" x14ac:dyDescent="0.25"/>
    <row r="673" ht="33.75" customHeight="1" x14ac:dyDescent="0.25"/>
    <row r="674" ht="33.75" customHeight="1" x14ac:dyDescent="0.25"/>
    <row r="675" ht="33.75" customHeight="1" x14ac:dyDescent="0.25"/>
    <row r="676" ht="33.75" customHeight="1" x14ac:dyDescent="0.25"/>
    <row r="677" ht="33.75" customHeight="1" x14ac:dyDescent="0.25"/>
    <row r="678" ht="33.75" customHeight="1" x14ac:dyDescent="0.25"/>
    <row r="679" ht="33.75" customHeight="1" x14ac:dyDescent="0.25"/>
    <row r="680" ht="33.75" customHeight="1" x14ac:dyDescent="0.25"/>
    <row r="681" ht="33.75" customHeight="1" x14ac:dyDescent="0.25"/>
    <row r="682" ht="33.75" customHeight="1" x14ac:dyDescent="0.25"/>
    <row r="683" ht="33.75" customHeight="1" x14ac:dyDescent="0.25"/>
    <row r="684" ht="33.75" customHeight="1" x14ac:dyDescent="0.25"/>
    <row r="685" ht="33.75" customHeight="1" x14ac:dyDescent="0.25"/>
    <row r="686" ht="33.75" customHeight="1" x14ac:dyDescent="0.25"/>
    <row r="687" ht="33.75" customHeight="1" x14ac:dyDescent="0.25"/>
    <row r="688" ht="33.75" customHeight="1" x14ac:dyDescent="0.25"/>
    <row r="689" ht="33.75" customHeight="1" x14ac:dyDescent="0.25"/>
    <row r="690" ht="33.75" customHeight="1" x14ac:dyDescent="0.25"/>
    <row r="691" ht="33.75" customHeight="1" x14ac:dyDescent="0.25"/>
    <row r="692" ht="33.75" customHeight="1" x14ac:dyDescent="0.25"/>
    <row r="693" ht="33.75" customHeight="1" x14ac:dyDescent="0.25"/>
    <row r="694" ht="33.75" customHeight="1" x14ac:dyDescent="0.25"/>
    <row r="695" ht="33.75" customHeight="1" x14ac:dyDescent="0.25"/>
    <row r="696" ht="33.75" customHeight="1" x14ac:dyDescent="0.25"/>
    <row r="697" ht="33.75" customHeight="1" x14ac:dyDescent="0.25"/>
    <row r="698" ht="33.75" customHeight="1" x14ac:dyDescent="0.25"/>
    <row r="699" ht="33.75" customHeight="1" x14ac:dyDescent="0.25"/>
    <row r="700" ht="33.75" customHeight="1" x14ac:dyDescent="0.25"/>
    <row r="701" ht="33.75" customHeight="1" x14ac:dyDescent="0.25"/>
    <row r="702" ht="33.75" customHeight="1" x14ac:dyDescent="0.25"/>
    <row r="703" ht="33.75" customHeight="1" x14ac:dyDescent="0.25"/>
    <row r="704" ht="33.75" customHeight="1" x14ac:dyDescent="0.25"/>
    <row r="705" ht="33.75" customHeight="1" x14ac:dyDescent="0.25"/>
    <row r="706" ht="33.75" customHeight="1" x14ac:dyDescent="0.25"/>
    <row r="707" ht="33.75" customHeight="1" x14ac:dyDescent="0.25"/>
    <row r="708" ht="33.75" customHeight="1" x14ac:dyDescent="0.25"/>
    <row r="709" ht="33.75" customHeight="1" x14ac:dyDescent="0.25"/>
    <row r="710" ht="33.75" customHeight="1" x14ac:dyDescent="0.25"/>
    <row r="711" ht="33.75" customHeight="1" x14ac:dyDescent="0.25"/>
    <row r="712" ht="33.75" customHeight="1" x14ac:dyDescent="0.25"/>
    <row r="713" ht="33.75" customHeight="1" x14ac:dyDescent="0.25"/>
    <row r="714" ht="33.75" customHeight="1" x14ac:dyDescent="0.25"/>
    <row r="715" ht="33.75" customHeight="1" x14ac:dyDescent="0.25"/>
    <row r="716" ht="33.75" customHeight="1" x14ac:dyDescent="0.25"/>
    <row r="717" ht="33.75" customHeight="1" x14ac:dyDescent="0.25"/>
    <row r="718" ht="33.75" customHeight="1" x14ac:dyDescent="0.25"/>
    <row r="719" ht="33.75" customHeight="1" x14ac:dyDescent="0.25"/>
    <row r="720" ht="33.75" customHeight="1" x14ac:dyDescent="0.25"/>
    <row r="721" ht="33.75" customHeight="1" x14ac:dyDescent="0.25"/>
    <row r="722" ht="33.75" customHeight="1" x14ac:dyDescent="0.25"/>
    <row r="723" ht="33.75" customHeight="1" x14ac:dyDescent="0.25"/>
    <row r="724" ht="33.75" customHeight="1" x14ac:dyDescent="0.25"/>
    <row r="725" ht="33.75" customHeight="1" x14ac:dyDescent="0.25"/>
    <row r="726" ht="33.75" customHeight="1" x14ac:dyDescent="0.25"/>
    <row r="727" ht="33.75" customHeight="1" x14ac:dyDescent="0.25"/>
    <row r="728" ht="33.75" customHeight="1" x14ac:dyDescent="0.25"/>
    <row r="729" ht="33.75" customHeight="1" x14ac:dyDescent="0.25"/>
    <row r="730" ht="33.75" customHeight="1" x14ac:dyDescent="0.25"/>
    <row r="731" ht="33.75" customHeight="1" x14ac:dyDescent="0.25"/>
    <row r="732" ht="33.75" customHeight="1" x14ac:dyDescent="0.25"/>
    <row r="733" ht="33.75" customHeight="1" x14ac:dyDescent="0.25"/>
    <row r="734" ht="33.75" customHeight="1" x14ac:dyDescent="0.25"/>
    <row r="735" ht="33.75" customHeight="1" x14ac:dyDescent="0.25"/>
    <row r="736" ht="33.75" customHeight="1" x14ac:dyDescent="0.25"/>
    <row r="737" ht="33.75" customHeight="1" x14ac:dyDescent="0.25"/>
    <row r="738" ht="33.75" customHeight="1" x14ac:dyDescent="0.25"/>
    <row r="739" ht="33.75" customHeight="1" x14ac:dyDescent="0.25"/>
    <row r="740" ht="33.75" customHeight="1" x14ac:dyDescent="0.25"/>
    <row r="741" ht="33.75" customHeight="1" x14ac:dyDescent="0.25"/>
    <row r="742" ht="33.75" customHeight="1" x14ac:dyDescent="0.25"/>
    <row r="743" ht="33.75" customHeight="1" x14ac:dyDescent="0.25"/>
    <row r="744" ht="33.75" customHeight="1" x14ac:dyDescent="0.25"/>
    <row r="745" ht="33.75" customHeight="1" x14ac:dyDescent="0.25"/>
    <row r="746" ht="33.75" customHeight="1" x14ac:dyDescent="0.25"/>
    <row r="747" ht="33.75" customHeight="1" x14ac:dyDescent="0.25"/>
    <row r="748" ht="33.75" customHeight="1" x14ac:dyDescent="0.25"/>
    <row r="749" ht="33.75" customHeight="1" x14ac:dyDescent="0.25"/>
    <row r="750" ht="33.75" customHeight="1" x14ac:dyDescent="0.25"/>
    <row r="751" ht="33.75" customHeight="1" x14ac:dyDescent="0.25"/>
    <row r="752" ht="33.75" customHeight="1" x14ac:dyDescent="0.25"/>
    <row r="753" ht="33.75" customHeight="1" x14ac:dyDescent="0.25"/>
    <row r="754" ht="33.75" customHeight="1" x14ac:dyDescent="0.25"/>
    <row r="755" ht="33.75" customHeight="1" x14ac:dyDescent="0.25"/>
    <row r="756" ht="33.75" customHeight="1" x14ac:dyDescent="0.25"/>
    <row r="757" ht="33.75" customHeight="1" x14ac:dyDescent="0.25"/>
    <row r="758" ht="33.75" customHeight="1" x14ac:dyDescent="0.25"/>
    <row r="759" ht="33.75" customHeight="1" x14ac:dyDescent="0.25"/>
    <row r="760" ht="33.75" customHeight="1" x14ac:dyDescent="0.25"/>
    <row r="761" ht="33.75" customHeight="1" x14ac:dyDescent="0.25"/>
    <row r="762" ht="33.75" customHeight="1" x14ac:dyDescent="0.25"/>
    <row r="763" ht="33.75" customHeight="1" x14ac:dyDescent="0.25"/>
    <row r="764" ht="33.75" customHeight="1" x14ac:dyDescent="0.25"/>
    <row r="765" ht="33.75" customHeight="1" x14ac:dyDescent="0.25"/>
    <row r="766" ht="33.75" customHeight="1" x14ac:dyDescent="0.25"/>
    <row r="767" ht="33.75" customHeight="1" x14ac:dyDescent="0.25"/>
    <row r="768" ht="33.75" customHeight="1" x14ac:dyDescent="0.25"/>
    <row r="769" ht="33.75" customHeight="1" x14ac:dyDescent="0.25"/>
    <row r="770" ht="33.75" customHeight="1" x14ac:dyDescent="0.25"/>
    <row r="771" ht="33.75" customHeight="1" x14ac:dyDescent="0.25"/>
    <row r="772" ht="33.75" customHeight="1" x14ac:dyDescent="0.25"/>
    <row r="773" ht="33.75" customHeight="1" x14ac:dyDescent="0.25"/>
    <row r="774" ht="33.75" customHeight="1" x14ac:dyDescent="0.25"/>
    <row r="775" ht="33.75" customHeight="1" x14ac:dyDescent="0.25"/>
    <row r="776" ht="33.75" customHeight="1" x14ac:dyDescent="0.25"/>
    <row r="777" ht="33.75" customHeight="1" x14ac:dyDescent="0.25"/>
    <row r="778" ht="33.75" customHeight="1" x14ac:dyDescent="0.25"/>
    <row r="779" ht="33.75" customHeight="1" x14ac:dyDescent="0.25"/>
    <row r="780" ht="33.75" customHeight="1" x14ac:dyDescent="0.25"/>
    <row r="781" ht="33.75" customHeight="1" x14ac:dyDescent="0.25"/>
    <row r="782" ht="33.75" customHeight="1" x14ac:dyDescent="0.25"/>
    <row r="783" ht="33.75" customHeight="1" x14ac:dyDescent="0.25"/>
    <row r="784" ht="33.75" customHeight="1" x14ac:dyDescent="0.25"/>
    <row r="785" ht="33.75" customHeight="1" x14ac:dyDescent="0.25"/>
    <row r="786" ht="33.75" customHeight="1" x14ac:dyDescent="0.25"/>
    <row r="787" ht="33.75" customHeight="1" x14ac:dyDescent="0.25"/>
    <row r="788" ht="33.75" customHeight="1" x14ac:dyDescent="0.25"/>
    <row r="789" ht="33.75" customHeight="1" x14ac:dyDescent="0.25"/>
    <row r="790" ht="33.75" customHeight="1" x14ac:dyDescent="0.25"/>
    <row r="791" ht="33.75" customHeight="1" x14ac:dyDescent="0.25"/>
    <row r="792" ht="33.75" customHeight="1" x14ac:dyDescent="0.25"/>
    <row r="793" ht="33.75" customHeight="1" x14ac:dyDescent="0.25"/>
    <row r="794" ht="33.75" customHeight="1" x14ac:dyDescent="0.25"/>
    <row r="795" ht="33.75" customHeight="1" x14ac:dyDescent="0.25"/>
    <row r="796" ht="33.75" customHeight="1" x14ac:dyDescent="0.25"/>
    <row r="797" ht="33.75" customHeight="1" x14ac:dyDescent="0.25"/>
    <row r="798" ht="33.75" customHeight="1" x14ac:dyDescent="0.25"/>
    <row r="799" ht="33.75" customHeight="1" x14ac:dyDescent="0.25"/>
    <row r="800" ht="33.75" customHeight="1" x14ac:dyDescent="0.25"/>
    <row r="801" ht="33.75" customHeight="1" x14ac:dyDescent="0.25"/>
    <row r="802" ht="33.75" customHeight="1" x14ac:dyDescent="0.25"/>
    <row r="803" ht="33.75" customHeight="1" x14ac:dyDescent="0.25"/>
    <row r="804" ht="33.75" customHeight="1" x14ac:dyDescent="0.25"/>
    <row r="805" ht="33.75" customHeight="1" x14ac:dyDescent="0.25"/>
    <row r="806" ht="33.75" customHeight="1" x14ac:dyDescent="0.25"/>
    <row r="807" ht="33.75" customHeight="1" x14ac:dyDescent="0.25"/>
    <row r="808" ht="33.75" customHeight="1" x14ac:dyDescent="0.25"/>
    <row r="809" ht="33.75" customHeight="1" x14ac:dyDescent="0.25"/>
    <row r="810" ht="33.75" customHeight="1" x14ac:dyDescent="0.25"/>
    <row r="811" ht="33.75" customHeight="1" x14ac:dyDescent="0.25"/>
    <row r="812" ht="33.75" customHeight="1" x14ac:dyDescent="0.25"/>
    <row r="813" ht="33.75" customHeight="1" x14ac:dyDescent="0.25"/>
    <row r="814" ht="33.75" customHeight="1" x14ac:dyDescent="0.25"/>
    <row r="815" ht="33.75" customHeight="1" x14ac:dyDescent="0.25"/>
    <row r="816" ht="33.75" customHeight="1" x14ac:dyDescent="0.25"/>
    <row r="817" ht="33.75" customHeight="1" x14ac:dyDescent="0.25"/>
    <row r="818" ht="33.75" customHeight="1" x14ac:dyDescent="0.25"/>
    <row r="819" ht="33.75" customHeight="1" x14ac:dyDescent="0.25"/>
    <row r="820" ht="33.75" customHeight="1" x14ac:dyDescent="0.25"/>
    <row r="821" ht="33.75" customHeight="1" x14ac:dyDescent="0.25"/>
    <row r="822" ht="33.75" customHeight="1" x14ac:dyDescent="0.25"/>
    <row r="823" ht="33.75" customHeight="1" x14ac:dyDescent="0.25"/>
    <row r="824" ht="33.75" customHeight="1" x14ac:dyDescent="0.25"/>
    <row r="825" ht="33.75" customHeight="1" x14ac:dyDescent="0.25"/>
    <row r="826" ht="33.75" customHeight="1" x14ac:dyDescent="0.25"/>
    <row r="827" ht="33.75" customHeight="1" x14ac:dyDescent="0.25"/>
    <row r="828" ht="33.75" customHeight="1" x14ac:dyDescent="0.25"/>
    <row r="829" ht="33.75" customHeight="1" x14ac:dyDescent="0.25"/>
    <row r="830" ht="33.75" customHeight="1" x14ac:dyDescent="0.25"/>
    <row r="831" ht="33.75" customHeight="1" x14ac:dyDescent="0.25"/>
    <row r="832" ht="33.75" customHeight="1" x14ac:dyDescent="0.25"/>
    <row r="833" ht="33.75" customHeight="1" x14ac:dyDescent="0.25"/>
    <row r="834" ht="33.75" customHeight="1" x14ac:dyDescent="0.25"/>
    <row r="835" ht="33.75" customHeight="1" x14ac:dyDescent="0.25"/>
    <row r="836" ht="33.75" customHeight="1" x14ac:dyDescent="0.25"/>
    <row r="837" ht="33.75" customHeight="1" x14ac:dyDescent="0.25"/>
    <row r="838" ht="33.75" customHeight="1" x14ac:dyDescent="0.25"/>
    <row r="839" ht="33.75" customHeight="1" x14ac:dyDescent="0.25"/>
    <row r="840" ht="33.75" customHeight="1" x14ac:dyDescent="0.25"/>
    <row r="841" ht="33.75" customHeight="1" x14ac:dyDescent="0.25"/>
    <row r="842" ht="33.75" customHeight="1" x14ac:dyDescent="0.25"/>
    <row r="843" ht="33.75" customHeight="1" x14ac:dyDescent="0.25"/>
    <row r="844" ht="33.75" customHeight="1" x14ac:dyDescent="0.25"/>
    <row r="845" ht="33.75" customHeight="1" x14ac:dyDescent="0.25"/>
    <row r="846" ht="33.75" customHeight="1" x14ac:dyDescent="0.25"/>
    <row r="847" ht="33.75" customHeight="1" x14ac:dyDescent="0.25"/>
    <row r="848" ht="33.75" customHeight="1" x14ac:dyDescent="0.25"/>
    <row r="849" ht="33.75" customHeight="1" x14ac:dyDescent="0.25"/>
    <row r="850" ht="33.75" customHeight="1" x14ac:dyDescent="0.25"/>
    <row r="851" ht="33.75" customHeight="1" x14ac:dyDescent="0.25"/>
    <row r="852" ht="33.75" customHeight="1" x14ac:dyDescent="0.25"/>
    <row r="853" ht="33.75" customHeight="1" x14ac:dyDescent="0.25"/>
    <row r="854" ht="33.75" customHeight="1" x14ac:dyDescent="0.25"/>
    <row r="855" ht="33.75" customHeight="1" x14ac:dyDescent="0.25"/>
    <row r="856" ht="33.75" customHeight="1" x14ac:dyDescent="0.25"/>
    <row r="857" ht="33.75" customHeight="1" x14ac:dyDescent="0.25"/>
    <row r="858" ht="33.75" customHeight="1" x14ac:dyDescent="0.25"/>
    <row r="859" ht="33.75" customHeight="1" x14ac:dyDescent="0.25"/>
    <row r="860" ht="33.75" customHeight="1" x14ac:dyDescent="0.25"/>
    <row r="861" ht="33.75" customHeight="1" x14ac:dyDescent="0.25"/>
    <row r="862" ht="33.75" customHeight="1" x14ac:dyDescent="0.25"/>
    <row r="863" ht="33.75" customHeight="1" x14ac:dyDescent="0.25"/>
    <row r="864" ht="33.75" customHeight="1" x14ac:dyDescent="0.25"/>
    <row r="865" ht="33.75" customHeight="1" x14ac:dyDescent="0.25"/>
    <row r="866" ht="33.75" customHeight="1" x14ac:dyDescent="0.25"/>
    <row r="867" ht="33.75" customHeight="1" x14ac:dyDescent="0.25"/>
    <row r="868" ht="33.75" customHeight="1" x14ac:dyDescent="0.25"/>
    <row r="869" ht="33.75" customHeight="1" x14ac:dyDescent="0.25"/>
    <row r="870" ht="33.75" customHeight="1" x14ac:dyDescent="0.25"/>
    <row r="871" ht="33.75" customHeight="1" x14ac:dyDescent="0.25"/>
    <row r="872" ht="33.75" customHeight="1" x14ac:dyDescent="0.25"/>
    <row r="873" ht="33.75" customHeight="1" x14ac:dyDescent="0.25"/>
    <row r="874" ht="33.75" customHeight="1" x14ac:dyDescent="0.25"/>
    <row r="875" ht="33.75" customHeight="1" x14ac:dyDescent="0.25"/>
    <row r="876" ht="33.75" customHeight="1" x14ac:dyDescent="0.25"/>
    <row r="877" ht="33.75" customHeight="1" x14ac:dyDescent="0.25"/>
    <row r="878" ht="33.75" customHeight="1" x14ac:dyDescent="0.25"/>
    <row r="879" ht="33.75" customHeight="1" x14ac:dyDescent="0.25"/>
    <row r="880" ht="33.75" customHeight="1" x14ac:dyDescent="0.25"/>
    <row r="881" ht="33.75" customHeight="1" x14ac:dyDescent="0.25"/>
    <row r="882" ht="33.75" customHeight="1" x14ac:dyDescent="0.25"/>
    <row r="883" ht="33.75" customHeight="1" x14ac:dyDescent="0.25"/>
    <row r="884" ht="33.75" customHeight="1" x14ac:dyDescent="0.25"/>
    <row r="885" ht="33.75" customHeight="1" x14ac:dyDescent="0.25"/>
    <row r="886" ht="33.75" customHeight="1" x14ac:dyDescent="0.25"/>
    <row r="887" ht="33.75" customHeight="1" x14ac:dyDescent="0.25"/>
    <row r="888" ht="33.75" customHeight="1" x14ac:dyDescent="0.25"/>
    <row r="889" ht="33.75" customHeight="1" x14ac:dyDescent="0.25"/>
    <row r="890" ht="33.75" customHeight="1" x14ac:dyDescent="0.25"/>
    <row r="891" ht="33.75" customHeight="1" x14ac:dyDescent="0.25"/>
    <row r="892" ht="33.75" customHeight="1" x14ac:dyDescent="0.25"/>
    <row r="893" ht="33.75" customHeight="1" x14ac:dyDescent="0.25"/>
    <row r="894" ht="33.75" customHeight="1" x14ac:dyDescent="0.25"/>
    <row r="895" ht="33.75" customHeight="1" x14ac:dyDescent="0.25"/>
    <row r="896" ht="33.75" customHeight="1" x14ac:dyDescent="0.25"/>
    <row r="897" ht="33.75" customHeight="1" x14ac:dyDescent="0.25"/>
    <row r="898" ht="33.75" customHeight="1" x14ac:dyDescent="0.25"/>
    <row r="899" ht="33.75" customHeight="1" x14ac:dyDescent="0.25"/>
    <row r="900" ht="33.75" customHeight="1" x14ac:dyDescent="0.25"/>
    <row r="901" ht="33.75" customHeight="1" x14ac:dyDescent="0.25"/>
    <row r="902" ht="33.75" customHeight="1" x14ac:dyDescent="0.25"/>
    <row r="903" ht="33.75" customHeight="1" x14ac:dyDescent="0.25"/>
    <row r="904" ht="33.75" customHeight="1" x14ac:dyDescent="0.25"/>
    <row r="905" ht="33.75" customHeight="1" x14ac:dyDescent="0.25"/>
    <row r="906" ht="33.75" customHeight="1" x14ac:dyDescent="0.25"/>
    <row r="907" ht="33.75" customHeight="1" x14ac:dyDescent="0.25"/>
    <row r="908" ht="33.75" customHeight="1" x14ac:dyDescent="0.25"/>
    <row r="909" ht="33.75" customHeight="1" x14ac:dyDescent="0.25"/>
    <row r="910" ht="33.75" customHeight="1" x14ac:dyDescent="0.25"/>
    <row r="911" ht="33.75" customHeight="1" x14ac:dyDescent="0.25"/>
    <row r="912" ht="33.75" customHeight="1" x14ac:dyDescent="0.25"/>
    <row r="913" ht="33.75" customHeight="1" x14ac:dyDescent="0.25"/>
    <row r="914" ht="33.75" customHeight="1" x14ac:dyDescent="0.25"/>
    <row r="915" ht="33.75" customHeight="1" x14ac:dyDescent="0.25"/>
    <row r="916" ht="33.75" customHeight="1" x14ac:dyDescent="0.25"/>
    <row r="917" ht="33.75" customHeight="1" x14ac:dyDescent="0.25"/>
    <row r="918" ht="33.75" customHeight="1" x14ac:dyDescent="0.25"/>
    <row r="919" ht="33.75" customHeight="1" x14ac:dyDescent="0.25"/>
    <row r="920" ht="33.75" customHeight="1" x14ac:dyDescent="0.25"/>
    <row r="921" ht="33.75" customHeight="1" x14ac:dyDescent="0.25"/>
    <row r="922" ht="33.75" customHeight="1" x14ac:dyDescent="0.25"/>
    <row r="923" ht="33.75" customHeight="1" x14ac:dyDescent="0.25"/>
    <row r="924" ht="33.75" customHeight="1" x14ac:dyDescent="0.25"/>
    <row r="925" ht="33.75" customHeight="1" x14ac:dyDescent="0.25"/>
    <row r="926" ht="33.75" customHeight="1" x14ac:dyDescent="0.25"/>
    <row r="927" ht="33.75" customHeight="1" x14ac:dyDescent="0.25"/>
    <row r="928" ht="33.75" customHeight="1" x14ac:dyDescent="0.25"/>
    <row r="929" ht="33.75" customHeight="1" x14ac:dyDescent="0.25"/>
    <row r="930" ht="33.75" customHeight="1" x14ac:dyDescent="0.25"/>
    <row r="931" ht="33.75" customHeight="1" x14ac:dyDescent="0.25"/>
    <row r="932" ht="33.75" customHeight="1" x14ac:dyDescent="0.25"/>
    <row r="933" ht="33.75" customHeight="1" x14ac:dyDescent="0.25"/>
    <row r="934" ht="33.75" customHeight="1" x14ac:dyDescent="0.25"/>
    <row r="935" ht="33.75" customHeight="1" x14ac:dyDescent="0.25"/>
    <row r="936" ht="33.75" customHeight="1" x14ac:dyDescent="0.25"/>
    <row r="937" ht="33.75" customHeight="1" x14ac:dyDescent="0.25"/>
    <row r="938" ht="33.75" customHeight="1" x14ac:dyDescent="0.25"/>
    <row r="939" ht="33.75" customHeight="1" x14ac:dyDescent="0.25"/>
    <row r="940" ht="33.75" customHeight="1" x14ac:dyDescent="0.25"/>
    <row r="941" ht="33.75" customHeight="1" x14ac:dyDescent="0.25"/>
    <row r="942" ht="33.75" customHeight="1" x14ac:dyDescent="0.25"/>
    <row r="943" ht="33.75" customHeight="1" x14ac:dyDescent="0.25"/>
    <row r="944" ht="33.75" customHeight="1" x14ac:dyDescent="0.25"/>
    <row r="945" ht="33.75" customHeight="1" x14ac:dyDescent="0.25"/>
    <row r="946" ht="33.75" customHeight="1" x14ac:dyDescent="0.25"/>
    <row r="947" ht="33.75" customHeight="1" x14ac:dyDescent="0.25"/>
    <row r="948" ht="33.75" customHeight="1" x14ac:dyDescent="0.25"/>
    <row r="949" ht="33.75" customHeight="1" x14ac:dyDescent="0.25"/>
    <row r="950" ht="33.75" customHeight="1" x14ac:dyDescent="0.25"/>
    <row r="951" ht="33.75" customHeight="1" x14ac:dyDescent="0.25"/>
    <row r="952" ht="33.75" customHeight="1" x14ac:dyDescent="0.25"/>
    <row r="953" ht="33.75" customHeight="1" x14ac:dyDescent="0.25"/>
    <row r="954" ht="33.75" customHeight="1" x14ac:dyDescent="0.25"/>
    <row r="955" ht="33.75" customHeight="1" x14ac:dyDescent="0.25"/>
    <row r="956" ht="33.75" customHeight="1" x14ac:dyDescent="0.25"/>
    <row r="957" ht="33.75" customHeight="1" x14ac:dyDescent="0.25"/>
    <row r="958" ht="33.75" customHeight="1" x14ac:dyDescent="0.25"/>
    <row r="959" ht="33.75" customHeight="1" x14ac:dyDescent="0.25"/>
    <row r="960" ht="33.75" customHeight="1" x14ac:dyDescent="0.25"/>
    <row r="961" ht="33.75" customHeight="1" x14ac:dyDescent="0.25"/>
    <row r="962" ht="33.75" customHeight="1" x14ac:dyDescent="0.25"/>
    <row r="963" ht="33.75" customHeight="1" x14ac:dyDescent="0.25"/>
    <row r="964" ht="33.75" customHeight="1" x14ac:dyDescent="0.25"/>
    <row r="965" ht="33.75" customHeight="1" x14ac:dyDescent="0.25"/>
    <row r="966" ht="33.75" customHeight="1" x14ac:dyDescent="0.25"/>
    <row r="967" ht="33.75" customHeight="1" x14ac:dyDescent="0.25"/>
    <row r="968" ht="33.75" customHeight="1" x14ac:dyDescent="0.25"/>
    <row r="969" ht="33.75" customHeight="1" x14ac:dyDescent="0.25"/>
    <row r="970" ht="33.75" customHeight="1" x14ac:dyDescent="0.25"/>
    <row r="971" ht="33.75" customHeight="1" x14ac:dyDescent="0.25"/>
    <row r="972" ht="33.75" customHeight="1" x14ac:dyDescent="0.25"/>
    <row r="973" ht="33.75" customHeight="1" x14ac:dyDescent="0.25"/>
    <row r="974" ht="33.75" customHeight="1" x14ac:dyDescent="0.25"/>
    <row r="975" ht="33.75" customHeight="1" x14ac:dyDescent="0.25"/>
    <row r="976" ht="33.75" customHeight="1" x14ac:dyDescent="0.25"/>
    <row r="977" ht="33.75" customHeight="1" x14ac:dyDescent="0.25"/>
    <row r="978" ht="33.75" customHeight="1" x14ac:dyDescent="0.25"/>
    <row r="979" ht="33.75" customHeight="1" x14ac:dyDescent="0.25"/>
    <row r="980" ht="33.75" customHeight="1" x14ac:dyDescent="0.25"/>
    <row r="981" ht="33.75" customHeight="1" x14ac:dyDescent="0.25"/>
    <row r="982" ht="33.75" customHeight="1" x14ac:dyDescent="0.25"/>
    <row r="983" ht="33.75" customHeight="1" x14ac:dyDescent="0.25"/>
    <row r="984" ht="33.75" customHeight="1" x14ac:dyDescent="0.25"/>
    <row r="985" ht="33.75" customHeight="1" x14ac:dyDescent="0.25"/>
    <row r="986" ht="33.75" customHeight="1" x14ac:dyDescent="0.25"/>
    <row r="987" ht="33.75" customHeight="1" x14ac:dyDescent="0.25"/>
    <row r="988" ht="33.75" customHeight="1" x14ac:dyDescent="0.25"/>
    <row r="989" ht="33.75" customHeight="1" x14ac:dyDescent="0.25"/>
    <row r="990" ht="33.75" customHeight="1" x14ac:dyDescent="0.25"/>
    <row r="991" ht="33.75" customHeight="1" x14ac:dyDescent="0.25"/>
    <row r="992" ht="33.75" customHeight="1" x14ac:dyDescent="0.25"/>
    <row r="993" spans="25:26" ht="33.75" customHeight="1" x14ac:dyDescent="0.25"/>
    <row r="994" spans="25:26" ht="33.75" customHeight="1" x14ac:dyDescent="0.25"/>
    <row r="995" spans="25:26" ht="33.75" customHeight="1" x14ac:dyDescent="0.25"/>
    <row r="996" spans="25:26" ht="33.75" customHeight="1" x14ac:dyDescent="0.25"/>
    <row r="997" spans="25:26" ht="33.75" customHeight="1" x14ac:dyDescent="0.25"/>
    <row r="998" spans="25:26" ht="33.75" customHeight="1" x14ac:dyDescent="0.25"/>
    <row r="999" spans="25:26" ht="33.75" customHeight="1" x14ac:dyDescent="0.25"/>
    <row r="1000" spans="25:26" ht="33.75" customHeight="1" x14ac:dyDescent="0.25"/>
    <row r="1001" spans="25:26" ht="33.75" customHeight="1" x14ac:dyDescent="0.25"/>
    <row r="1002" spans="25:26" ht="33.75" customHeight="1" x14ac:dyDescent="0.25"/>
    <row r="1003" spans="25:26" ht="33.75" customHeight="1" x14ac:dyDescent="0.25"/>
    <row r="1004" spans="25:26" ht="33.75" customHeight="1" x14ac:dyDescent="0.25"/>
    <row r="1005" spans="25:26" ht="33.75" customHeight="1" x14ac:dyDescent="0.25"/>
    <row r="1006" spans="25:26" ht="33.75" customHeight="1" x14ac:dyDescent="0.25"/>
    <row r="1007" spans="25:26" ht="33.75" customHeight="1" x14ac:dyDescent="0.25">
      <c r="Y1007" s="30"/>
      <c r="Z1007" s="31"/>
    </row>
    <row r="1008" spans="25:26" ht="33.75" customHeight="1" x14ac:dyDescent="0.25"/>
    <row r="1009" ht="33.75" customHeight="1" x14ac:dyDescent="0.25"/>
    <row r="1010" ht="33.75" customHeight="1" x14ac:dyDescent="0.25"/>
    <row r="1011" ht="33.75" customHeight="1" x14ac:dyDescent="0.25"/>
    <row r="1012" ht="33.75" customHeight="1" x14ac:dyDescent="0.25"/>
    <row r="1013" ht="33.75" customHeight="1" x14ac:dyDescent="0.25"/>
    <row r="1014" ht="33.75" customHeight="1" x14ac:dyDescent="0.25"/>
    <row r="1015" ht="33.75" customHeight="1" x14ac:dyDescent="0.25"/>
    <row r="1016" ht="33.75" customHeight="1" x14ac:dyDescent="0.25"/>
    <row r="1017" ht="33.75" customHeight="1" x14ac:dyDescent="0.25"/>
    <row r="1018" ht="33.75" customHeight="1" x14ac:dyDescent="0.25"/>
    <row r="1019" ht="33.75" customHeight="1" x14ac:dyDescent="0.25"/>
    <row r="1020" ht="33.75" customHeight="1" x14ac:dyDescent="0.25"/>
    <row r="1021" ht="33.75" customHeight="1" x14ac:dyDescent="0.25"/>
    <row r="1022" ht="33.75" customHeight="1" x14ac:dyDescent="0.25"/>
    <row r="1023" ht="33.75" customHeight="1" x14ac:dyDescent="0.25"/>
    <row r="1024" ht="33.75" customHeight="1" x14ac:dyDescent="0.25"/>
    <row r="1025" ht="33.75" customHeight="1" x14ac:dyDescent="0.25"/>
    <row r="1026" ht="33.75" customHeight="1" x14ac:dyDescent="0.25"/>
    <row r="1027" ht="33.75" customHeight="1" x14ac:dyDescent="0.25"/>
    <row r="1028" ht="33.75" customHeight="1" x14ac:dyDescent="0.25"/>
    <row r="1029" ht="33.75" customHeight="1" x14ac:dyDescent="0.25"/>
    <row r="1030" ht="33.75" customHeight="1" x14ac:dyDescent="0.25"/>
    <row r="1031" ht="33.75" customHeight="1" x14ac:dyDescent="0.25"/>
    <row r="1032" ht="33.75" customHeight="1" x14ac:dyDescent="0.25"/>
    <row r="1033" ht="33.75" customHeight="1" x14ac:dyDescent="0.25"/>
  </sheetData>
  <mergeCells count="11">
    <mergeCell ref="S4:T4"/>
    <mergeCell ref="G1:T1"/>
    <mergeCell ref="G2:T2"/>
    <mergeCell ref="G4:G5"/>
    <mergeCell ref="H4:H5"/>
    <mergeCell ref="I4:I5"/>
    <mergeCell ref="J4:J5"/>
    <mergeCell ref="K4:L4"/>
    <mergeCell ref="M4:N4"/>
    <mergeCell ref="O4:P4"/>
    <mergeCell ref="Q4:R4"/>
  </mergeCells>
  <conditionalFormatting sqref="H6 H8:H553">
    <cfRule type="beginsWith" dxfId="34" priority="14" operator="beginsWith" text="99">
      <formula>LEFT(H6,LEN("99"))="99"</formula>
    </cfRule>
  </conditionalFormatting>
  <conditionalFormatting sqref="H6 H8:H553">
    <cfRule type="beginsWith" dxfId="33" priority="15" operator="beginsWith" text="99">
      <formula>LEFT(H6,2)="99"</formula>
    </cfRule>
    <cfRule type="containsText" dxfId="32" priority="16" operator="containsText" text="rem">
      <formula>NOT(ISERROR(SEARCH("rem",H6)))</formula>
    </cfRule>
    <cfRule type="duplicateValues" dxfId="31" priority="17"/>
  </conditionalFormatting>
  <conditionalFormatting sqref="T6 T8:T553">
    <cfRule type="duplicateValues" dxfId="30" priority="18"/>
  </conditionalFormatting>
  <conditionalFormatting sqref="A6 A8:A553">
    <cfRule type="duplicateValues" dxfId="29" priority="13"/>
  </conditionalFormatting>
  <conditionalFormatting sqref="H7">
    <cfRule type="beginsWith" dxfId="28" priority="8" operator="beginsWith" text="99">
      <formula>LEFT(H7,LEN("99"))="99"</formula>
    </cfRule>
  </conditionalFormatting>
  <conditionalFormatting sqref="H7">
    <cfRule type="beginsWith" dxfId="27" priority="9" operator="beginsWith" text="99">
      <formula>LEFT(H7,2)="99"</formula>
    </cfRule>
    <cfRule type="containsText" dxfId="26" priority="10" operator="containsText" text="rem">
      <formula>NOT(ISERROR(SEARCH("rem",H7)))</formula>
    </cfRule>
    <cfRule type="duplicateValues" dxfId="25" priority="11"/>
  </conditionalFormatting>
  <conditionalFormatting sqref="T7">
    <cfRule type="duplicateValues" dxfId="24" priority="12"/>
  </conditionalFormatting>
  <conditionalFormatting sqref="A7">
    <cfRule type="duplicateValues" dxfId="23" priority="7"/>
  </conditionalFormatting>
  <conditionalFormatting sqref="L6:L553 N6:N553 P6:P553 R6:R553">
    <cfRule type="cellIs" dxfId="22" priority="6" operator="lessThan">
      <formula>0</formula>
    </cfRule>
  </conditionalFormatting>
  <conditionalFormatting sqref="L6:L553 R6:R553">
    <cfRule type="cellIs" dxfId="21" priority="5" operator="greaterThan">
      <formula>2000</formula>
    </cfRule>
  </conditionalFormatting>
  <conditionalFormatting sqref="F1:F1048576">
    <cfRule type="cellIs" dxfId="0" priority="4" operator="equal">
      <formula>0</formula>
    </cfRule>
    <cfRule type="cellIs" dxfId="1" priority="3" operator="greaterThan">
      <formula>4000</formula>
    </cfRule>
    <cfRule type="cellIs" dxfId="2" priority="1" operator="lessThan">
      <formula>0</formula>
    </cfRule>
  </conditionalFormatting>
  <conditionalFormatting sqref="R1:R1048576">
    <cfRule type="cellIs" dxfId="20" priority="2" operator="greaterThan">
      <formula>4000</formula>
    </cfRule>
  </conditionalFormatting>
  <printOptions horizontalCentered="1"/>
  <pageMargins left="0.23" right="0.15" top="0.32" bottom="0.32" header="0.2" footer="0.19"/>
  <pageSetup scale="63" orientation="portrait" r:id="rId1"/>
  <headerFooter>
    <oddHeader xml:space="preserve">&amp;L&amp;F&amp;C&amp;A&amp;RPage &amp;P of &amp;N              </oddHeader>
    <oddFooter xml:space="preserve">&amp;L             Reader Initials:&amp;RSupervisor Initials:                                           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Shaheen</vt:lpstr>
      <vt:lpstr>Shaheen!Print_Area</vt:lpstr>
      <vt:lpstr>Shaheen!Print_Titles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Ammad</cp:lastModifiedBy>
  <dcterms:created xsi:type="dcterms:W3CDTF">2025-04-22T04:41:36Z</dcterms:created>
  <dcterms:modified xsi:type="dcterms:W3CDTF">2025-04-23T07:09:48Z</dcterms:modified>
</cp:coreProperties>
</file>